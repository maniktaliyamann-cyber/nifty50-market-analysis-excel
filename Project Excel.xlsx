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Dell\Desktop\Data analytics notes pdf\"/>
    </mc:Choice>
  </mc:AlternateContent>
  <xr:revisionPtr revIDLastSave="0" documentId="13_ncr:1_{FCCB0228-9BFA-4D02-8032-C706F6A47FCB}" xr6:coauthVersionLast="47" xr6:coauthVersionMax="47" xr10:uidLastSave="{00000000-0000-0000-0000-000000000000}"/>
  <bookViews>
    <workbookView xWindow="-108" yWindow="-108" windowWidth="23256" windowHeight="12456" firstSheet="1" activeTab="5" xr2:uid="{BB99C202-F679-4795-B39F-4122B715193D}"/>
  </bookViews>
  <sheets>
    <sheet name="NIFTY 50 2021-2026" sheetId="1" r:id="rId1"/>
    <sheet name="Drawdown Data" sheetId="10" r:id="rId2"/>
    <sheet name="Project pivot table 2" sheetId="8" r:id="rId3"/>
    <sheet name="Project pivot table" sheetId="5" r:id="rId4"/>
    <sheet name="Price trend line table" sheetId="6" r:id="rId5"/>
    <sheet name="Final Dashboard" sheetId="7" r:id="rId6"/>
  </sheets>
  <definedNames>
    <definedName name="_xlnm._FilterDatabase" localSheetId="0" hidden="1">'NIFTY 50 2021-2026'!$A$1:$P$1240</definedName>
    <definedName name="Slicer_Months__Dat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6" l="1"/>
  <c r="I6" i="6"/>
  <c r="I5" i="6"/>
  <c r="I4" i="6"/>
  <c r="K4" i="1"/>
  <c r="K5" i="1"/>
  <c r="K6" i="1"/>
  <c r="L6" i="1" s="1"/>
  <c r="K7" i="1"/>
  <c r="L7" i="1" s="1"/>
  <c r="K8" i="1"/>
  <c r="K9" i="1"/>
  <c r="K10" i="1"/>
  <c r="K11" i="1"/>
  <c r="L11" i="1" s="1"/>
  <c r="K12" i="1"/>
  <c r="K13" i="1"/>
  <c r="L13" i="1" s="1"/>
  <c r="K14" i="1"/>
  <c r="L14" i="1" s="1"/>
  <c r="K15" i="1"/>
  <c r="L15" i="1" s="1"/>
  <c r="K16" i="1"/>
  <c r="K17" i="1"/>
  <c r="L17" i="1" s="1"/>
  <c r="K18" i="1"/>
  <c r="K19" i="1"/>
  <c r="L19" i="1" s="1"/>
  <c r="K20" i="1"/>
  <c r="K21" i="1"/>
  <c r="K22" i="1"/>
  <c r="L22" i="1" s="1"/>
  <c r="K23" i="1"/>
  <c r="L23" i="1" s="1"/>
  <c r="K24" i="1"/>
  <c r="K25" i="1"/>
  <c r="K26" i="1"/>
  <c r="L26" i="1" s="1"/>
  <c r="K27" i="1"/>
  <c r="L27" i="1" s="1"/>
  <c r="K28" i="1"/>
  <c r="K29" i="1"/>
  <c r="K30" i="1"/>
  <c r="K31" i="1"/>
  <c r="L31" i="1" s="1"/>
  <c r="K32" i="1"/>
  <c r="K33" i="1"/>
  <c r="L33" i="1" s="1"/>
  <c r="K34" i="1"/>
  <c r="K35" i="1"/>
  <c r="L35" i="1" s="1"/>
  <c r="K36" i="1"/>
  <c r="K37" i="1"/>
  <c r="K38" i="1"/>
  <c r="L38" i="1" s="1"/>
  <c r="K39" i="1"/>
  <c r="L39" i="1" s="1"/>
  <c r="K40" i="1"/>
  <c r="K41" i="1"/>
  <c r="K42" i="1"/>
  <c r="L42" i="1" s="1"/>
  <c r="K43" i="1"/>
  <c r="L43" i="1" s="1"/>
  <c r="K44" i="1"/>
  <c r="K45" i="1"/>
  <c r="L45" i="1" s="1"/>
  <c r="K46" i="1"/>
  <c r="K47" i="1"/>
  <c r="L47" i="1" s="1"/>
  <c r="K48" i="1"/>
  <c r="K49" i="1"/>
  <c r="L49" i="1" s="1"/>
  <c r="K50" i="1"/>
  <c r="L50" i="1" s="1"/>
  <c r="K51" i="1"/>
  <c r="L51" i="1" s="1"/>
  <c r="K52" i="1"/>
  <c r="K53" i="1"/>
  <c r="K54" i="1"/>
  <c r="L54" i="1" s="1"/>
  <c r="K55" i="1"/>
  <c r="L55" i="1" s="1"/>
  <c r="K56" i="1"/>
  <c r="K57" i="1"/>
  <c r="K58" i="1"/>
  <c r="L58" i="1" s="1"/>
  <c r="K59" i="1"/>
  <c r="L59" i="1" s="1"/>
  <c r="K60" i="1"/>
  <c r="K61" i="1"/>
  <c r="K62" i="1"/>
  <c r="K63" i="1"/>
  <c r="L63" i="1" s="1"/>
  <c r="K64" i="1"/>
  <c r="K65" i="1"/>
  <c r="L65" i="1" s="1"/>
  <c r="K66" i="1"/>
  <c r="K67" i="1"/>
  <c r="L67" i="1" s="1"/>
  <c r="K68" i="1"/>
  <c r="K69" i="1"/>
  <c r="K70" i="1"/>
  <c r="L70" i="1" s="1"/>
  <c r="K71" i="1"/>
  <c r="L71" i="1" s="1"/>
  <c r="K72" i="1"/>
  <c r="K73" i="1"/>
  <c r="K74" i="1"/>
  <c r="K75" i="1"/>
  <c r="L75" i="1" s="1"/>
  <c r="K76" i="1"/>
  <c r="K77" i="1"/>
  <c r="L77" i="1" s="1"/>
  <c r="K78" i="1"/>
  <c r="L78" i="1" s="1"/>
  <c r="K79" i="1"/>
  <c r="L79" i="1" s="1"/>
  <c r="K80" i="1"/>
  <c r="K81" i="1"/>
  <c r="L81" i="1" s="1"/>
  <c r="K82" i="1"/>
  <c r="K83" i="1"/>
  <c r="L83" i="1" s="1"/>
  <c r="K84" i="1"/>
  <c r="K85" i="1"/>
  <c r="K86" i="1"/>
  <c r="L86" i="1" s="1"/>
  <c r="K87" i="1"/>
  <c r="L87" i="1" s="1"/>
  <c r="K88" i="1"/>
  <c r="K89" i="1"/>
  <c r="K90" i="1"/>
  <c r="L90" i="1" s="1"/>
  <c r="K91" i="1"/>
  <c r="L91" i="1" s="1"/>
  <c r="K92" i="1"/>
  <c r="K93" i="1"/>
  <c r="K94" i="1"/>
  <c r="K95" i="1"/>
  <c r="L95" i="1" s="1"/>
  <c r="K96" i="1"/>
  <c r="K97" i="1"/>
  <c r="L97" i="1" s="1"/>
  <c r="K98" i="1"/>
  <c r="K99" i="1"/>
  <c r="L99" i="1" s="1"/>
  <c r="K100" i="1"/>
  <c r="K101" i="1"/>
  <c r="K102" i="1"/>
  <c r="L102" i="1" s="1"/>
  <c r="K103" i="1"/>
  <c r="L103" i="1" s="1"/>
  <c r="K104" i="1"/>
  <c r="K105" i="1"/>
  <c r="K106" i="1"/>
  <c r="L106" i="1" s="1"/>
  <c r="K107" i="1"/>
  <c r="L107" i="1" s="1"/>
  <c r="K108" i="1"/>
  <c r="K109" i="1"/>
  <c r="L109" i="1" s="1"/>
  <c r="K110" i="1"/>
  <c r="K111" i="1"/>
  <c r="L111" i="1" s="1"/>
  <c r="K112" i="1"/>
  <c r="K113" i="1"/>
  <c r="L113" i="1" s="1"/>
  <c r="K114" i="1"/>
  <c r="L114" i="1" s="1"/>
  <c r="K115" i="1"/>
  <c r="L115" i="1" s="1"/>
  <c r="K116" i="1"/>
  <c r="K117" i="1"/>
  <c r="K118" i="1"/>
  <c r="L118" i="1" s="1"/>
  <c r="K119" i="1"/>
  <c r="L119" i="1" s="1"/>
  <c r="K120" i="1"/>
  <c r="K121" i="1"/>
  <c r="K122" i="1"/>
  <c r="L122" i="1" s="1"/>
  <c r="K123" i="1"/>
  <c r="L123" i="1" s="1"/>
  <c r="K124" i="1"/>
  <c r="K125" i="1"/>
  <c r="K126" i="1"/>
  <c r="K127" i="1"/>
  <c r="L127" i="1" s="1"/>
  <c r="K128" i="1"/>
  <c r="K129" i="1"/>
  <c r="L129" i="1" s="1"/>
  <c r="K130" i="1"/>
  <c r="L130" i="1" s="1"/>
  <c r="K131" i="1"/>
  <c r="L131" i="1" s="1"/>
  <c r="K132" i="1"/>
  <c r="K133" i="1"/>
  <c r="K134" i="1"/>
  <c r="L134" i="1" s="1"/>
  <c r="K135" i="1"/>
  <c r="L135" i="1" s="1"/>
  <c r="K136" i="1"/>
  <c r="K137" i="1"/>
  <c r="K138" i="1"/>
  <c r="K139" i="1"/>
  <c r="L139" i="1" s="1"/>
  <c r="K140" i="1"/>
  <c r="K141" i="1"/>
  <c r="L141" i="1" s="1"/>
  <c r="K142" i="1"/>
  <c r="L142" i="1" s="1"/>
  <c r="K143" i="1"/>
  <c r="L143" i="1" s="1"/>
  <c r="K144" i="1"/>
  <c r="K145" i="1"/>
  <c r="L145" i="1" s="1"/>
  <c r="K146" i="1"/>
  <c r="K147" i="1"/>
  <c r="L147" i="1" s="1"/>
  <c r="K148" i="1"/>
  <c r="K149" i="1"/>
  <c r="K150" i="1"/>
  <c r="L150" i="1" s="1"/>
  <c r="K151" i="1"/>
  <c r="L151" i="1" s="1"/>
  <c r="K152" i="1"/>
  <c r="K153" i="1"/>
  <c r="K154" i="1"/>
  <c r="L154" i="1" s="1"/>
  <c r="K155" i="1"/>
  <c r="L155" i="1" s="1"/>
  <c r="K156" i="1"/>
  <c r="K157" i="1"/>
  <c r="K158" i="1"/>
  <c r="L158" i="1" s="1"/>
  <c r="K159" i="1"/>
  <c r="L159" i="1" s="1"/>
  <c r="K160" i="1"/>
  <c r="K161" i="1"/>
  <c r="L161" i="1" s="1"/>
  <c r="K162" i="1"/>
  <c r="K163" i="1"/>
  <c r="L163" i="1" s="1"/>
  <c r="K164" i="1"/>
  <c r="K165" i="1"/>
  <c r="K166" i="1"/>
  <c r="L166" i="1" s="1"/>
  <c r="K167" i="1"/>
  <c r="L167" i="1" s="1"/>
  <c r="K168" i="1"/>
  <c r="K169" i="1"/>
  <c r="K170" i="1"/>
  <c r="L170" i="1" s="1"/>
  <c r="K171" i="1"/>
  <c r="L171" i="1" s="1"/>
  <c r="K172" i="1"/>
  <c r="K173" i="1"/>
  <c r="L173" i="1" s="1"/>
  <c r="K174" i="1"/>
  <c r="K175" i="1"/>
  <c r="L175" i="1" s="1"/>
  <c r="K176" i="1"/>
  <c r="K177" i="1"/>
  <c r="L177" i="1" s="1"/>
  <c r="K178" i="1"/>
  <c r="L178" i="1" s="1"/>
  <c r="K179" i="1"/>
  <c r="L179" i="1" s="1"/>
  <c r="K180" i="1"/>
  <c r="K181" i="1"/>
  <c r="K182" i="1"/>
  <c r="L182" i="1" s="1"/>
  <c r="K183" i="1"/>
  <c r="L183" i="1" s="1"/>
  <c r="K184" i="1"/>
  <c r="K185" i="1"/>
  <c r="K186" i="1"/>
  <c r="L186" i="1" s="1"/>
  <c r="K187" i="1"/>
  <c r="L187" i="1" s="1"/>
  <c r="K188" i="1"/>
  <c r="K189" i="1"/>
  <c r="K190" i="1"/>
  <c r="K191" i="1"/>
  <c r="L191" i="1" s="1"/>
  <c r="K192" i="1"/>
  <c r="K193" i="1"/>
  <c r="L193" i="1" s="1"/>
  <c r="K194" i="1"/>
  <c r="L194" i="1" s="1"/>
  <c r="K195" i="1"/>
  <c r="L195" i="1" s="1"/>
  <c r="K196" i="1"/>
  <c r="K197" i="1"/>
  <c r="K198" i="1"/>
  <c r="L198" i="1" s="1"/>
  <c r="K199" i="1"/>
  <c r="L199" i="1" s="1"/>
  <c r="K200" i="1"/>
  <c r="K201" i="1"/>
  <c r="K202" i="1"/>
  <c r="K203" i="1"/>
  <c r="L203" i="1" s="1"/>
  <c r="K204" i="1"/>
  <c r="K205" i="1"/>
  <c r="L205" i="1" s="1"/>
  <c r="K206" i="1"/>
  <c r="L206" i="1" s="1"/>
  <c r="K207" i="1"/>
  <c r="L207" i="1" s="1"/>
  <c r="K208" i="1"/>
  <c r="K209" i="1"/>
  <c r="L209" i="1" s="1"/>
  <c r="K210" i="1"/>
  <c r="K211" i="1"/>
  <c r="L211" i="1" s="1"/>
  <c r="K212" i="1"/>
  <c r="K213" i="1"/>
  <c r="K214" i="1"/>
  <c r="L214" i="1" s="1"/>
  <c r="K215" i="1"/>
  <c r="L215" i="1" s="1"/>
  <c r="K216" i="1"/>
  <c r="K217" i="1"/>
  <c r="K218" i="1"/>
  <c r="L218" i="1" s="1"/>
  <c r="K219" i="1"/>
  <c r="L219" i="1" s="1"/>
  <c r="K220" i="1"/>
  <c r="K221" i="1"/>
  <c r="K222" i="1"/>
  <c r="L222" i="1" s="1"/>
  <c r="K223" i="1"/>
  <c r="L223" i="1" s="1"/>
  <c r="K224" i="1"/>
  <c r="K225" i="1"/>
  <c r="L225" i="1" s="1"/>
  <c r="K226" i="1"/>
  <c r="K227" i="1"/>
  <c r="L227" i="1" s="1"/>
  <c r="K228" i="1"/>
  <c r="K229" i="1"/>
  <c r="K230" i="1"/>
  <c r="L230" i="1" s="1"/>
  <c r="K231" i="1"/>
  <c r="L231" i="1" s="1"/>
  <c r="K232" i="1"/>
  <c r="K233" i="1"/>
  <c r="K234" i="1"/>
  <c r="L234" i="1" s="1"/>
  <c r="K235" i="1"/>
  <c r="L235" i="1" s="1"/>
  <c r="K236" i="1"/>
  <c r="K237" i="1"/>
  <c r="L237" i="1" s="1"/>
  <c r="K238" i="1"/>
  <c r="K239" i="1"/>
  <c r="L239" i="1" s="1"/>
  <c r="K240" i="1"/>
  <c r="K241" i="1"/>
  <c r="L241" i="1" s="1"/>
  <c r="K242" i="1"/>
  <c r="L242" i="1" s="1"/>
  <c r="K243" i="1"/>
  <c r="L243" i="1" s="1"/>
  <c r="K244" i="1"/>
  <c r="K245" i="1"/>
  <c r="K246" i="1"/>
  <c r="L246" i="1" s="1"/>
  <c r="K247" i="1"/>
  <c r="L247" i="1" s="1"/>
  <c r="K248" i="1"/>
  <c r="K249" i="1"/>
  <c r="K250" i="1"/>
  <c r="L250" i="1" s="1"/>
  <c r="K251" i="1"/>
  <c r="L251" i="1" s="1"/>
  <c r="K252" i="1"/>
  <c r="K253" i="1"/>
  <c r="K254" i="1"/>
  <c r="K255" i="1"/>
  <c r="L255" i="1" s="1"/>
  <c r="K256" i="1"/>
  <c r="K257" i="1"/>
  <c r="L257" i="1" s="1"/>
  <c r="K258" i="1"/>
  <c r="L258" i="1" s="1"/>
  <c r="K259" i="1"/>
  <c r="L259" i="1" s="1"/>
  <c r="K260" i="1"/>
  <c r="K261" i="1"/>
  <c r="K262" i="1"/>
  <c r="L262" i="1" s="1"/>
  <c r="K263" i="1"/>
  <c r="L263" i="1" s="1"/>
  <c r="K264" i="1"/>
  <c r="K265" i="1"/>
  <c r="K266" i="1"/>
  <c r="K267" i="1"/>
  <c r="L267" i="1" s="1"/>
  <c r="K268" i="1"/>
  <c r="K269" i="1"/>
  <c r="L269" i="1" s="1"/>
  <c r="K270" i="1"/>
  <c r="L270" i="1" s="1"/>
  <c r="K271" i="1"/>
  <c r="L271" i="1" s="1"/>
  <c r="K272" i="1"/>
  <c r="K273" i="1"/>
  <c r="L273" i="1" s="1"/>
  <c r="K274" i="1"/>
  <c r="K275" i="1"/>
  <c r="L275" i="1" s="1"/>
  <c r="K276" i="1"/>
  <c r="K277" i="1"/>
  <c r="K278" i="1"/>
  <c r="L278" i="1" s="1"/>
  <c r="K279" i="1"/>
  <c r="L279" i="1" s="1"/>
  <c r="K280" i="1"/>
  <c r="K281" i="1"/>
  <c r="K282" i="1"/>
  <c r="L282" i="1" s="1"/>
  <c r="K283" i="1"/>
  <c r="L283" i="1" s="1"/>
  <c r="K284" i="1"/>
  <c r="K285" i="1"/>
  <c r="K286" i="1"/>
  <c r="L286" i="1" s="1"/>
  <c r="K287" i="1"/>
  <c r="L287" i="1" s="1"/>
  <c r="K288" i="1"/>
  <c r="K289" i="1"/>
  <c r="L289" i="1" s="1"/>
  <c r="K290" i="1"/>
  <c r="K291" i="1"/>
  <c r="L291" i="1" s="1"/>
  <c r="K292" i="1"/>
  <c r="K293" i="1"/>
  <c r="K294" i="1"/>
  <c r="L294" i="1" s="1"/>
  <c r="K295" i="1"/>
  <c r="L295" i="1" s="1"/>
  <c r="K296" i="1"/>
  <c r="K297" i="1"/>
  <c r="K298" i="1"/>
  <c r="L298" i="1" s="1"/>
  <c r="K299" i="1"/>
  <c r="L299" i="1" s="1"/>
  <c r="K300" i="1"/>
  <c r="K301" i="1"/>
  <c r="L301" i="1" s="1"/>
  <c r="K302" i="1"/>
  <c r="K303" i="1"/>
  <c r="L303" i="1" s="1"/>
  <c r="K304" i="1"/>
  <c r="K305" i="1"/>
  <c r="L305" i="1" s="1"/>
  <c r="K306" i="1"/>
  <c r="L306" i="1" s="1"/>
  <c r="K307" i="1"/>
  <c r="L307" i="1" s="1"/>
  <c r="K308" i="1"/>
  <c r="K309" i="1"/>
  <c r="K310" i="1"/>
  <c r="L310" i="1" s="1"/>
  <c r="K311" i="1"/>
  <c r="L311" i="1" s="1"/>
  <c r="K312" i="1"/>
  <c r="K313" i="1"/>
  <c r="K314" i="1"/>
  <c r="L314" i="1" s="1"/>
  <c r="K315" i="1"/>
  <c r="L315" i="1" s="1"/>
  <c r="K316" i="1"/>
  <c r="K317" i="1"/>
  <c r="K318" i="1"/>
  <c r="K319" i="1"/>
  <c r="L319" i="1" s="1"/>
  <c r="K320" i="1"/>
  <c r="K321" i="1"/>
  <c r="L321" i="1" s="1"/>
  <c r="K322" i="1"/>
  <c r="L322" i="1" s="1"/>
  <c r="K323" i="1"/>
  <c r="L323" i="1" s="1"/>
  <c r="K324" i="1"/>
  <c r="K325" i="1"/>
  <c r="K326" i="1"/>
  <c r="L326" i="1" s="1"/>
  <c r="K327" i="1"/>
  <c r="L327" i="1" s="1"/>
  <c r="K328" i="1"/>
  <c r="K329" i="1"/>
  <c r="K330" i="1"/>
  <c r="K331" i="1"/>
  <c r="L331" i="1" s="1"/>
  <c r="K332" i="1"/>
  <c r="K333" i="1"/>
  <c r="L333" i="1" s="1"/>
  <c r="K334" i="1"/>
  <c r="L334" i="1" s="1"/>
  <c r="K335" i="1"/>
  <c r="L335" i="1" s="1"/>
  <c r="K336" i="1"/>
  <c r="K337" i="1"/>
  <c r="L337" i="1" s="1"/>
  <c r="K338" i="1"/>
  <c r="K339" i="1"/>
  <c r="L339" i="1" s="1"/>
  <c r="K340" i="1"/>
  <c r="K341" i="1"/>
  <c r="K342" i="1"/>
  <c r="L342" i="1" s="1"/>
  <c r="K343" i="1"/>
  <c r="L343" i="1" s="1"/>
  <c r="K344" i="1"/>
  <c r="K345" i="1"/>
  <c r="K346" i="1"/>
  <c r="L346" i="1" s="1"/>
  <c r="K347" i="1"/>
  <c r="L347" i="1" s="1"/>
  <c r="K348" i="1"/>
  <c r="K349" i="1"/>
  <c r="K350" i="1"/>
  <c r="L350" i="1" s="1"/>
  <c r="K351" i="1"/>
  <c r="L351" i="1" s="1"/>
  <c r="K352" i="1"/>
  <c r="K353" i="1"/>
  <c r="L353" i="1" s="1"/>
  <c r="K354" i="1"/>
  <c r="K355" i="1"/>
  <c r="L355" i="1" s="1"/>
  <c r="K356" i="1"/>
  <c r="K357" i="1"/>
  <c r="K358" i="1"/>
  <c r="L358" i="1" s="1"/>
  <c r="K359" i="1"/>
  <c r="L359" i="1" s="1"/>
  <c r="K360" i="1"/>
  <c r="K361" i="1"/>
  <c r="K362" i="1"/>
  <c r="L362" i="1" s="1"/>
  <c r="K363" i="1"/>
  <c r="L363" i="1" s="1"/>
  <c r="K364" i="1"/>
  <c r="K365" i="1"/>
  <c r="L365" i="1" s="1"/>
  <c r="K366" i="1"/>
  <c r="K367" i="1"/>
  <c r="L367" i="1" s="1"/>
  <c r="K368" i="1"/>
  <c r="K369" i="1"/>
  <c r="L369" i="1" s="1"/>
  <c r="K370" i="1"/>
  <c r="L370" i="1" s="1"/>
  <c r="K371" i="1"/>
  <c r="L371" i="1" s="1"/>
  <c r="K372" i="1"/>
  <c r="K373" i="1"/>
  <c r="K374" i="1"/>
  <c r="L374" i="1" s="1"/>
  <c r="K375" i="1"/>
  <c r="L375" i="1" s="1"/>
  <c r="K376" i="1"/>
  <c r="K377" i="1"/>
  <c r="K378" i="1"/>
  <c r="L378" i="1" s="1"/>
  <c r="K379" i="1"/>
  <c r="L379" i="1" s="1"/>
  <c r="K380" i="1"/>
  <c r="K381" i="1"/>
  <c r="K382" i="1"/>
  <c r="K383" i="1"/>
  <c r="L383" i="1" s="1"/>
  <c r="K384" i="1"/>
  <c r="K385" i="1"/>
  <c r="L385" i="1" s="1"/>
  <c r="K386" i="1"/>
  <c r="L386" i="1" s="1"/>
  <c r="K387" i="1"/>
  <c r="L387" i="1" s="1"/>
  <c r="K388" i="1"/>
  <c r="K389" i="1"/>
  <c r="K390" i="1"/>
  <c r="L390" i="1" s="1"/>
  <c r="K391" i="1"/>
  <c r="L391" i="1" s="1"/>
  <c r="K392" i="1"/>
  <c r="K393" i="1"/>
  <c r="K394" i="1"/>
  <c r="K395" i="1"/>
  <c r="L395" i="1" s="1"/>
  <c r="K396" i="1"/>
  <c r="K397" i="1"/>
  <c r="L397" i="1" s="1"/>
  <c r="K398" i="1"/>
  <c r="L398" i="1" s="1"/>
  <c r="K399" i="1"/>
  <c r="L399" i="1" s="1"/>
  <c r="K400" i="1"/>
  <c r="K401" i="1"/>
  <c r="L401" i="1" s="1"/>
  <c r="K402" i="1"/>
  <c r="K403" i="1"/>
  <c r="L403" i="1" s="1"/>
  <c r="K404" i="1"/>
  <c r="K405" i="1"/>
  <c r="K406" i="1"/>
  <c r="L406" i="1" s="1"/>
  <c r="K407" i="1"/>
  <c r="L407" i="1" s="1"/>
  <c r="K408" i="1"/>
  <c r="K409" i="1"/>
  <c r="K410" i="1"/>
  <c r="L410" i="1" s="1"/>
  <c r="K411" i="1"/>
  <c r="L411" i="1" s="1"/>
  <c r="K412" i="1"/>
  <c r="K413" i="1"/>
  <c r="K414" i="1"/>
  <c r="L414" i="1" s="1"/>
  <c r="K415" i="1"/>
  <c r="L415" i="1" s="1"/>
  <c r="K416" i="1"/>
  <c r="K417" i="1"/>
  <c r="L417" i="1" s="1"/>
  <c r="K418" i="1"/>
  <c r="K419" i="1"/>
  <c r="L419" i="1" s="1"/>
  <c r="K420" i="1"/>
  <c r="K421" i="1"/>
  <c r="K422" i="1"/>
  <c r="L422" i="1" s="1"/>
  <c r="K423" i="1"/>
  <c r="L423" i="1" s="1"/>
  <c r="K424" i="1"/>
  <c r="K425" i="1"/>
  <c r="K426" i="1"/>
  <c r="L426" i="1" s="1"/>
  <c r="K427" i="1"/>
  <c r="L427" i="1" s="1"/>
  <c r="K428" i="1"/>
  <c r="K429" i="1"/>
  <c r="L429" i="1" s="1"/>
  <c r="K430" i="1"/>
  <c r="K431" i="1"/>
  <c r="L431" i="1" s="1"/>
  <c r="K432" i="1"/>
  <c r="K433" i="1"/>
  <c r="L433" i="1" s="1"/>
  <c r="K434" i="1"/>
  <c r="L434" i="1" s="1"/>
  <c r="K435" i="1"/>
  <c r="L435" i="1" s="1"/>
  <c r="K436" i="1"/>
  <c r="K437" i="1"/>
  <c r="K438" i="1"/>
  <c r="L438" i="1" s="1"/>
  <c r="K439" i="1"/>
  <c r="L439" i="1" s="1"/>
  <c r="K440" i="1"/>
  <c r="K441" i="1"/>
  <c r="K442" i="1"/>
  <c r="L442" i="1" s="1"/>
  <c r="K443" i="1"/>
  <c r="L443" i="1" s="1"/>
  <c r="K444" i="1"/>
  <c r="K445" i="1"/>
  <c r="K446" i="1"/>
  <c r="K447" i="1"/>
  <c r="L447" i="1" s="1"/>
  <c r="K448" i="1"/>
  <c r="K449" i="1"/>
  <c r="L449" i="1" s="1"/>
  <c r="K450" i="1"/>
  <c r="L450" i="1" s="1"/>
  <c r="K451" i="1"/>
  <c r="L451" i="1" s="1"/>
  <c r="K452" i="1"/>
  <c r="K453" i="1"/>
  <c r="K454" i="1"/>
  <c r="L454" i="1" s="1"/>
  <c r="K455" i="1"/>
  <c r="L455" i="1" s="1"/>
  <c r="K456" i="1"/>
  <c r="K457" i="1"/>
  <c r="K458" i="1"/>
  <c r="K459" i="1"/>
  <c r="L459" i="1" s="1"/>
  <c r="K460" i="1"/>
  <c r="K461" i="1"/>
  <c r="L461" i="1" s="1"/>
  <c r="K462" i="1"/>
  <c r="L462" i="1" s="1"/>
  <c r="K463" i="1"/>
  <c r="L463" i="1" s="1"/>
  <c r="K464" i="1"/>
  <c r="K465" i="1"/>
  <c r="L465" i="1" s="1"/>
  <c r="K466" i="1"/>
  <c r="K467" i="1"/>
  <c r="L467" i="1" s="1"/>
  <c r="K468" i="1"/>
  <c r="K469" i="1"/>
  <c r="K470" i="1"/>
  <c r="L470" i="1" s="1"/>
  <c r="K471" i="1"/>
  <c r="L471" i="1" s="1"/>
  <c r="K472" i="1"/>
  <c r="K473" i="1"/>
  <c r="K474" i="1"/>
  <c r="L474" i="1" s="1"/>
  <c r="K475" i="1"/>
  <c r="L475" i="1" s="1"/>
  <c r="K476" i="1"/>
  <c r="K477" i="1"/>
  <c r="K478" i="1"/>
  <c r="L478" i="1" s="1"/>
  <c r="K479" i="1"/>
  <c r="L479" i="1" s="1"/>
  <c r="K480" i="1"/>
  <c r="K481" i="1"/>
  <c r="L481" i="1" s="1"/>
  <c r="K482" i="1"/>
  <c r="K483" i="1"/>
  <c r="L483" i="1" s="1"/>
  <c r="K484" i="1"/>
  <c r="K485" i="1"/>
  <c r="K486" i="1"/>
  <c r="L486" i="1" s="1"/>
  <c r="K487" i="1"/>
  <c r="L487" i="1" s="1"/>
  <c r="K488" i="1"/>
  <c r="K489" i="1"/>
  <c r="K490" i="1"/>
  <c r="L490" i="1" s="1"/>
  <c r="K491" i="1"/>
  <c r="L491" i="1" s="1"/>
  <c r="K492" i="1"/>
  <c r="K493" i="1"/>
  <c r="L493" i="1" s="1"/>
  <c r="K494" i="1"/>
  <c r="K495" i="1"/>
  <c r="L495" i="1" s="1"/>
  <c r="K496" i="1"/>
  <c r="K497" i="1"/>
  <c r="L497" i="1" s="1"/>
  <c r="K498" i="1"/>
  <c r="L498" i="1" s="1"/>
  <c r="K499" i="1"/>
  <c r="L499" i="1" s="1"/>
  <c r="K500" i="1"/>
  <c r="K501" i="1"/>
  <c r="K502" i="1"/>
  <c r="L502" i="1" s="1"/>
  <c r="K503" i="1"/>
  <c r="L503" i="1" s="1"/>
  <c r="K504" i="1"/>
  <c r="K505" i="1"/>
  <c r="K506" i="1"/>
  <c r="L506" i="1" s="1"/>
  <c r="K507" i="1"/>
  <c r="L507" i="1" s="1"/>
  <c r="K508" i="1"/>
  <c r="K509" i="1"/>
  <c r="K510" i="1"/>
  <c r="K511" i="1"/>
  <c r="L511" i="1" s="1"/>
  <c r="K512" i="1"/>
  <c r="K513" i="1"/>
  <c r="L513" i="1" s="1"/>
  <c r="K514" i="1"/>
  <c r="L514" i="1" s="1"/>
  <c r="K515" i="1"/>
  <c r="L515" i="1" s="1"/>
  <c r="K516" i="1"/>
  <c r="K517" i="1"/>
  <c r="K518" i="1"/>
  <c r="L518" i="1" s="1"/>
  <c r="K519" i="1"/>
  <c r="L519" i="1" s="1"/>
  <c r="K520" i="1"/>
  <c r="K521" i="1"/>
  <c r="K522" i="1"/>
  <c r="K523" i="1"/>
  <c r="L523" i="1" s="1"/>
  <c r="K524" i="1"/>
  <c r="K525" i="1"/>
  <c r="L525" i="1" s="1"/>
  <c r="K526" i="1"/>
  <c r="L526" i="1" s="1"/>
  <c r="K527" i="1"/>
  <c r="L527" i="1" s="1"/>
  <c r="K528" i="1"/>
  <c r="K529" i="1"/>
  <c r="L529" i="1" s="1"/>
  <c r="K530" i="1"/>
  <c r="K531" i="1"/>
  <c r="L531" i="1" s="1"/>
  <c r="K532" i="1"/>
  <c r="K533" i="1"/>
  <c r="K534" i="1"/>
  <c r="L534" i="1" s="1"/>
  <c r="K535" i="1"/>
  <c r="L535" i="1" s="1"/>
  <c r="K536" i="1"/>
  <c r="K537" i="1"/>
  <c r="K538" i="1"/>
  <c r="L538" i="1" s="1"/>
  <c r="K539" i="1"/>
  <c r="L539" i="1" s="1"/>
  <c r="K540" i="1"/>
  <c r="K541" i="1"/>
  <c r="K542" i="1"/>
  <c r="L542" i="1" s="1"/>
  <c r="K543" i="1"/>
  <c r="L543" i="1" s="1"/>
  <c r="K544" i="1"/>
  <c r="K545" i="1"/>
  <c r="L545" i="1" s="1"/>
  <c r="K546" i="1"/>
  <c r="K547" i="1"/>
  <c r="L547" i="1" s="1"/>
  <c r="K548" i="1"/>
  <c r="K549" i="1"/>
  <c r="K550" i="1"/>
  <c r="L550" i="1" s="1"/>
  <c r="K551" i="1"/>
  <c r="L551" i="1" s="1"/>
  <c r="K552" i="1"/>
  <c r="K553" i="1"/>
  <c r="K554" i="1"/>
  <c r="L554" i="1" s="1"/>
  <c r="K555" i="1"/>
  <c r="L555" i="1" s="1"/>
  <c r="K556" i="1"/>
  <c r="K557" i="1"/>
  <c r="L557" i="1" s="1"/>
  <c r="K558" i="1"/>
  <c r="K559" i="1"/>
  <c r="L559" i="1" s="1"/>
  <c r="K560" i="1"/>
  <c r="K561" i="1"/>
  <c r="L561" i="1" s="1"/>
  <c r="K562" i="1"/>
  <c r="L562" i="1" s="1"/>
  <c r="K563" i="1"/>
  <c r="L563" i="1" s="1"/>
  <c r="K564" i="1"/>
  <c r="K565" i="1"/>
  <c r="K566" i="1"/>
  <c r="L566" i="1" s="1"/>
  <c r="K567" i="1"/>
  <c r="L567" i="1" s="1"/>
  <c r="K568" i="1"/>
  <c r="K569" i="1"/>
  <c r="L569" i="1" s="1"/>
  <c r="K570" i="1"/>
  <c r="L570" i="1" s="1"/>
  <c r="K571" i="1"/>
  <c r="L571" i="1" s="1"/>
  <c r="K572" i="1"/>
  <c r="K573" i="1"/>
  <c r="K574" i="1"/>
  <c r="K575" i="1"/>
  <c r="L575" i="1" s="1"/>
  <c r="K576" i="1"/>
  <c r="K577" i="1"/>
  <c r="L577" i="1" s="1"/>
  <c r="K578" i="1"/>
  <c r="L578" i="1" s="1"/>
  <c r="K579" i="1"/>
  <c r="L579" i="1" s="1"/>
  <c r="K580" i="1"/>
  <c r="K581" i="1"/>
  <c r="K582" i="1"/>
  <c r="L582" i="1" s="1"/>
  <c r="K583" i="1"/>
  <c r="L583" i="1" s="1"/>
  <c r="K584" i="1"/>
  <c r="K585" i="1"/>
  <c r="K586" i="1"/>
  <c r="K587" i="1"/>
  <c r="L587" i="1" s="1"/>
  <c r="K588" i="1"/>
  <c r="K589" i="1"/>
  <c r="L589" i="1" s="1"/>
  <c r="K590" i="1"/>
  <c r="L590" i="1" s="1"/>
  <c r="K591" i="1"/>
  <c r="L591" i="1" s="1"/>
  <c r="K592" i="1"/>
  <c r="K593" i="1"/>
  <c r="L593" i="1" s="1"/>
  <c r="K594" i="1"/>
  <c r="K595" i="1"/>
  <c r="L595" i="1" s="1"/>
  <c r="K596" i="1"/>
  <c r="K597" i="1"/>
  <c r="L597" i="1" s="1"/>
  <c r="K598" i="1"/>
  <c r="L598" i="1" s="1"/>
  <c r="K599" i="1"/>
  <c r="L599" i="1" s="1"/>
  <c r="K600" i="1"/>
  <c r="K601" i="1"/>
  <c r="K602" i="1"/>
  <c r="L602" i="1" s="1"/>
  <c r="K603" i="1"/>
  <c r="L603" i="1" s="1"/>
  <c r="K604" i="1"/>
  <c r="K605" i="1"/>
  <c r="L605" i="1" s="1"/>
  <c r="K606" i="1"/>
  <c r="L606" i="1" s="1"/>
  <c r="K607" i="1"/>
  <c r="L607" i="1" s="1"/>
  <c r="K608" i="1"/>
  <c r="K609" i="1"/>
  <c r="L609" i="1" s="1"/>
  <c r="K610" i="1"/>
  <c r="K611" i="1"/>
  <c r="L611" i="1" s="1"/>
  <c r="K612" i="1"/>
  <c r="K613" i="1"/>
  <c r="K614" i="1"/>
  <c r="L614" i="1" s="1"/>
  <c r="K615" i="1"/>
  <c r="L615" i="1" s="1"/>
  <c r="K616" i="1"/>
  <c r="K617" i="1"/>
  <c r="K618" i="1"/>
  <c r="L618" i="1" s="1"/>
  <c r="K619" i="1"/>
  <c r="L619" i="1" s="1"/>
  <c r="K620" i="1"/>
  <c r="K621" i="1"/>
  <c r="L621" i="1" s="1"/>
  <c r="K622" i="1"/>
  <c r="K623" i="1"/>
  <c r="L623" i="1" s="1"/>
  <c r="K624" i="1"/>
  <c r="K625" i="1"/>
  <c r="L625" i="1" s="1"/>
  <c r="K626" i="1"/>
  <c r="L626" i="1" s="1"/>
  <c r="K627" i="1"/>
  <c r="L627" i="1" s="1"/>
  <c r="K628" i="1"/>
  <c r="K629" i="1"/>
  <c r="K630" i="1"/>
  <c r="L630" i="1" s="1"/>
  <c r="K631" i="1"/>
  <c r="L631" i="1" s="1"/>
  <c r="K632" i="1"/>
  <c r="K633" i="1"/>
  <c r="L633" i="1" s="1"/>
  <c r="K634" i="1"/>
  <c r="L634" i="1" s="1"/>
  <c r="K635" i="1"/>
  <c r="L635" i="1" s="1"/>
  <c r="K636" i="1"/>
  <c r="K637" i="1"/>
  <c r="K638" i="1"/>
  <c r="K639" i="1"/>
  <c r="L639" i="1" s="1"/>
  <c r="K640" i="1"/>
  <c r="K641" i="1"/>
  <c r="L641" i="1" s="1"/>
  <c r="K642" i="1"/>
  <c r="L642" i="1" s="1"/>
  <c r="K643" i="1"/>
  <c r="L643" i="1" s="1"/>
  <c r="K644" i="1"/>
  <c r="K645" i="1"/>
  <c r="K646" i="1"/>
  <c r="L646" i="1" s="1"/>
  <c r="K647" i="1"/>
  <c r="L647" i="1" s="1"/>
  <c r="K648" i="1"/>
  <c r="K649" i="1"/>
  <c r="K650" i="1"/>
  <c r="K651" i="1"/>
  <c r="L651" i="1" s="1"/>
  <c r="K652" i="1"/>
  <c r="K653" i="1"/>
  <c r="L653" i="1" s="1"/>
  <c r="K654" i="1"/>
  <c r="L654" i="1" s="1"/>
  <c r="K655" i="1"/>
  <c r="L655" i="1" s="1"/>
  <c r="K656" i="1"/>
  <c r="K657" i="1"/>
  <c r="L657" i="1" s="1"/>
  <c r="K658" i="1"/>
  <c r="K659" i="1"/>
  <c r="L659" i="1" s="1"/>
  <c r="K660" i="1"/>
  <c r="K661" i="1"/>
  <c r="L661" i="1" s="1"/>
  <c r="K662" i="1"/>
  <c r="L662" i="1" s="1"/>
  <c r="K663" i="1"/>
  <c r="L663" i="1" s="1"/>
  <c r="K664" i="1"/>
  <c r="K665" i="1"/>
  <c r="K666" i="1"/>
  <c r="L666" i="1" s="1"/>
  <c r="K667" i="1"/>
  <c r="L667" i="1" s="1"/>
  <c r="K668" i="1"/>
  <c r="K669" i="1"/>
  <c r="L669" i="1" s="1"/>
  <c r="K670" i="1"/>
  <c r="L670" i="1" s="1"/>
  <c r="K671" i="1"/>
  <c r="L671" i="1" s="1"/>
  <c r="K672" i="1"/>
  <c r="K673" i="1"/>
  <c r="L673" i="1" s="1"/>
  <c r="K674" i="1"/>
  <c r="K675" i="1"/>
  <c r="L675" i="1" s="1"/>
  <c r="K676" i="1"/>
  <c r="K677" i="1"/>
  <c r="K678" i="1"/>
  <c r="L678" i="1" s="1"/>
  <c r="K679" i="1"/>
  <c r="L679" i="1" s="1"/>
  <c r="K680" i="1"/>
  <c r="K681" i="1"/>
  <c r="K682" i="1"/>
  <c r="L682" i="1" s="1"/>
  <c r="K683" i="1"/>
  <c r="L683" i="1" s="1"/>
  <c r="K684" i="1"/>
  <c r="K685" i="1"/>
  <c r="L685" i="1" s="1"/>
  <c r="K686" i="1"/>
  <c r="K687" i="1"/>
  <c r="K688" i="1"/>
  <c r="K689" i="1"/>
  <c r="L689" i="1" s="1"/>
  <c r="K690" i="1"/>
  <c r="L690" i="1" s="1"/>
  <c r="K691" i="1"/>
  <c r="L691" i="1" s="1"/>
  <c r="K692" i="1"/>
  <c r="K693" i="1"/>
  <c r="L693" i="1" s="1"/>
  <c r="K694" i="1"/>
  <c r="L694" i="1" s="1"/>
  <c r="K695" i="1"/>
  <c r="L695" i="1" s="1"/>
  <c r="K696" i="1"/>
  <c r="K697" i="1"/>
  <c r="L697" i="1" s="1"/>
  <c r="K698" i="1"/>
  <c r="K699" i="1"/>
  <c r="L699" i="1" s="1"/>
  <c r="K700" i="1"/>
  <c r="K701" i="1"/>
  <c r="L701" i="1" s="1"/>
  <c r="K702" i="1"/>
  <c r="K703" i="1"/>
  <c r="K704" i="1"/>
  <c r="K705" i="1"/>
  <c r="L705" i="1" s="1"/>
  <c r="K706" i="1"/>
  <c r="L706" i="1" s="1"/>
  <c r="K707" i="1"/>
  <c r="L707" i="1" s="1"/>
  <c r="K708" i="1"/>
  <c r="K709" i="1"/>
  <c r="L709" i="1" s="1"/>
  <c r="K710" i="1"/>
  <c r="L710" i="1" s="1"/>
  <c r="K711" i="1"/>
  <c r="L711" i="1" s="1"/>
  <c r="K712" i="1"/>
  <c r="K713" i="1"/>
  <c r="L713" i="1" s="1"/>
  <c r="K714" i="1"/>
  <c r="K715" i="1"/>
  <c r="L715" i="1" s="1"/>
  <c r="K716" i="1"/>
  <c r="K717" i="1"/>
  <c r="L717" i="1" s="1"/>
  <c r="K718" i="1"/>
  <c r="K719" i="1"/>
  <c r="K720" i="1"/>
  <c r="K721" i="1"/>
  <c r="L721" i="1" s="1"/>
  <c r="K722" i="1"/>
  <c r="L722" i="1" s="1"/>
  <c r="K723" i="1"/>
  <c r="L723" i="1" s="1"/>
  <c r="K724" i="1"/>
  <c r="K725" i="1"/>
  <c r="L725" i="1" s="1"/>
  <c r="K726" i="1"/>
  <c r="L726" i="1" s="1"/>
  <c r="K727" i="1"/>
  <c r="L727" i="1" s="1"/>
  <c r="K728" i="1"/>
  <c r="K729" i="1"/>
  <c r="L729" i="1" s="1"/>
  <c r="K730" i="1"/>
  <c r="K731" i="1"/>
  <c r="L731" i="1" s="1"/>
  <c r="K732" i="1"/>
  <c r="K733" i="1"/>
  <c r="L733" i="1" s="1"/>
  <c r="K734" i="1"/>
  <c r="K735" i="1"/>
  <c r="K736" i="1"/>
  <c r="K737" i="1"/>
  <c r="L737" i="1" s="1"/>
  <c r="K738" i="1"/>
  <c r="L738" i="1" s="1"/>
  <c r="K739" i="1"/>
  <c r="L739" i="1" s="1"/>
  <c r="K740" i="1"/>
  <c r="K741" i="1"/>
  <c r="L741" i="1" s="1"/>
  <c r="K742" i="1"/>
  <c r="L742" i="1" s="1"/>
  <c r="K743" i="1"/>
  <c r="L743" i="1" s="1"/>
  <c r="K744" i="1"/>
  <c r="K745" i="1"/>
  <c r="L745" i="1" s="1"/>
  <c r="K746" i="1"/>
  <c r="K747" i="1"/>
  <c r="L747" i="1" s="1"/>
  <c r="K748" i="1"/>
  <c r="K749" i="1"/>
  <c r="L749" i="1" s="1"/>
  <c r="K750" i="1"/>
  <c r="K751" i="1"/>
  <c r="K752" i="1"/>
  <c r="K753" i="1"/>
  <c r="L753" i="1" s="1"/>
  <c r="K754" i="1"/>
  <c r="L754" i="1" s="1"/>
  <c r="K755" i="1"/>
  <c r="L755" i="1" s="1"/>
  <c r="K756" i="1"/>
  <c r="K757" i="1"/>
  <c r="L757" i="1" s="1"/>
  <c r="K758" i="1"/>
  <c r="L758" i="1" s="1"/>
  <c r="K759" i="1"/>
  <c r="L759" i="1" s="1"/>
  <c r="K760" i="1"/>
  <c r="K761" i="1"/>
  <c r="L761" i="1" s="1"/>
  <c r="K762" i="1"/>
  <c r="K763" i="1"/>
  <c r="L763" i="1" s="1"/>
  <c r="K764" i="1"/>
  <c r="K765" i="1"/>
  <c r="L765" i="1" s="1"/>
  <c r="K766" i="1"/>
  <c r="K767" i="1"/>
  <c r="K768" i="1"/>
  <c r="K769" i="1"/>
  <c r="L769" i="1" s="1"/>
  <c r="K770" i="1"/>
  <c r="L770" i="1" s="1"/>
  <c r="K771" i="1"/>
  <c r="L771" i="1" s="1"/>
  <c r="K772" i="1"/>
  <c r="K773" i="1"/>
  <c r="L773" i="1" s="1"/>
  <c r="K774" i="1"/>
  <c r="L774" i="1" s="1"/>
  <c r="K775" i="1"/>
  <c r="L775" i="1" s="1"/>
  <c r="K776" i="1"/>
  <c r="K777" i="1"/>
  <c r="L777" i="1" s="1"/>
  <c r="K778" i="1"/>
  <c r="K779" i="1"/>
  <c r="L779" i="1" s="1"/>
  <c r="K780" i="1"/>
  <c r="K781" i="1"/>
  <c r="L781" i="1" s="1"/>
  <c r="K782" i="1"/>
  <c r="K783" i="1"/>
  <c r="K784" i="1"/>
  <c r="K785" i="1"/>
  <c r="L785" i="1" s="1"/>
  <c r="K786" i="1"/>
  <c r="L786" i="1" s="1"/>
  <c r="K787" i="1"/>
  <c r="L787" i="1" s="1"/>
  <c r="K788" i="1"/>
  <c r="K789" i="1"/>
  <c r="L789" i="1" s="1"/>
  <c r="K790" i="1"/>
  <c r="L790" i="1" s="1"/>
  <c r="K791" i="1"/>
  <c r="L791" i="1" s="1"/>
  <c r="K792" i="1"/>
  <c r="K793" i="1"/>
  <c r="L793" i="1" s="1"/>
  <c r="K794" i="1"/>
  <c r="K795" i="1"/>
  <c r="L795" i="1" s="1"/>
  <c r="K796" i="1"/>
  <c r="K797" i="1"/>
  <c r="L797" i="1" s="1"/>
  <c r="K798" i="1"/>
  <c r="K799" i="1"/>
  <c r="K800" i="1"/>
  <c r="K801" i="1"/>
  <c r="L801" i="1" s="1"/>
  <c r="K802" i="1"/>
  <c r="L802" i="1" s="1"/>
  <c r="K803" i="1"/>
  <c r="L803" i="1" s="1"/>
  <c r="K804" i="1"/>
  <c r="K805" i="1"/>
  <c r="L805" i="1" s="1"/>
  <c r="K806" i="1"/>
  <c r="L806" i="1" s="1"/>
  <c r="K807" i="1"/>
  <c r="L807" i="1" s="1"/>
  <c r="K808" i="1"/>
  <c r="K809" i="1"/>
  <c r="L809" i="1" s="1"/>
  <c r="K810" i="1"/>
  <c r="K811" i="1"/>
  <c r="L811" i="1" s="1"/>
  <c r="K812" i="1"/>
  <c r="K813" i="1"/>
  <c r="L813" i="1" s="1"/>
  <c r="K814" i="1"/>
  <c r="K815" i="1"/>
  <c r="K816" i="1"/>
  <c r="K817" i="1"/>
  <c r="L817" i="1" s="1"/>
  <c r="K818" i="1"/>
  <c r="L818" i="1" s="1"/>
  <c r="K819" i="1"/>
  <c r="L819" i="1" s="1"/>
  <c r="K820" i="1"/>
  <c r="K821" i="1"/>
  <c r="L821" i="1" s="1"/>
  <c r="K822" i="1"/>
  <c r="L822" i="1" s="1"/>
  <c r="K823" i="1"/>
  <c r="L823" i="1" s="1"/>
  <c r="K824" i="1"/>
  <c r="K825" i="1"/>
  <c r="L825" i="1" s="1"/>
  <c r="K826" i="1"/>
  <c r="K827" i="1"/>
  <c r="L827" i="1" s="1"/>
  <c r="K828" i="1"/>
  <c r="K829" i="1"/>
  <c r="L829" i="1" s="1"/>
  <c r="K830" i="1"/>
  <c r="K831" i="1"/>
  <c r="K832" i="1"/>
  <c r="K833" i="1"/>
  <c r="L833" i="1" s="1"/>
  <c r="K834" i="1"/>
  <c r="L834" i="1" s="1"/>
  <c r="K835" i="1"/>
  <c r="L835" i="1" s="1"/>
  <c r="K836" i="1"/>
  <c r="K837" i="1"/>
  <c r="L837" i="1" s="1"/>
  <c r="K838" i="1"/>
  <c r="L838" i="1" s="1"/>
  <c r="K839" i="1"/>
  <c r="L839" i="1" s="1"/>
  <c r="K840" i="1"/>
  <c r="K841" i="1"/>
  <c r="L841" i="1" s="1"/>
  <c r="K842" i="1"/>
  <c r="K843" i="1"/>
  <c r="L843" i="1" s="1"/>
  <c r="K844" i="1"/>
  <c r="K845" i="1"/>
  <c r="L845" i="1" s="1"/>
  <c r="K846" i="1"/>
  <c r="K847" i="1"/>
  <c r="K848" i="1"/>
  <c r="K849" i="1"/>
  <c r="L849" i="1" s="1"/>
  <c r="K850" i="1"/>
  <c r="L850" i="1" s="1"/>
  <c r="K851" i="1"/>
  <c r="L851" i="1" s="1"/>
  <c r="K852" i="1"/>
  <c r="K853" i="1"/>
  <c r="L853" i="1" s="1"/>
  <c r="K854" i="1"/>
  <c r="L854" i="1" s="1"/>
  <c r="K855" i="1"/>
  <c r="L855" i="1" s="1"/>
  <c r="K856" i="1"/>
  <c r="K857" i="1"/>
  <c r="L857" i="1" s="1"/>
  <c r="K858" i="1"/>
  <c r="K859" i="1"/>
  <c r="L859" i="1" s="1"/>
  <c r="K860" i="1"/>
  <c r="K861" i="1"/>
  <c r="L861" i="1" s="1"/>
  <c r="K862" i="1"/>
  <c r="K863" i="1"/>
  <c r="K864" i="1"/>
  <c r="K865" i="1"/>
  <c r="L865" i="1" s="1"/>
  <c r="K866" i="1"/>
  <c r="L866" i="1" s="1"/>
  <c r="K867" i="1"/>
  <c r="L867" i="1" s="1"/>
  <c r="K868" i="1"/>
  <c r="K869" i="1"/>
  <c r="L869" i="1" s="1"/>
  <c r="K870" i="1"/>
  <c r="L870" i="1" s="1"/>
  <c r="K871" i="1"/>
  <c r="L871" i="1" s="1"/>
  <c r="K872" i="1"/>
  <c r="K873" i="1"/>
  <c r="L873" i="1" s="1"/>
  <c r="K874" i="1"/>
  <c r="K875" i="1"/>
  <c r="L875" i="1" s="1"/>
  <c r="K876" i="1"/>
  <c r="K877" i="1"/>
  <c r="L877" i="1" s="1"/>
  <c r="K878" i="1"/>
  <c r="K879" i="1"/>
  <c r="K880" i="1"/>
  <c r="K881" i="1"/>
  <c r="L881" i="1" s="1"/>
  <c r="K882" i="1"/>
  <c r="L882" i="1" s="1"/>
  <c r="K883" i="1"/>
  <c r="L883" i="1" s="1"/>
  <c r="K884" i="1"/>
  <c r="K885" i="1"/>
  <c r="L885" i="1" s="1"/>
  <c r="K886" i="1"/>
  <c r="L886" i="1" s="1"/>
  <c r="K887" i="1"/>
  <c r="L887" i="1" s="1"/>
  <c r="K888" i="1"/>
  <c r="K889" i="1"/>
  <c r="L889" i="1" s="1"/>
  <c r="K890" i="1"/>
  <c r="K891" i="1"/>
  <c r="L891" i="1" s="1"/>
  <c r="K892" i="1"/>
  <c r="K893" i="1"/>
  <c r="L893" i="1" s="1"/>
  <c r="K894" i="1"/>
  <c r="K895" i="1"/>
  <c r="K896" i="1"/>
  <c r="K897" i="1"/>
  <c r="L897" i="1" s="1"/>
  <c r="K898" i="1"/>
  <c r="L898" i="1" s="1"/>
  <c r="K899" i="1"/>
  <c r="L899" i="1" s="1"/>
  <c r="K900" i="1"/>
  <c r="K901" i="1"/>
  <c r="L901" i="1" s="1"/>
  <c r="K902" i="1"/>
  <c r="L902" i="1" s="1"/>
  <c r="K903" i="1"/>
  <c r="L903" i="1" s="1"/>
  <c r="K904" i="1"/>
  <c r="K905" i="1"/>
  <c r="L905" i="1" s="1"/>
  <c r="K906" i="1"/>
  <c r="K907" i="1"/>
  <c r="L907" i="1" s="1"/>
  <c r="K908" i="1"/>
  <c r="K909" i="1"/>
  <c r="L909" i="1" s="1"/>
  <c r="K910" i="1"/>
  <c r="K911" i="1"/>
  <c r="K912" i="1"/>
  <c r="K913" i="1"/>
  <c r="L913" i="1" s="1"/>
  <c r="K914" i="1"/>
  <c r="L914" i="1" s="1"/>
  <c r="K915" i="1"/>
  <c r="L915" i="1" s="1"/>
  <c r="K916" i="1"/>
  <c r="K917" i="1"/>
  <c r="L917" i="1" s="1"/>
  <c r="K918" i="1"/>
  <c r="L918" i="1" s="1"/>
  <c r="K919" i="1"/>
  <c r="L919" i="1" s="1"/>
  <c r="K920" i="1"/>
  <c r="K921" i="1"/>
  <c r="L921" i="1" s="1"/>
  <c r="K922" i="1"/>
  <c r="K923" i="1"/>
  <c r="L923" i="1" s="1"/>
  <c r="K924" i="1"/>
  <c r="K925" i="1"/>
  <c r="L925" i="1" s="1"/>
  <c r="K926" i="1"/>
  <c r="K927" i="1"/>
  <c r="K928" i="1"/>
  <c r="K929" i="1"/>
  <c r="L929" i="1" s="1"/>
  <c r="K930" i="1"/>
  <c r="L930" i="1" s="1"/>
  <c r="K931" i="1"/>
  <c r="L931" i="1" s="1"/>
  <c r="K932" i="1"/>
  <c r="K933" i="1"/>
  <c r="L933" i="1" s="1"/>
  <c r="K934" i="1"/>
  <c r="L934" i="1" s="1"/>
  <c r="K935" i="1"/>
  <c r="L935" i="1" s="1"/>
  <c r="K936" i="1"/>
  <c r="K937" i="1"/>
  <c r="L937" i="1" s="1"/>
  <c r="K938" i="1"/>
  <c r="K939" i="1"/>
  <c r="L939" i="1" s="1"/>
  <c r="K940" i="1"/>
  <c r="K941" i="1"/>
  <c r="L941" i="1" s="1"/>
  <c r="K942" i="1"/>
  <c r="K943" i="1"/>
  <c r="K944" i="1"/>
  <c r="K945" i="1"/>
  <c r="L945" i="1" s="1"/>
  <c r="K946" i="1"/>
  <c r="L946" i="1" s="1"/>
  <c r="K947" i="1"/>
  <c r="L947" i="1" s="1"/>
  <c r="K948" i="1"/>
  <c r="K949" i="1"/>
  <c r="L949" i="1" s="1"/>
  <c r="K950" i="1"/>
  <c r="L950" i="1" s="1"/>
  <c r="K951" i="1"/>
  <c r="L951" i="1" s="1"/>
  <c r="K952" i="1"/>
  <c r="K953" i="1"/>
  <c r="L953" i="1" s="1"/>
  <c r="K954" i="1"/>
  <c r="K955" i="1"/>
  <c r="L955" i="1" s="1"/>
  <c r="K956" i="1"/>
  <c r="K957" i="1"/>
  <c r="L957" i="1" s="1"/>
  <c r="K958" i="1"/>
  <c r="K959" i="1"/>
  <c r="K960" i="1"/>
  <c r="K961" i="1"/>
  <c r="L961" i="1" s="1"/>
  <c r="K962" i="1"/>
  <c r="L962" i="1" s="1"/>
  <c r="K963" i="1"/>
  <c r="L963" i="1" s="1"/>
  <c r="K964" i="1"/>
  <c r="K965" i="1"/>
  <c r="L965" i="1" s="1"/>
  <c r="K966" i="1"/>
  <c r="L966" i="1" s="1"/>
  <c r="K967" i="1"/>
  <c r="L967" i="1" s="1"/>
  <c r="K968" i="1"/>
  <c r="K969" i="1"/>
  <c r="L969" i="1" s="1"/>
  <c r="K970" i="1"/>
  <c r="K971" i="1"/>
  <c r="L971" i="1" s="1"/>
  <c r="K972" i="1"/>
  <c r="K973" i="1"/>
  <c r="L973" i="1" s="1"/>
  <c r="K974" i="1"/>
  <c r="K975" i="1"/>
  <c r="K976" i="1"/>
  <c r="K977" i="1"/>
  <c r="L977" i="1" s="1"/>
  <c r="K978" i="1"/>
  <c r="L978" i="1" s="1"/>
  <c r="K979" i="1"/>
  <c r="L979" i="1" s="1"/>
  <c r="K980" i="1"/>
  <c r="K981" i="1"/>
  <c r="L981" i="1" s="1"/>
  <c r="K982" i="1"/>
  <c r="L982" i="1" s="1"/>
  <c r="K983" i="1"/>
  <c r="L983" i="1" s="1"/>
  <c r="K984" i="1"/>
  <c r="K985" i="1"/>
  <c r="L985" i="1" s="1"/>
  <c r="K986" i="1"/>
  <c r="K987" i="1"/>
  <c r="L987" i="1" s="1"/>
  <c r="K988" i="1"/>
  <c r="K989" i="1"/>
  <c r="L989" i="1" s="1"/>
  <c r="K990" i="1"/>
  <c r="K991" i="1"/>
  <c r="K992" i="1"/>
  <c r="K993" i="1"/>
  <c r="L993" i="1" s="1"/>
  <c r="K994" i="1"/>
  <c r="L994" i="1" s="1"/>
  <c r="K995" i="1"/>
  <c r="L995" i="1" s="1"/>
  <c r="K996" i="1"/>
  <c r="K997" i="1"/>
  <c r="L997" i="1" s="1"/>
  <c r="K998" i="1"/>
  <c r="L998" i="1" s="1"/>
  <c r="K999" i="1"/>
  <c r="L999" i="1" s="1"/>
  <c r="K1000" i="1"/>
  <c r="K1001" i="1"/>
  <c r="L1001" i="1" s="1"/>
  <c r="K1002" i="1"/>
  <c r="K1003" i="1"/>
  <c r="L1003" i="1" s="1"/>
  <c r="K1004" i="1"/>
  <c r="K1005" i="1"/>
  <c r="L1005" i="1" s="1"/>
  <c r="K1006" i="1"/>
  <c r="K1007" i="1"/>
  <c r="K1008" i="1"/>
  <c r="K1009" i="1"/>
  <c r="L1009" i="1" s="1"/>
  <c r="K1010" i="1"/>
  <c r="L1010" i="1" s="1"/>
  <c r="K1011" i="1"/>
  <c r="L1011" i="1" s="1"/>
  <c r="K1012" i="1"/>
  <c r="K1013" i="1"/>
  <c r="L1013" i="1" s="1"/>
  <c r="K1014" i="1"/>
  <c r="L1014" i="1" s="1"/>
  <c r="K1015" i="1"/>
  <c r="L1015" i="1" s="1"/>
  <c r="K1016" i="1"/>
  <c r="K1017" i="1"/>
  <c r="L1017" i="1" s="1"/>
  <c r="K1018" i="1"/>
  <c r="K1019" i="1"/>
  <c r="L1019" i="1" s="1"/>
  <c r="K1020" i="1"/>
  <c r="K1021" i="1"/>
  <c r="L1021" i="1" s="1"/>
  <c r="K1022" i="1"/>
  <c r="K1023" i="1"/>
  <c r="K1024" i="1"/>
  <c r="K1025" i="1"/>
  <c r="L1025" i="1" s="1"/>
  <c r="K1026" i="1"/>
  <c r="L1026" i="1" s="1"/>
  <c r="K1027" i="1"/>
  <c r="L1027" i="1" s="1"/>
  <c r="K1028" i="1"/>
  <c r="K1029" i="1"/>
  <c r="L1029" i="1" s="1"/>
  <c r="K1030" i="1"/>
  <c r="L1030" i="1" s="1"/>
  <c r="K1031" i="1"/>
  <c r="L1031" i="1" s="1"/>
  <c r="K1032" i="1"/>
  <c r="K1033" i="1"/>
  <c r="L1033" i="1" s="1"/>
  <c r="K1034" i="1"/>
  <c r="K1035" i="1"/>
  <c r="L1035" i="1" s="1"/>
  <c r="K1036" i="1"/>
  <c r="K1037" i="1"/>
  <c r="L1037" i="1" s="1"/>
  <c r="K1038" i="1"/>
  <c r="K1039" i="1"/>
  <c r="K1040" i="1"/>
  <c r="K1041" i="1"/>
  <c r="L1041" i="1" s="1"/>
  <c r="K1042" i="1"/>
  <c r="L1042" i="1" s="1"/>
  <c r="K1043" i="1"/>
  <c r="L1043" i="1" s="1"/>
  <c r="K1044" i="1"/>
  <c r="K1045" i="1"/>
  <c r="L1045" i="1" s="1"/>
  <c r="K1046" i="1"/>
  <c r="L1046" i="1" s="1"/>
  <c r="K1047" i="1"/>
  <c r="L1047" i="1" s="1"/>
  <c r="K1048" i="1"/>
  <c r="K1049" i="1"/>
  <c r="L1049" i="1" s="1"/>
  <c r="K1050" i="1"/>
  <c r="K1051" i="1"/>
  <c r="L1051" i="1" s="1"/>
  <c r="K1052" i="1"/>
  <c r="K1053" i="1"/>
  <c r="L1053" i="1" s="1"/>
  <c r="K1054" i="1"/>
  <c r="K1055" i="1"/>
  <c r="K1056" i="1"/>
  <c r="K1057" i="1"/>
  <c r="L1057" i="1" s="1"/>
  <c r="K1058" i="1"/>
  <c r="L1058" i="1" s="1"/>
  <c r="K1059" i="1"/>
  <c r="L1059" i="1" s="1"/>
  <c r="K1060" i="1"/>
  <c r="K1061" i="1"/>
  <c r="L1061" i="1" s="1"/>
  <c r="K1062" i="1"/>
  <c r="L1062" i="1" s="1"/>
  <c r="K1063" i="1"/>
  <c r="L1063" i="1" s="1"/>
  <c r="K1064" i="1"/>
  <c r="K1065" i="1"/>
  <c r="L1065" i="1" s="1"/>
  <c r="K1066" i="1"/>
  <c r="K1067" i="1"/>
  <c r="L1067" i="1" s="1"/>
  <c r="K1068" i="1"/>
  <c r="K1069" i="1"/>
  <c r="L1069" i="1" s="1"/>
  <c r="K1070" i="1"/>
  <c r="K1071" i="1"/>
  <c r="K1072" i="1"/>
  <c r="K1073" i="1"/>
  <c r="L1073" i="1" s="1"/>
  <c r="K1074" i="1"/>
  <c r="L1074" i="1" s="1"/>
  <c r="K1075" i="1"/>
  <c r="L1075" i="1" s="1"/>
  <c r="K1076" i="1"/>
  <c r="K1077" i="1"/>
  <c r="L1077" i="1" s="1"/>
  <c r="K1078" i="1"/>
  <c r="L1078" i="1" s="1"/>
  <c r="K1079" i="1"/>
  <c r="L1079" i="1" s="1"/>
  <c r="K1080" i="1"/>
  <c r="K1081" i="1"/>
  <c r="L1081" i="1" s="1"/>
  <c r="K1082" i="1"/>
  <c r="K1083" i="1"/>
  <c r="L1083" i="1" s="1"/>
  <c r="K1084" i="1"/>
  <c r="K1085" i="1"/>
  <c r="L1085" i="1" s="1"/>
  <c r="K1086" i="1"/>
  <c r="K1087" i="1"/>
  <c r="K1088" i="1"/>
  <c r="K1089" i="1"/>
  <c r="L1089" i="1" s="1"/>
  <c r="K1090" i="1"/>
  <c r="L1090" i="1" s="1"/>
  <c r="K1091" i="1"/>
  <c r="L1091" i="1" s="1"/>
  <c r="K1092" i="1"/>
  <c r="K1093" i="1"/>
  <c r="L1093" i="1" s="1"/>
  <c r="K1094" i="1"/>
  <c r="L1094" i="1" s="1"/>
  <c r="K1095" i="1"/>
  <c r="L1095" i="1" s="1"/>
  <c r="K1096" i="1"/>
  <c r="K1097" i="1"/>
  <c r="L1097" i="1" s="1"/>
  <c r="K1098" i="1"/>
  <c r="K1099" i="1"/>
  <c r="L1099" i="1" s="1"/>
  <c r="K1100" i="1"/>
  <c r="K1101" i="1"/>
  <c r="L1101" i="1" s="1"/>
  <c r="K1102" i="1"/>
  <c r="K1103" i="1"/>
  <c r="K1104" i="1"/>
  <c r="K1105" i="1"/>
  <c r="L1105" i="1" s="1"/>
  <c r="K1106" i="1"/>
  <c r="L1106" i="1" s="1"/>
  <c r="K1107" i="1"/>
  <c r="L1107" i="1" s="1"/>
  <c r="K1108" i="1"/>
  <c r="K1109" i="1"/>
  <c r="L1109" i="1" s="1"/>
  <c r="K1110" i="1"/>
  <c r="L1110" i="1" s="1"/>
  <c r="K1111" i="1"/>
  <c r="L1111" i="1" s="1"/>
  <c r="K1112" i="1"/>
  <c r="K1113" i="1"/>
  <c r="L1113" i="1" s="1"/>
  <c r="K1114" i="1"/>
  <c r="K1115" i="1"/>
  <c r="L1115" i="1" s="1"/>
  <c r="K1116" i="1"/>
  <c r="K1117" i="1"/>
  <c r="L1117" i="1" s="1"/>
  <c r="K1118" i="1"/>
  <c r="K1119" i="1"/>
  <c r="K1120" i="1"/>
  <c r="K1121" i="1"/>
  <c r="L1121" i="1" s="1"/>
  <c r="K1122" i="1"/>
  <c r="L1122" i="1" s="1"/>
  <c r="K1123" i="1"/>
  <c r="L1123" i="1" s="1"/>
  <c r="K1124" i="1"/>
  <c r="K1125" i="1"/>
  <c r="L1125" i="1" s="1"/>
  <c r="K1126" i="1"/>
  <c r="L1126" i="1" s="1"/>
  <c r="K1127" i="1"/>
  <c r="L1127" i="1" s="1"/>
  <c r="K1128" i="1"/>
  <c r="K1129" i="1"/>
  <c r="L1129" i="1" s="1"/>
  <c r="K1130" i="1"/>
  <c r="K1131" i="1"/>
  <c r="L1131" i="1" s="1"/>
  <c r="K1132" i="1"/>
  <c r="K1133" i="1"/>
  <c r="L1133" i="1" s="1"/>
  <c r="K1134" i="1"/>
  <c r="K1135" i="1"/>
  <c r="K1136" i="1"/>
  <c r="K1137" i="1"/>
  <c r="L1137" i="1" s="1"/>
  <c r="K1138" i="1"/>
  <c r="L1138" i="1" s="1"/>
  <c r="K1139" i="1"/>
  <c r="L1139" i="1" s="1"/>
  <c r="K1140" i="1"/>
  <c r="K1141" i="1"/>
  <c r="L1141" i="1" s="1"/>
  <c r="K1142" i="1"/>
  <c r="L1142" i="1" s="1"/>
  <c r="K1143" i="1"/>
  <c r="L1143" i="1" s="1"/>
  <c r="K1144" i="1"/>
  <c r="K1145" i="1"/>
  <c r="L1145" i="1" s="1"/>
  <c r="K1146" i="1"/>
  <c r="K1147" i="1"/>
  <c r="L1147" i="1" s="1"/>
  <c r="K1148" i="1"/>
  <c r="K1149" i="1"/>
  <c r="L1149" i="1" s="1"/>
  <c r="K1150" i="1"/>
  <c r="K1151" i="1"/>
  <c r="K1152" i="1"/>
  <c r="K1153" i="1"/>
  <c r="L1153" i="1" s="1"/>
  <c r="K1154" i="1"/>
  <c r="L1154" i="1" s="1"/>
  <c r="K1155" i="1"/>
  <c r="L1155" i="1" s="1"/>
  <c r="K1156" i="1"/>
  <c r="K1157" i="1"/>
  <c r="L1157" i="1" s="1"/>
  <c r="K1158" i="1"/>
  <c r="L1158" i="1" s="1"/>
  <c r="K1159" i="1"/>
  <c r="L1159" i="1" s="1"/>
  <c r="K1160" i="1"/>
  <c r="K1161" i="1"/>
  <c r="L1161" i="1" s="1"/>
  <c r="K1162" i="1"/>
  <c r="K1163" i="1"/>
  <c r="L1163" i="1" s="1"/>
  <c r="K1164" i="1"/>
  <c r="K1165" i="1"/>
  <c r="L1165" i="1" s="1"/>
  <c r="K1166" i="1"/>
  <c r="K1167" i="1"/>
  <c r="K1168" i="1"/>
  <c r="K1169" i="1"/>
  <c r="L1169" i="1" s="1"/>
  <c r="K1170" i="1"/>
  <c r="L1170" i="1" s="1"/>
  <c r="K1171" i="1"/>
  <c r="L1171" i="1" s="1"/>
  <c r="K1172" i="1"/>
  <c r="K1173" i="1"/>
  <c r="L1173" i="1" s="1"/>
  <c r="K1174" i="1"/>
  <c r="L1174" i="1" s="1"/>
  <c r="K1175" i="1"/>
  <c r="L1175" i="1" s="1"/>
  <c r="K1176" i="1"/>
  <c r="K1177" i="1"/>
  <c r="L1177" i="1" s="1"/>
  <c r="K1178" i="1"/>
  <c r="K1179" i="1"/>
  <c r="L1179" i="1" s="1"/>
  <c r="K1180" i="1"/>
  <c r="K1181" i="1"/>
  <c r="L1181" i="1" s="1"/>
  <c r="K1182" i="1"/>
  <c r="K1183" i="1"/>
  <c r="K1184" i="1"/>
  <c r="K1185" i="1"/>
  <c r="L1185" i="1" s="1"/>
  <c r="K1186" i="1"/>
  <c r="L1186" i="1" s="1"/>
  <c r="K1187" i="1"/>
  <c r="L1187" i="1" s="1"/>
  <c r="K1188" i="1"/>
  <c r="K1189" i="1"/>
  <c r="L1189" i="1" s="1"/>
  <c r="K1190" i="1"/>
  <c r="L1190" i="1" s="1"/>
  <c r="K1191" i="1"/>
  <c r="L1191" i="1" s="1"/>
  <c r="K1192" i="1"/>
  <c r="K1193" i="1"/>
  <c r="L1193" i="1" s="1"/>
  <c r="K1194" i="1"/>
  <c r="K1195" i="1"/>
  <c r="L1195" i="1" s="1"/>
  <c r="K1196" i="1"/>
  <c r="K1197" i="1"/>
  <c r="K1198" i="1"/>
  <c r="K1199" i="1"/>
  <c r="L1199" i="1" s="1"/>
  <c r="K1200" i="1"/>
  <c r="K1201" i="1"/>
  <c r="K1202" i="1"/>
  <c r="K1203" i="1"/>
  <c r="L1203" i="1" s="1"/>
  <c r="K1204" i="1"/>
  <c r="K1205" i="1"/>
  <c r="K1206" i="1"/>
  <c r="K1207" i="1"/>
  <c r="L1207" i="1" s="1"/>
  <c r="K1208" i="1"/>
  <c r="K1209" i="1"/>
  <c r="K1210" i="1"/>
  <c r="K1211" i="1"/>
  <c r="L1211" i="1" s="1"/>
  <c r="K1212" i="1"/>
  <c r="K1213" i="1"/>
  <c r="K1214" i="1"/>
  <c r="K1215" i="1"/>
  <c r="L1215" i="1" s="1"/>
  <c r="K1216" i="1"/>
  <c r="K1217" i="1"/>
  <c r="K1218" i="1"/>
  <c r="K1219" i="1"/>
  <c r="L1219" i="1" s="1"/>
  <c r="K1220" i="1"/>
  <c r="K1221" i="1"/>
  <c r="K1222" i="1"/>
  <c r="K1223" i="1"/>
  <c r="L1223" i="1" s="1"/>
  <c r="K1224" i="1"/>
  <c r="K1225" i="1"/>
  <c r="K1226" i="1"/>
  <c r="K1227" i="1"/>
  <c r="L1227" i="1" s="1"/>
  <c r="K1228" i="1"/>
  <c r="K1229" i="1"/>
  <c r="K1230" i="1"/>
  <c r="K1231" i="1"/>
  <c r="L1231" i="1" s="1"/>
  <c r="K1232" i="1"/>
  <c r="K1233" i="1"/>
  <c r="K1234" i="1"/>
  <c r="K1235" i="1"/>
  <c r="L1235" i="1" s="1"/>
  <c r="K1236" i="1"/>
  <c r="K1237" i="1"/>
  <c r="K1238" i="1"/>
  <c r="K1239" i="1"/>
  <c r="L1239" i="1" s="1"/>
  <c r="K1240" i="1"/>
  <c r="K3" i="1"/>
  <c r="D5" i="8"/>
  <c r="D6" i="8"/>
  <c r="D7" i="8"/>
  <c r="D8" i="8"/>
  <c r="D4" i="8"/>
  <c r="N3" i="1"/>
  <c r="O3" i="1" s="1"/>
  <c r="N2" i="1"/>
  <c r="O2" i="1" s="1"/>
  <c r="L3" i="1"/>
  <c r="L4" i="1"/>
  <c r="L5" i="1"/>
  <c r="L8" i="1"/>
  <c r="L9" i="1"/>
  <c r="L10" i="1"/>
  <c r="L12" i="1"/>
  <c r="L16" i="1"/>
  <c r="L18" i="1"/>
  <c r="L20" i="1"/>
  <c r="L21" i="1"/>
  <c r="L24" i="1"/>
  <c r="L25" i="1"/>
  <c r="L28" i="1"/>
  <c r="L29" i="1"/>
  <c r="L30" i="1"/>
  <c r="L32" i="1"/>
  <c r="L34" i="1"/>
  <c r="L36" i="1"/>
  <c r="L37" i="1"/>
  <c r="L40" i="1"/>
  <c r="L41" i="1"/>
  <c r="L44" i="1"/>
  <c r="L46" i="1"/>
  <c r="L48" i="1"/>
  <c r="L52" i="1"/>
  <c r="L53" i="1"/>
  <c r="L56" i="1"/>
  <c r="L57" i="1"/>
  <c r="L60" i="1"/>
  <c r="L61" i="1"/>
  <c r="L62" i="1"/>
  <c r="L64" i="1"/>
  <c r="L66" i="1"/>
  <c r="L68" i="1"/>
  <c r="L69" i="1"/>
  <c r="L72" i="1"/>
  <c r="L73" i="1"/>
  <c r="L74" i="1"/>
  <c r="L76" i="1"/>
  <c r="L80" i="1"/>
  <c r="L82" i="1"/>
  <c r="L84" i="1"/>
  <c r="L85" i="1"/>
  <c r="L88" i="1"/>
  <c r="L89" i="1"/>
  <c r="L92" i="1"/>
  <c r="L93" i="1"/>
  <c r="L94" i="1"/>
  <c r="L96" i="1"/>
  <c r="L98" i="1"/>
  <c r="L100" i="1"/>
  <c r="L101" i="1"/>
  <c r="L104" i="1"/>
  <c r="L105" i="1"/>
  <c r="L108" i="1"/>
  <c r="L110" i="1"/>
  <c r="L112" i="1"/>
  <c r="L116" i="1"/>
  <c r="L117" i="1"/>
  <c r="L120" i="1"/>
  <c r="L121" i="1"/>
  <c r="L124" i="1"/>
  <c r="L125" i="1"/>
  <c r="L126" i="1"/>
  <c r="L128" i="1"/>
  <c r="L132" i="1"/>
  <c r="L133" i="1"/>
  <c r="L136" i="1"/>
  <c r="L137" i="1"/>
  <c r="L138" i="1"/>
  <c r="L140" i="1"/>
  <c r="L144" i="1"/>
  <c r="L146" i="1"/>
  <c r="L148" i="1"/>
  <c r="L149" i="1"/>
  <c r="L152" i="1"/>
  <c r="L153" i="1"/>
  <c r="L156" i="1"/>
  <c r="L157" i="1"/>
  <c r="L160" i="1"/>
  <c r="L162" i="1"/>
  <c r="L164" i="1"/>
  <c r="L165" i="1"/>
  <c r="L168" i="1"/>
  <c r="L169" i="1"/>
  <c r="L172" i="1"/>
  <c r="L174" i="1"/>
  <c r="L176" i="1"/>
  <c r="L180" i="1"/>
  <c r="L181" i="1"/>
  <c r="L184" i="1"/>
  <c r="L185" i="1"/>
  <c r="L188" i="1"/>
  <c r="L189" i="1"/>
  <c r="L190" i="1"/>
  <c r="L192" i="1"/>
  <c r="L196" i="1"/>
  <c r="L197" i="1"/>
  <c r="L200" i="1"/>
  <c r="L201" i="1"/>
  <c r="L202" i="1"/>
  <c r="L204" i="1"/>
  <c r="L208" i="1"/>
  <c r="L210" i="1"/>
  <c r="L212" i="1"/>
  <c r="L213" i="1"/>
  <c r="L216" i="1"/>
  <c r="L217" i="1"/>
  <c r="L220" i="1"/>
  <c r="L221" i="1"/>
  <c r="L224" i="1"/>
  <c r="L226" i="1"/>
  <c r="L228" i="1"/>
  <c r="L229" i="1"/>
  <c r="L232" i="1"/>
  <c r="L233" i="1"/>
  <c r="L236" i="1"/>
  <c r="L238" i="1"/>
  <c r="L240" i="1"/>
  <c r="L244" i="1"/>
  <c r="L245" i="1"/>
  <c r="L248" i="1"/>
  <c r="L249" i="1"/>
  <c r="L252" i="1"/>
  <c r="L253" i="1"/>
  <c r="L254" i="1"/>
  <c r="L256" i="1"/>
  <c r="L260" i="1"/>
  <c r="L261" i="1"/>
  <c r="L264" i="1"/>
  <c r="L265" i="1"/>
  <c r="L266" i="1"/>
  <c r="L268" i="1"/>
  <c r="L272" i="1"/>
  <c r="L274" i="1"/>
  <c r="L276" i="1"/>
  <c r="L277" i="1"/>
  <c r="L280" i="1"/>
  <c r="L281" i="1"/>
  <c r="L284" i="1"/>
  <c r="L285" i="1"/>
  <c r="L288" i="1"/>
  <c r="L290" i="1"/>
  <c r="L292" i="1"/>
  <c r="L293" i="1"/>
  <c r="L296" i="1"/>
  <c r="L297" i="1"/>
  <c r="L300" i="1"/>
  <c r="L302" i="1"/>
  <c r="L304" i="1"/>
  <c r="L308" i="1"/>
  <c r="L309" i="1"/>
  <c r="L312" i="1"/>
  <c r="L313" i="1"/>
  <c r="L316" i="1"/>
  <c r="L317" i="1"/>
  <c r="L318" i="1"/>
  <c r="L320" i="1"/>
  <c r="L324" i="1"/>
  <c r="L325" i="1"/>
  <c r="L328" i="1"/>
  <c r="L329" i="1"/>
  <c r="L330" i="1"/>
  <c r="L332" i="1"/>
  <c r="L336" i="1"/>
  <c r="L338" i="1"/>
  <c r="L340" i="1"/>
  <c r="L341" i="1"/>
  <c r="L344" i="1"/>
  <c r="L345" i="1"/>
  <c r="L348" i="1"/>
  <c r="L349" i="1"/>
  <c r="L352" i="1"/>
  <c r="L354" i="1"/>
  <c r="L356" i="1"/>
  <c r="L357" i="1"/>
  <c r="L360" i="1"/>
  <c r="L361" i="1"/>
  <c r="L364" i="1"/>
  <c r="L366" i="1"/>
  <c r="L368" i="1"/>
  <c r="L372" i="1"/>
  <c r="L373" i="1"/>
  <c r="L376" i="1"/>
  <c r="L377" i="1"/>
  <c r="L380" i="1"/>
  <c r="L381" i="1"/>
  <c r="L382" i="1"/>
  <c r="L384" i="1"/>
  <c r="L388" i="1"/>
  <c r="L389" i="1"/>
  <c r="L392" i="1"/>
  <c r="L393" i="1"/>
  <c r="L394" i="1"/>
  <c r="L396" i="1"/>
  <c r="L400" i="1"/>
  <c r="L402" i="1"/>
  <c r="L404" i="1"/>
  <c r="L405" i="1"/>
  <c r="L408" i="1"/>
  <c r="L409" i="1"/>
  <c r="L412" i="1"/>
  <c r="L413" i="1"/>
  <c r="L416" i="1"/>
  <c r="L418" i="1"/>
  <c r="L420" i="1"/>
  <c r="L421" i="1"/>
  <c r="L424" i="1"/>
  <c r="L425" i="1"/>
  <c r="L428" i="1"/>
  <c r="L430" i="1"/>
  <c r="L432" i="1"/>
  <c r="L436" i="1"/>
  <c r="L437" i="1"/>
  <c r="L440" i="1"/>
  <c r="L441" i="1"/>
  <c r="L444" i="1"/>
  <c r="L445" i="1"/>
  <c r="L446" i="1"/>
  <c r="L448" i="1"/>
  <c r="L452" i="1"/>
  <c r="L453" i="1"/>
  <c r="L456" i="1"/>
  <c r="L457" i="1"/>
  <c r="L458" i="1"/>
  <c r="L460" i="1"/>
  <c r="L464" i="1"/>
  <c r="L466" i="1"/>
  <c r="L468" i="1"/>
  <c r="L469" i="1"/>
  <c r="L472" i="1"/>
  <c r="L473" i="1"/>
  <c r="L476" i="1"/>
  <c r="L477" i="1"/>
  <c r="L480" i="1"/>
  <c r="L482" i="1"/>
  <c r="L484" i="1"/>
  <c r="L485" i="1"/>
  <c r="L488" i="1"/>
  <c r="L489" i="1"/>
  <c r="L492" i="1"/>
  <c r="L494" i="1"/>
  <c r="L496" i="1"/>
  <c r="L500" i="1"/>
  <c r="L501" i="1"/>
  <c r="L504" i="1"/>
  <c r="L505" i="1"/>
  <c r="L508" i="1"/>
  <c r="L509" i="1"/>
  <c r="L510" i="1"/>
  <c r="L512" i="1"/>
  <c r="L516" i="1"/>
  <c r="L517" i="1"/>
  <c r="L520" i="1"/>
  <c r="L521" i="1"/>
  <c r="L522" i="1"/>
  <c r="L524" i="1"/>
  <c r="L528" i="1"/>
  <c r="L530" i="1"/>
  <c r="L532" i="1"/>
  <c r="L533" i="1"/>
  <c r="L536" i="1"/>
  <c r="L537" i="1"/>
  <c r="L540" i="1"/>
  <c r="L541" i="1"/>
  <c r="L544" i="1"/>
  <c r="L546" i="1"/>
  <c r="L548" i="1"/>
  <c r="L549" i="1"/>
  <c r="L552" i="1"/>
  <c r="L553" i="1"/>
  <c r="L556" i="1"/>
  <c r="L558" i="1"/>
  <c r="L560" i="1"/>
  <c r="L564" i="1"/>
  <c r="L565" i="1"/>
  <c r="L568" i="1"/>
  <c r="L572" i="1"/>
  <c r="L573" i="1"/>
  <c r="L574" i="1"/>
  <c r="L576" i="1"/>
  <c r="L580" i="1"/>
  <c r="L581" i="1"/>
  <c r="L584" i="1"/>
  <c r="L585" i="1"/>
  <c r="L586" i="1"/>
  <c r="L588" i="1"/>
  <c r="L592" i="1"/>
  <c r="L594" i="1"/>
  <c r="L596" i="1"/>
  <c r="L600" i="1"/>
  <c r="L601" i="1"/>
  <c r="L604" i="1"/>
  <c r="L608" i="1"/>
  <c r="L610" i="1"/>
  <c r="L612" i="1"/>
  <c r="L613" i="1"/>
  <c r="L616" i="1"/>
  <c r="L617" i="1"/>
  <c r="L620" i="1"/>
  <c r="L622" i="1"/>
  <c r="L624" i="1"/>
  <c r="L628" i="1"/>
  <c r="L629" i="1"/>
  <c r="L632" i="1"/>
  <c r="L636" i="1"/>
  <c r="L637" i="1"/>
  <c r="L638" i="1"/>
  <c r="L640" i="1"/>
  <c r="L644" i="1"/>
  <c r="L645" i="1"/>
  <c r="L648" i="1"/>
  <c r="L649" i="1"/>
  <c r="L650" i="1"/>
  <c r="L652" i="1"/>
  <c r="L656" i="1"/>
  <c r="L658" i="1"/>
  <c r="L660" i="1"/>
  <c r="L664" i="1"/>
  <c r="L665" i="1"/>
  <c r="L668" i="1"/>
  <c r="L672" i="1"/>
  <c r="L674" i="1"/>
  <c r="L676" i="1"/>
  <c r="L677" i="1"/>
  <c r="L680" i="1"/>
  <c r="L681" i="1"/>
  <c r="L684" i="1"/>
  <c r="L686" i="1"/>
  <c r="L687" i="1"/>
  <c r="L688" i="1"/>
  <c r="L692" i="1"/>
  <c r="L696" i="1"/>
  <c r="L698" i="1"/>
  <c r="L700" i="1"/>
  <c r="L702" i="1"/>
  <c r="L703" i="1"/>
  <c r="L704" i="1"/>
  <c r="L708" i="1"/>
  <c r="L712" i="1"/>
  <c r="L714" i="1"/>
  <c r="L716" i="1"/>
  <c r="L718" i="1"/>
  <c r="L719" i="1"/>
  <c r="L720" i="1"/>
  <c r="L724" i="1"/>
  <c r="L728" i="1"/>
  <c r="L730" i="1"/>
  <c r="L732" i="1"/>
  <c r="L734" i="1"/>
  <c r="L735" i="1"/>
  <c r="L736" i="1"/>
  <c r="L740" i="1"/>
  <c r="L744" i="1"/>
  <c r="L746" i="1"/>
  <c r="L748" i="1"/>
  <c r="L750" i="1"/>
  <c r="L751" i="1"/>
  <c r="L752" i="1"/>
  <c r="L756" i="1"/>
  <c r="L760" i="1"/>
  <c r="L762" i="1"/>
  <c r="L764" i="1"/>
  <c r="L766" i="1"/>
  <c r="L767" i="1"/>
  <c r="L768" i="1"/>
  <c r="L772" i="1"/>
  <c r="L776" i="1"/>
  <c r="L778" i="1"/>
  <c r="L780" i="1"/>
  <c r="L782" i="1"/>
  <c r="L783" i="1"/>
  <c r="L784" i="1"/>
  <c r="L788" i="1"/>
  <c r="L792" i="1"/>
  <c r="L794" i="1"/>
  <c r="L796" i="1"/>
  <c r="L798" i="1"/>
  <c r="L799" i="1"/>
  <c r="L800" i="1"/>
  <c r="L804" i="1"/>
  <c r="L808" i="1"/>
  <c r="L810" i="1"/>
  <c r="L812" i="1"/>
  <c r="L814" i="1"/>
  <c r="L815" i="1"/>
  <c r="L816" i="1"/>
  <c r="L820" i="1"/>
  <c r="L824" i="1"/>
  <c r="L826" i="1"/>
  <c r="L828" i="1"/>
  <c r="L830" i="1"/>
  <c r="L831" i="1"/>
  <c r="L832" i="1"/>
  <c r="L836" i="1"/>
  <c r="L840" i="1"/>
  <c r="L842" i="1"/>
  <c r="L844" i="1"/>
  <c r="L846" i="1"/>
  <c r="L847" i="1"/>
  <c r="L848" i="1"/>
  <c r="L852" i="1"/>
  <c r="L856" i="1"/>
  <c r="L858" i="1"/>
  <c r="L860" i="1"/>
  <c r="L862" i="1"/>
  <c r="L863" i="1"/>
  <c r="L864" i="1"/>
  <c r="L868" i="1"/>
  <c r="L872" i="1"/>
  <c r="L874" i="1"/>
  <c r="L876" i="1"/>
  <c r="L878" i="1"/>
  <c r="L879" i="1"/>
  <c r="L880" i="1"/>
  <c r="L884" i="1"/>
  <c r="L888" i="1"/>
  <c r="L890" i="1"/>
  <c r="L892" i="1"/>
  <c r="L894" i="1"/>
  <c r="L895" i="1"/>
  <c r="L896" i="1"/>
  <c r="L900" i="1"/>
  <c r="L904" i="1"/>
  <c r="L906" i="1"/>
  <c r="L908" i="1"/>
  <c r="L910" i="1"/>
  <c r="L911" i="1"/>
  <c r="L912" i="1"/>
  <c r="L916" i="1"/>
  <c r="L920" i="1"/>
  <c r="L922" i="1"/>
  <c r="L924" i="1"/>
  <c r="L926" i="1"/>
  <c r="L927" i="1"/>
  <c r="L928" i="1"/>
  <c r="L932" i="1"/>
  <c r="L936" i="1"/>
  <c r="L938" i="1"/>
  <c r="L940" i="1"/>
  <c r="L942" i="1"/>
  <c r="L943" i="1"/>
  <c r="L944" i="1"/>
  <c r="L948" i="1"/>
  <c r="L952" i="1"/>
  <c r="L954" i="1"/>
  <c r="L956" i="1"/>
  <c r="L958" i="1"/>
  <c r="L959" i="1"/>
  <c r="L960" i="1"/>
  <c r="L964" i="1"/>
  <c r="L968" i="1"/>
  <c r="L970" i="1"/>
  <c r="L972" i="1"/>
  <c r="L974" i="1"/>
  <c r="L975" i="1"/>
  <c r="L976" i="1"/>
  <c r="L980" i="1"/>
  <c r="L984" i="1"/>
  <c r="L986" i="1"/>
  <c r="L988" i="1"/>
  <c r="L990" i="1"/>
  <c r="L991" i="1"/>
  <c r="L992" i="1"/>
  <c r="L996" i="1"/>
  <c r="L1000" i="1"/>
  <c r="L1002" i="1"/>
  <c r="L1004" i="1"/>
  <c r="L1006" i="1"/>
  <c r="L1007" i="1"/>
  <c r="L1008" i="1"/>
  <c r="L1012" i="1"/>
  <c r="L1016" i="1"/>
  <c r="L1018" i="1"/>
  <c r="L1020" i="1"/>
  <c r="L1022" i="1"/>
  <c r="L1023" i="1"/>
  <c r="L1024" i="1"/>
  <c r="L1028" i="1"/>
  <c r="L1032" i="1"/>
  <c r="L1034" i="1"/>
  <c r="L1036" i="1"/>
  <c r="L1038" i="1"/>
  <c r="L1039" i="1"/>
  <c r="L1040" i="1"/>
  <c r="L1044" i="1"/>
  <c r="L1048" i="1"/>
  <c r="L1050" i="1"/>
  <c r="L1052" i="1"/>
  <c r="L1054" i="1"/>
  <c r="L1055" i="1"/>
  <c r="L1056" i="1"/>
  <c r="L1060" i="1"/>
  <c r="L1064" i="1"/>
  <c r="L1066" i="1"/>
  <c r="L1068" i="1"/>
  <c r="L1070" i="1"/>
  <c r="L1071" i="1"/>
  <c r="L1072" i="1"/>
  <c r="L1076" i="1"/>
  <c r="L1080" i="1"/>
  <c r="L1082" i="1"/>
  <c r="L1084" i="1"/>
  <c r="L1086" i="1"/>
  <c r="L1087" i="1"/>
  <c r="L1088" i="1"/>
  <c r="L1092" i="1"/>
  <c r="L1096" i="1"/>
  <c r="L1098" i="1"/>
  <c r="L1100" i="1"/>
  <c r="L1102" i="1"/>
  <c r="L1103" i="1"/>
  <c r="L1104" i="1"/>
  <c r="L1108" i="1"/>
  <c r="L1112" i="1"/>
  <c r="L1114" i="1"/>
  <c r="L1116" i="1"/>
  <c r="L1118" i="1"/>
  <c r="L1119" i="1"/>
  <c r="L1120" i="1"/>
  <c r="L1124" i="1"/>
  <c r="L1128" i="1"/>
  <c r="L1130" i="1"/>
  <c r="L1132" i="1"/>
  <c r="L1134" i="1"/>
  <c r="L1135" i="1"/>
  <c r="L1136" i="1"/>
  <c r="L1140" i="1"/>
  <c r="L1144" i="1"/>
  <c r="L1146" i="1"/>
  <c r="L1148" i="1"/>
  <c r="L1150" i="1"/>
  <c r="L1151" i="1"/>
  <c r="L1152" i="1"/>
  <c r="L1156" i="1"/>
  <c r="L1160" i="1"/>
  <c r="L1162" i="1"/>
  <c r="L1164" i="1"/>
  <c r="L1166" i="1"/>
  <c r="L1167" i="1"/>
  <c r="L1168" i="1"/>
  <c r="L1172" i="1"/>
  <c r="L1176" i="1"/>
  <c r="L1178" i="1"/>
  <c r="L1180" i="1"/>
  <c r="L1182" i="1"/>
  <c r="L1183" i="1"/>
  <c r="L1184" i="1"/>
  <c r="L1188" i="1"/>
  <c r="L1192" i="1"/>
  <c r="L1194" i="1"/>
  <c r="L1196" i="1"/>
  <c r="L1197" i="1"/>
  <c r="L1198" i="1"/>
  <c r="L1200" i="1"/>
  <c r="L1201" i="1"/>
  <c r="L1202" i="1"/>
  <c r="L1204" i="1"/>
  <c r="L1205" i="1"/>
  <c r="L1206" i="1"/>
  <c r="L1208" i="1"/>
  <c r="L1209" i="1"/>
  <c r="L1210" i="1"/>
  <c r="L1212" i="1"/>
  <c r="L1213" i="1"/>
  <c r="L1214" i="1"/>
  <c r="L1216" i="1"/>
  <c r="L1217" i="1"/>
  <c r="L1218" i="1"/>
  <c r="L1220" i="1"/>
  <c r="L1221" i="1"/>
  <c r="L1222" i="1"/>
  <c r="L1224" i="1"/>
  <c r="L1225" i="1"/>
  <c r="L1226" i="1"/>
  <c r="L1228" i="1"/>
  <c r="L1229" i="1"/>
  <c r="L1230" i="1"/>
  <c r="L1232" i="1"/>
  <c r="L1233" i="1"/>
  <c r="L1234" i="1"/>
  <c r="L1236" i="1"/>
  <c r="L1237" i="1"/>
  <c r="L1238" i="1"/>
  <c r="L1240"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20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5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22" i="1"/>
  <c r="N4" i="1" l="1"/>
  <c r="O4" i="1" s="1"/>
  <c r="M2" i="1"/>
  <c r="N5" i="1"/>
  <c r="N6" i="1" l="1"/>
  <c r="O5" i="1"/>
  <c r="N7" i="1" l="1"/>
  <c r="O6" i="1"/>
  <c r="N8" i="1" l="1"/>
  <c r="O7" i="1"/>
  <c r="N9" i="1" l="1"/>
  <c r="O8" i="1"/>
  <c r="N10" i="1" l="1"/>
  <c r="O9" i="1"/>
  <c r="N11" i="1" l="1"/>
  <c r="O10" i="1"/>
  <c r="N12" i="1" l="1"/>
  <c r="O11" i="1"/>
  <c r="N13" i="1" l="1"/>
  <c r="O12" i="1"/>
  <c r="N14" i="1" l="1"/>
  <c r="O13" i="1"/>
  <c r="N15" i="1" l="1"/>
  <c r="O14" i="1"/>
  <c r="N16" i="1" l="1"/>
  <c r="O15" i="1"/>
  <c r="N17" i="1" l="1"/>
  <c r="O16" i="1"/>
  <c r="N18" i="1" l="1"/>
  <c r="O17" i="1"/>
  <c r="N19" i="1" l="1"/>
  <c r="O18" i="1"/>
  <c r="N20" i="1" l="1"/>
  <c r="O19" i="1"/>
  <c r="N21" i="1" l="1"/>
  <c r="O20" i="1"/>
  <c r="N22" i="1" l="1"/>
  <c r="O21" i="1"/>
  <c r="N23" i="1" l="1"/>
  <c r="O22" i="1"/>
  <c r="N24" i="1" l="1"/>
  <c r="O23" i="1"/>
  <c r="N25" i="1" l="1"/>
  <c r="O24" i="1"/>
  <c r="N26" i="1" l="1"/>
  <c r="O25" i="1"/>
  <c r="N27" i="1" l="1"/>
  <c r="O26" i="1"/>
  <c r="N28" i="1" l="1"/>
  <c r="O27" i="1"/>
  <c r="N29" i="1" l="1"/>
  <c r="O28" i="1"/>
  <c r="N30" i="1" l="1"/>
  <c r="O29" i="1"/>
  <c r="N31" i="1" l="1"/>
  <c r="O30" i="1"/>
  <c r="N32" i="1" l="1"/>
  <c r="O31" i="1"/>
  <c r="N33" i="1" l="1"/>
  <c r="O32" i="1"/>
  <c r="N34" i="1" l="1"/>
  <c r="O33" i="1"/>
  <c r="N35" i="1" l="1"/>
  <c r="O34" i="1"/>
  <c r="N36" i="1" l="1"/>
  <c r="O35" i="1"/>
  <c r="N37" i="1" l="1"/>
  <c r="O36" i="1"/>
  <c r="N38" i="1" l="1"/>
  <c r="O37" i="1"/>
  <c r="N39" i="1" l="1"/>
  <c r="O38" i="1"/>
  <c r="N40" i="1" l="1"/>
  <c r="O39" i="1"/>
  <c r="N41" i="1" l="1"/>
  <c r="O40" i="1"/>
  <c r="N42" i="1" l="1"/>
  <c r="O41" i="1"/>
  <c r="N43" i="1" l="1"/>
  <c r="O42" i="1"/>
  <c r="N44" i="1" l="1"/>
  <c r="O43" i="1"/>
  <c r="N45" i="1" l="1"/>
  <c r="O44" i="1"/>
  <c r="N46" i="1" l="1"/>
  <c r="O45" i="1"/>
  <c r="N47" i="1" l="1"/>
  <c r="O46" i="1"/>
  <c r="N48" i="1" l="1"/>
  <c r="O47" i="1"/>
  <c r="N49" i="1" l="1"/>
  <c r="O48" i="1"/>
  <c r="N50" i="1" l="1"/>
  <c r="O49" i="1"/>
  <c r="N51" i="1" l="1"/>
  <c r="O50" i="1"/>
  <c r="N52" i="1" l="1"/>
  <c r="O51" i="1"/>
  <c r="N53" i="1" l="1"/>
  <c r="O52" i="1"/>
  <c r="N54" i="1" l="1"/>
  <c r="O53" i="1"/>
  <c r="N55" i="1" l="1"/>
  <c r="O54" i="1"/>
  <c r="N56" i="1" l="1"/>
  <c r="O55" i="1"/>
  <c r="N57" i="1" l="1"/>
  <c r="O56" i="1"/>
  <c r="N58" i="1" l="1"/>
  <c r="O57" i="1"/>
  <c r="N59" i="1" l="1"/>
  <c r="O58" i="1"/>
  <c r="N60" i="1" l="1"/>
  <c r="O59" i="1"/>
  <c r="N61" i="1" l="1"/>
  <c r="O60" i="1"/>
  <c r="N62" i="1" l="1"/>
  <c r="O61" i="1"/>
  <c r="N63" i="1" l="1"/>
  <c r="O62" i="1"/>
  <c r="N64" i="1" l="1"/>
  <c r="O63" i="1"/>
  <c r="N65" i="1" l="1"/>
  <c r="O64" i="1"/>
  <c r="N66" i="1" l="1"/>
  <c r="O65" i="1"/>
  <c r="N67" i="1" l="1"/>
  <c r="O66" i="1"/>
  <c r="N68" i="1" l="1"/>
  <c r="O67" i="1"/>
  <c r="N69" i="1" l="1"/>
  <c r="O68" i="1"/>
  <c r="N70" i="1" l="1"/>
  <c r="O69" i="1"/>
  <c r="N71" i="1" l="1"/>
  <c r="O70" i="1"/>
  <c r="N72" i="1" l="1"/>
  <c r="O71" i="1"/>
  <c r="N73" i="1" l="1"/>
  <c r="O72" i="1"/>
  <c r="N74" i="1" l="1"/>
  <c r="O73" i="1"/>
  <c r="N75" i="1" l="1"/>
  <c r="O74" i="1"/>
  <c r="N76" i="1" l="1"/>
  <c r="O75" i="1"/>
  <c r="N77" i="1" l="1"/>
  <c r="O76" i="1"/>
  <c r="N78" i="1" l="1"/>
  <c r="O77" i="1"/>
  <c r="N79" i="1" l="1"/>
  <c r="O78" i="1"/>
  <c r="N80" i="1" l="1"/>
  <c r="O79" i="1"/>
  <c r="N81" i="1" l="1"/>
  <c r="O80" i="1"/>
  <c r="N82" i="1" l="1"/>
  <c r="O81" i="1"/>
  <c r="N83" i="1" l="1"/>
  <c r="O82" i="1"/>
  <c r="N84" i="1" l="1"/>
  <c r="O83" i="1"/>
  <c r="N85" i="1" l="1"/>
  <c r="O84" i="1"/>
  <c r="N86" i="1" l="1"/>
  <c r="O85" i="1"/>
  <c r="N87" i="1" l="1"/>
  <c r="O86" i="1"/>
  <c r="N88" i="1" l="1"/>
  <c r="O87" i="1"/>
  <c r="N89" i="1" l="1"/>
  <c r="O88" i="1"/>
  <c r="N90" i="1" l="1"/>
  <c r="O89" i="1"/>
  <c r="N91" i="1" l="1"/>
  <c r="O90" i="1"/>
  <c r="N92" i="1" l="1"/>
  <c r="O91" i="1"/>
  <c r="N93" i="1" l="1"/>
  <c r="O92" i="1"/>
  <c r="N94" i="1" l="1"/>
  <c r="O93" i="1"/>
  <c r="N95" i="1" l="1"/>
  <c r="O94" i="1"/>
  <c r="N96" i="1" l="1"/>
  <c r="O95" i="1"/>
  <c r="N97" i="1" l="1"/>
  <c r="O96" i="1"/>
  <c r="N98" i="1" l="1"/>
  <c r="O97" i="1"/>
  <c r="N99" i="1" l="1"/>
  <c r="O98" i="1"/>
  <c r="N100" i="1" l="1"/>
  <c r="O99" i="1"/>
  <c r="N101" i="1" l="1"/>
  <c r="O100" i="1"/>
  <c r="N102" i="1" l="1"/>
  <c r="O101" i="1"/>
  <c r="N103" i="1" l="1"/>
  <c r="O102" i="1"/>
  <c r="N104" i="1" l="1"/>
  <c r="O103" i="1"/>
  <c r="N105" i="1" l="1"/>
  <c r="O104" i="1"/>
  <c r="N106" i="1" l="1"/>
  <c r="O105" i="1"/>
  <c r="N107" i="1" l="1"/>
  <c r="O106" i="1"/>
  <c r="N108" i="1" l="1"/>
  <c r="O107" i="1"/>
  <c r="N109" i="1" l="1"/>
  <c r="O108" i="1"/>
  <c r="N110" i="1" l="1"/>
  <c r="O109" i="1"/>
  <c r="N111" i="1" l="1"/>
  <c r="O110" i="1"/>
  <c r="N112" i="1" l="1"/>
  <c r="O111" i="1"/>
  <c r="N113" i="1" l="1"/>
  <c r="O112" i="1"/>
  <c r="N114" i="1" l="1"/>
  <c r="O113" i="1"/>
  <c r="N115" i="1" l="1"/>
  <c r="O114" i="1"/>
  <c r="N116" i="1" l="1"/>
  <c r="O115" i="1"/>
  <c r="N117" i="1" l="1"/>
  <c r="O116" i="1"/>
  <c r="N118" i="1" l="1"/>
  <c r="O117" i="1"/>
  <c r="N119" i="1" l="1"/>
  <c r="O118" i="1"/>
  <c r="N120" i="1" l="1"/>
  <c r="O119" i="1"/>
  <c r="N121" i="1" l="1"/>
  <c r="O120" i="1"/>
  <c r="N122" i="1" l="1"/>
  <c r="O121" i="1"/>
  <c r="N123" i="1" l="1"/>
  <c r="O122" i="1"/>
  <c r="N124" i="1" l="1"/>
  <c r="O123" i="1"/>
  <c r="N125" i="1" l="1"/>
  <c r="O124" i="1"/>
  <c r="N126" i="1" l="1"/>
  <c r="O125" i="1"/>
  <c r="N127" i="1" l="1"/>
  <c r="O126" i="1"/>
  <c r="N128" i="1" l="1"/>
  <c r="O127" i="1"/>
  <c r="N129" i="1" l="1"/>
  <c r="O128" i="1"/>
  <c r="N130" i="1" l="1"/>
  <c r="O129" i="1"/>
  <c r="N131" i="1" l="1"/>
  <c r="O130" i="1"/>
  <c r="N132" i="1" l="1"/>
  <c r="O131" i="1"/>
  <c r="N133" i="1" l="1"/>
  <c r="O132" i="1"/>
  <c r="N134" i="1" l="1"/>
  <c r="O133" i="1"/>
  <c r="N135" i="1" l="1"/>
  <c r="O134" i="1"/>
  <c r="N136" i="1" l="1"/>
  <c r="O135" i="1"/>
  <c r="N137" i="1" l="1"/>
  <c r="O136" i="1"/>
  <c r="N138" i="1" l="1"/>
  <c r="O137" i="1"/>
  <c r="N139" i="1" l="1"/>
  <c r="O138" i="1"/>
  <c r="N140" i="1" l="1"/>
  <c r="O139" i="1"/>
  <c r="N141" i="1" l="1"/>
  <c r="O140" i="1"/>
  <c r="N142" i="1" l="1"/>
  <c r="O141" i="1"/>
  <c r="N143" i="1" l="1"/>
  <c r="O142" i="1"/>
  <c r="N144" i="1" l="1"/>
  <c r="O143" i="1"/>
  <c r="N145" i="1" l="1"/>
  <c r="O144" i="1"/>
  <c r="N146" i="1" l="1"/>
  <c r="O145" i="1"/>
  <c r="N147" i="1" l="1"/>
  <c r="O146" i="1"/>
  <c r="N148" i="1" l="1"/>
  <c r="O147" i="1"/>
  <c r="N149" i="1" l="1"/>
  <c r="O148" i="1"/>
  <c r="N150" i="1" l="1"/>
  <c r="O149" i="1"/>
  <c r="N151" i="1" l="1"/>
  <c r="O150" i="1"/>
  <c r="N152" i="1" l="1"/>
  <c r="O151" i="1"/>
  <c r="N153" i="1" l="1"/>
  <c r="O152" i="1"/>
  <c r="N154" i="1" l="1"/>
  <c r="O153" i="1"/>
  <c r="N155" i="1" l="1"/>
  <c r="O154" i="1"/>
  <c r="N156" i="1" l="1"/>
  <c r="O155" i="1"/>
  <c r="N157" i="1" l="1"/>
  <c r="O156" i="1"/>
  <c r="N158" i="1" l="1"/>
  <c r="O157" i="1"/>
  <c r="N159" i="1" l="1"/>
  <c r="O158" i="1"/>
  <c r="N160" i="1" l="1"/>
  <c r="O159" i="1"/>
  <c r="N161" i="1" l="1"/>
  <c r="O160" i="1"/>
  <c r="N162" i="1" l="1"/>
  <c r="O161" i="1"/>
  <c r="N163" i="1" l="1"/>
  <c r="O162" i="1"/>
  <c r="N164" i="1" l="1"/>
  <c r="O163" i="1"/>
  <c r="N165" i="1" l="1"/>
  <c r="O164" i="1"/>
  <c r="N166" i="1" l="1"/>
  <c r="O165" i="1"/>
  <c r="N167" i="1" l="1"/>
  <c r="O166" i="1"/>
  <c r="N168" i="1" l="1"/>
  <c r="O167" i="1"/>
  <c r="N169" i="1" l="1"/>
  <c r="O168" i="1"/>
  <c r="N170" i="1" l="1"/>
  <c r="O169" i="1"/>
  <c r="N171" i="1" l="1"/>
  <c r="O170" i="1"/>
  <c r="N172" i="1" l="1"/>
  <c r="O171" i="1"/>
  <c r="N173" i="1" l="1"/>
  <c r="O172" i="1"/>
  <c r="N174" i="1" l="1"/>
  <c r="O173" i="1"/>
  <c r="N175" i="1" l="1"/>
  <c r="O174" i="1"/>
  <c r="N176" i="1" l="1"/>
  <c r="O175" i="1"/>
  <c r="N177" i="1" l="1"/>
  <c r="O176" i="1"/>
  <c r="N178" i="1" l="1"/>
  <c r="O177" i="1"/>
  <c r="N179" i="1" l="1"/>
  <c r="O178" i="1"/>
  <c r="N180" i="1" l="1"/>
  <c r="O179" i="1"/>
  <c r="N181" i="1" l="1"/>
  <c r="O180" i="1"/>
  <c r="N182" i="1" l="1"/>
  <c r="O181" i="1"/>
  <c r="N183" i="1" l="1"/>
  <c r="O182" i="1"/>
  <c r="N184" i="1" l="1"/>
  <c r="O183" i="1"/>
  <c r="N185" i="1" l="1"/>
  <c r="O184" i="1"/>
  <c r="N186" i="1" l="1"/>
  <c r="O185" i="1"/>
  <c r="N187" i="1" l="1"/>
  <c r="O186" i="1"/>
  <c r="N188" i="1" l="1"/>
  <c r="O187" i="1"/>
  <c r="N189" i="1" l="1"/>
  <c r="O188" i="1"/>
  <c r="N190" i="1" l="1"/>
  <c r="O189" i="1"/>
  <c r="N191" i="1" l="1"/>
  <c r="O190" i="1"/>
  <c r="N192" i="1" l="1"/>
  <c r="O191" i="1"/>
  <c r="N193" i="1" l="1"/>
  <c r="O192" i="1"/>
  <c r="N194" i="1" l="1"/>
  <c r="O193" i="1"/>
  <c r="N195" i="1" l="1"/>
  <c r="O194" i="1"/>
  <c r="N196" i="1" l="1"/>
  <c r="O195" i="1"/>
  <c r="N197" i="1" l="1"/>
  <c r="O196" i="1"/>
  <c r="N198" i="1" l="1"/>
  <c r="O197" i="1"/>
  <c r="N199" i="1" l="1"/>
  <c r="O198" i="1"/>
  <c r="N200" i="1" l="1"/>
  <c r="O199" i="1"/>
  <c r="N201" i="1" l="1"/>
  <c r="O200" i="1"/>
  <c r="N202" i="1" l="1"/>
  <c r="O201" i="1"/>
  <c r="N203" i="1" l="1"/>
  <c r="O202" i="1"/>
  <c r="N204" i="1" l="1"/>
  <c r="O203" i="1"/>
  <c r="N205" i="1" l="1"/>
  <c r="O204" i="1"/>
  <c r="N206" i="1" l="1"/>
  <c r="O205" i="1"/>
  <c r="N207" i="1" l="1"/>
  <c r="O206" i="1"/>
  <c r="N208" i="1" l="1"/>
  <c r="O207" i="1"/>
  <c r="N209" i="1" l="1"/>
  <c r="O208" i="1"/>
  <c r="N210" i="1" l="1"/>
  <c r="O209" i="1"/>
  <c r="N211" i="1" l="1"/>
  <c r="O210" i="1"/>
  <c r="N212" i="1" l="1"/>
  <c r="O211" i="1"/>
  <c r="N213" i="1" l="1"/>
  <c r="O212" i="1"/>
  <c r="N214" i="1" l="1"/>
  <c r="O213" i="1"/>
  <c r="N215" i="1" l="1"/>
  <c r="O214" i="1"/>
  <c r="N216" i="1" l="1"/>
  <c r="O215" i="1"/>
  <c r="N217" i="1" l="1"/>
  <c r="O216" i="1"/>
  <c r="N218" i="1" l="1"/>
  <c r="O217" i="1"/>
  <c r="N219" i="1" l="1"/>
  <c r="O218" i="1"/>
  <c r="N220" i="1" l="1"/>
  <c r="O219" i="1"/>
  <c r="N221" i="1" l="1"/>
  <c r="O220" i="1"/>
  <c r="N222" i="1" l="1"/>
  <c r="O221" i="1"/>
  <c r="N223" i="1" l="1"/>
  <c r="O222" i="1"/>
  <c r="N224" i="1" l="1"/>
  <c r="O223" i="1"/>
  <c r="N225" i="1" l="1"/>
  <c r="O224" i="1"/>
  <c r="N226" i="1" l="1"/>
  <c r="O225" i="1"/>
  <c r="N227" i="1" l="1"/>
  <c r="O226" i="1"/>
  <c r="N228" i="1" l="1"/>
  <c r="O227" i="1"/>
  <c r="N229" i="1" l="1"/>
  <c r="O228" i="1"/>
  <c r="N230" i="1" l="1"/>
  <c r="O229" i="1"/>
  <c r="N231" i="1" l="1"/>
  <c r="O230" i="1"/>
  <c r="N232" i="1" l="1"/>
  <c r="O231" i="1"/>
  <c r="N233" i="1" l="1"/>
  <c r="O232" i="1"/>
  <c r="N234" i="1" l="1"/>
  <c r="O233" i="1"/>
  <c r="N235" i="1" l="1"/>
  <c r="O234" i="1"/>
  <c r="N236" i="1" l="1"/>
  <c r="O235" i="1"/>
  <c r="N237" i="1" l="1"/>
  <c r="O236" i="1"/>
  <c r="N238" i="1" l="1"/>
  <c r="O237" i="1"/>
  <c r="N239" i="1" l="1"/>
  <c r="O238" i="1"/>
  <c r="N240" i="1" l="1"/>
  <c r="O239" i="1"/>
  <c r="N241" i="1" l="1"/>
  <c r="O240" i="1"/>
  <c r="N242" i="1" l="1"/>
  <c r="O241" i="1"/>
  <c r="N243" i="1" l="1"/>
  <c r="O242" i="1"/>
  <c r="N244" i="1" l="1"/>
  <c r="O243" i="1"/>
  <c r="N245" i="1" l="1"/>
  <c r="O244" i="1"/>
  <c r="N246" i="1" l="1"/>
  <c r="O245" i="1"/>
  <c r="N247" i="1" l="1"/>
  <c r="O246" i="1"/>
  <c r="N248" i="1" l="1"/>
  <c r="O247" i="1"/>
  <c r="N249" i="1" l="1"/>
  <c r="O248" i="1"/>
  <c r="N250" i="1" l="1"/>
  <c r="O249" i="1"/>
  <c r="N251" i="1" l="1"/>
  <c r="O250" i="1"/>
  <c r="N252" i="1" l="1"/>
  <c r="O251" i="1"/>
  <c r="N253" i="1" l="1"/>
  <c r="O252" i="1"/>
  <c r="N254" i="1" l="1"/>
  <c r="O253" i="1"/>
  <c r="N255" i="1" l="1"/>
  <c r="O254" i="1"/>
  <c r="N256" i="1" l="1"/>
  <c r="O255" i="1"/>
  <c r="N257" i="1" l="1"/>
  <c r="O256" i="1"/>
  <c r="N258" i="1" l="1"/>
  <c r="O257" i="1"/>
  <c r="N259" i="1" l="1"/>
  <c r="O258" i="1"/>
  <c r="N260" i="1" l="1"/>
  <c r="O259" i="1"/>
  <c r="N261" i="1" l="1"/>
  <c r="O260" i="1"/>
  <c r="N262" i="1" l="1"/>
  <c r="O261" i="1"/>
  <c r="N263" i="1" l="1"/>
  <c r="O262" i="1"/>
  <c r="N264" i="1" l="1"/>
  <c r="O263" i="1"/>
  <c r="N265" i="1" l="1"/>
  <c r="O264" i="1"/>
  <c r="N266" i="1" l="1"/>
  <c r="O265" i="1"/>
  <c r="N267" i="1" l="1"/>
  <c r="O266" i="1"/>
  <c r="N268" i="1" l="1"/>
  <c r="O267" i="1"/>
  <c r="N269" i="1" l="1"/>
  <c r="O268" i="1"/>
  <c r="N270" i="1" l="1"/>
  <c r="O269" i="1"/>
  <c r="N271" i="1" l="1"/>
  <c r="O270" i="1"/>
  <c r="N272" i="1" l="1"/>
  <c r="O271" i="1"/>
  <c r="N273" i="1" l="1"/>
  <c r="O272" i="1"/>
  <c r="N274" i="1" l="1"/>
  <c r="O273" i="1"/>
  <c r="N275" i="1" l="1"/>
  <c r="O274" i="1"/>
  <c r="N276" i="1" l="1"/>
  <c r="O275" i="1"/>
  <c r="N277" i="1" l="1"/>
  <c r="O276" i="1"/>
  <c r="N278" i="1" l="1"/>
  <c r="O277" i="1"/>
  <c r="N279" i="1" l="1"/>
  <c r="O278" i="1"/>
  <c r="N280" i="1" l="1"/>
  <c r="O279" i="1"/>
  <c r="N281" i="1" l="1"/>
  <c r="O280" i="1"/>
  <c r="N282" i="1" l="1"/>
  <c r="O281" i="1"/>
  <c r="N283" i="1" l="1"/>
  <c r="O282" i="1"/>
  <c r="N284" i="1" l="1"/>
  <c r="O283" i="1"/>
  <c r="N285" i="1" l="1"/>
  <c r="O284" i="1"/>
  <c r="N286" i="1" l="1"/>
  <c r="O285" i="1"/>
  <c r="N287" i="1" l="1"/>
  <c r="O286" i="1"/>
  <c r="N288" i="1" l="1"/>
  <c r="O287" i="1"/>
  <c r="N289" i="1" l="1"/>
  <c r="O288" i="1"/>
  <c r="N290" i="1" l="1"/>
  <c r="O289" i="1"/>
  <c r="N291" i="1" l="1"/>
  <c r="O290" i="1"/>
  <c r="N292" i="1" l="1"/>
  <c r="O291" i="1"/>
  <c r="N293" i="1" l="1"/>
  <c r="O292" i="1"/>
  <c r="N294" i="1" l="1"/>
  <c r="O293" i="1"/>
  <c r="N295" i="1" l="1"/>
  <c r="O294" i="1"/>
  <c r="N296" i="1" l="1"/>
  <c r="O295" i="1"/>
  <c r="N297" i="1" l="1"/>
  <c r="O296" i="1"/>
  <c r="N298" i="1" l="1"/>
  <c r="O297" i="1"/>
  <c r="N299" i="1" l="1"/>
  <c r="O298" i="1"/>
  <c r="N300" i="1" l="1"/>
  <c r="O299" i="1"/>
  <c r="N301" i="1" l="1"/>
  <c r="O300" i="1"/>
  <c r="N302" i="1" l="1"/>
  <c r="O301" i="1"/>
  <c r="N303" i="1" l="1"/>
  <c r="O302" i="1"/>
  <c r="N304" i="1" l="1"/>
  <c r="O303" i="1"/>
  <c r="N305" i="1" l="1"/>
  <c r="O304" i="1"/>
  <c r="N306" i="1" l="1"/>
  <c r="O305" i="1"/>
  <c r="N307" i="1" l="1"/>
  <c r="O306" i="1"/>
  <c r="N308" i="1" l="1"/>
  <c r="O307" i="1"/>
  <c r="N309" i="1" l="1"/>
  <c r="O308" i="1"/>
  <c r="N310" i="1" l="1"/>
  <c r="O309" i="1"/>
  <c r="N311" i="1" l="1"/>
  <c r="O310" i="1"/>
  <c r="N312" i="1" l="1"/>
  <c r="O311" i="1"/>
  <c r="N313" i="1" l="1"/>
  <c r="O312" i="1"/>
  <c r="N314" i="1" l="1"/>
  <c r="O313" i="1"/>
  <c r="N315" i="1" l="1"/>
  <c r="O314" i="1"/>
  <c r="N316" i="1" l="1"/>
  <c r="O315" i="1"/>
  <c r="N317" i="1" l="1"/>
  <c r="O316" i="1"/>
  <c r="N318" i="1" l="1"/>
  <c r="O317" i="1"/>
  <c r="N319" i="1" l="1"/>
  <c r="O318" i="1"/>
  <c r="N320" i="1" l="1"/>
  <c r="O319" i="1"/>
  <c r="N321" i="1" l="1"/>
  <c r="O320" i="1"/>
  <c r="N322" i="1" l="1"/>
  <c r="O321" i="1"/>
  <c r="N323" i="1" l="1"/>
  <c r="O322" i="1"/>
  <c r="N324" i="1" l="1"/>
  <c r="O323" i="1"/>
  <c r="N325" i="1" l="1"/>
  <c r="O324" i="1"/>
  <c r="N326" i="1" l="1"/>
  <c r="O325" i="1"/>
  <c r="N327" i="1" l="1"/>
  <c r="O326" i="1"/>
  <c r="N328" i="1" l="1"/>
  <c r="O327" i="1"/>
  <c r="N329" i="1" l="1"/>
  <c r="O328" i="1"/>
  <c r="N330" i="1" l="1"/>
  <c r="O329" i="1"/>
  <c r="N331" i="1" l="1"/>
  <c r="O330" i="1"/>
  <c r="N332" i="1" l="1"/>
  <c r="O331" i="1"/>
  <c r="N333" i="1" l="1"/>
  <c r="O332" i="1"/>
  <c r="N334" i="1" l="1"/>
  <c r="O333" i="1"/>
  <c r="N335" i="1" l="1"/>
  <c r="O334" i="1"/>
  <c r="N336" i="1" l="1"/>
  <c r="O335" i="1"/>
  <c r="N337" i="1" l="1"/>
  <c r="O336" i="1"/>
  <c r="N338" i="1" l="1"/>
  <c r="O337" i="1"/>
  <c r="N339" i="1" l="1"/>
  <c r="O338" i="1"/>
  <c r="N340" i="1" l="1"/>
  <c r="O339" i="1"/>
  <c r="N341" i="1" l="1"/>
  <c r="O340" i="1"/>
  <c r="N342" i="1" l="1"/>
  <c r="O341" i="1"/>
  <c r="N343" i="1" l="1"/>
  <c r="O342" i="1"/>
  <c r="N344" i="1" l="1"/>
  <c r="O343" i="1"/>
  <c r="N345" i="1" l="1"/>
  <c r="O344" i="1"/>
  <c r="N346" i="1" l="1"/>
  <c r="O345" i="1"/>
  <c r="N347" i="1" l="1"/>
  <c r="O346" i="1"/>
  <c r="N348" i="1" l="1"/>
  <c r="O347" i="1"/>
  <c r="N349" i="1" l="1"/>
  <c r="O348" i="1"/>
  <c r="N350" i="1" l="1"/>
  <c r="O349" i="1"/>
  <c r="N351" i="1" l="1"/>
  <c r="O350" i="1"/>
  <c r="N352" i="1" l="1"/>
  <c r="O351" i="1"/>
  <c r="N353" i="1" l="1"/>
  <c r="O352" i="1"/>
  <c r="N354" i="1" l="1"/>
  <c r="O353" i="1"/>
  <c r="N355" i="1" l="1"/>
  <c r="O354" i="1"/>
  <c r="N356" i="1" l="1"/>
  <c r="O355" i="1"/>
  <c r="N357" i="1" l="1"/>
  <c r="O356" i="1"/>
  <c r="N358" i="1" l="1"/>
  <c r="O357" i="1"/>
  <c r="N359" i="1" l="1"/>
  <c r="O358" i="1"/>
  <c r="N360" i="1" l="1"/>
  <c r="O359" i="1"/>
  <c r="N361" i="1" l="1"/>
  <c r="O360" i="1"/>
  <c r="N362" i="1" l="1"/>
  <c r="O361" i="1"/>
  <c r="N363" i="1" l="1"/>
  <c r="O362" i="1"/>
  <c r="N364" i="1" l="1"/>
  <c r="O363" i="1"/>
  <c r="N365" i="1" l="1"/>
  <c r="O364" i="1"/>
  <c r="N366" i="1" l="1"/>
  <c r="O365" i="1"/>
  <c r="N367" i="1" l="1"/>
  <c r="O366" i="1"/>
  <c r="N368" i="1" l="1"/>
  <c r="O367" i="1"/>
  <c r="N369" i="1" l="1"/>
  <c r="O368" i="1"/>
  <c r="N370" i="1" l="1"/>
  <c r="O369" i="1"/>
  <c r="N371" i="1" l="1"/>
  <c r="O370" i="1"/>
  <c r="N372" i="1" l="1"/>
  <c r="O371" i="1"/>
  <c r="N373" i="1" l="1"/>
  <c r="O372" i="1"/>
  <c r="N374" i="1" l="1"/>
  <c r="O373" i="1"/>
  <c r="N375" i="1" l="1"/>
  <c r="O374" i="1"/>
  <c r="N376" i="1" l="1"/>
  <c r="O375" i="1"/>
  <c r="N377" i="1" l="1"/>
  <c r="O376" i="1"/>
  <c r="N378" i="1" l="1"/>
  <c r="O377" i="1"/>
  <c r="N379" i="1" l="1"/>
  <c r="O378" i="1"/>
  <c r="N380" i="1" l="1"/>
  <c r="O379" i="1"/>
  <c r="N381" i="1" l="1"/>
  <c r="O380" i="1"/>
  <c r="N382" i="1" l="1"/>
  <c r="O381" i="1"/>
  <c r="N383" i="1" l="1"/>
  <c r="O382" i="1"/>
  <c r="N384" i="1" l="1"/>
  <c r="O383" i="1"/>
  <c r="N385" i="1" l="1"/>
  <c r="O384" i="1"/>
  <c r="N386" i="1" l="1"/>
  <c r="O385" i="1"/>
  <c r="N387" i="1" l="1"/>
  <c r="O386" i="1"/>
  <c r="N388" i="1" l="1"/>
  <c r="O387" i="1"/>
  <c r="N389" i="1" l="1"/>
  <c r="O388" i="1"/>
  <c r="N390" i="1" l="1"/>
  <c r="O389" i="1"/>
  <c r="N391" i="1" l="1"/>
  <c r="O390" i="1"/>
  <c r="N392" i="1" l="1"/>
  <c r="O391" i="1"/>
  <c r="N393" i="1" l="1"/>
  <c r="O392" i="1"/>
  <c r="N394" i="1" l="1"/>
  <c r="O393" i="1"/>
  <c r="N395" i="1" l="1"/>
  <c r="O394" i="1"/>
  <c r="N396" i="1" l="1"/>
  <c r="O395" i="1"/>
  <c r="N397" i="1" l="1"/>
  <c r="O396" i="1"/>
  <c r="N398" i="1" l="1"/>
  <c r="O397" i="1"/>
  <c r="N399" i="1" l="1"/>
  <c r="O398" i="1"/>
  <c r="N400" i="1" l="1"/>
  <c r="O399" i="1"/>
  <c r="N401" i="1" l="1"/>
  <c r="O400" i="1"/>
  <c r="N402" i="1" l="1"/>
  <c r="O401" i="1"/>
  <c r="N403" i="1" l="1"/>
  <c r="O402" i="1"/>
  <c r="N404" i="1" l="1"/>
  <c r="O403" i="1"/>
  <c r="N405" i="1" l="1"/>
  <c r="O404" i="1"/>
  <c r="N406" i="1" l="1"/>
  <c r="O405" i="1"/>
  <c r="N407" i="1" l="1"/>
  <c r="O406" i="1"/>
  <c r="N408" i="1" l="1"/>
  <c r="O407" i="1"/>
  <c r="N409" i="1" l="1"/>
  <c r="O408" i="1"/>
  <c r="N410" i="1" l="1"/>
  <c r="O409" i="1"/>
  <c r="N411" i="1" l="1"/>
  <c r="O410" i="1"/>
  <c r="N412" i="1" l="1"/>
  <c r="O411" i="1"/>
  <c r="N413" i="1" l="1"/>
  <c r="O412" i="1"/>
  <c r="N414" i="1" l="1"/>
  <c r="O413" i="1"/>
  <c r="N415" i="1" l="1"/>
  <c r="O414" i="1"/>
  <c r="N416" i="1" l="1"/>
  <c r="O415" i="1"/>
  <c r="N417" i="1" l="1"/>
  <c r="O416" i="1"/>
  <c r="N418" i="1" l="1"/>
  <c r="O417" i="1"/>
  <c r="N419" i="1" l="1"/>
  <c r="O418" i="1"/>
  <c r="N420" i="1" l="1"/>
  <c r="O419" i="1"/>
  <c r="N421" i="1" l="1"/>
  <c r="O420" i="1"/>
  <c r="N422" i="1" l="1"/>
  <c r="O421" i="1"/>
  <c r="N423" i="1" l="1"/>
  <c r="O422" i="1"/>
  <c r="N424" i="1" l="1"/>
  <c r="O423" i="1"/>
  <c r="N425" i="1" l="1"/>
  <c r="O424" i="1"/>
  <c r="N426" i="1" l="1"/>
  <c r="O425" i="1"/>
  <c r="N427" i="1" l="1"/>
  <c r="O426" i="1"/>
  <c r="N428" i="1" l="1"/>
  <c r="O427" i="1"/>
  <c r="N429" i="1" l="1"/>
  <c r="O428" i="1"/>
  <c r="N430" i="1" l="1"/>
  <c r="O429" i="1"/>
  <c r="N431" i="1" l="1"/>
  <c r="O430" i="1"/>
  <c r="N432" i="1" l="1"/>
  <c r="O431" i="1"/>
  <c r="N433" i="1" l="1"/>
  <c r="O432" i="1"/>
  <c r="N434" i="1" l="1"/>
  <c r="O433" i="1"/>
  <c r="N435" i="1" l="1"/>
  <c r="O434" i="1"/>
  <c r="N436" i="1" l="1"/>
  <c r="O435" i="1"/>
  <c r="N437" i="1" l="1"/>
  <c r="O436" i="1"/>
  <c r="N438" i="1" l="1"/>
  <c r="O437" i="1"/>
  <c r="N439" i="1" l="1"/>
  <c r="O438" i="1"/>
  <c r="N440" i="1" l="1"/>
  <c r="O439" i="1"/>
  <c r="N441" i="1" l="1"/>
  <c r="O440" i="1"/>
  <c r="N442" i="1" l="1"/>
  <c r="O441" i="1"/>
  <c r="N443" i="1" l="1"/>
  <c r="O442" i="1"/>
  <c r="N444" i="1" l="1"/>
  <c r="O443" i="1"/>
  <c r="N445" i="1" l="1"/>
  <c r="O444" i="1"/>
  <c r="N446" i="1" l="1"/>
  <c r="O445" i="1"/>
  <c r="N447" i="1" l="1"/>
  <c r="O446" i="1"/>
  <c r="N448" i="1" l="1"/>
  <c r="O447" i="1"/>
  <c r="N449" i="1" l="1"/>
  <c r="O448" i="1"/>
  <c r="N450" i="1" l="1"/>
  <c r="O449" i="1"/>
  <c r="N451" i="1" l="1"/>
  <c r="O450" i="1"/>
  <c r="N452" i="1" l="1"/>
  <c r="O451" i="1"/>
  <c r="N453" i="1" l="1"/>
  <c r="O452" i="1"/>
  <c r="N454" i="1" l="1"/>
  <c r="O453" i="1"/>
  <c r="N455" i="1" l="1"/>
  <c r="O454" i="1"/>
  <c r="N456" i="1" l="1"/>
  <c r="O455" i="1"/>
  <c r="N457" i="1" l="1"/>
  <c r="O456" i="1"/>
  <c r="N458" i="1" l="1"/>
  <c r="O457" i="1"/>
  <c r="N459" i="1" l="1"/>
  <c r="O458" i="1"/>
  <c r="N460" i="1" l="1"/>
  <c r="O459" i="1"/>
  <c r="N461" i="1" l="1"/>
  <c r="O460" i="1"/>
  <c r="N462" i="1" l="1"/>
  <c r="O461" i="1"/>
  <c r="N463" i="1" l="1"/>
  <c r="O462" i="1"/>
  <c r="N464" i="1" l="1"/>
  <c r="O463" i="1"/>
  <c r="N465" i="1" l="1"/>
  <c r="O464" i="1"/>
  <c r="N466" i="1" l="1"/>
  <c r="O465" i="1"/>
  <c r="N467" i="1" l="1"/>
  <c r="O466" i="1"/>
  <c r="N468" i="1" l="1"/>
  <c r="O467" i="1"/>
  <c r="N469" i="1" l="1"/>
  <c r="O468" i="1"/>
  <c r="N470" i="1" l="1"/>
  <c r="O469" i="1"/>
  <c r="N471" i="1" l="1"/>
  <c r="O470" i="1"/>
  <c r="N472" i="1" l="1"/>
  <c r="O471" i="1"/>
  <c r="N473" i="1" l="1"/>
  <c r="O472" i="1"/>
  <c r="N474" i="1" l="1"/>
  <c r="O473" i="1"/>
  <c r="N475" i="1" l="1"/>
  <c r="O474" i="1"/>
  <c r="N476" i="1" l="1"/>
  <c r="O475" i="1"/>
  <c r="N477" i="1" l="1"/>
  <c r="O476" i="1"/>
  <c r="N478" i="1" l="1"/>
  <c r="O477" i="1"/>
  <c r="N479" i="1" l="1"/>
  <c r="O478" i="1"/>
  <c r="N480" i="1" l="1"/>
  <c r="O479" i="1"/>
  <c r="N481" i="1" l="1"/>
  <c r="O480" i="1"/>
  <c r="N482" i="1" l="1"/>
  <c r="O481" i="1"/>
  <c r="N483" i="1" l="1"/>
  <c r="O482" i="1"/>
  <c r="N484" i="1" l="1"/>
  <c r="O483" i="1"/>
  <c r="N485" i="1" l="1"/>
  <c r="O484" i="1"/>
  <c r="N486" i="1" l="1"/>
  <c r="O485" i="1"/>
  <c r="N487" i="1" l="1"/>
  <c r="O486" i="1"/>
  <c r="N488" i="1" l="1"/>
  <c r="O487" i="1"/>
  <c r="N489" i="1" l="1"/>
  <c r="O488" i="1"/>
  <c r="N490" i="1" l="1"/>
  <c r="O489" i="1"/>
  <c r="N491" i="1" l="1"/>
  <c r="O490" i="1"/>
  <c r="N492" i="1" l="1"/>
  <c r="O491" i="1"/>
  <c r="N493" i="1" l="1"/>
  <c r="O492" i="1"/>
  <c r="N494" i="1" l="1"/>
  <c r="O493" i="1"/>
  <c r="N495" i="1" l="1"/>
  <c r="O494" i="1"/>
  <c r="N496" i="1" l="1"/>
  <c r="O495" i="1"/>
  <c r="N497" i="1" l="1"/>
  <c r="O496" i="1"/>
  <c r="N498" i="1" l="1"/>
  <c r="O497" i="1"/>
  <c r="N499" i="1" l="1"/>
  <c r="O498" i="1"/>
  <c r="N500" i="1" l="1"/>
  <c r="O499" i="1"/>
  <c r="N501" i="1" l="1"/>
  <c r="O500" i="1"/>
  <c r="N502" i="1" l="1"/>
  <c r="O501" i="1"/>
  <c r="N503" i="1" l="1"/>
  <c r="O502" i="1"/>
  <c r="N504" i="1" l="1"/>
  <c r="O503" i="1"/>
  <c r="N505" i="1" l="1"/>
  <c r="O504" i="1"/>
  <c r="N506" i="1" l="1"/>
  <c r="O505" i="1"/>
  <c r="N507" i="1" l="1"/>
  <c r="O506" i="1"/>
  <c r="N508" i="1" l="1"/>
  <c r="O507" i="1"/>
  <c r="N509" i="1" l="1"/>
  <c r="O508" i="1"/>
  <c r="N510" i="1" l="1"/>
  <c r="O509" i="1"/>
  <c r="N511" i="1" l="1"/>
  <c r="O510" i="1"/>
  <c r="N512" i="1" l="1"/>
  <c r="O511" i="1"/>
  <c r="N513" i="1" l="1"/>
  <c r="O512" i="1"/>
  <c r="N514" i="1" l="1"/>
  <c r="O513" i="1"/>
  <c r="N515" i="1" l="1"/>
  <c r="O514" i="1"/>
  <c r="N516" i="1" l="1"/>
  <c r="O515" i="1"/>
  <c r="N517" i="1" l="1"/>
  <c r="O516" i="1"/>
  <c r="N518" i="1" l="1"/>
  <c r="O517" i="1"/>
  <c r="N519" i="1" l="1"/>
  <c r="O518" i="1"/>
  <c r="N520" i="1" l="1"/>
  <c r="O519" i="1"/>
  <c r="N521" i="1" l="1"/>
  <c r="O520" i="1"/>
  <c r="N522" i="1" l="1"/>
  <c r="O521" i="1"/>
  <c r="N523" i="1" l="1"/>
  <c r="O522" i="1"/>
  <c r="N524" i="1" l="1"/>
  <c r="O523" i="1"/>
  <c r="N525" i="1" l="1"/>
  <c r="O524" i="1"/>
  <c r="N526" i="1" l="1"/>
  <c r="O525" i="1"/>
  <c r="N527" i="1" l="1"/>
  <c r="O526" i="1"/>
  <c r="N528" i="1" l="1"/>
  <c r="O527" i="1"/>
  <c r="N529" i="1" l="1"/>
  <c r="O528" i="1"/>
  <c r="N530" i="1" l="1"/>
  <c r="O529" i="1"/>
  <c r="N531" i="1" l="1"/>
  <c r="O530" i="1"/>
  <c r="N532" i="1" l="1"/>
  <c r="O531" i="1"/>
  <c r="N533" i="1" l="1"/>
  <c r="O532" i="1"/>
  <c r="N534" i="1" l="1"/>
  <c r="O533" i="1"/>
  <c r="N535" i="1" l="1"/>
  <c r="O534" i="1"/>
  <c r="N536" i="1" l="1"/>
  <c r="O535" i="1"/>
  <c r="N537" i="1" l="1"/>
  <c r="O536" i="1"/>
  <c r="N538" i="1" l="1"/>
  <c r="O537" i="1"/>
  <c r="N539" i="1" l="1"/>
  <c r="O538" i="1"/>
  <c r="N540" i="1" l="1"/>
  <c r="O539" i="1"/>
  <c r="N541" i="1" l="1"/>
  <c r="O540" i="1"/>
  <c r="N542" i="1" l="1"/>
  <c r="O541" i="1"/>
  <c r="N543" i="1" l="1"/>
  <c r="O542" i="1"/>
  <c r="N544" i="1" l="1"/>
  <c r="O543" i="1"/>
  <c r="N545" i="1" l="1"/>
  <c r="O544" i="1"/>
  <c r="N546" i="1" l="1"/>
  <c r="O545" i="1"/>
  <c r="N547" i="1" l="1"/>
  <c r="O546" i="1"/>
  <c r="N548" i="1" l="1"/>
  <c r="O547" i="1"/>
  <c r="N549" i="1" l="1"/>
  <c r="O548" i="1"/>
  <c r="N550" i="1" l="1"/>
  <c r="O549" i="1"/>
  <c r="N551" i="1" l="1"/>
  <c r="O550" i="1"/>
  <c r="N552" i="1" l="1"/>
  <c r="O551" i="1"/>
  <c r="N553" i="1" l="1"/>
  <c r="O552" i="1"/>
  <c r="N554" i="1" l="1"/>
  <c r="O553" i="1"/>
  <c r="N555" i="1" l="1"/>
  <c r="O554" i="1"/>
  <c r="N556" i="1" l="1"/>
  <c r="O555" i="1"/>
  <c r="N557" i="1" l="1"/>
  <c r="O556" i="1"/>
  <c r="N558" i="1" l="1"/>
  <c r="O557" i="1"/>
  <c r="N559" i="1" l="1"/>
  <c r="O558" i="1"/>
  <c r="N560" i="1" l="1"/>
  <c r="O559" i="1"/>
  <c r="N561" i="1" l="1"/>
  <c r="O560" i="1"/>
  <c r="N562" i="1" l="1"/>
  <c r="O561" i="1"/>
  <c r="N563" i="1" l="1"/>
  <c r="O562" i="1"/>
  <c r="N564" i="1" l="1"/>
  <c r="O563" i="1"/>
  <c r="N565" i="1" l="1"/>
  <c r="O564" i="1"/>
  <c r="N566" i="1" l="1"/>
  <c r="O565" i="1"/>
  <c r="N567" i="1" l="1"/>
  <c r="O566" i="1"/>
  <c r="N568" i="1" l="1"/>
  <c r="O567" i="1"/>
  <c r="N569" i="1" l="1"/>
  <c r="O568" i="1"/>
  <c r="N570" i="1" l="1"/>
  <c r="O569" i="1"/>
  <c r="N571" i="1" l="1"/>
  <c r="O570" i="1"/>
  <c r="N572" i="1" l="1"/>
  <c r="O571" i="1"/>
  <c r="N573" i="1" l="1"/>
  <c r="O572" i="1"/>
  <c r="N574" i="1" l="1"/>
  <c r="O573" i="1"/>
  <c r="N575" i="1" l="1"/>
  <c r="O574" i="1"/>
  <c r="N576" i="1" l="1"/>
  <c r="O575" i="1"/>
  <c r="N577" i="1" l="1"/>
  <c r="O576" i="1"/>
  <c r="N578" i="1" l="1"/>
  <c r="O577" i="1"/>
  <c r="N579" i="1" l="1"/>
  <c r="O578" i="1"/>
  <c r="N580" i="1" l="1"/>
  <c r="O579" i="1"/>
  <c r="N581" i="1" l="1"/>
  <c r="O580" i="1"/>
  <c r="N582" i="1" l="1"/>
  <c r="O581" i="1"/>
  <c r="N583" i="1" l="1"/>
  <c r="O582" i="1"/>
  <c r="N584" i="1" l="1"/>
  <c r="O583" i="1"/>
  <c r="N585" i="1" l="1"/>
  <c r="O584" i="1"/>
  <c r="N586" i="1" l="1"/>
  <c r="O585" i="1"/>
  <c r="N587" i="1" l="1"/>
  <c r="O586" i="1"/>
  <c r="N588" i="1" l="1"/>
  <c r="O587" i="1"/>
  <c r="N589" i="1" l="1"/>
  <c r="O588" i="1"/>
  <c r="N590" i="1" l="1"/>
  <c r="O589" i="1"/>
  <c r="N591" i="1" l="1"/>
  <c r="O590" i="1"/>
  <c r="N592" i="1" l="1"/>
  <c r="O591" i="1"/>
  <c r="N593" i="1" l="1"/>
  <c r="O592" i="1"/>
  <c r="N594" i="1" l="1"/>
  <c r="O593" i="1"/>
  <c r="N595" i="1" l="1"/>
  <c r="O594" i="1"/>
  <c r="N596" i="1" l="1"/>
  <c r="O595" i="1"/>
  <c r="N597" i="1" l="1"/>
  <c r="O596" i="1"/>
  <c r="N598" i="1" l="1"/>
  <c r="O597" i="1"/>
  <c r="N599" i="1" l="1"/>
  <c r="O598" i="1"/>
  <c r="N600" i="1" l="1"/>
  <c r="O599" i="1"/>
  <c r="N601" i="1" l="1"/>
  <c r="O600" i="1"/>
  <c r="N602" i="1" l="1"/>
  <c r="O601" i="1"/>
  <c r="N603" i="1" l="1"/>
  <c r="O602" i="1"/>
  <c r="N604" i="1" l="1"/>
  <c r="O603" i="1"/>
  <c r="N605" i="1" l="1"/>
  <c r="O604" i="1"/>
  <c r="N606" i="1" l="1"/>
  <c r="O605" i="1"/>
  <c r="N607" i="1" l="1"/>
  <c r="O606" i="1"/>
  <c r="N608" i="1" l="1"/>
  <c r="O607" i="1"/>
  <c r="N609" i="1" l="1"/>
  <c r="O608" i="1"/>
  <c r="N610" i="1" l="1"/>
  <c r="O609" i="1"/>
  <c r="N611" i="1" l="1"/>
  <c r="O610" i="1"/>
  <c r="N612" i="1" l="1"/>
  <c r="O611" i="1"/>
  <c r="N613" i="1" l="1"/>
  <c r="O612" i="1"/>
  <c r="N614" i="1" l="1"/>
  <c r="O613" i="1"/>
  <c r="N615" i="1" l="1"/>
  <c r="O614" i="1"/>
  <c r="N616" i="1" l="1"/>
  <c r="O615" i="1"/>
  <c r="N617" i="1" l="1"/>
  <c r="O616" i="1"/>
  <c r="N618" i="1" l="1"/>
  <c r="O617" i="1"/>
  <c r="N619" i="1" l="1"/>
  <c r="O618" i="1"/>
  <c r="N620" i="1" l="1"/>
  <c r="O619" i="1"/>
  <c r="N621" i="1" l="1"/>
  <c r="O620" i="1"/>
  <c r="N622" i="1" l="1"/>
  <c r="O621" i="1"/>
  <c r="N623" i="1" l="1"/>
  <c r="O622" i="1"/>
  <c r="N624" i="1" l="1"/>
  <c r="O623" i="1"/>
  <c r="N625" i="1" l="1"/>
  <c r="O624" i="1"/>
  <c r="N626" i="1" l="1"/>
  <c r="O625" i="1"/>
  <c r="N627" i="1" l="1"/>
  <c r="O626" i="1"/>
  <c r="N628" i="1" l="1"/>
  <c r="O627" i="1"/>
  <c r="N629" i="1" l="1"/>
  <c r="O628" i="1"/>
  <c r="N630" i="1" l="1"/>
  <c r="O629" i="1"/>
  <c r="N631" i="1" l="1"/>
  <c r="O630" i="1"/>
  <c r="N632" i="1" l="1"/>
  <c r="O631" i="1"/>
  <c r="N633" i="1" l="1"/>
  <c r="O632" i="1"/>
  <c r="N634" i="1" l="1"/>
  <c r="O633" i="1"/>
  <c r="N635" i="1" l="1"/>
  <c r="O634" i="1"/>
  <c r="N636" i="1" l="1"/>
  <c r="O635" i="1"/>
  <c r="N637" i="1" l="1"/>
  <c r="O636" i="1"/>
  <c r="N638" i="1" l="1"/>
  <c r="O637" i="1"/>
  <c r="N639" i="1" l="1"/>
  <c r="O638" i="1"/>
  <c r="N640" i="1" l="1"/>
  <c r="O639" i="1"/>
  <c r="N641" i="1" l="1"/>
  <c r="O640" i="1"/>
  <c r="N642" i="1" l="1"/>
  <c r="O641" i="1"/>
  <c r="N643" i="1" l="1"/>
  <c r="O642" i="1"/>
  <c r="N644" i="1" l="1"/>
  <c r="O643" i="1"/>
  <c r="N645" i="1" l="1"/>
  <c r="O644" i="1"/>
  <c r="N646" i="1" l="1"/>
  <c r="O645" i="1"/>
  <c r="N647" i="1" l="1"/>
  <c r="O646" i="1"/>
  <c r="N648" i="1" l="1"/>
  <c r="O647" i="1"/>
  <c r="N649" i="1" l="1"/>
  <c r="O648" i="1"/>
  <c r="N650" i="1" l="1"/>
  <c r="O649" i="1"/>
  <c r="N651" i="1" l="1"/>
  <c r="O650" i="1"/>
  <c r="N652" i="1" l="1"/>
  <c r="O651" i="1"/>
  <c r="N653" i="1" l="1"/>
  <c r="O652" i="1"/>
  <c r="N654" i="1" l="1"/>
  <c r="O653" i="1"/>
  <c r="N655" i="1" l="1"/>
  <c r="O654" i="1"/>
  <c r="N656" i="1" l="1"/>
  <c r="O655" i="1"/>
  <c r="N657" i="1" l="1"/>
  <c r="O656" i="1"/>
  <c r="N658" i="1" l="1"/>
  <c r="O657" i="1"/>
  <c r="N659" i="1" l="1"/>
  <c r="O658" i="1"/>
  <c r="N660" i="1" l="1"/>
  <c r="O659" i="1"/>
  <c r="N661" i="1" l="1"/>
  <c r="O660" i="1"/>
  <c r="N662" i="1" l="1"/>
  <c r="O661" i="1"/>
  <c r="N663" i="1" l="1"/>
  <c r="O662" i="1"/>
  <c r="N664" i="1" l="1"/>
  <c r="O663" i="1"/>
  <c r="N665" i="1" l="1"/>
  <c r="O664" i="1"/>
  <c r="N666" i="1" l="1"/>
  <c r="O665" i="1"/>
  <c r="N667" i="1" l="1"/>
  <c r="O666" i="1"/>
  <c r="N668" i="1" l="1"/>
  <c r="O667" i="1"/>
  <c r="N669" i="1" l="1"/>
  <c r="O668" i="1"/>
  <c r="N670" i="1" l="1"/>
  <c r="O669" i="1"/>
  <c r="N671" i="1" l="1"/>
  <c r="O670" i="1"/>
  <c r="N672" i="1" l="1"/>
  <c r="O671" i="1"/>
  <c r="N673" i="1" l="1"/>
  <c r="O672" i="1"/>
  <c r="N674" i="1" l="1"/>
  <c r="O673" i="1"/>
  <c r="N675" i="1" l="1"/>
  <c r="O674" i="1"/>
  <c r="N676" i="1" l="1"/>
  <c r="O675" i="1"/>
  <c r="N677" i="1" l="1"/>
  <c r="O676" i="1"/>
  <c r="N678" i="1" l="1"/>
  <c r="O677" i="1"/>
  <c r="N679" i="1" l="1"/>
  <c r="O678" i="1"/>
  <c r="N680" i="1" l="1"/>
  <c r="O679" i="1"/>
  <c r="N681" i="1" l="1"/>
  <c r="O680" i="1"/>
  <c r="N682" i="1" l="1"/>
  <c r="O681" i="1"/>
  <c r="N683" i="1" l="1"/>
  <c r="O682" i="1"/>
  <c r="N684" i="1" l="1"/>
  <c r="O683" i="1"/>
  <c r="N685" i="1" l="1"/>
  <c r="O684" i="1"/>
  <c r="N686" i="1" l="1"/>
  <c r="O685" i="1"/>
  <c r="N687" i="1" l="1"/>
  <c r="O686" i="1"/>
  <c r="N688" i="1" l="1"/>
  <c r="O687" i="1"/>
  <c r="N689" i="1" l="1"/>
  <c r="O688" i="1"/>
  <c r="N690" i="1" l="1"/>
  <c r="O689" i="1"/>
  <c r="N691" i="1" l="1"/>
  <c r="O690" i="1"/>
  <c r="N692" i="1" l="1"/>
  <c r="O691" i="1"/>
  <c r="N693" i="1" l="1"/>
  <c r="O692" i="1"/>
  <c r="N694" i="1" l="1"/>
  <c r="O693" i="1"/>
  <c r="N695" i="1" l="1"/>
  <c r="O694" i="1"/>
  <c r="N696" i="1" l="1"/>
  <c r="O695" i="1"/>
  <c r="N697" i="1" l="1"/>
  <c r="O696" i="1"/>
  <c r="N698" i="1" l="1"/>
  <c r="O697" i="1"/>
  <c r="N699" i="1" l="1"/>
  <c r="O698" i="1"/>
  <c r="N700" i="1" l="1"/>
  <c r="O699" i="1"/>
  <c r="N701" i="1" l="1"/>
  <c r="O700" i="1"/>
  <c r="N702" i="1" l="1"/>
  <c r="O701" i="1"/>
  <c r="N703" i="1" l="1"/>
  <c r="O702" i="1"/>
  <c r="N704" i="1" l="1"/>
  <c r="O703" i="1"/>
  <c r="N705" i="1" l="1"/>
  <c r="O704" i="1"/>
  <c r="N706" i="1" l="1"/>
  <c r="O705" i="1"/>
  <c r="N707" i="1" l="1"/>
  <c r="O706" i="1"/>
  <c r="N708" i="1" l="1"/>
  <c r="O707" i="1"/>
  <c r="N709" i="1" l="1"/>
  <c r="O708" i="1"/>
  <c r="N710" i="1" l="1"/>
  <c r="O709" i="1"/>
  <c r="N711" i="1" l="1"/>
  <c r="O710" i="1"/>
  <c r="N712" i="1" l="1"/>
  <c r="O711" i="1"/>
  <c r="N713" i="1" l="1"/>
  <c r="O712" i="1"/>
  <c r="N714" i="1" l="1"/>
  <c r="O713" i="1"/>
  <c r="N715" i="1" l="1"/>
  <c r="O714" i="1"/>
  <c r="N716" i="1" l="1"/>
  <c r="O715" i="1"/>
  <c r="N717" i="1" l="1"/>
  <c r="O716" i="1"/>
  <c r="N718" i="1" l="1"/>
  <c r="O717" i="1"/>
  <c r="N719" i="1" l="1"/>
  <c r="O718" i="1"/>
  <c r="N720" i="1" l="1"/>
  <c r="O719" i="1"/>
  <c r="N721" i="1" l="1"/>
  <c r="O720" i="1"/>
  <c r="N722" i="1" l="1"/>
  <c r="O721" i="1"/>
  <c r="N723" i="1" l="1"/>
  <c r="O722" i="1"/>
  <c r="N724" i="1" l="1"/>
  <c r="O723" i="1"/>
  <c r="N725" i="1" l="1"/>
  <c r="O724" i="1"/>
  <c r="N726" i="1" l="1"/>
  <c r="O725" i="1"/>
  <c r="N727" i="1" l="1"/>
  <c r="O726" i="1"/>
  <c r="N728" i="1" l="1"/>
  <c r="O727" i="1"/>
  <c r="N729" i="1" l="1"/>
  <c r="O728" i="1"/>
  <c r="N730" i="1" l="1"/>
  <c r="O729" i="1"/>
  <c r="N731" i="1" l="1"/>
  <c r="O730" i="1"/>
  <c r="N732" i="1" l="1"/>
  <c r="O731" i="1"/>
  <c r="N733" i="1" l="1"/>
  <c r="O732" i="1"/>
  <c r="N734" i="1" l="1"/>
  <c r="O733" i="1"/>
  <c r="N735" i="1" l="1"/>
  <c r="O734" i="1"/>
  <c r="N736" i="1" l="1"/>
  <c r="O735" i="1"/>
  <c r="N737" i="1" l="1"/>
  <c r="O736" i="1"/>
  <c r="N738" i="1" l="1"/>
  <c r="O737" i="1"/>
  <c r="N739" i="1" l="1"/>
  <c r="O738" i="1"/>
  <c r="N740" i="1" l="1"/>
  <c r="O739" i="1"/>
  <c r="N741" i="1" l="1"/>
  <c r="O740" i="1"/>
  <c r="N742" i="1" l="1"/>
  <c r="O741" i="1"/>
  <c r="N743" i="1" l="1"/>
  <c r="O742" i="1"/>
  <c r="N744" i="1" l="1"/>
  <c r="O743" i="1"/>
  <c r="N745" i="1" l="1"/>
  <c r="O744" i="1"/>
  <c r="N746" i="1" l="1"/>
  <c r="O745" i="1"/>
  <c r="N747" i="1" l="1"/>
  <c r="O746" i="1"/>
  <c r="N748" i="1" l="1"/>
  <c r="O747" i="1"/>
  <c r="N749" i="1" l="1"/>
  <c r="O748" i="1"/>
  <c r="N750" i="1" l="1"/>
  <c r="O749" i="1"/>
  <c r="N751" i="1" l="1"/>
  <c r="O750" i="1"/>
  <c r="N752" i="1" l="1"/>
  <c r="O751" i="1"/>
  <c r="N753" i="1" l="1"/>
  <c r="O752" i="1"/>
  <c r="N754" i="1" l="1"/>
  <c r="O753" i="1"/>
  <c r="N755" i="1" l="1"/>
  <c r="O754" i="1"/>
  <c r="N756" i="1" l="1"/>
  <c r="O755" i="1"/>
  <c r="N757" i="1" l="1"/>
  <c r="O756" i="1"/>
  <c r="N758" i="1" l="1"/>
  <c r="O757" i="1"/>
  <c r="N759" i="1" l="1"/>
  <c r="O758" i="1"/>
  <c r="N760" i="1" l="1"/>
  <c r="O759" i="1"/>
  <c r="N761" i="1" l="1"/>
  <c r="O760" i="1"/>
  <c r="N762" i="1" l="1"/>
  <c r="O761" i="1"/>
  <c r="N763" i="1" l="1"/>
  <c r="O762" i="1"/>
  <c r="N764" i="1" l="1"/>
  <c r="O763" i="1"/>
  <c r="N765" i="1" l="1"/>
  <c r="O764" i="1"/>
  <c r="N766" i="1" l="1"/>
  <c r="O765" i="1"/>
  <c r="N767" i="1" l="1"/>
  <c r="O766" i="1"/>
  <c r="N768" i="1" l="1"/>
  <c r="O767" i="1"/>
  <c r="N769" i="1" l="1"/>
  <c r="O768" i="1"/>
  <c r="N770" i="1" l="1"/>
  <c r="O769" i="1"/>
  <c r="N771" i="1" l="1"/>
  <c r="O770" i="1"/>
  <c r="N772" i="1" l="1"/>
  <c r="O771" i="1"/>
  <c r="N773" i="1" l="1"/>
  <c r="O772" i="1"/>
  <c r="N774" i="1" l="1"/>
  <c r="O773" i="1"/>
  <c r="N775" i="1" l="1"/>
  <c r="O774" i="1"/>
  <c r="N776" i="1" l="1"/>
  <c r="O775" i="1"/>
  <c r="N777" i="1" l="1"/>
  <c r="O776" i="1"/>
  <c r="N778" i="1" l="1"/>
  <c r="O777" i="1"/>
  <c r="N779" i="1" l="1"/>
  <c r="O778" i="1"/>
  <c r="N780" i="1" l="1"/>
  <c r="O779" i="1"/>
  <c r="N781" i="1" l="1"/>
  <c r="O780" i="1"/>
  <c r="N782" i="1" l="1"/>
  <c r="O781" i="1"/>
  <c r="N783" i="1" l="1"/>
  <c r="O782" i="1"/>
  <c r="N784" i="1" l="1"/>
  <c r="O783" i="1"/>
  <c r="N785" i="1" l="1"/>
  <c r="O784" i="1"/>
  <c r="N786" i="1" l="1"/>
  <c r="O785" i="1"/>
  <c r="N787" i="1" l="1"/>
  <c r="O786" i="1"/>
  <c r="N788" i="1" l="1"/>
  <c r="O787" i="1"/>
  <c r="N789" i="1" l="1"/>
  <c r="O788" i="1"/>
  <c r="N790" i="1" l="1"/>
  <c r="O789" i="1"/>
  <c r="N791" i="1" l="1"/>
  <c r="O790" i="1"/>
  <c r="N792" i="1" l="1"/>
  <c r="O791" i="1"/>
  <c r="N793" i="1" l="1"/>
  <c r="O792" i="1"/>
  <c r="N794" i="1" l="1"/>
  <c r="O793" i="1"/>
  <c r="N795" i="1" l="1"/>
  <c r="O794" i="1"/>
  <c r="N796" i="1" l="1"/>
  <c r="O795" i="1"/>
  <c r="N797" i="1" l="1"/>
  <c r="O796" i="1"/>
  <c r="N798" i="1" l="1"/>
  <c r="O797" i="1"/>
  <c r="N799" i="1" l="1"/>
  <c r="O798" i="1"/>
  <c r="N800" i="1" l="1"/>
  <c r="O799" i="1"/>
  <c r="N801" i="1" l="1"/>
  <c r="O800" i="1"/>
  <c r="N802" i="1" l="1"/>
  <c r="O801" i="1"/>
  <c r="N803" i="1" l="1"/>
  <c r="O802" i="1"/>
  <c r="N804" i="1" l="1"/>
  <c r="O803" i="1"/>
  <c r="N805" i="1" l="1"/>
  <c r="O804" i="1"/>
  <c r="N806" i="1" l="1"/>
  <c r="O805" i="1"/>
  <c r="N807" i="1" l="1"/>
  <c r="O806" i="1"/>
  <c r="N808" i="1" l="1"/>
  <c r="O807" i="1"/>
  <c r="N809" i="1" l="1"/>
  <c r="O808" i="1"/>
  <c r="N810" i="1" l="1"/>
  <c r="O809" i="1"/>
  <c r="N811" i="1" l="1"/>
  <c r="O810" i="1"/>
  <c r="N812" i="1" l="1"/>
  <c r="O811" i="1"/>
  <c r="N813" i="1" l="1"/>
  <c r="O812" i="1"/>
  <c r="N814" i="1" l="1"/>
  <c r="O813" i="1"/>
  <c r="N815" i="1" l="1"/>
  <c r="O814" i="1"/>
  <c r="N816" i="1" l="1"/>
  <c r="O815" i="1"/>
  <c r="N817" i="1" l="1"/>
  <c r="O816" i="1"/>
  <c r="N818" i="1" l="1"/>
  <c r="O817" i="1"/>
  <c r="N819" i="1" l="1"/>
  <c r="O818" i="1"/>
  <c r="N820" i="1" l="1"/>
  <c r="O819" i="1"/>
  <c r="N821" i="1" l="1"/>
  <c r="O820" i="1"/>
  <c r="N822" i="1" l="1"/>
  <c r="O821" i="1"/>
  <c r="N823" i="1" l="1"/>
  <c r="O822" i="1"/>
  <c r="N824" i="1" l="1"/>
  <c r="O823" i="1"/>
  <c r="N825" i="1" l="1"/>
  <c r="O824" i="1"/>
  <c r="N826" i="1" l="1"/>
  <c r="O825" i="1"/>
  <c r="N827" i="1" l="1"/>
  <c r="O826" i="1"/>
  <c r="N828" i="1" l="1"/>
  <c r="O827" i="1"/>
  <c r="N829" i="1" l="1"/>
  <c r="O828" i="1"/>
  <c r="N830" i="1" l="1"/>
  <c r="O829" i="1"/>
  <c r="N831" i="1" l="1"/>
  <c r="O830" i="1"/>
  <c r="N832" i="1" l="1"/>
  <c r="O831" i="1"/>
  <c r="N833" i="1" l="1"/>
  <c r="O832" i="1"/>
  <c r="N834" i="1" l="1"/>
  <c r="O833" i="1"/>
  <c r="N835" i="1" l="1"/>
  <c r="O834" i="1"/>
  <c r="N836" i="1" l="1"/>
  <c r="O835" i="1"/>
  <c r="N837" i="1" l="1"/>
  <c r="O836" i="1"/>
  <c r="N838" i="1" l="1"/>
  <c r="O837" i="1"/>
  <c r="N839" i="1" l="1"/>
  <c r="O838" i="1"/>
  <c r="N840" i="1" l="1"/>
  <c r="O839" i="1"/>
  <c r="N841" i="1" l="1"/>
  <c r="O840" i="1"/>
  <c r="N842" i="1" l="1"/>
  <c r="O841" i="1"/>
  <c r="N843" i="1" l="1"/>
  <c r="O842" i="1"/>
  <c r="N844" i="1" l="1"/>
  <c r="O843" i="1"/>
  <c r="N845" i="1" l="1"/>
  <c r="O844" i="1"/>
  <c r="N846" i="1" l="1"/>
  <c r="O845" i="1"/>
  <c r="N847" i="1" l="1"/>
  <c r="O846" i="1"/>
  <c r="N848" i="1" l="1"/>
  <c r="O847" i="1"/>
  <c r="N849" i="1" l="1"/>
  <c r="O848" i="1"/>
  <c r="N850" i="1" l="1"/>
  <c r="O849" i="1"/>
  <c r="N851" i="1" l="1"/>
  <c r="O850" i="1"/>
  <c r="N852" i="1" l="1"/>
  <c r="O851" i="1"/>
  <c r="N853" i="1" l="1"/>
  <c r="O852" i="1"/>
  <c r="N854" i="1" l="1"/>
  <c r="O853" i="1"/>
  <c r="N855" i="1" l="1"/>
  <c r="O854" i="1"/>
  <c r="N856" i="1" l="1"/>
  <c r="O855" i="1"/>
  <c r="N857" i="1" l="1"/>
  <c r="O856" i="1"/>
  <c r="N858" i="1" l="1"/>
  <c r="O857" i="1"/>
  <c r="N859" i="1" l="1"/>
  <c r="O858" i="1"/>
  <c r="N860" i="1" l="1"/>
  <c r="O859" i="1"/>
  <c r="N861" i="1" l="1"/>
  <c r="O860" i="1"/>
  <c r="N862" i="1" l="1"/>
  <c r="O861" i="1"/>
  <c r="N863" i="1" l="1"/>
  <c r="O862" i="1"/>
  <c r="N864" i="1" l="1"/>
  <c r="O863" i="1"/>
  <c r="N865" i="1" l="1"/>
  <c r="O864" i="1"/>
  <c r="N866" i="1" l="1"/>
  <c r="O865" i="1"/>
  <c r="N867" i="1" l="1"/>
  <c r="O866" i="1"/>
  <c r="N868" i="1" l="1"/>
  <c r="O867" i="1"/>
  <c r="N869" i="1" l="1"/>
  <c r="O868" i="1"/>
  <c r="N870" i="1" l="1"/>
  <c r="O869" i="1"/>
  <c r="N871" i="1" l="1"/>
  <c r="O870" i="1"/>
  <c r="N872" i="1" l="1"/>
  <c r="O871" i="1"/>
  <c r="N873" i="1" l="1"/>
  <c r="O872" i="1"/>
  <c r="N874" i="1" l="1"/>
  <c r="O873" i="1"/>
  <c r="N875" i="1" l="1"/>
  <c r="O874" i="1"/>
  <c r="N876" i="1" l="1"/>
  <c r="O875" i="1"/>
  <c r="N877" i="1" l="1"/>
  <c r="O876" i="1"/>
  <c r="N878" i="1" l="1"/>
  <c r="O877" i="1"/>
  <c r="N879" i="1" l="1"/>
  <c r="O878" i="1"/>
  <c r="N880" i="1" l="1"/>
  <c r="O879" i="1"/>
  <c r="N881" i="1" l="1"/>
  <c r="O880" i="1"/>
  <c r="N882" i="1" l="1"/>
  <c r="O881" i="1"/>
  <c r="N883" i="1" l="1"/>
  <c r="O882" i="1"/>
  <c r="N884" i="1" l="1"/>
  <c r="O883" i="1"/>
  <c r="N885" i="1" l="1"/>
  <c r="O884" i="1"/>
  <c r="N886" i="1" l="1"/>
  <c r="O885" i="1"/>
  <c r="N887" i="1" l="1"/>
  <c r="O886" i="1"/>
  <c r="N888" i="1" l="1"/>
  <c r="O887" i="1"/>
  <c r="N889" i="1" l="1"/>
  <c r="O888" i="1"/>
  <c r="N890" i="1" l="1"/>
  <c r="O889" i="1"/>
  <c r="N891" i="1" l="1"/>
  <c r="O890" i="1"/>
  <c r="N892" i="1" l="1"/>
  <c r="O891" i="1"/>
  <c r="N893" i="1" l="1"/>
  <c r="O892" i="1"/>
  <c r="N894" i="1" l="1"/>
  <c r="O893" i="1"/>
  <c r="N895" i="1" l="1"/>
  <c r="O894" i="1"/>
  <c r="N896" i="1" l="1"/>
  <c r="O895" i="1"/>
  <c r="N897" i="1" l="1"/>
  <c r="O896" i="1"/>
  <c r="N898" i="1" l="1"/>
  <c r="O897" i="1"/>
  <c r="N899" i="1" l="1"/>
  <c r="O898" i="1"/>
  <c r="N900" i="1" l="1"/>
  <c r="O899" i="1"/>
  <c r="N901" i="1" l="1"/>
  <c r="O900" i="1"/>
  <c r="N902" i="1" l="1"/>
  <c r="O901" i="1"/>
  <c r="N903" i="1" l="1"/>
  <c r="O902" i="1"/>
  <c r="N904" i="1" l="1"/>
  <c r="O903" i="1"/>
  <c r="N905" i="1" l="1"/>
  <c r="O904" i="1"/>
  <c r="N906" i="1" l="1"/>
  <c r="O905" i="1"/>
  <c r="N907" i="1" l="1"/>
  <c r="O906" i="1"/>
  <c r="N908" i="1" l="1"/>
  <c r="O907" i="1"/>
  <c r="N909" i="1" l="1"/>
  <c r="O908" i="1"/>
  <c r="N910" i="1" l="1"/>
  <c r="O909" i="1"/>
  <c r="N911" i="1" l="1"/>
  <c r="O910" i="1"/>
  <c r="N912" i="1" l="1"/>
  <c r="O911" i="1"/>
  <c r="N913" i="1" l="1"/>
  <c r="O912" i="1"/>
  <c r="N914" i="1" l="1"/>
  <c r="O913" i="1"/>
  <c r="N915" i="1" l="1"/>
  <c r="O914" i="1"/>
  <c r="N916" i="1" l="1"/>
  <c r="O915" i="1"/>
  <c r="N917" i="1" l="1"/>
  <c r="O916" i="1"/>
  <c r="N918" i="1" l="1"/>
  <c r="O917" i="1"/>
  <c r="N919" i="1" l="1"/>
  <c r="O918" i="1"/>
  <c r="N920" i="1" l="1"/>
  <c r="O919" i="1"/>
  <c r="N921" i="1" l="1"/>
  <c r="O920" i="1"/>
  <c r="N922" i="1" l="1"/>
  <c r="O921" i="1"/>
  <c r="N923" i="1" l="1"/>
  <c r="O922" i="1"/>
  <c r="N924" i="1" l="1"/>
  <c r="O923" i="1"/>
  <c r="N925" i="1" l="1"/>
  <c r="O924" i="1"/>
  <c r="N926" i="1" l="1"/>
  <c r="O925" i="1"/>
  <c r="N927" i="1" l="1"/>
  <c r="O926" i="1"/>
  <c r="N928" i="1" l="1"/>
  <c r="O927" i="1"/>
  <c r="N929" i="1" l="1"/>
  <c r="O928" i="1"/>
  <c r="N930" i="1" l="1"/>
  <c r="O929" i="1"/>
  <c r="N931" i="1" l="1"/>
  <c r="O930" i="1"/>
  <c r="N932" i="1" l="1"/>
  <c r="O931" i="1"/>
  <c r="N933" i="1" l="1"/>
  <c r="O932" i="1"/>
  <c r="N934" i="1" l="1"/>
  <c r="O933" i="1"/>
  <c r="N935" i="1" l="1"/>
  <c r="O934" i="1"/>
  <c r="N936" i="1" l="1"/>
  <c r="O935" i="1"/>
  <c r="N937" i="1" l="1"/>
  <c r="O936" i="1"/>
  <c r="N938" i="1" l="1"/>
  <c r="O937" i="1"/>
  <c r="N939" i="1" l="1"/>
  <c r="O938" i="1"/>
  <c r="N940" i="1" l="1"/>
  <c r="O939" i="1"/>
  <c r="N941" i="1" l="1"/>
  <c r="O940" i="1"/>
  <c r="N942" i="1" l="1"/>
  <c r="O941" i="1"/>
  <c r="N943" i="1" l="1"/>
  <c r="O942" i="1"/>
  <c r="N944" i="1" l="1"/>
  <c r="O943" i="1"/>
  <c r="N945" i="1" l="1"/>
  <c r="O944" i="1"/>
  <c r="N946" i="1" l="1"/>
  <c r="O945" i="1"/>
  <c r="N947" i="1" l="1"/>
  <c r="O946" i="1"/>
  <c r="N948" i="1" l="1"/>
  <c r="O947" i="1"/>
  <c r="N949" i="1" l="1"/>
  <c r="O948" i="1"/>
  <c r="N950" i="1" l="1"/>
  <c r="O949" i="1"/>
  <c r="N951" i="1" l="1"/>
  <c r="O950" i="1"/>
  <c r="N952" i="1" l="1"/>
  <c r="O951" i="1"/>
  <c r="N953" i="1" l="1"/>
  <c r="O952" i="1"/>
  <c r="N954" i="1" l="1"/>
  <c r="O953" i="1"/>
  <c r="N955" i="1" l="1"/>
  <c r="O954" i="1"/>
  <c r="N956" i="1" l="1"/>
  <c r="O955" i="1"/>
  <c r="N957" i="1" l="1"/>
  <c r="O956" i="1"/>
  <c r="N958" i="1" l="1"/>
  <c r="O957" i="1"/>
  <c r="N959" i="1" l="1"/>
  <c r="O958" i="1"/>
  <c r="N960" i="1" l="1"/>
  <c r="O959" i="1"/>
  <c r="N961" i="1" l="1"/>
  <c r="O960" i="1"/>
  <c r="N962" i="1" l="1"/>
  <c r="O961" i="1"/>
  <c r="N963" i="1" l="1"/>
  <c r="O962" i="1"/>
  <c r="N964" i="1" l="1"/>
  <c r="O963" i="1"/>
  <c r="N965" i="1" l="1"/>
  <c r="O964" i="1"/>
  <c r="N966" i="1" l="1"/>
  <c r="O965" i="1"/>
  <c r="N967" i="1" l="1"/>
  <c r="O966" i="1"/>
  <c r="N968" i="1" l="1"/>
  <c r="O967" i="1"/>
  <c r="N969" i="1" l="1"/>
  <c r="O968" i="1"/>
  <c r="N970" i="1" l="1"/>
  <c r="O969" i="1"/>
  <c r="N971" i="1" l="1"/>
  <c r="O970" i="1"/>
  <c r="N972" i="1" l="1"/>
  <c r="O971" i="1"/>
  <c r="N973" i="1" l="1"/>
  <c r="O972" i="1"/>
  <c r="N974" i="1" l="1"/>
  <c r="O973" i="1"/>
  <c r="N975" i="1" l="1"/>
  <c r="O974" i="1"/>
  <c r="N976" i="1" l="1"/>
  <c r="O975" i="1"/>
  <c r="N977" i="1" l="1"/>
  <c r="O976" i="1"/>
  <c r="N978" i="1" l="1"/>
  <c r="O977" i="1"/>
  <c r="N979" i="1" l="1"/>
  <c r="O978" i="1"/>
  <c r="N980" i="1" l="1"/>
  <c r="O979" i="1"/>
  <c r="N981" i="1" l="1"/>
  <c r="O980" i="1"/>
  <c r="N982" i="1" l="1"/>
  <c r="O981" i="1"/>
  <c r="N983" i="1" l="1"/>
  <c r="O982" i="1"/>
  <c r="N984" i="1" l="1"/>
  <c r="O983" i="1"/>
  <c r="N985" i="1" l="1"/>
  <c r="O984" i="1"/>
  <c r="N986" i="1" l="1"/>
  <c r="O985" i="1"/>
  <c r="N987" i="1" l="1"/>
  <c r="O986" i="1"/>
  <c r="N988" i="1" l="1"/>
  <c r="O987" i="1"/>
  <c r="N989" i="1" l="1"/>
  <c r="O988" i="1"/>
  <c r="N990" i="1" l="1"/>
  <c r="O989" i="1"/>
  <c r="N991" i="1" l="1"/>
  <c r="O990" i="1"/>
  <c r="N992" i="1" l="1"/>
  <c r="O991" i="1"/>
  <c r="N993" i="1" l="1"/>
  <c r="O992" i="1"/>
  <c r="N994" i="1" l="1"/>
  <c r="O993" i="1"/>
  <c r="N995" i="1" l="1"/>
  <c r="O994" i="1"/>
  <c r="N996" i="1" l="1"/>
  <c r="O995" i="1"/>
  <c r="N997" i="1" l="1"/>
  <c r="O996" i="1"/>
  <c r="N998" i="1" l="1"/>
  <c r="O997" i="1"/>
  <c r="N999" i="1" l="1"/>
  <c r="O998" i="1"/>
  <c r="N1000" i="1" l="1"/>
  <c r="O999" i="1"/>
  <c r="N1001" i="1" l="1"/>
  <c r="O1000" i="1"/>
  <c r="N1002" i="1" l="1"/>
  <c r="O1001" i="1"/>
  <c r="N1003" i="1" l="1"/>
  <c r="O1002" i="1"/>
  <c r="N1004" i="1" l="1"/>
  <c r="O1003" i="1"/>
  <c r="N1005" i="1" l="1"/>
  <c r="O1004" i="1"/>
  <c r="N1006" i="1" l="1"/>
  <c r="O1005" i="1"/>
  <c r="N1007" i="1" l="1"/>
  <c r="O1006" i="1"/>
  <c r="N1008" i="1" l="1"/>
  <c r="O1007" i="1"/>
  <c r="N1009" i="1" l="1"/>
  <c r="O1008" i="1"/>
  <c r="N1010" i="1" l="1"/>
  <c r="O1009" i="1"/>
  <c r="N1011" i="1" l="1"/>
  <c r="O1010" i="1"/>
  <c r="N1012" i="1" l="1"/>
  <c r="O1011" i="1"/>
  <c r="N1013" i="1" l="1"/>
  <c r="O1012" i="1"/>
  <c r="N1014" i="1" l="1"/>
  <c r="O1013" i="1"/>
  <c r="N1015" i="1" l="1"/>
  <c r="O1014" i="1"/>
  <c r="N1016" i="1" l="1"/>
  <c r="O1015" i="1"/>
  <c r="N1017" i="1" l="1"/>
  <c r="O1016" i="1"/>
  <c r="N1018" i="1" l="1"/>
  <c r="O1017" i="1"/>
  <c r="N1019" i="1" l="1"/>
  <c r="O1018" i="1"/>
  <c r="N1020" i="1" l="1"/>
  <c r="O1019" i="1"/>
  <c r="N1021" i="1" l="1"/>
  <c r="O1020" i="1"/>
  <c r="N1022" i="1" l="1"/>
  <c r="O1021" i="1"/>
  <c r="N1023" i="1" l="1"/>
  <c r="O1022" i="1"/>
  <c r="N1024" i="1" l="1"/>
  <c r="O1023" i="1"/>
  <c r="N1025" i="1" l="1"/>
  <c r="O1024" i="1"/>
  <c r="N1026" i="1" l="1"/>
  <c r="O1025" i="1"/>
  <c r="N1027" i="1" l="1"/>
  <c r="O1026" i="1"/>
  <c r="N1028" i="1" l="1"/>
  <c r="O1027" i="1"/>
  <c r="N1029" i="1" l="1"/>
  <c r="O1028" i="1"/>
  <c r="N1030" i="1" l="1"/>
  <c r="O1029" i="1"/>
  <c r="N1031" i="1" l="1"/>
  <c r="O1030" i="1"/>
  <c r="N1032" i="1" l="1"/>
  <c r="O1031" i="1"/>
  <c r="N1033" i="1" l="1"/>
  <c r="O1032" i="1"/>
  <c r="N1034" i="1" l="1"/>
  <c r="O1033" i="1"/>
  <c r="N1035" i="1" l="1"/>
  <c r="O1034" i="1"/>
  <c r="N1036" i="1" l="1"/>
  <c r="O1035" i="1"/>
  <c r="N1037" i="1" l="1"/>
  <c r="O1036" i="1"/>
  <c r="N1038" i="1" l="1"/>
  <c r="O1037" i="1"/>
  <c r="N1039" i="1" l="1"/>
  <c r="O1038" i="1"/>
  <c r="N1040" i="1" l="1"/>
  <c r="O1039" i="1"/>
  <c r="N1041" i="1" l="1"/>
  <c r="O1040" i="1"/>
  <c r="N1042" i="1" l="1"/>
  <c r="O1041" i="1"/>
  <c r="N1043" i="1" l="1"/>
  <c r="O1042" i="1"/>
  <c r="N1044" i="1" l="1"/>
  <c r="O1043" i="1"/>
  <c r="N1045" i="1" l="1"/>
  <c r="O1044" i="1"/>
  <c r="N1046" i="1" l="1"/>
  <c r="O1045" i="1"/>
  <c r="N1047" i="1" l="1"/>
  <c r="O1046" i="1"/>
  <c r="N1048" i="1" l="1"/>
  <c r="O1047" i="1"/>
  <c r="N1049" i="1" l="1"/>
  <c r="O1048" i="1"/>
  <c r="N1050" i="1" l="1"/>
  <c r="O1049" i="1"/>
  <c r="N1051" i="1" l="1"/>
  <c r="O1050" i="1"/>
  <c r="N1052" i="1" l="1"/>
  <c r="O1051" i="1"/>
  <c r="N1053" i="1" l="1"/>
  <c r="O1052" i="1"/>
  <c r="N1054" i="1" l="1"/>
  <c r="O1053" i="1"/>
  <c r="N1055" i="1" l="1"/>
  <c r="O1054" i="1"/>
  <c r="N1056" i="1" l="1"/>
  <c r="O1055" i="1"/>
  <c r="N1057" i="1" l="1"/>
  <c r="O1056" i="1"/>
  <c r="N1058" i="1" l="1"/>
  <c r="O1057" i="1"/>
  <c r="N1059" i="1" l="1"/>
  <c r="O1058" i="1"/>
  <c r="N1060" i="1" l="1"/>
  <c r="O1059" i="1"/>
  <c r="N1061" i="1" l="1"/>
  <c r="O1060" i="1"/>
  <c r="N1062" i="1" l="1"/>
  <c r="O1061" i="1"/>
  <c r="N1063" i="1" l="1"/>
  <c r="O1062" i="1"/>
  <c r="N1064" i="1" l="1"/>
  <c r="O1063" i="1"/>
  <c r="N1065" i="1" l="1"/>
  <c r="O1064" i="1"/>
  <c r="N1066" i="1" l="1"/>
  <c r="O1065" i="1"/>
  <c r="N1067" i="1" l="1"/>
  <c r="O1066" i="1"/>
  <c r="N1068" i="1" l="1"/>
  <c r="O1067" i="1"/>
  <c r="N1069" i="1" l="1"/>
  <c r="O1068" i="1"/>
  <c r="N1070" i="1" l="1"/>
  <c r="O1069" i="1"/>
  <c r="N1071" i="1" l="1"/>
  <c r="O1070" i="1"/>
  <c r="N1072" i="1" l="1"/>
  <c r="O1071" i="1"/>
  <c r="N1073" i="1" l="1"/>
  <c r="O1072" i="1"/>
  <c r="N1074" i="1" l="1"/>
  <c r="O1073" i="1"/>
  <c r="N1075" i="1" l="1"/>
  <c r="O1074" i="1"/>
  <c r="N1076" i="1" l="1"/>
  <c r="O1075" i="1"/>
  <c r="N1077" i="1" l="1"/>
  <c r="O1076" i="1"/>
  <c r="N1078" i="1" l="1"/>
  <c r="O1077" i="1"/>
  <c r="N1079" i="1" l="1"/>
  <c r="O1078" i="1"/>
  <c r="N1080" i="1" l="1"/>
  <c r="O1079" i="1"/>
  <c r="N1081" i="1" l="1"/>
  <c r="O1080" i="1"/>
  <c r="N1082" i="1" l="1"/>
  <c r="O1081" i="1"/>
  <c r="N1083" i="1" l="1"/>
  <c r="O1082" i="1"/>
  <c r="N1084" i="1" l="1"/>
  <c r="O1083" i="1"/>
  <c r="N1085" i="1" l="1"/>
  <c r="O1084" i="1"/>
  <c r="N1086" i="1" l="1"/>
  <c r="O1085" i="1"/>
  <c r="N1087" i="1" l="1"/>
  <c r="O1086" i="1"/>
  <c r="N1088" i="1" l="1"/>
  <c r="O1087" i="1"/>
  <c r="N1089" i="1" l="1"/>
  <c r="O1088" i="1"/>
  <c r="N1090" i="1" l="1"/>
  <c r="O1089" i="1"/>
  <c r="N1091" i="1" l="1"/>
  <c r="O1090" i="1"/>
  <c r="N1092" i="1" l="1"/>
  <c r="O1091" i="1"/>
  <c r="N1093" i="1" l="1"/>
  <c r="O1092" i="1"/>
  <c r="N1094" i="1" l="1"/>
  <c r="O1093" i="1"/>
  <c r="N1095" i="1" l="1"/>
  <c r="O1094" i="1"/>
  <c r="N1096" i="1" l="1"/>
  <c r="O1095" i="1"/>
  <c r="N1097" i="1" l="1"/>
  <c r="O1096" i="1"/>
  <c r="N1098" i="1" l="1"/>
  <c r="O1097" i="1"/>
  <c r="N1099" i="1" l="1"/>
  <c r="O1098" i="1"/>
  <c r="N1100" i="1" l="1"/>
  <c r="O1099" i="1"/>
  <c r="N1101" i="1" l="1"/>
  <c r="O1100" i="1"/>
  <c r="N1102" i="1" l="1"/>
  <c r="O1101" i="1"/>
  <c r="N1103" i="1" l="1"/>
  <c r="O1102" i="1"/>
  <c r="N1104" i="1" l="1"/>
  <c r="O1103" i="1"/>
  <c r="N1105" i="1" l="1"/>
  <c r="O1104" i="1"/>
  <c r="N1106" i="1" l="1"/>
  <c r="O1105" i="1"/>
  <c r="N1107" i="1" l="1"/>
  <c r="O1106" i="1"/>
  <c r="N1108" i="1" l="1"/>
  <c r="O1107" i="1"/>
  <c r="N1109" i="1" l="1"/>
  <c r="O1108" i="1"/>
  <c r="N1110" i="1" l="1"/>
  <c r="O1109" i="1"/>
  <c r="N1111" i="1" l="1"/>
  <c r="O1110" i="1"/>
  <c r="N1112" i="1" l="1"/>
  <c r="O1111" i="1"/>
  <c r="N1113" i="1" l="1"/>
  <c r="O1112" i="1"/>
  <c r="N1114" i="1" l="1"/>
  <c r="O1113" i="1"/>
  <c r="N1115" i="1" l="1"/>
  <c r="O1114" i="1"/>
  <c r="N1116" i="1" l="1"/>
  <c r="O1115" i="1"/>
  <c r="N1117" i="1" l="1"/>
  <c r="O1116" i="1"/>
  <c r="N1118" i="1" l="1"/>
  <c r="O1117" i="1"/>
  <c r="N1119" i="1" l="1"/>
  <c r="O1118" i="1"/>
  <c r="N1120" i="1" l="1"/>
  <c r="O1119" i="1"/>
  <c r="N1121" i="1" l="1"/>
  <c r="O1120" i="1"/>
  <c r="N1122" i="1" l="1"/>
  <c r="O1121" i="1"/>
  <c r="N1123" i="1" l="1"/>
  <c r="O1122" i="1"/>
  <c r="N1124" i="1" l="1"/>
  <c r="O1123" i="1"/>
  <c r="N1125" i="1" l="1"/>
  <c r="O1124" i="1"/>
  <c r="N1126" i="1" l="1"/>
  <c r="O1125" i="1"/>
  <c r="N1127" i="1" l="1"/>
  <c r="O1126" i="1"/>
  <c r="N1128" i="1" l="1"/>
  <c r="O1127" i="1"/>
  <c r="N1129" i="1" l="1"/>
  <c r="O1128" i="1"/>
  <c r="N1130" i="1" l="1"/>
  <c r="O1129" i="1"/>
  <c r="N1131" i="1" l="1"/>
  <c r="O1130" i="1"/>
  <c r="N1132" i="1" l="1"/>
  <c r="O1131" i="1"/>
  <c r="N1133" i="1" l="1"/>
  <c r="O1132" i="1"/>
  <c r="N1134" i="1" l="1"/>
  <c r="O1133" i="1"/>
  <c r="N1135" i="1" l="1"/>
  <c r="O1134" i="1"/>
  <c r="N1136" i="1" l="1"/>
  <c r="O1135" i="1"/>
  <c r="N1137" i="1" l="1"/>
  <c r="O1136" i="1"/>
  <c r="N1138" i="1" l="1"/>
  <c r="O1137" i="1"/>
  <c r="N1139" i="1" l="1"/>
  <c r="O1138" i="1"/>
  <c r="N1140" i="1" l="1"/>
  <c r="O1139" i="1"/>
  <c r="N1141" i="1" l="1"/>
  <c r="O1140" i="1"/>
  <c r="N1142" i="1" l="1"/>
  <c r="O1141" i="1"/>
  <c r="N1143" i="1" l="1"/>
  <c r="O1142" i="1"/>
  <c r="N1144" i="1" l="1"/>
  <c r="O1143" i="1"/>
  <c r="N1145" i="1" l="1"/>
  <c r="O1144" i="1"/>
  <c r="N1146" i="1" l="1"/>
  <c r="O1145" i="1"/>
  <c r="N1147" i="1" l="1"/>
  <c r="O1146" i="1"/>
  <c r="N1148" i="1" l="1"/>
  <c r="O1147" i="1"/>
  <c r="N1149" i="1" l="1"/>
  <c r="O1148" i="1"/>
  <c r="N1150" i="1" l="1"/>
  <c r="O1149" i="1"/>
  <c r="N1151" i="1" l="1"/>
  <c r="O1150" i="1"/>
  <c r="N1152" i="1" l="1"/>
  <c r="O1151" i="1"/>
  <c r="N1153" i="1" l="1"/>
  <c r="O1152" i="1"/>
  <c r="N1154" i="1" l="1"/>
  <c r="O1153" i="1"/>
  <c r="N1155" i="1" l="1"/>
  <c r="O1154" i="1"/>
  <c r="N1156" i="1" l="1"/>
  <c r="O1155" i="1"/>
  <c r="N1157" i="1" l="1"/>
  <c r="O1156" i="1"/>
  <c r="N1158" i="1" l="1"/>
  <c r="O1157" i="1"/>
  <c r="N1159" i="1" l="1"/>
  <c r="O1158" i="1"/>
  <c r="N1160" i="1" l="1"/>
  <c r="O1159" i="1"/>
  <c r="N1161" i="1" l="1"/>
  <c r="O1160" i="1"/>
  <c r="N1162" i="1" l="1"/>
  <c r="O1161" i="1"/>
  <c r="N1163" i="1" l="1"/>
  <c r="O1162" i="1"/>
  <c r="N1164" i="1" l="1"/>
  <c r="O1163" i="1"/>
  <c r="N1165" i="1" l="1"/>
  <c r="O1164" i="1"/>
  <c r="N1166" i="1" l="1"/>
  <c r="O1165" i="1"/>
  <c r="N1167" i="1" l="1"/>
  <c r="O1166" i="1"/>
  <c r="N1168" i="1" l="1"/>
  <c r="O1167" i="1"/>
  <c r="N1169" i="1" l="1"/>
  <c r="O1168" i="1"/>
  <c r="N1170" i="1" l="1"/>
  <c r="O1169" i="1"/>
  <c r="N1171" i="1" l="1"/>
  <c r="O1170" i="1"/>
  <c r="N1172" i="1" l="1"/>
  <c r="O1171" i="1"/>
  <c r="N1173" i="1" l="1"/>
  <c r="O1172" i="1"/>
  <c r="N1174" i="1" l="1"/>
  <c r="O1173" i="1"/>
  <c r="N1175" i="1" l="1"/>
  <c r="O1174" i="1"/>
  <c r="N1176" i="1" l="1"/>
  <c r="O1175" i="1"/>
  <c r="N1177" i="1" l="1"/>
  <c r="O1176" i="1"/>
  <c r="N1178" i="1" l="1"/>
  <c r="O1177" i="1"/>
  <c r="N1179" i="1" l="1"/>
  <c r="O1178" i="1"/>
  <c r="N1180" i="1" l="1"/>
  <c r="O1179" i="1"/>
  <c r="N1181" i="1" l="1"/>
  <c r="O1180" i="1"/>
  <c r="N1182" i="1" l="1"/>
  <c r="O1181" i="1"/>
  <c r="N1183" i="1" l="1"/>
  <c r="O1182" i="1"/>
  <c r="N1184" i="1" l="1"/>
  <c r="O1183" i="1"/>
  <c r="N1185" i="1" l="1"/>
  <c r="O1184" i="1"/>
  <c r="N1186" i="1" l="1"/>
  <c r="O1185" i="1"/>
  <c r="N1187" i="1" l="1"/>
  <c r="O1186" i="1"/>
  <c r="N1188" i="1" l="1"/>
  <c r="O1187" i="1"/>
  <c r="N1189" i="1" l="1"/>
  <c r="O1188" i="1"/>
  <c r="N1190" i="1" l="1"/>
  <c r="O1189" i="1"/>
  <c r="N1191" i="1" l="1"/>
  <c r="O1190" i="1"/>
  <c r="N1192" i="1" l="1"/>
  <c r="O1191" i="1"/>
  <c r="N1193" i="1" l="1"/>
  <c r="O1192" i="1"/>
  <c r="N1194" i="1" l="1"/>
  <c r="O1193" i="1"/>
  <c r="N1195" i="1" l="1"/>
  <c r="O1194" i="1"/>
  <c r="N1196" i="1" l="1"/>
  <c r="O1195" i="1"/>
  <c r="N1197" i="1" l="1"/>
  <c r="O1196" i="1"/>
  <c r="N1198" i="1" l="1"/>
  <c r="O1197" i="1"/>
  <c r="N1199" i="1" l="1"/>
  <c r="O1198" i="1"/>
  <c r="N1200" i="1" l="1"/>
  <c r="O1199" i="1"/>
  <c r="N1201" i="1" l="1"/>
  <c r="O1200" i="1"/>
  <c r="N1202" i="1" l="1"/>
  <c r="O1201" i="1"/>
  <c r="N1203" i="1" l="1"/>
  <c r="O1202" i="1"/>
  <c r="N1204" i="1" l="1"/>
  <c r="O1203" i="1"/>
  <c r="N1205" i="1" l="1"/>
  <c r="O1204" i="1"/>
  <c r="N1206" i="1" l="1"/>
  <c r="O1205" i="1"/>
  <c r="N1207" i="1" l="1"/>
  <c r="O1206" i="1"/>
  <c r="N1208" i="1" l="1"/>
  <c r="O1207" i="1"/>
  <c r="N1209" i="1" l="1"/>
  <c r="O1208" i="1"/>
  <c r="N1210" i="1" l="1"/>
  <c r="O1209" i="1"/>
  <c r="N1211" i="1" l="1"/>
  <c r="O1210" i="1"/>
  <c r="N1212" i="1" l="1"/>
  <c r="O1211" i="1"/>
  <c r="N1213" i="1" l="1"/>
  <c r="O1212" i="1"/>
  <c r="N1214" i="1" l="1"/>
  <c r="O1213" i="1"/>
  <c r="N1215" i="1" l="1"/>
  <c r="O1214" i="1"/>
  <c r="N1216" i="1" l="1"/>
  <c r="O1215" i="1"/>
  <c r="N1217" i="1" l="1"/>
  <c r="O1216" i="1"/>
  <c r="N1218" i="1" l="1"/>
  <c r="O1217" i="1"/>
  <c r="N1219" i="1" l="1"/>
  <c r="O1218" i="1"/>
  <c r="N1220" i="1" l="1"/>
  <c r="O1219" i="1"/>
  <c r="N1221" i="1" l="1"/>
  <c r="O1220" i="1"/>
  <c r="N1222" i="1" l="1"/>
  <c r="O1221" i="1"/>
  <c r="N1223" i="1" l="1"/>
  <c r="O1222" i="1"/>
  <c r="N1224" i="1" l="1"/>
  <c r="O1223" i="1"/>
  <c r="N1225" i="1" l="1"/>
  <c r="O1224" i="1"/>
  <c r="N1226" i="1" l="1"/>
  <c r="O1225" i="1"/>
  <c r="N1227" i="1" l="1"/>
  <c r="O1226" i="1"/>
  <c r="N1228" i="1" l="1"/>
  <c r="O1227" i="1"/>
  <c r="N1229" i="1" l="1"/>
  <c r="O1228" i="1"/>
  <c r="N1230" i="1" l="1"/>
  <c r="O1229" i="1"/>
  <c r="N1231" i="1" l="1"/>
  <c r="O1230" i="1"/>
  <c r="N1232" i="1" l="1"/>
  <c r="O1231" i="1"/>
  <c r="N1233" i="1" l="1"/>
  <c r="O1232" i="1"/>
  <c r="N1234" i="1" l="1"/>
  <c r="O1233" i="1"/>
  <c r="N1235" i="1" l="1"/>
  <c r="O1234" i="1"/>
  <c r="N1236" i="1" l="1"/>
  <c r="O1235" i="1"/>
  <c r="N1237" i="1" l="1"/>
  <c r="O1236" i="1"/>
  <c r="N1238" i="1" l="1"/>
  <c r="O1237" i="1"/>
  <c r="N1239" i="1" l="1"/>
  <c r="O1238" i="1"/>
  <c r="N1240" i="1" l="1"/>
  <c r="O1239" i="1"/>
  <c r="P2" i="1" l="1"/>
  <c r="O1240" i="1"/>
</calcChain>
</file>

<file path=xl/sharedStrings.xml><?xml version="1.0" encoding="utf-8"?>
<sst xmlns="http://schemas.openxmlformats.org/spreadsheetml/2006/main" count="623" uniqueCount="55">
  <si>
    <t xml:space="preserve">Date </t>
  </si>
  <si>
    <t xml:space="preserve">Open </t>
  </si>
  <si>
    <t xml:space="preserve">High </t>
  </si>
  <si>
    <t xml:space="preserve">Low </t>
  </si>
  <si>
    <t xml:space="preserve">Close </t>
  </si>
  <si>
    <t xml:space="preserve">Shares Traded </t>
  </si>
  <si>
    <t>Turnover (₹ Cr)</t>
  </si>
  <si>
    <t>Row Labels</t>
  </si>
  <si>
    <t>Grand Total</t>
  </si>
  <si>
    <t>2021</t>
  </si>
  <si>
    <t>2022</t>
  </si>
  <si>
    <t>2023</t>
  </si>
  <si>
    <t>2024</t>
  </si>
  <si>
    <t>2025</t>
  </si>
  <si>
    <t xml:space="preserve">Sum of Shares Traded </t>
  </si>
  <si>
    <t>Jan</t>
  </si>
  <si>
    <t>Feb</t>
  </si>
  <si>
    <t>Mar</t>
  </si>
  <si>
    <t>Column Labels</t>
  </si>
  <si>
    <t>Apr</t>
  </si>
  <si>
    <t>May</t>
  </si>
  <si>
    <t>Jun</t>
  </si>
  <si>
    <t>Jul</t>
  </si>
  <si>
    <t>Aug</t>
  </si>
  <si>
    <t>Sep</t>
  </si>
  <si>
    <t>Oct</t>
  </si>
  <si>
    <t>Nov</t>
  </si>
  <si>
    <t>Dec</t>
  </si>
  <si>
    <t>20 Day moving average</t>
  </si>
  <si>
    <t>-</t>
  </si>
  <si>
    <t>50 Day moving average</t>
  </si>
  <si>
    <t xml:space="preserve">Max of Close </t>
  </si>
  <si>
    <t>Daily Return</t>
  </si>
  <si>
    <t>In %age terms</t>
  </si>
  <si>
    <t>Sum of In %age terms</t>
  </si>
  <si>
    <t>Running peak</t>
  </si>
  <si>
    <t>Drawdown %age</t>
  </si>
  <si>
    <t>Maximum drawdown</t>
  </si>
  <si>
    <t>Volatality for 5 years</t>
  </si>
  <si>
    <t>200 Day moving average</t>
  </si>
  <si>
    <t xml:space="preserve">Average of Shares Traded </t>
  </si>
  <si>
    <t>Min of Close 2</t>
  </si>
  <si>
    <t>Starting Closing Price</t>
  </si>
  <si>
    <t>Ending Closing Price</t>
  </si>
  <si>
    <t>%age of Yearly Returns</t>
  </si>
  <si>
    <t>Years</t>
  </si>
  <si>
    <t>ending price</t>
  </si>
  <si>
    <t>5-year return</t>
  </si>
  <si>
    <t>5-year high</t>
  </si>
  <si>
    <t>5-year low</t>
  </si>
  <si>
    <t>average volume</t>
  </si>
  <si>
    <t>volatality</t>
  </si>
  <si>
    <t>max drawdown</t>
  </si>
  <si>
    <t>starting price</t>
  </si>
  <si>
    <t>KPI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</si>
</sst>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
    <numFmt numFmtId="165" formatCode="0.000000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B0F0"/>
        <bgColor indexed="64"/>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0" xfId="0" applyAlignment="1">
      <alignment horizontal="center" vertical="center"/>
    </xf>
    <xf numFmtId="0" fontId="0" fillId="0" borderId="10" xfId="0" applyBorder="1" applyAlignment="1">
      <alignment horizontal="center" vertical="center"/>
    </xf>
    <xf numFmtId="15" fontId="0" fillId="0" borderId="10" xfId="0" applyNumberFormat="1" applyBorder="1" applyAlignment="1">
      <alignment horizontal="center" vertical="center"/>
    </xf>
    <xf numFmtId="0" fontId="16" fillId="33" borderId="10" xfId="0" applyFont="1" applyFill="1" applyBorder="1" applyAlignment="1">
      <alignment horizontal="center" vertical="center"/>
    </xf>
    <xf numFmtId="0" fontId="0" fillId="0" borderId="0" xfId="0" pivotButton="1" applyAlignment="1">
      <alignment horizontal="center" vertical="center"/>
    </xf>
    <xf numFmtId="0" fontId="16" fillId="33" borderId="11" xfId="0" applyFont="1" applyFill="1" applyBorder="1" applyAlignment="1">
      <alignment horizontal="center" vertical="center"/>
    </xf>
    <xf numFmtId="164" fontId="0" fillId="0" borderId="10" xfId="2" applyNumberFormat="1" applyFont="1" applyBorder="1" applyAlignment="1">
      <alignment horizontal="center" vertical="center"/>
    </xf>
    <xf numFmtId="164" fontId="0" fillId="0" borderId="0" xfId="0" applyNumberFormat="1" applyAlignment="1">
      <alignment horizontal="center" vertical="center"/>
    </xf>
    <xf numFmtId="0" fontId="0" fillId="0" borderId="10" xfId="0" applyBorder="1"/>
    <xf numFmtId="165" fontId="16" fillId="34" borderId="10" xfId="2" applyNumberFormat="1" applyFont="1" applyFill="1" applyBorder="1" applyAlignment="1">
      <alignment horizontal="center" vertical="center"/>
    </xf>
    <xf numFmtId="0" fontId="16" fillId="33" borderId="10" xfId="0" applyFont="1" applyFill="1" applyBorder="1"/>
    <xf numFmtId="10" fontId="16" fillId="34" borderId="10" xfId="2" applyNumberFormat="1" applyFont="1" applyFill="1" applyBorder="1" applyAlignment="1">
      <alignment horizontal="center" vertical="center"/>
    </xf>
    <xf numFmtId="0" fontId="0" fillId="0" borderId="12" xfId="0" applyBorder="1" applyAlignment="1">
      <alignment horizontal="center" vertical="center"/>
    </xf>
    <xf numFmtId="15" fontId="0" fillId="0" borderId="0" xfId="0" applyNumberFormat="1" applyAlignment="1">
      <alignment horizontal="center" vertical="center"/>
    </xf>
    <xf numFmtId="10" fontId="0" fillId="0" borderId="10" xfId="2" applyNumberFormat="1" applyFont="1" applyBorder="1" applyAlignment="1">
      <alignment horizontal="center" vertical="center"/>
    </xf>
    <xf numFmtId="2" fontId="0" fillId="0" borderId="10" xfId="0" applyNumberFormat="1" applyBorder="1" applyAlignment="1">
      <alignment horizontal="center" vertical="center"/>
    </xf>
    <xf numFmtId="166" fontId="0" fillId="0" borderId="10" xfId="1" applyNumberFormat="1" applyFont="1" applyBorder="1" applyAlignment="1">
      <alignment horizontal="center" vertical="center"/>
    </xf>
    <xf numFmtId="0" fontId="19" fillId="35" borderId="10" xfId="0" applyFont="1" applyFill="1" applyBorder="1" applyAlignment="1">
      <alignment horizontal="center" vertical="center"/>
    </xf>
    <xf numFmtId="0" fontId="0" fillId="0" borderId="10"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46">
    <dxf>
      <font>
        <color theme="0"/>
      </font>
      <fill>
        <patternFill>
          <bgColor theme="1" tint="4.9989318521683403E-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Drawdown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'Drawdown Data'!$B$1</c:f>
              <c:strCache>
                <c:ptCount val="1"/>
                <c:pt idx="0">
                  <c:v>Drawdown %age</c:v>
                </c:pt>
              </c:strCache>
            </c:strRef>
          </c:tx>
          <c:spPr>
            <a:solidFill>
              <a:schemeClr val="accent1"/>
            </a:solidFill>
            <a:ln>
              <a:noFill/>
            </a:ln>
            <a:effectLst/>
          </c:spPr>
          <c:cat>
            <c:numRef>
              <c:f>'Drawdown Data'!$A$2:$A$1240</c:f>
              <c:numCache>
                <c:formatCode>d\-mmm\-yy</c:formatCode>
                <c:ptCount val="1239"/>
                <c:pt idx="0">
                  <c:v>44197</c:v>
                </c:pt>
                <c:pt idx="1">
                  <c:v>44200</c:v>
                </c:pt>
                <c:pt idx="2">
                  <c:v>44201</c:v>
                </c:pt>
                <c:pt idx="3">
                  <c:v>44202</c:v>
                </c:pt>
                <c:pt idx="4">
                  <c:v>44203</c:v>
                </c:pt>
                <c:pt idx="5">
                  <c:v>44204</c:v>
                </c:pt>
                <c:pt idx="6">
                  <c:v>44207</c:v>
                </c:pt>
                <c:pt idx="7">
                  <c:v>44208</c:v>
                </c:pt>
                <c:pt idx="8">
                  <c:v>44209</c:v>
                </c:pt>
                <c:pt idx="9">
                  <c:v>44210</c:v>
                </c:pt>
                <c:pt idx="10">
                  <c:v>44211</c:v>
                </c:pt>
                <c:pt idx="11">
                  <c:v>44214</c:v>
                </c:pt>
                <c:pt idx="12">
                  <c:v>44215</c:v>
                </c:pt>
                <c:pt idx="13">
                  <c:v>44216</c:v>
                </c:pt>
                <c:pt idx="14">
                  <c:v>44217</c:v>
                </c:pt>
                <c:pt idx="15">
                  <c:v>44218</c:v>
                </c:pt>
                <c:pt idx="16">
                  <c:v>44221</c:v>
                </c:pt>
                <c:pt idx="17">
                  <c:v>44223</c:v>
                </c:pt>
                <c:pt idx="18">
                  <c:v>44224</c:v>
                </c:pt>
                <c:pt idx="19">
                  <c:v>44225</c:v>
                </c:pt>
                <c:pt idx="20">
                  <c:v>44228</c:v>
                </c:pt>
                <c:pt idx="21">
                  <c:v>44229</c:v>
                </c:pt>
                <c:pt idx="22">
                  <c:v>44230</c:v>
                </c:pt>
                <c:pt idx="23">
                  <c:v>44231</c:v>
                </c:pt>
                <c:pt idx="24">
                  <c:v>44232</c:v>
                </c:pt>
                <c:pt idx="25">
                  <c:v>44235</c:v>
                </c:pt>
                <c:pt idx="26">
                  <c:v>44236</c:v>
                </c:pt>
                <c:pt idx="27">
                  <c:v>44237</c:v>
                </c:pt>
                <c:pt idx="28">
                  <c:v>44238</c:v>
                </c:pt>
                <c:pt idx="29">
                  <c:v>44239</c:v>
                </c:pt>
                <c:pt idx="30">
                  <c:v>44242</c:v>
                </c:pt>
                <c:pt idx="31">
                  <c:v>44243</c:v>
                </c:pt>
                <c:pt idx="32">
                  <c:v>44244</c:v>
                </c:pt>
                <c:pt idx="33">
                  <c:v>44245</c:v>
                </c:pt>
                <c:pt idx="34">
                  <c:v>44246</c:v>
                </c:pt>
                <c:pt idx="35">
                  <c:v>44249</c:v>
                </c:pt>
                <c:pt idx="36">
                  <c:v>44250</c:v>
                </c:pt>
                <c:pt idx="37">
                  <c:v>44251</c:v>
                </c:pt>
                <c:pt idx="38">
                  <c:v>44252</c:v>
                </c:pt>
                <c:pt idx="39">
                  <c:v>44253</c:v>
                </c:pt>
                <c:pt idx="40">
                  <c:v>44256</c:v>
                </c:pt>
                <c:pt idx="41">
                  <c:v>44257</c:v>
                </c:pt>
                <c:pt idx="42">
                  <c:v>44258</c:v>
                </c:pt>
                <c:pt idx="43">
                  <c:v>44259</c:v>
                </c:pt>
                <c:pt idx="44">
                  <c:v>44260</c:v>
                </c:pt>
                <c:pt idx="45">
                  <c:v>44263</c:v>
                </c:pt>
                <c:pt idx="46">
                  <c:v>44264</c:v>
                </c:pt>
                <c:pt idx="47">
                  <c:v>44265</c:v>
                </c:pt>
                <c:pt idx="48">
                  <c:v>44267</c:v>
                </c:pt>
                <c:pt idx="49">
                  <c:v>44270</c:v>
                </c:pt>
                <c:pt idx="50">
                  <c:v>44271</c:v>
                </c:pt>
                <c:pt idx="51">
                  <c:v>44272</c:v>
                </c:pt>
                <c:pt idx="52">
                  <c:v>44273</c:v>
                </c:pt>
                <c:pt idx="53">
                  <c:v>44274</c:v>
                </c:pt>
                <c:pt idx="54">
                  <c:v>44277</c:v>
                </c:pt>
                <c:pt idx="55">
                  <c:v>44278</c:v>
                </c:pt>
                <c:pt idx="56">
                  <c:v>44279</c:v>
                </c:pt>
                <c:pt idx="57">
                  <c:v>44280</c:v>
                </c:pt>
                <c:pt idx="58">
                  <c:v>44281</c:v>
                </c:pt>
                <c:pt idx="59">
                  <c:v>44285</c:v>
                </c:pt>
                <c:pt idx="60">
                  <c:v>44286</c:v>
                </c:pt>
                <c:pt idx="61">
                  <c:v>44287</c:v>
                </c:pt>
                <c:pt idx="62">
                  <c:v>44291</c:v>
                </c:pt>
                <c:pt idx="63">
                  <c:v>44292</c:v>
                </c:pt>
                <c:pt idx="64">
                  <c:v>44293</c:v>
                </c:pt>
                <c:pt idx="65">
                  <c:v>44294</c:v>
                </c:pt>
                <c:pt idx="66">
                  <c:v>44295</c:v>
                </c:pt>
                <c:pt idx="67">
                  <c:v>44298</c:v>
                </c:pt>
                <c:pt idx="68">
                  <c:v>44299</c:v>
                </c:pt>
                <c:pt idx="69">
                  <c:v>44301</c:v>
                </c:pt>
                <c:pt idx="70">
                  <c:v>44302</c:v>
                </c:pt>
                <c:pt idx="71">
                  <c:v>44305</c:v>
                </c:pt>
                <c:pt idx="72">
                  <c:v>44306</c:v>
                </c:pt>
                <c:pt idx="73">
                  <c:v>44308</c:v>
                </c:pt>
                <c:pt idx="74">
                  <c:v>44309</c:v>
                </c:pt>
                <c:pt idx="75">
                  <c:v>44312</c:v>
                </c:pt>
                <c:pt idx="76">
                  <c:v>44313</c:v>
                </c:pt>
                <c:pt idx="77">
                  <c:v>44314</c:v>
                </c:pt>
                <c:pt idx="78">
                  <c:v>44315</c:v>
                </c:pt>
                <c:pt idx="79">
                  <c:v>44316</c:v>
                </c:pt>
                <c:pt idx="80">
                  <c:v>44319</c:v>
                </c:pt>
                <c:pt idx="81">
                  <c:v>44320</c:v>
                </c:pt>
                <c:pt idx="82">
                  <c:v>44321</c:v>
                </c:pt>
                <c:pt idx="83">
                  <c:v>44322</c:v>
                </c:pt>
                <c:pt idx="84">
                  <c:v>44323</c:v>
                </c:pt>
                <c:pt idx="85">
                  <c:v>44326</c:v>
                </c:pt>
                <c:pt idx="86">
                  <c:v>44327</c:v>
                </c:pt>
                <c:pt idx="87">
                  <c:v>44328</c:v>
                </c:pt>
                <c:pt idx="88">
                  <c:v>44330</c:v>
                </c:pt>
                <c:pt idx="89">
                  <c:v>44333</c:v>
                </c:pt>
                <c:pt idx="90">
                  <c:v>44334</c:v>
                </c:pt>
                <c:pt idx="91">
                  <c:v>44335</c:v>
                </c:pt>
                <c:pt idx="92">
                  <c:v>44336</c:v>
                </c:pt>
                <c:pt idx="93">
                  <c:v>44337</c:v>
                </c:pt>
                <c:pt idx="94">
                  <c:v>44340</c:v>
                </c:pt>
                <c:pt idx="95">
                  <c:v>44341</c:v>
                </c:pt>
                <c:pt idx="96">
                  <c:v>44342</c:v>
                </c:pt>
                <c:pt idx="97">
                  <c:v>44343</c:v>
                </c:pt>
                <c:pt idx="98">
                  <c:v>44344</c:v>
                </c:pt>
                <c:pt idx="99">
                  <c:v>44347</c:v>
                </c:pt>
                <c:pt idx="100">
                  <c:v>44348</c:v>
                </c:pt>
                <c:pt idx="101">
                  <c:v>44349</c:v>
                </c:pt>
                <c:pt idx="102">
                  <c:v>44350</c:v>
                </c:pt>
                <c:pt idx="103">
                  <c:v>44351</c:v>
                </c:pt>
                <c:pt idx="104">
                  <c:v>44354</c:v>
                </c:pt>
                <c:pt idx="105">
                  <c:v>44355</c:v>
                </c:pt>
                <c:pt idx="106">
                  <c:v>44356</c:v>
                </c:pt>
                <c:pt idx="107">
                  <c:v>44357</c:v>
                </c:pt>
                <c:pt idx="108">
                  <c:v>44358</c:v>
                </c:pt>
                <c:pt idx="109">
                  <c:v>44361</c:v>
                </c:pt>
                <c:pt idx="110">
                  <c:v>44362</c:v>
                </c:pt>
                <c:pt idx="111">
                  <c:v>44363</c:v>
                </c:pt>
                <c:pt idx="112">
                  <c:v>44364</c:v>
                </c:pt>
                <c:pt idx="113">
                  <c:v>44365</c:v>
                </c:pt>
                <c:pt idx="114">
                  <c:v>44368</c:v>
                </c:pt>
                <c:pt idx="115">
                  <c:v>44369</c:v>
                </c:pt>
                <c:pt idx="116">
                  <c:v>44370</c:v>
                </c:pt>
                <c:pt idx="117">
                  <c:v>44371</c:v>
                </c:pt>
                <c:pt idx="118">
                  <c:v>44372</c:v>
                </c:pt>
                <c:pt idx="119">
                  <c:v>44375</c:v>
                </c:pt>
                <c:pt idx="120">
                  <c:v>44376</c:v>
                </c:pt>
                <c:pt idx="121">
                  <c:v>44377</c:v>
                </c:pt>
                <c:pt idx="122">
                  <c:v>44378</c:v>
                </c:pt>
                <c:pt idx="123">
                  <c:v>44379</c:v>
                </c:pt>
                <c:pt idx="124">
                  <c:v>44382</c:v>
                </c:pt>
                <c:pt idx="125">
                  <c:v>44383</c:v>
                </c:pt>
                <c:pt idx="126">
                  <c:v>44384</c:v>
                </c:pt>
                <c:pt idx="127">
                  <c:v>44385</c:v>
                </c:pt>
                <c:pt idx="128">
                  <c:v>44386</c:v>
                </c:pt>
                <c:pt idx="129">
                  <c:v>44389</c:v>
                </c:pt>
                <c:pt idx="130">
                  <c:v>44390</c:v>
                </c:pt>
                <c:pt idx="131">
                  <c:v>44391</c:v>
                </c:pt>
                <c:pt idx="132">
                  <c:v>44392</c:v>
                </c:pt>
                <c:pt idx="133">
                  <c:v>44393</c:v>
                </c:pt>
                <c:pt idx="134">
                  <c:v>44396</c:v>
                </c:pt>
                <c:pt idx="135">
                  <c:v>44397</c:v>
                </c:pt>
                <c:pt idx="136">
                  <c:v>44399</c:v>
                </c:pt>
                <c:pt idx="137">
                  <c:v>44400</c:v>
                </c:pt>
                <c:pt idx="138">
                  <c:v>44403</c:v>
                </c:pt>
                <c:pt idx="139">
                  <c:v>44404</c:v>
                </c:pt>
                <c:pt idx="140">
                  <c:v>44405</c:v>
                </c:pt>
                <c:pt idx="141">
                  <c:v>44406</c:v>
                </c:pt>
                <c:pt idx="142">
                  <c:v>44407</c:v>
                </c:pt>
                <c:pt idx="143">
                  <c:v>44410</c:v>
                </c:pt>
                <c:pt idx="144">
                  <c:v>44411</c:v>
                </c:pt>
                <c:pt idx="145">
                  <c:v>44412</c:v>
                </c:pt>
                <c:pt idx="146">
                  <c:v>44413</c:v>
                </c:pt>
                <c:pt idx="147">
                  <c:v>44414</c:v>
                </c:pt>
                <c:pt idx="148">
                  <c:v>44417</c:v>
                </c:pt>
                <c:pt idx="149">
                  <c:v>44418</c:v>
                </c:pt>
                <c:pt idx="150">
                  <c:v>44419</c:v>
                </c:pt>
                <c:pt idx="151">
                  <c:v>44420</c:v>
                </c:pt>
                <c:pt idx="152">
                  <c:v>44421</c:v>
                </c:pt>
                <c:pt idx="153">
                  <c:v>44424</c:v>
                </c:pt>
                <c:pt idx="154">
                  <c:v>44425</c:v>
                </c:pt>
                <c:pt idx="155">
                  <c:v>44426</c:v>
                </c:pt>
                <c:pt idx="156">
                  <c:v>44428</c:v>
                </c:pt>
                <c:pt idx="157">
                  <c:v>44431</c:v>
                </c:pt>
                <c:pt idx="158">
                  <c:v>44432</c:v>
                </c:pt>
                <c:pt idx="159">
                  <c:v>44433</c:v>
                </c:pt>
                <c:pt idx="160">
                  <c:v>44434</c:v>
                </c:pt>
                <c:pt idx="161">
                  <c:v>44435</c:v>
                </c:pt>
                <c:pt idx="162">
                  <c:v>44438</c:v>
                </c:pt>
                <c:pt idx="163">
                  <c:v>44439</c:v>
                </c:pt>
                <c:pt idx="164">
                  <c:v>44440</c:v>
                </c:pt>
                <c:pt idx="165">
                  <c:v>44441</c:v>
                </c:pt>
                <c:pt idx="166">
                  <c:v>44442</c:v>
                </c:pt>
                <c:pt idx="167">
                  <c:v>44445</c:v>
                </c:pt>
                <c:pt idx="168">
                  <c:v>44446</c:v>
                </c:pt>
                <c:pt idx="169">
                  <c:v>44447</c:v>
                </c:pt>
                <c:pt idx="170">
                  <c:v>44448</c:v>
                </c:pt>
                <c:pt idx="171">
                  <c:v>44452</c:v>
                </c:pt>
                <c:pt idx="172">
                  <c:v>44453</c:v>
                </c:pt>
                <c:pt idx="173">
                  <c:v>44454</c:v>
                </c:pt>
                <c:pt idx="174">
                  <c:v>44455</c:v>
                </c:pt>
                <c:pt idx="175">
                  <c:v>44456</c:v>
                </c:pt>
                <c:pt idx="176">
                  <c:v>44459</c:v>
                </c:pt>
                <c:pt idx="177">
                  <c:v>44460</c:v>
                </c:pt>
                <c:pt idx="178">
                  <c:v>44461</c:v>
                </c:pt>
                <c:pt idx="179">
                  <c:v>44462</c:v>
                </c:pt>
                <c:pt idx="180">
                  <c:v>44463</c:v>
                </c:pt>
                <c:pt idx="181">
                  <c:v>44466</c:v>
                </c:pt>
                <c:pt idx="182">
                  <c:v>44467</c:v>
                </c:pt>
                <c:pt idx="183">
                  <c:v>44468</c:v>
                </c:pt>
                <c:pt idx="184">
                  <c:v>44469</c:v>
                </c:pt>
                <c:pt idx="185">
                  <c:v>44470</c:v>
                </c:pt>
                <c:pt idx="186">
                  <c:v>44473</c:v>
                </c:pt>
                <c:pt idx="187">
                  <c:v>44474</c:v>
                </c:pt>
                <c:pt idx="188">
                  <c:v>44475</c:v>
                </c:pt>
                <c:pt idx="189">
                  <c:v>44476</c:v>
                </c:pt>
                <c:pt idx="190">
                  <c:v>44477</c:v>
                </c:pt>
                <c:pt idx="191">
                  <c:v>44480</c:v>
                </c:pt>
                <c:pt idx="192">
                  <c:v>44481</c:v>
                </c:pt>
                <c:pt idx="193">
                  <c:v>44482</c:v>
                </c:pt>
                <c:pt idx="194">
                  <c:v>44483</c:v>
                </c:pt>
                <c:pt idx="195">
                  <c:v>44487</c:v>
                </c:pt>
                <c:pt idx="196">
                  <c:v>44488</c:v>
                </c:pt>
                <c:pt idx="197">
                  <c:v>44489</c:v>
                </c:pt>
                <c:pt idx="198">
                  <c:v>44490</c:v>
                </c:pt>
                <c:pt idx="199">
                  <c:v>44491</c:v>
                </c:pt>
                <c:pt idx="200">
                  <c:v>44494</c:v>
                </c:pt>
                <c:pt idx="201">
                  <c:v>44495</c:v>
                </c:pt>
                <c:pt idx="202">
                  <c:v>44496</c:v>
                </c:pt>
                <c:pt idx="203">
                  <c:v>44497</c:v>
                </c:pt>
                <c:pt idx="204">
                  <c:v>44498</c:v>
                </c:pt>
                <c:pt idx="205">
                  <c:v>44501</c:v>
                </c:pt>
                <c:pt idx="206">
                  <c:v>44502</c:v>
                </c:pt>
                <c:pt idx="207">
                  <c:v>44503</c:v>
                </c:pt>
                <c:pt idx="208">
                  <c:v>44504</c:v>
                </c:pt>
                <c:pt idx="209">
                  <c:v>44508</c:v>
                </c:pt>
                <c:pt idx="210">
                  <c:v>44509</c:v>
                </c:pt>
                <c:pt idx="211">
                  <c:v>44510</c:v>
                </c:pt>
                <c:pt idx="212">
                  <c:v>44511</c:v>
                </c:pt>
                <c:pt idx="213">
                  <c:v>44512</c:v>
                </c:pt>
                <c:pt idx="214">
                  <c:v>44515</c:v>
                </c:pt>
                <c:pt idx="215">
                  <c:v>44516</c:v>
                </c:pt>
                <c:pt idx="216">
                  <c:v>44517</c:v>
                </c:pt>
                <c:pt idx="217">
                  <c:v>44518</c:v>
                </c:pt>
                <c:pt idx="218">
                  <c:v>44522</c:v>
                </c:pt>
                <c:pt idx="219">
                  <c:v>44523</c:v>
                </c:pt>
                <c:pt idx="220">
                  <c:v>44524</c:v>
                </c:pt>
                <c:pt idx="221">
                  <c:v>44525</c:v>
                </c:pt>
                <c:pt idx="222">
                  <c:v>44526</c:v>
                </c:pt>
                <c:pt idx="223">
                  <c:v>44529</c:v>
                </c:pt>
                <c:pt idx="224">
                  <c:v>44530</c:v>
                </c:pt>
                <c:pt idx="225">
                  <c:v>44531</c:v>
                </c:pt>
                <c:pt idx="226">
                  <c:v>44532</c:v>
                </c:pt>
                <c:pt idx="227">
                  <c:v>44533</c:v>
                </c:pt>
                <c:pt idx="228">
                  <c:v>44536</c:v>
                </c:pt>
                <c:pt idx="229">
                  <c:v>44537</c:v>
                </c:pt>
                <c:pt idx="230">
                  <c:v>44538</c:v>
                </c:pt>
                <c:pt idx="231">
                  <c:v>44539</c:v>
                </c:pt>
                <c:pt idx="232">
                  <c:v>44540</c:v>
                </c:pt>
                <c:pt idx="233">
                  <c:v>44543</c:v>
                </c:pt>
                <c:pt idx="234">
                  <c:v>44544</c:v>
                </c:pt>
                <c:pt idx="235">
                  <c:v>44545</c:v>
                </c:pt>
                <c:pt idx="236">
                  <c:v>44546</c:v>
                </c:pt>
                <c:pt idx="237">
                  <c:v>44547</c:v>
                </c:pt>
                <c:pt idx="238">
                  <c:v>44550</c:v>
                </c:pt>
                <c:pt idx="239">
                  <c:v>44551</c:v>
                </c:pt>
                <c:pt idx="240">
                  <c:v>44552</c:v>
                </c:pt>
                <c:pt idx="241">
                  <c:v>44553</c:v>
                </c:pt>
                <c:pt idx="242">
                  <c:v>44554</c:v>
                </c:pt>
                <c:pt idx="243">
                  <c:v>44557</c:v>
                </c:pt>
                <c:pt idx="244">
                  <c:v>44558</c:v>
                </c:pt>
                <c:pt idx="245">
                  <c:v>44559</c:v>
                </c:pt>
                <c:pt idx="246">
                  <c:v>44560</c:v>
                </c:pt>
                <c:pt idx="247">
                  <c:v>44561</c:v>
                </c:pt>
                <c:pt idx="248">
                  <c:v>44564</c:v>
                </c:pt>
                <c:pt idx="249">
                  <c:v>44565</c:v>
                </c:pt>
                <c:pt idx="250">
                  <c:v>44566</c:v>
                </c:pt>
                <c:pt idx="251">
                  <c:v>44567</c:v>
                </c:pt>
                <c:pt idx="252">
                  <c:v>44568</c:v>
                </c:pt>
                <c:pt idx="253">
                  <c:v>44571</c:v>
                </c:pt>
                <c:pt idx="254">
                  <c:v>44572</c:v>
                </c:pt>
                <c:pt idx="255">
                  <c:v>44573</c:v>
                </c:pt>
                <c:pt idx="256">
                  <c:v>44574</c:v>
                </c:pt>
                <c:pt idx="257">
                  <c:v>44575</c:v>
                </c:pt>
                <c:pt idx="258">
                  <c:v>44578</c:v>
                </c:pt>
                <c:pt idx="259">
                  <c:v>44579</c:v>
                </c:pt>
                <c:pt idx="260">
                  <c:v>44580</c:v>
                </c:pt>
                <c:pt idx="261">
                  <c:v>44581</c:v>
                </c:pt>
                <c:pt idx="262">
                  <c:v>44582</c:v>
                </c:pt>
                <c:pt idx="263">
                  <c:v>44585</c:v>
                </c:pt>
                <c:pt idx="264">
                  <c:v>44586</c:v>
                </c:pt>
                <c:pt idx="265">
                  <c:v>44588</c:v>
                </c:pt>
                <c:pt idx="266">
                  <c:v>44589</c:v>
                </c:pt>
                <c:pt idx="267">
                  <c:v>44592</c:v>
                </c:pt>
                <c:pt idx="268">
                  <c:v>44593</c:v>
                </c:pt>
                <c:pt idx="269">
                  <c:v>44594</c:v>
                </c:pt>
                <c:pt idx="270">
                  <c:v>44595</c:v>
                </c:pt>
                <c:pt idx="271">
                  <c:v>44596</c:v>
                </c:pt>
                <c:pt idx="272">
                  <c:v>44599</c:v>
                </c:pt>
                <c:pt idx="273">
                  <c:v>44600</c:v>
                </c:pt>
                <c:pt idx="274">
                  <c:v>44601</c:v>
                </c:pt>
                <c:pt idx="275">
                  <c:v>44602</c:v>
                </c:pt>
                <c:pt idx="276">
                  <c:v>44603</c:v>
                </c:pt>
                <c:pt idx="277">
                  <c:v>44606</c:v>
                </c:pt>
                <c:pt idx="278">
                  <c:v>44607</c:v>
                </c:pt>
                <c:pt idx="279">
                  <c:v>44608</c:v>
                </c:pt>
                <c:pt idx="280">
                  <c:v>44609</c:v>
                </c:pt>
                <c:pt idx="281">
                  <c:v>44610</c:v>
                </c:pt>
                <c:pt idx="282">
                  <c:v>44613</c:v>
                </c:pt>
                <c:pt idx="283">
                  <c:v>44614</c:v>
                </c:pt>
                <c:pt idx="284">
                  <c:v>44615</c:v>
                </c:pt>
                <c:pt idx="285">
                  <c:v>44616</c:v>
                </c:pt>
                <c:pt idx="286">
                  <c:v>44617</c:v>
                </c:pt>
                <c:pt idx="287">
                  <c:v>44620</c:v>
                </c:pt>
                <c:pt idx="288">
                  <c:v>44622</c:v>
                </c:pt>
                <c:pt idx="289">
                  <c:v>44623</c:v>
                </c:pt>
                <c:pt idx="290">
                  <c:v>44624</c:v>
                </c:pt>
                <c:pt idx="291">
                  <c:v>44627</c:v>
                </c:pt>
                <c:pt idx="292">
                  <c:v>44628</c:v>
                </c:pt>
                <c:pt idx="293">
                  <c:v>44629</c:v>
                </c:pt>
                <c:pt idx="294">
                  <c:v>44630</c:v>
                </c:pt>
                <c:pt idx="295">
                  <c:v>44631</c:v>
                </c:pt>
                <c:pt idx="296">
                  <c:v>44634</c:v>
                </c:pt>
                <c:pt idx="297">
                  <c:v>44635</c:v>
                </c:pt>
                <c:pt idx="298">
                  <c:v>44636</c:v>
                </c:pt>
                <c:pt idx="299">
                  <c:v>44637</c:v>
                </c:pt>
                <c:pt idx="300">
                  <c:v>44641</c:v>
                </c:pt>
                <c:pt idx="301">
                  <c:v>44642</c:v>
                </c:pt>
                <c:pt idx="302">
                  <c:v>44643</c:v>
                </c:pt>
                <c:pt idx="303">
                  <c:v>44644</c:v>
                </c:pt>
                <c:pt idx="304">
                  <c:v>44645</c:v>
                </c:pt>
                <c:pt idx="305">
                  <c:v>44648</c:v>
                </c:pt>
                <c:pt idx="306">
                  <c:v>44649</c:v>
                </c:pt>
                <c:pt idx="307">
                  <c:v>44650</c:v>
                </c:pt>
                <c:pt idx="308">
                  <c:v>44651</c:v>
                </c:pt>
                <c:pt idx="309">
                  <c:v>44652</c:v>
                </c:pt>
                <c:pt idx="310">
                  <c:v>44655</c:v>
                </c:pt>
                <c:pt idx="311">
                  <c:v>44656</c:v>
                </c:pt>
                <c:pt idx="312">
                  <c:v>44657</c:v>
                </c:pt>
                <c:pt idx="313">
                  <c:v>44658</c:v>
                </c:pt>
                <c:pt idx="314">
                  <c:v>44659</c:v>
                </c:pt>
                <c:pt idx="315">
                  <c:v>44662</c:v>
                </c:pt>
                <c:pt idx="316">
                  <c:v>44663</c:v>
                </c:pt>
                <c:pt idx="317">
                  <c:v>44664</c:v>
                </c:pt>
                <c:pt idx="318">
                  <c:v>44669</c:v>
                </c:pt>
                <c:pt idx="319">
                  <c:v>44670</c:v>
                </c:pt>
                <c:pt idx="320">
                  <c:v>44671</c:v>
                </c:pt>
                <c:pt idx="321">
                  <c:v>44672</c:v>
                </c:pt>
                <c:pt idx="322">
                  <c:v>44673</c:v>
                </c:pt>
                <c:pt idx="323">
                  <c:v>44676</c:v>
                </c:pt>
                <c:pt idx="324">
                  <c:v>44677</c:v>
                </c:pt>
                <c:pt idx="325">
                  <c:v>44678</c:v>
                </c:pt>
                <c:pt idx="326">
                  <c:v>44679</c:v>
                </c:pt>
                <c:pt idx="327">
                  <c:v>44680</c:v>
                </c:pt>
                <c:pt idx="328">
                  <c:v>44683</c:v>
                </c:pt>
                <c:pt idx="329">
                  <c:v>44685</c:v>
                </c:pt>
                <c:pt idx="330">
                  <c:v>44686</c:v>
                </c:pt>
                <c:pt idx="331">
                  <c:v>44687</c:v>
                </c:pt>
                <c:pt idx="332">
                  <c:v>44690</c:v>
                </c:pt>
                <c:pt idx="333">
                  <c:v>44691</c:v>
                </c:pt>
                <c:pt idx="334">
                  <c:v>44692</c:v>
                </c:pt>
                <c:pt idx="335">
                  <c:v>44693</c:v>
                </c:pt>
                <c:pt idx="336">
                  <c:v>44694</c:v>
                </c:pt>
                <c:pt idx="337">
                  <c:v>44697</c:v>
                </c:pt>
                <c:pt idx="338">
                  <c:v>44698</c:v>
                </c:pt>
                <c:pt idx="339">
                  <c:v>44699</c:v>
                </c:pt>
                <c:pt idx="340">
                  <c:v>44700</c:v>
                </c:pt>
                <c:pt idx="341">
                  <c:v>44701</c:v>
                </c:pt>
                <c:pt idx="342">
                  <c:v>44704</c:v>
                </c:pt>
                <c:pt idx="343">
                  <c:v>44705</c:v>
                </c:pt>
                <c:pt idx="344">
                  <c:v>44706</c:v>
                </c:pt>
                <c:pt idx="345">
                  <c:v>44707</c:v>
                </c:pt>
                <c:pt idx="346">
                  <c:v>44708</c:v>
                </c:pt>
                <c:pt idx="347">
                  <c:v>44711</c:v>
                </c:pt>
                <c:pt idx="348">
                  <c:v>44712</c:v>
                </c:pt>
                <c:pt idx="349">
                  <c:v>44713</c:v>
                </c:pt>
                <c:pt idx="350">
                  <c:v>44714</c:v>
                </c:pt>
                <c:pt idx="351">
                  <c:v>44715</c:v>
                </c:pt>
                <c:pt idx="352">
                  <c:v>44718</c:v>
                </c:pt>
                <c:pt idx="353">
                  <c:v>44719</c:v>
                </c:pt>
                <c:pt idx="354">
                  <c:v>44720</c:v>
                </c:pt>
                <c:pt idx="355">
                  <c:v>44721</c:v>
                </c:pt>
                <c:pt idx="356">
                  <c:v>44722</c:v>
                </c:pt>
                <c:pt idx="357">
                  <c:v>44725</c:v>
                </c:pt>
                <c:pt idx="358">
                  <c:v>44726</c:v>
                </c:pt>
                <c:pt idx="359">
                  <c:v>44727</c:v>
                </c:pt>
                <c:pt idx="360">
                  <c:v>44728</c:v>
                </c:pt>
                <c:pt idx="361">
                  <c:v>44729</c:v>
                </c:pt>
                <c:pt idx="362">
                  <c:v>44732</c:v>
                </c:pt>
                <c:pt idx="363">
                  <c:v>44733</c:v>
                </c:pt>
                <c:pt idx="364">
                  <c:v>44734</c:v>
                </c:pt>
                <c:pt idx="365">
                  <c:v>44735</c:v>
                </c:pt>
                <c:pt idx="366">
                  <c:v>44736</c:v>
                </c:pt>
                <c:pt idx="367">
                  <c:v>44739</c:v>
                </c:pt>
                <c:pt idx="368">
                  <c:v>44740</c:v>
                </c:pt>
                <c:pt idx="369">
                  <c:v>44741</c:v>
                </c:pt>
                <c:pt idx="370">
                  <c:v>44742</c:v>
                </c:pt>
                <c:pt idx="371">
                  <c:v>44743</c:v>
                </c:pt>
                <c:pt idx="372">
                  <c:v>44746</c:v>
                </c:pt>
                <c:pt idx="373">
                  <c:v>44747</c:v>
                </c:pt>
                <c:pt idx="374">
                  <c:v>44748</c:v>
                </c:pt>
                <c:pt idx="375">
                  <c:v>44749</c:v>
                </c:pt>
                <c:pt idx="376">
                  <c:v>44750</c:v>
                </c:pt>
                <c:pt idx="377">
                  <c:v>44753</c:v>
                </c:pt>
                <c:pt idx="378">
                  <c:v>44754</c:v>
                </c:pt>
                <c:pt idx="379">
                  <c:v>44755</c:v>
                </c:pt>
                <c:pt idx="380">
                  <c:v>44756</c:v>
                </c:pt>
                <c:pt idx="381">
                  <c:v>44757</c:v>
                </c:pt>
                <c:pt idx="382">
                  <c:v>44760</c:v>
                </c:pt>
                <c:pt idx="383">
                  <c:v>44761</c:v>
                </c:pt>
                <c:pt idx="384">
                  <c:v>44762</c:v>
                </c:pt>
                <c:pt idx="385">
                  <c:v>44763</c:v>
                </c:pt>
                <c:pt idx="386">
                  <c:v>44764</c:v>
                </c:pt>
                <c:pt idx="387">
                  <c:v>44767</c:v>
                </c:pt>
                <c:pt idx="388">
                  <c:v>44768</c:v>
                </c:pt>
                <c:pt idx="389">
                  <c:v>44769</c:v>
                </c:pt>
                <c:pt idx="390">
                  <c:v>44770</c:v>
                </c:pt>
                <c:pt idx="391">
                  <c:v>44771</c:v>
                </c:pt>
                <c:pt idx="392">
                  <c:v>44774</c:v>
                </c:pt>
                <c:pt idx="393">
                  <c:v>44775</c:v>
                </c:pt>
                <c:pt idx="394">
                  <c:v>44776</c:v>
                </c:pt>
                <c:pt idx="395">
                  <c:v>44777</c:v>
                </c:pt>
                <c:pt idx="396">
                  <c:v>44778</c:v>
                </c:pt>
                <c:pt idx="397">
                  <c:v>44781</c:v>
                </c:pt>
                <c:pt idx="398">
                  <c:v>44783</c:v>
                </c:pt>
                <c:pt idx="399">
                  <c:v>44784</c:v>
                </c:pt>
                <c:pt idx="400">
                  <c:v>44785</c:v>
                </c:pt>
                <c:pt idx="401">
                  <c:v>44789</c:v>
                </c:pt>
                <c:pt idx="402">
                  <c:v>44790</c:v>
                </c:pt>
                <c:pt idx="403">
                  <c:v>44791</c:v>
                </c:pt>
                <c:pt idx="404">
                  <c:v>44792</c:v>
                </c:pt>
                <c:pt idx="405">
                  <c:v>44795</c:v>
                </c:pt>
                <c:pt idx="406">
                  <c:v>44796</c:v>
                </c:pt>
                <c:pt idx="407">
                  <c:v>44797</c:v>
                </c:pt>
                <c:pt idx="408">
                  <c:v>44798</c:v>
                </c:pt>
                <c:pt idx="409">
                  <c:v>44799</c:v>
                </c:pt>
                <c:pt idx="410">
                  <c:v>44802</c:v>
                </c:pt>
                <c:pt idx="411">
                  <c:v>44803</c:v>
                </c:pt>
                <c:pt idx="412">
                  <c:v>44805</c:v>
                </c:pt>
                <c:pt idx="413">
                  <c:v>44806</c:v>
                </c:pt>
                <c:pt idx="414">
                  <c:v>44809</c:v>
                </c:pt>
                <c:pt idx="415">
                  <c:v>44810</c:v>
                </c:pt>
                <c:pt idx="416">
                  <c:v>44811</c:v>
                </c:pt>
                <c:pt idx="417">
                  <c:v>44812</c:v>
                </c:pt>
                <c:pt idx="418">
                  <c:v>44813</c:v>
                </c:pt>
                <c:pt idx="419">
                  <c:v>44816</c:v>
                </c:pt>
                <c:pt idx="420">
                  <c:v>44817</c:v>
                </c:pt>
                <c:pt idx="421">
                  <c:v>44818</c:v>
                </c:pt>
                <c:pt idx="422">
                  <c:v>44819</c:v>
                </c:pt>
                <c:pt idx="423">
                  <c:v>44820</c:v>
                </c:pt>
                <c:pt idx="424">
                  <c:v>44823</c:v>
                </c:pt>
                <c:pt idx="425">
                  <c:v>44824</c:v>
                </c:pt>
                <c:pt idx="426">
                  <c:v>44825</c:v>
                </c:pt>
                <c:pt idx="427">
                  <c:v>44826</c:v>
                </c:pt>
                <c:pt idx="428">
                  <c:v>44827</c:v>
                </c:pt>
                <c:pt idx="429">
                  <c:v>44830</c:v>
                </c:pt>
                <c:pt idx="430">
                  <c:v>44831</c:v>
                </c:pt>
                <c:pt idx="431">
                  <c:v>44832</c:v>
                </c:pt>
                <c:pt idx="432">
                  <c:v>44833</c:v>
                </c:pt>
                <c:pt idx="433">
                  <c:v>44834</c:v>
                </c:pt>
                <c:pt idx="434">
                  <c:v>44837</c:v>
                </c:pt>
                <c:pt idx="435">
                  <c:v>44838</c:v>
                </c:pt>
                <c:pt idx="436">
                  <c:v>44840</c:v>
                </c:pt>
                <c:pt idx="437">
                  <c:v>44841</c:v>
                </c:pt>
                <c:pt idx="438">
                  <c:v>44844</c:v>
                </c:pt>
                <c:pt idx="439">
                  <c:v>44845</c:v>
                </c:pt>
                <c:pt idx="440">
                  <c:v>44846</c:v>
                </c:pt>
                <c:pt idx="441">
                  <c:v>44847</c:v>
                </c:pt>
                <c:pt idx="442">
                  <c:v>44848</c:v>
                </c:pt>
                <c:pt idx="443">
                  <c:v>44851</c:v>
                </c:pt>
                <c:pt idx="444">
                  <c:v>44852</c:v>
                </c:pt>
                <c:pt idx="445">
                  <c:v>44853</c:v>
                </c:pt>
                <c:pt idx="446">
                  <c:v>44854</c:v>
                </c:pt>
                <c:pt idx="447">
                  <c:v>44855</c:v>
                </c:pt>
                <c:pt idx="448">
                  <c:v>44858</c:v>
                </c:pt>
                <c:pt idx="449">
                  <c:v>44859</c:v>
                </c:pt>
                <c:pt idx="450">
                  <c:v>44861</c:v>
                </c:pt>
                <c:pt idx="451">
                  <c:v>44862</c:v>
                </c:pt>
                <c:pt idx="452">
                  <c:v>44865</c:v>
                </c:pt>
                <c:pt idx="453">
                  <c:v>44866</c:v>
                </c:pt>
                <c:pt idx="454">
                  <c:v>44867</c:v>
                </c:pt>
                <c:pt idx="455">
                  <c:v>44868</c:v>
                </c:pt>
                <c:pt idx="456">
                  <c:v>44869</c:v>
                </c:pt>
                <c:pt idx="457">
                  <c:v>44872</c:v>
                </c:pt>
                <c:pt idx="458">
                  <c:v>44874</c:v>
                </c:pt>
                <c:pt idx="459">
                  <c:v>44875</c:v>
                </c:pt>
                <c:pt idx="460">
                  <c:v>44876</c:v>
                </c:pt>
                <c:pt idx="461">
                  <c:v>44879</c:v>
                </c:pt>
                <c:pt idx="462">
                  <c:v>44880</c:v>
                </c:pt>
                <c:pt idx="463">
                  <c:v>44881</c:v>
                </c:pt>
                <c:pt idx="464">
                  <c:v>44882</c:v>
                </c:pt>
                <c:pt idx="465">
                  <c:v>44883</c:v>
                </c:pt>
                <c:pt idx="466">
                  <c:v>44886</c:v>
                </c:pt>
                <c:pt idx="467">
                  <c:v>44887</c:v>
                </c:pt>
                <c:pt idx="468">
                  <c:v>44888</c:v>
                </c:pt>
                <c:pt idx="469">
                  <c:v>44889</c:v>
                </c:pt>
                <c:pt idx="470">
                  <c:v>44890</c:v>
                </c:pt>
                <c:pt idx="471">
                  <c:v>44893</c:v>
                </c:pt>
                <c:pt idx="472">
                  <c:v>44894</c:v>
                </c:pt>
                <c:pt idx="473">
                  <c:v>44895</c:v>
                </c:pt>
                <c:pt idx="474">
                  <c:v>44896</c:v>
                </c:pt>
                <c:pt idx="475">
                  <c:v>44897</c:v>
                </c:pt>
                <c:pt idx="476">
                  <c:v>44900</c:v>
                </c:pt>
                <c:pt idx="477">
                  <c:v>44901</c:v>
                </c:pt>
                <c:pt idx="478">
                  <c:v>44902</c:v>
                </c:pt>
                <c:pt idx="479">
                  <c:v>44903</c:v>
                </c:pt>
                <c:pt idx="480">
                  <c:v>44904</c:v>
                </c:pt>
                <c:pt idx="481">
                  <c:v>44907</c:v>
                </c:pt>
                <c:pt idx="482">
                  <c:v>44908</c:v>
                </c:pt>
                <c:pt idx="483">
                  <c:v>44909</c:v>
                </c:pt>
                <c:pt idx="484">
                  <c:v>44910</c:v>
                </c:pt>
                <c:pt idx="485">
                  <c:v>44911</c:v>
                </c:pt>
                <c:pt idx="486">
                  <c:v>44914</c:v>
                </c:pt>
                <c:pt idx="487">
                  <c:v>44915</c:v>
                </c:pt>
                <c:pt idx="488">
                  <c:v>44916</c:v>
                </c:pt>
                <c:pt idx="489">
                  <c:v>44917</c:v>
                </c:pt>
                <c:pt idx="490">
                  <c:v>44918</c:v>
                </c:pt>
                <c:pt idx="491">
                  <c:v>44921</c:v>
                </c:pt>
                <c:pt idx="492">
                  <c:v>44922</c:v>
                </c:pt>
                <c:pt idx="493">
                  <c:v>44923</c:v>
                </c:pt>
                <c:pt idx="494">
                  <c:v>44924</c:v>
                </c:pt>
                <c:pt idx="495">
                  <c:v>44925</c:v>
                </c:pt>
                <c:pt idx="496">
                  <c:v>44928</c:v>
                </c:pt>
                <c:pt idx="497">
                  <c:v>44929</c:v>
                </c:pt>
                <c:pt idx="498">
                  <c:v>44930</c:v>
                </c:pt>
                <c:pt idx="499">
                  <c:v>44931</c:v>
                </c:pt>
                <c:pt idx="500">
                  <c:v>44932</c:v>
                </c:pt>
                <c:pt idx="501">
                  <c:v>44935</c:v>
                </c:pt>
                <c:pt idx="502">
                  <c:v>44936</c:v>
                </c:pt>
                <c:pt idx="503">
                  <c:v>44937</c:v>
                </c:pt>
                <c:pt idx="504">
                  <c:v>44938</c:v>
                </c:pt>
                <c:pt idx="505">
                  <c:v>44939</c:v>
                </c:pt>
                <c:pt idx="506">
                  <c:v>44942</c:v>
                </c:pt>
                <c:pt idx="507">
                  <c:v>44943</c:v>
                </c:pt>
                <c:pt idx="508">
                  <c:v>44944</c:v>
                </c:pt>
                <c:pt idx="509">
                  <c:v>44945</c:v>
                </c:pt>
                <c:pt idx="510">
                  <c:v>44946</c:v>
                </c:pt>
                <c:pt idx="511">
                  <c:v>44949</c:v>
                </c:pt>
                <c:pt idx="512">
                  <c:v>44950</c:v>
                </c:pt>
                <c:pt idx="513">
                  <c:v>44951</c:v>
                </c:pt>
                <c:pt idx="514">
                  <c:v>44953</c:v>
                </c:pt>
                <c:pt idx="515">
                  <c:v>44956</c:v>
                </c:pt>
                <c:pt idx="516">
                  <c:v>44957</c:v>
                </c:pt>
                <c:pt idx="517">
                  <c:v>44958</c:v>
                </c:pt>
                <c:pt idx="518">
                  <c:v>44959</c:v>
                </c:pt>
                <c:pt idx="519">
                  <c:v>44960</c:v>
                </c:pt>
                <c:pt idx="520">
                  <c:v>44963</c:v>
                </c:pt>
                <c:pt idx="521">
                  <c:v>44964</c:v>
                </c:pt>
                <c:pt idx="522">
                  <c:v>44965</c:v>
                </c:pt>
                <c:pt idx="523">
                  <c:v>44966</c:v>
                </c:pt>
                <c:pt idx="524">
                  <c:v>44967</c:v>
                </c:pt>
                <c:pt idx="525">
                  <c:v>44970</c:v>
                </c:pt>
                <c:pt idx="526">
                  <c:v>44971</c:v>
                </c:pt>
                <c:pt idx="527">
                  <c:v>44972</c:v>
                </c:pt>
                <c:pt idx="528">
                  <c:v>44973</c:v>
                </c:pt>
                <c:pt idx="529">
                  <c:v>44974</c:v>
                </c:pt>
                <c:pt idx="530">
                  <c:v>44977</c:v>
                </c:pt>
                <c:pt idx="531">
                  <c:v>44978</c:v>
                </c:pt>
                <c:pt idx="532">
                  <c:v>44979</c:v>
                </c:pt>
                <c:pt idx="533">
                  <c:v>44980</c:v>
                </c:pt>
                <c:pt idx="534">
                  <c:v>44981</c:v>
                </c:pt>
                <c:pt idx="535">
                  <c:v>44984</c:v>
                </c:pt>
                <c:pt idx="536">
                  <c:v>44985</c:v>
                </c:pt>
                <c:pt idx="537">
                  <c:v>44986</c:v>
                </c:pt>
                <c:pt idx="538">
                  <c:v>44987</c:v>
                </c:pt>
                <c:pt idx="539">
                  <c:v>44988</c:v>
                </c:pt>
                <c:pt idx="540">
                  <c:v>44991</c:v>
                </c:pt>
                <c:pt idx="541">
                  <c:v>44993</c:v>
                </c:pt>
                <c:pt idx="542">
                  <c:v>44994</c:v>
                </c:pt>
                <c:pt idx="543">
                  <c:v>44995</c:v>
                </c:pt>
                <c:pt idx="544">
                  <c:v>44998</c:v>
                </c:pt>
                <c:pt idx="545">
                  <c:v>44999</c:v>
                </c:pt>
                <c:pt idx="546">
                  <c:v>45000</c:v>
                </c:pt>
                <c:pt idx="547">
                  <c:v>45001</c:v>
                </c:pt>
                <c:pt idx="548">
                  <c:v>45002</c:v>
                </c:pt>
                <c:pt idx="549">
                  <c:v>45005</c:v>
                </c:pt>
                <c:pt idx="550">
                  <c:v>45006</c:v>
                </c:pt>
                <c:pt idx="551">
                  <c:v>45007</c:v>
                </c:pt>
                <c:pt idx="552">
                  <c:v>45008</c:v>
                </c:pt>
                <c:pt idx="553">
                  <c:v>45009</c:v>
                </c:pt>
                <c:pt idx="554">
                  <c:v>45012</c:v>
                </c:pt>
                <c:pt idx="555">
                  <c:v>45013</c:v>
                </c:pt>
                <c:pt idx="556">
                  <c:v>45014</c:v>
                </c:pt>
                <c:pt idx="557">
                  <c:v>45016</c:v>
                </c:pt>
                <c:pt idx="558">
                  <c:v>45019</c:v>
                </c:pt>
                <c:pt idx="559">
                  <c:v>45021</c:v>
                </c:pt>
                <c:pt idx="560">
                  <c:v>45022</c:v>
                </c:pt>
                <c:pt idx="561">
                  <c:v>45026</c:v>
                </c:pt>
                <c:pt idx="562">
                  <c:v>45027</c:v>
                </c:pt>
                <c:pt idx="563">
                  <c:v>45028</c:v>
                </c:pt>
                <c:pt idx="564">
                  <c:v>45029</c:v>
                </c:pt>
                <c:pt idx="565">
                  <c:v>45033</c:v>
                </c:pt>
                <c:pt idx="566">
                  <c:v>45034</c:v>
                </c:pt>
                <c:pt idx="567">
                  <c:v>45035</c:v>
                </c:pt>
                <c:pt idx="568">
                  <c:v>45036</c:v>
                </c:pt>
                <c:pt idx="569">
                  <c:v>45037</c:v>
                </c:pt>
                <c:pt idx="570">
                  <c:v>45040</c:v>
                </c:pt>
                <c:pt idx="571">
                  <c:v>45041</c:v>
                </c:pt>
                <c:pt idx="572">
                  <c:v>45042</c:v>
                </c:pt>
                <c:pt idx="573">
                  <c:v>45043</c:v>
                </c:pt>
                <c:pt idx="574">
                  <c:v>45044</c:v>
                </c:pt>
                <c:pt idx="575">
                  <c:v>45048</c:v>
                </c:pt>
                <c:pt idx="576">
                  <c:v>45049</c:v>
                </c:pt>
                <c:pt idx="577">
                  <c:v>45050</c:v>
                </c:pt>
                <c:pt idx="578">
                  <c:v>45051</c:v>
                </c:pt>
                <c:pt idx="579">
                  <c:v>45054</c:v>
                </c:pt>
                <c:pt idx="580">
                  <c:v>45055</c:v>
                </c:pt>
                <c:pt idx="581">
                  <c:v>45056</c:v>
                </c:pt>
                <c:pt idx="582">
                  <c:v>45057</c:v>
                </c:pt>
                <c:pt idx="583">
                  <c:v>45058</c:v>
                </c:pt>
                <c:pt idx="584">
                  <c:v>45061</c:v>
                </c:pt>
                <c:pt idx="585">
                  <c:v>45062</c:v>
                </c:pt>
                <c:pt idx="586">
                  <c:v>45063</c:v>
                </c:pt>
                <c:pt idx="587">
                  <c:v>45064</c:v>
                </c:pt>
                <c:pt idx="588">
                  <c:v>45065</c:v>
                </c:pt>
                <c:pt idx="589">
                  <c:v>45068</c:v>
                </c:pt>
                <c:pt idx="590">
                  <c:v>45069</c:v>
                </c:pt>
                <c:pt idx="591">
                  <c:v>45070</c:v>
                </c:pt>
                <c:pt idx="592">
                  <c:v>45071</c:v>
                </c:pt>
                <c:pt idx="593">
                  <c:v>45072</c:v>
                </c:pt>
                <c:pt idx="594">
                  <c:v>45075</c:v>
                </c:pt>
                <c:pt idx="595">
                  <c:v>45076</c:v>
                </c:pt>
                <c:pt idx="596">
                  <c:v>45077</c:v>
                </c:pt>
                <c:pt idx="597">
                  <c:v>45078</c:v>
                </c:pt>
                <c:pt idx="598">
                  <c:v>45079</c:v>
                </c:pt>
                <c:pt idx="599">
                  <c:v>45082</c:v>
                </c:pt>
                <c:pt idx="600">
                  <c:v>45083</c:v>
                </c:pt>
                <c:pt idx="601">
                  <c:v>45084</c:v>
                </c:pt>
                <c:pt idx="602">
                  <c:v>45085</c:v>
                </c:pt>
                <c:pt idx="603">
                  <c:v>45086</c:v>
                </c:pt>
                <c:pt idx="604">
                  <c:v>45089</c:v>
                </c:pt>
                <c:pt idx="605">
                  <c:v>45090</c:v>
                </c:pt>
                <c:pt idx="606">
                  <c:v>45091</c:v>
                </c:pt>
                <c:pt idx="607">
                  <c:v>45092</c:v>
                </c:pt>
                <c:pt idx="608">
                  <c:v>45093</c:v>
                </c:pt>
                <c:pt idx="609">
                  <c:v>45096</c:v>
                </c:pt>
                <c:pt idx="610">
                  <c:v>45097</c:v>
                </c:pt>
                <c:pt idx="611">
                  <c:v>45098</c:v>
                </c:pt>
                <c:pt idx="612">
                  <c:v>45099</c:v>
                </c:pt>
                <c:pt idx="613">
                  <c:v>45100</c:v>
                </c:pt>
                <c:pt idx="614">
                  <c:v>45103</c:v>
                </c:pt>
                <c:pt idx="615">
                  <c:v>45104</c:v>
                </c:pt>
                <c:pt idx="616">
                  <c:v>45105</c:v>
                </c:pt>
                <c:pt idx="617">
                  <c:v>45107</c:v>
                </c:pt>
                <c:pt idx="618">
                  <c:v>45110</c:v>
                </c:pt>
                <c:pt idx="619">
                  <c:v>45111</c:v>
                </c:pt>
                <c:pt idx="620">
                  <c:v>45112</c:v>
                </c:pt>
                <c:pt idx="621">
                  <c:v>45113</c:v>
                </c:pt>
                <c:pt idx="622">
                  <c:v>45114</c:v>
                </c:pt>
                <c:pt idx="623">
                  <c:v>45117</c:v>
                </c:pt>
                <c:pt idx="624">
                  <c:v>45118</c:v>
                </c:pt>
                <c:pt idx="625">
                  <c:v>45119</c:v>
                </c:pt>
                <c:pt idx="626">
                  <c:v>45120</c:v>
                </c:pt>
                <c:pt idx="627">
                  <c:v>45121</c:v>
                </c:pt>
                <c:pt idx="628">
                  <c:v>45124</c:v>
                </c:pt>
                <c:pt idx="629">
                  <c:v>45125</c:v>
                </c:pt>
                <c:pt idx="630">
                  <c:v>45126</c:v>
                </c:pt>
                <c:pt idx="631">
                  <c:v>45127</c:v>
                </c:pt>
                <c:pt idx="632">
                  <c:v>45128</c:v>
                </c:pt>
                <c:pt idx="633">
                  <c:v>45131</c:v>
                </c:pt>
                <c:pt idx="634">
                  <c:v>45132</c:v>
                </c:pt>
                <c:pt idx="635">
                  <c:v>45133</c:v>
                </c:pt>
                <c:pt idx="636">
                  <c:v>45134</c:v>
                </c:pt>
                <c:pt idx="637">
                  <c:v>45135</c:v>
                </c:pt>
                <c:pt idx="638">
                  <c:v>45138</c:v>
                </c:pt>
                <c:pt idx="639">
                  <c:v>45139</c:v>
                </c:pt>
                <c:pt idx="640">
                  <c:v>45140</c:v>
                </c:pt>
                <c:pt idx="641">
                  <c:v>45141</c:v>
                </c:pt>
                <c:pt idx="642">
                  <c:v>45142</c:v>
                </c:pt>
                <c:pt idx="643">
                  <c:v>45145</c:v>
                </c:pt>
                <c:pt idx="644">
                  <c:v>45146</c:v>
                </c:pt>
                <c:pt idx="645">
                  <c:v>45147</c:v>
                </c:pt>
                <c:pt idx="646">
                  <c:v>45148</c:v>
                </c:pt>
                <c:pt idx="647">
                  <c:v>45149</c:v>
                </c:pt>
                <c:pt idx="648">
                  <c:v>45152</c:v>
                </c:pt>
                <c:pt idx="649">
                  <c:v>45154</c:v>
                </c:pt>
                <c:pt idx="650">
                  <c:v>45155</c:v>
                </c:pt>
                <c:pt idx="651">
                  <c:v>45156</c:v>
                </c:pt>
                <c:pt idx="652">
                  <c:v>45159</c:v>
                </c:pt>
                <c:pt idx="653">
                  <c:v>45160</c:v>
                </c:pt>
                <c:pt idx="654">
                  <c:v>45161</c:v>
                </c:pt>
                <c:pt idx="655">
                  <c:v>45162</c:v>
                </c:pt>
                <c:pt idx="656">
                  <c:v>45163</c:v>
                </c:pt>
                <c:pt idx="657">
                  <c:v>45166</c:v>
                </c:pt>
                <c:pt idx="658">
                  <c:v>45167</c:v>
                </c:pt>
                <c:pt idx="659">
                  <c:v>45168</c:v>
                </c:pt>
                <c:pt idx="660">
                  <c:v>45169</c:v>
                </c:pt>
                <c:pt idx="661">
                  <c:v>45170</c:v>
                </c:pt>
                <c:pt idx="662">
                  <c:v>45173</c:v>
                </c:pt>
                <c:pt idx="663">
                  <c:v>45174</c:v>
                </c:pt>
                <c:pt idx="664">
                  <c:v>45175</c:v>
                </c:pt>
                <c:pt idx="665">
                  <c:v>45176</c:v>
                </c:pt>
                <c:pt idx="666">
                  <c:v>45177</c:v>
                </c:pt>
                <c:pt idx="667">
                  <c:v>45180</c:v>
                </c:pt>
                <c:pt idx="668">
                  <c:v>45181</c:v>
                </c:pt>
                <c:pt idx="669">
                  <c:v>45182</c:v>
                </c:pt>
                <c:pt idx="670">
                  <c:v>45183</c:v>
                </c:pt>
                <c:pt idx="671">
                  <c:v>45184</c:v>
                </c:pt>
                <c:pt idx="672">
                  <c:v>45187</c:v>
                </c:pt>
                <c:pt idx="673">
                  <c:v>45189</c:v>
                </c:pt>
                <c:pt idx="674">
                  <c:v>45190</c:v>
                </c:pt>
                <c:pt idx="675">
                  <c:v>45191</c:v>
                </c:pt>
                <c:pt idx="676">
                  <c:v>45194</c:v>
                </c:pt>
                <c:pt idx="677">
                  <c:v>45195</c:v>
                </c:pt>
                <c:pt idx="678">
                  <c:v>45196</c:v>
                </c:pt>
                <c:pt idx="679">
                  <c:v>45197</c:v>
                </c:pt>
                <c:pt idx="680">
                  <c:v>45198</c:v>
                </c:pt>
                <c:pt idx="681">
                  <c:v>45202</c:v>
                </c:pt>
                <c:pt idx="682">
                  <c:v>45203</c:v>
                </c:pt>
                <c:pt idx="683">
                  <c:v>45204</c:v>
                </c:pt>
                <c:pt idx="684">
                  <c:v>45205</c:v>
                </c:pt>
                <c:pt idx="685">
                  <c:v>45208</c:v>
                </c:pt>
                <c:pt idx="686">
                  <c:v>45209</c:v>
                </c:pt>
                <c:pt idx="687">
                  <c:v>45210</c:v>
                </c:pt>
                <c:pt idx="688">
                  <c:v>45211</c:v>
                </c:pt>
                <c:pt idx="689">
                  <c:v>45212</c:v>
                </c:pt>
                <c:pt idx="690">
                  <c:v>45215</c:v>
                </c:pt>
                <c:pt idx="691">
                  <c:v>45216</c:v>
                </c:pt>
                <c:pt idx="692">
                  <c:v>45217</c:v>
                </c:pt>
                <c:pt idx="693">
                  <c:v>45218</c:v>
                </c:pt>
                <c:pt idx="694">
                  <c:v>45219</c:v>
                </c:pt>
                <c:pt idx="695">
                  <c:v>45222</c:v>
                </c:pt>
                <c:pt idx="696">
                  <c:v>45224</c:v>
                </c:pt>
                <c:pt idx="697">
                  <c:v>45225</c:v>
                </c:pt>
                <c:pt idx="698">
                  <c:v>45226</c:v>
                </c:pt>
                <c:pt idx="699">
                  <c:v>45229</c:v>
                </c:pt>
                <c:pt idx="700">
                  <c:v>45230</c:v>
                </c:pt>
                <c:pt idx="701">
                  <c:v>45231</c:v>
                </c:pt>
                <c:pt idx="702">
                  <c:v>45232</c:v>
                </c:pt>
                <c:pt idx="703">
                  <c:v>45233</c:v>
                </c:pt>
                <c:pt idx="704">
                  <c:v>45236</c:v>
                </c:pt>
                <c:pt idx="705">
                  <c:v>45237</c:v>
                </c:pt>
                <c:pt idx="706">
                  <c:v>45238</c:v>
                </c:pt>
                <c:pt idx="707">
                  <c:v>45239</c:v>
                </c:pt>
                <c:pt idx="708">
                  <c:v>45240</c:v>
                </c:pt>
                <c:pt idx="709">
                  <c:v>45242</c:v>
                </c:pt>
                <c:pt idx="710">
                  <c:v>45243</c:v>
                </c:pt>
                <c:pt idx="711">
                  <c:v>45245</c:v>
                </c:pt>
                <c:pt idx="712">
                  <c:v>45246</c:v>
                </c:pt>
                <c:pt idx="713">
                  <c:v>45247</c:v>
                </c:pt>
                <c:pt idx="714">
                  <c:v>45250</c:v>
                </c:pt>
                <c:pt idx="715">
                  <c:v>45251</c:v>
                </c:pt>
                <c:pt idx="716">
                  <c:v>45252</c:v>
                </c:pt>
                <c:pt idx="717">
                  <c:v>45253</c:v>
                </c:pt>
                <c:pt idx="718">
                  <c:v>45254</c:v>
                </c:pt>
                <c:pt idx="719">
                  <c:v>45258</c:v>
                </c:pt>
                <c:pt idx="720">
                  <c:v>45259</c:v>
                </c:pt>
                <c:pt idx="721">
                  <c:v>45260</c:v>
                </c:pt>
                <c:pt idx="722">
                  <c:v>45261</c:v>
                </c:pt>
                <c:pt idx="723">
                  <c:v>45264</c:v>
                </c:pt>
                <c:pt idx="724">
                  <c:v>45265</c:v>
                </c:pt>
                <c:pt idx="725">
                  <c:v>45266</c:v>
                </c:pt>
                <c:pt idx="726">
                  <c:v>45267</c:v>
                </c:pt>
                <c:pt idx="727">
                  <c:v>45268</c:v>
                </c:pt>
                <c:pt idx="728">
                  <c:v>45271</c:v>
                </c:pt>
                <c:pt idx="729">
                  <c:v>45272</c:v>
                </c:pt>
                <c:pt idx="730">
                  <c:v>45273</c:v>
                </c:pt>
                <c:pt idx="731">
                  <c:v>45274</c:v>
                </c:pt>
                <c:pt idx="732">
                  <c:v>45275</c:v>
                </c:pt>
                <c:pt idx="733">
                  <c:v>45278</c:v>
                </c:pt>
                <c:pt idx="734">
                  <c:v>45279</c:v>
                </c:pt>
                <c:pt idx="735">
                  <c:v>45280</c:v>
                </c:pt>
                <c:pt idx="736">
                  <c:v>45281</c:v>
                </c:pt>
                <c:pt idx="737">
                  <c:v>45282</c:v>
                </c:pt>
                <c:pt idx="738">
                  <c:v>45286</c:v>
                </c:pt>
                <c:pt idx="739">
                  <c:v>45287</c:v>
                </c:pt>
                <c:pt idx="740">
                  <c:v>45288</c:v>
                </c:pt>
                <c:pt idx="741">
                  <c:v>45289</c:v>
                </c:pt>
                <c:pt idx="742">
                  <c:v>45292</c:v>
                </c:pt>
                <c:pt idx="743">
                  <c:v>45293</c:v>
                </c:pt>
                <c:pt idx="744">
                  <c:v>45294</c:v>
                </c:pt>
                <c:pt idx="745">
                  <c:v>45295</c:v>
                </c:pt>
                <c:pt idx="746">
                  <c:v>45296</c:v>
                </c:pt>
                <c:pt idx="747">
                  <c:v>45299</c:v>
                </c:pt>
                <c:pt idx="748">
                  <c:v>45300</c:v>
                </c:pt>
                <c:pt idx="749">
                  <c:v>45301</c:v>
                </c:pt>
                <c:pt idx="750">
                  <c:v>45302</c:v>
                </c:pt>
                <c:pt idx="751">
                  <c:v>45303</c:v>
                </c:pt>
                <c:pt idx="752">
                  <c:v>45306</c:v>
                </c:pt>
                <c:pt idx="753">
                  <c:v>45307</c:v>
                </c:pt>
                <c:pt idx="754">
                  <c:v>45308</c:v>
                </c:pt>
                <c:pt idx="755">
                  <c:v>45309</c:v>
                </c:pt>
                <c:pt idx="756">
                  <c:v>45310</c:v>
                </c:pt>
                <c:pt idx="757">
                  <c:v>45311</c:v>
                </c:pt>
                <c:pt idx="758">
                  <c:v>45314</c:v>
                </c:pt>
                <c:pt idx="759">
                  <c:v>45315</c:v>
                </c:pt>
                <c:pt idx="760">
                  <c:v>45316</c:v>
                </c:pt>
                <c:pt idx="761">
                  <c:v>45320</c:v>
                </c:pt>
                <c:pt idx="762">
                  <c:v>45321</c:v>
                </c:pt>
                <c:pt idx="763">
                  <c:v>45322</c:v>
                </c:pt>
                <c:pt idx="764">
                  <c:v>45323</c:v>
                </c:pt>
                <c:pt idx="765">
                  <c:v>45324</c:v>
                </c:pt>
                <c:pt idx="766">
                  <c:v>45327</c:v>
                </c:pt>
                <c:pt idx="767">
                  <c:v>45328</c:v>
                </c:pt>
                <c:pt idx="768">
                  <c:v>45329</c:v>
                </c:pt>
                <c:pt idx="769">
                  <c:v>45330</c:v>
                </c:pt>
                <c:pt idx="770">
                  <c:v>45331</c:v>
                </c:pt>
                <c:pt idx="771">
                  <c:v>45334</c:v>
                </c:pt>
                <c:pt idx="772">
                  <c:v>45335</c:v>
                </c:pt>
                <c:pt idx="773">
                  <c:v>45336</c:v>
                </c:pt>
                <c:pt idx="774">
                  <c:v>45337</c:v>
                </c:pt>
                <c:pt idx="775">
                  <c:v>45338</c:v>
                </c:pt>
                <c:pt idx="776">
                  <c:v>45341</c:v>
                </c:pt>
                <c:pt idx="777">
                  <c:v>45342</c:v>
                </c:pt>
                <c:pt idx="778">
                  <c:v>45343</c:v>
                </c:pt>
                <c:pt idx="779">
                  <c:v>45344</c:v>
                </c:pt>
                <c:pt idx="780">
                  <c:v>45345</c:v>
                </c:pt>
                <c:pt idx="781">
                  <c:v>45348</c:v>
                </c:pt>
                <c:pt idx="782">
                  <c:v>45349</c:v>
                </c:pt>
                <c:pt idx="783">
                  <c:v>45350</c:v>
                </c:pt>
                <c:pt idx="784">
                  <c:v>45351</c:v>
                </c:pt>
                <c:pt idx="785">
                  <c:v>45352</c:v>
                </c:pt>
                <c:pt idx="786">
                  <c:v>45355</c:v>
                </c:pt>
                <c:pt idx="787">
                  <c:v>45356</c:v>
                </c:pt>
                <c:pt idx="788">
                  <c:v>45357</c:v>
                </c:pt>
                <c:pt idx="789">
                  <c:v>45358</c:v>
                </c:pt>
                <c:pt idx="790">
                  <c:v>45362</c:v>
                </c:pt>
                <c:pt idx="791">
                  <c:v>45363</c:v>
                </c:pt>
                <c:pt idx="792">
                  <c:v>45364</c:v>
                </c:pt>
                <c:pt idx="793">
                  <c:v>45365</c:v>
                </c:pt>
                <c:pt idx="794">
                  <c:v>45366</c:v>
                </c:pt>
                <c:pt idx="795">
                  <c:v>45369</c:v>
                </c:pt>
                <c:pt idx="796">
                  <c:v>45370</c:v>
                </c:pt>
                <c:pt idx="797">
                  <c:v>45371</c:v>
                </c:pt>
                <c:pt idx="798">
                  <c:v>45372</c:v>
                </c:pt>
                <c:pt idx="799">
                  <c:v>45373</c:v>
                </c:pt>
                <c:pt idx="800">
                  <c:v>45377</c:v>
                </c:pt>
                <c:pt idx="801">
                  <c:v>45378</c:v>
                </c:pt>
                <c:pt idx="802">
                  <c:v>45379</c:v>
                </c:pt>
                <c:pt idx="803">
                  <c:v>45383</c:v>
                </c:pt>
                <c:pt idx="804">
                  <c:v>45384</c:v>
                </c:pt>
                <c:pt idx="805">
                  <c:v>45385</c:v>
                </c:pt>
                <c:pt idx="806">
                  <c:v>45386</c:v>
                </c:pt>
                <c:pt idx="807">
                  <c:v>45387</c:v>
                </c:pt>
                <c:pt idx="808">
                  <c:v>45390</c:v>
                </c:pt>
                <c:pt idx="809">
                  <c:v>45391</c:v>
                </c:pt>
                <c:pt idx="810">
                  <c:v>45392</c:v>
                </c:pt>
                <c:pt idx="811">
                  <c:v>45394</c:v>
                </c:pt>
                <c:pt idx="812">
                  <c:v>45397</c:v>
                </c:pt>
                <c:pt idx="813">
                  <c:v>45398</c:v>
                </c:pt>
                <c:pt idx="814">
                  <c:v>45400</c:v>
                </c:pt>
                <c:pt idx="815">
                  <c:v>45401</c:v>
                </c:pt>
                <c:pt idx="816">
                  <c:v>45404</c:v>
                </c:pt>
                <c:pt idx="817">
                  <c:v>45405</c:v>
                </c:pt>
                <c:pt idx="818">
                  <c:v>45406</c:v>
                </c:pt>
                <c:pt idx="819">
                  <c:v>45407</c:v>
                </c:pt>
                <c:pt idx="820">
                  <c:v>45408</c:v>
                </c:pt>
                <c:pt idx="821">
                  <c:v>45411</c:v>
                </c:pt>
                <c:pt idx="822">
                  <c:v>45412</c:v>
                </c:pt>
                <c:pt idx="823">
                  <c:v>45414</c:v>
                </c:pt>
                <c:pt idx="824">
                  <c:v>45415</c:v>
                </c:pt>
                <c:pt idx="825">
                  <c:v>45418</c:v>
                </c:pt>
                <c:pt idx="826">
                  <c:v>45419</c:v>
                </c:pt>
                <c:pt idx="827">
                  <c:v>45420</c:v>
                </c:pt>
                <c:pt idx="828">
                  <c:v>45421</c:v>
                </c:pt>
                <c:pt idx="829">
                  <c:v>45422</c:v>
                </c:pt>
                <c:pt idx="830">
                  <c:v>45425</c:v>
                </c:pt>
                <c:pt idx="831">
                  <c:v>45426</c:v>
                </c:pt>
                <c:pt idx="832">
                  <c:v>45427</c:v>
                </c:pt>
                <c:pt idx="833">
                  <c:v>45428</c:v>
                </c:pt>
                <c:pt idx="834">
                  <c:v>45429</c:v>
                </c:pt>
                <c:pt idx="835">
                  <c:v>45430</c:v>
                </c:pt>
                <c:pt idx="836">
                  <c:v>45433</c:v>
                </c:pt>
                <c:pt idx="837">
                  <c:v>45434</c:v>
                </c:pt>
                <c:pt idx="838">
                  <c:v>45435</c:v>
                </c:pt>
                <c:pt idx="839">
                  <c:v>45436</c:v>
                </c:pt>
                <c:pt idx="840">
                  <c:v>45439</c:v>
                </c:pt>
                <c:pt idx="841">
                  <c:v>45440</c:v>
                </c:pt>
                <c:pt idx="842">
                  <c:v>45441</c:v>
                </c:pt>
                <c:pt idx="843">
                  <c:v>45442</c:v>
                </c:pt>
                <c:pt idx="844">
                  <c:v>45443</c:v>
                </c:pt>
                <c:pt idx="845">
                  <c:v>45446</c:v>
                </c:pt>
                <c:pt idx="846">
                  <c:v>45447</c:v>
                </c:pt>
                <c:pt idx="847">
                  <c:v>45448</c:v>
                </c:pt>
                <c:pt idx="848">
                  <c:v>45449</c:v>
                </c:pt>
                <c:pt idx="849">
                  <c:v>45450</c:v>
                </c:pt>
                <c:pt idx="850">
                  <c:v>45453</c:v>
                </c:pt>
                <c:pt idx="851">
                  <c:v>45454</c:v>
                </c:pt>
                <c:pt idx="852">
                  <c:v>45455</c:v>
                </c:pt>
                <c:pt idx="853">
                  <c:v>45456</c:v>
                </c:pt>
                <c:pt idx="854">
                  <c:v>45457</c:v>
                </c:pt>
                <c:pt idx="855">
                  <c:v>45461</c:v>
                </c:pt>
                <c:pt idx="856">
                  <c:v>45462</c:v>
                </c:pt>
                <c:pt idx="857">
                  <c:v>45463</c:v>
                </c:pt>
                <c:pt idx="858">
                  <c:v>45464</c:v>
                </c:pt>
                <c:pt idx="859">
                  <c:v>45467</c:v>
                </c:pt>
                <c:pt idx="860">
                  <c:v>45468</c:v>
                </c:pt>
                <c:pt idx="861">
                  <c:v>45469</c:v>
                </c:pt>
                <c:pt idx="862">
                  <c:v>45470</c:v>
                </c:pt>
                <c:pt idx="863">
                  <c:v>45471</c:v>
                </c:pt>
                <c:pt idx="864">
                  <c:v>45474</c:v>
                </c:pt>
                <c:pt idx="865">
                  <c:v>45475</c:v>
                </c:pt>
                <c:pt idx="866">
                  <c:v>45476</c:v>
                </c:pt>
                <c:pt idx="867">
                  <c:v>45477</c:v>
                </c:pt>
                <c:pt idx="868">
                  <c:v>45478</c:v>
                </c:pt>
                <c:pt idx="869">
                  <c:v>45481</c:v>
                </c:pt>
                <c:pt idx="870">
                  <c:v>45482</c:v>
                </c:pt>
                <c:pt idx="871">
                  <c:v>45483</c:v>
                </c:pt>
                <c:pt idx="872">
                  <c:v>45484</c:v>
                </c:pt>
                <c:pt idx="873">
                  <c:v>45485</c:v>
                </c:pt>
                <c:pt idx="874">
                  <c:v>45488</c:v>
                </c:pt>
                <c:pt idx="875">
                  <c:v>45489</c:v>
                </c:pt>
                <c:pt idx="876">
                  <c:v>45491</c:v>
                </c:pt>
                <c:pt idx="877">
                  <c:v>45492</c:v>
                </c:pt>
                <c:pt idx="878">
                  <c:v>45495</c:v>
                </c:pt>
                <c:pt idx="879">
                  <c:v>45496</c:v>
                </c:pt>
                <c:pt idx="880">
                  <c:v>45497</c:v>
                </c:pt>
                <c:pt idx="881">
                  <c:v>45498</c:v>
                </c:pt>
                <c:pt idx="882">
                  <c:v>45499</c:v>
                </c:pt>
                <c:pt idx="883">
                  <c:v>45502</c:v>
                </c:pt>
                <c:pt idx="884">
                  <c:v>45503</c:v>
                </c:pt>
                <c:pt idx="885">
                  <c:v>45504</c:v>
                </c:pt>
                <c:pt idx="886">
                  <c:v>45505</c:v>
                </c:pt>
                <c:pt idx="887">
                  <c:v>45506</c:v>
                </c:pt>
                <c:pt idx="888">
                  <c:v>45509</c:v>
                </c:pt>
                <c:pt idx="889">
                  <c:v>45510</c:v>
                </c:pt>
                <c:pt idx="890">
                  <c:v>45511</c:v>
                </c:pt>
                <c:pt idx="891">
                  <c:v>45512</c:v>
                </c:pt>
                <c:pt idx="892">
                  <c:v>45513</c:v>
                </c:pt>
                <c:pt idx="893">
                  <c:v>45516</c:v>
                </c:pt>
                <c:pt idx="894">
                  <c:v>45517</c:v>
                </c:pt>
                <c:pt idx="895">
                  <c:v>45518</c:v>
                </c:pt>
                <c:pt idx="896">
                  <c:v>45520</c:v>
                </c:pt>
                <c:pt idx="897">
                  <c:v>45523</c:v>
                </c:pt>
                <c:pt idx="898">
                  <c:v>45524</c:v>
                </c:pt>
                <c:pt idx="899">
                  <c:v>45525</c:v>
                </c:pt>
                <c:pt idx="900">
                  <c:v>45526</c:v>
                </c:pt>
                <c:pt idx="901">
                  <c:v>45527</c:v>
                </c:pt>
                <c:pt idx="902">
                  <c:v>45530</c:v>
                </c:pt>
                <c:pt idx="903">
                  <c:v>45531</c:v>
                </c:pt>
                <c:pt idx="904">
                  <c:v>45532</c:v>
                </c:pt>
                <c:pt idx="905">
                  <c:v>45533</c:v>
                </c:pt>
                <c:pt idx="906">
                  <c:v>45534</c:v>
                </c:pt>
                <c:pt idx="907">
                  <c:v>45537</c:v>
                </c:pt>
                <c:pt idx="908">
                  <c:v>45538</c:v>
                </c:pt>
                <c:pt idx="909">
                  <c:v>45539</c:v>
                </c:pt>
                <c:pt idx="910">
                  <c:v>45540</c:v>
                </c:pt>
                <c:pt idx="911">
                  <c:v>45541</c:v>
                </c:pt>
                <c:pt idx="912">
                  <c:v>45544</c:v>
                </c:pt>
                <c:pt idx="913">
                  <c:v>45545</c:v>
                </c:pt>
                <c:pt idx="914">
                  <c:v>45546</c:v>
                </c:pt>
                <c:pt idx="915">
                  <c:v>45547</c:v>
                </c:pt>
                <c:pt idx="916">
                  <c:v>45548</c:v>
                </c:pt>
                <c:pt idx="917">
                  <c:v>45551</c:v>
                </c:pt>
                <c:pt idx="918">
                  <c:v>45552</c:v>
                </c:pt>
                <c:pt idx="919">
                  <c:v>45553</c:v>
                </c:pt>
                <c:pt idx="920">
                  <c:v>45554</c:v>
                </c:pt>
                <c:pt idx="921">
                  <c:v>45555</c:v>
                </c:pt>
                <c:pt idx="922">
                  <c:v>45558</c:v>
                </c:pt>
                <c:pt idx="923">
                  <c:v>45559</c:v>
                </c:pt>
                <c:pt idx="924">
                  <c:v>45560</c:v>
                </c:pt>
                <c:pt idx="925">
                  <c:v>45561</c:v>
                </c:pt>
                <c:pt idx="926">
                  <c:v>45562</c:v>
                </c:pt>
                <c:pt idx="927">
                  <c:v>45565</c:v>
                </c:pt>
                <c:pt idx="928">
                  <c:v>45566</c:v>
                </c:pt>
                <c:pt idx="929">
                  <c:v>45568</c:v>
                </c:pt>
                <c:pt idx="930">
                  <c:v>45569</c:v>
                </c:pt>
                <c:pt idx="931">
                  <c:v>45572</c:v>
                </c:pt>
                <c:pt idx="932">
                  <c:v>45573</c:v>
                </c:pt>
                <c:pt idx="933">
                  <c:v>45574</c:v>
                </c:pt>
                <c:pt idx="934">
                  <c:v>45575</c:v>
                </c:pt>
                <c:pt idx="935">
                  <c:v>45576</c:v>
                </c:pt>
                <c:pt idx="936">
                  <c:v>45579</c:v>
                </c:pt>
                <c:pt idx="937">
                  <c:v>45580</c:v>
                </c:pt>
                <c:pt idx="938">
                  <c:v>45581</c:v>
                </c:pt>
                <c:pt idx="939">
                  <c:v>45582</c:v>
                </c:pt>
                <c:pt idx="940">
                  <c:v>45583</c:v>
                </c:pt>
                <c:pt idx="941">
                  <c:v>45586</c:v>
                </c:pt>
                <c:pt idx="942">
                  <c:v>45587</c:v>
                </c:pt>
                <c:pt idx="943">
                  <c:v>45588</c:v>
                </c:pt>
                <c:pt idx="944">
                  <c:v>45589</c:v>
                </c:pt>
                <c:pt idx="945">
                  <c:v>45590</c:v>
                </c:pt>
                <c:pt idx="946">
                  <c:v>45593</c:v>
                </c:pt>
                <c:pt idx="947">
                  <c:v>45594</c:v>
                </c:pt>
                <c:pt idx="948">
                  <c:v>45595</c:v>
                </c:pt>
                <c:pt idx="949">
                  <c:v>45596</c:v>
                </c:pt>
                <c:pt idx="950">
                  <c:v>45597</c:v>
                </c:pt>
                <c:pt idx="951">
                  <c:v>45600</c:v>
                </c:pt>
                <c:pt idx="952">
                  <c:v>45601</c:v>
                </c:pt>
                <c:pt idx="953">
                  <c:v>45602</c:v>
                </c:pt>
                <c:pt idx="954">
                  <c:v>45603</c:v>
                </c:pt>
                <c:pt idx="955">
                  <c:v>45604</c:v>
                </c:pt>
                <c:pt idx="956">
                  <c:v>45607</c:v>
                </c:pt>
                <c:pt idx="957">
                  <c:v>45608</c:v>
                </c:pt>
                <c:pt idx="958">
                  <c:v>45609</c:v>
                </c:pt>
                <c:pt idx="959">
                  <c:v>45610</c:v>
                </c:pt>
                <c:pt idx="960">
                  <c:v>45614</c:v>
                </c:pt>
                <c:pt idx="961">
                  <c:v>45615</c:v>
                </c:pt>
                <c:pt idx="962">
                  <c:v>45617</c:v>
                </c:pt>
                <c:pt idx="963">
                  <c:v>45618</c:v>
                </c:pt>
                <c:pt idx="964">
                  <c:v>45621</c:v>
                </c:pt>
                <c:pt idx="965">
                  <c:v>45622</c:v>
                </c:pt>
                <c:pt idx="966">
                  <c:v>45623</c:v>
                </c:pt>
                <c:pt idx="967">
                  <c:v>45624</c:v>
                </c:pt>
                <c:pt idx="968">
                  <c:v>45625</c:v>
                </c:pt>
                <c:pt idx="969">
                  <c:v>45628</c:v>
                </c:pt>
                <c:pt idx="970">
                  <c:v>45629</c:v>
                </c:pt>
                <c:pt idx="971">
                  <c:v>45630</c:v>
                </c:pt>
                <c:pt idx="972">
                  <c:v>45631</c:v>
                </c:pt>
                <c:pt idx="973">
                  <c:v>45632</c:v>
                </c:pt>
                <c:pt idx="974">
                  <c:v>45635</c:v>
                </c:pt>
                <c:pt idx="975">
                  <c:v>45636</c:v>
                </c:pt>
                <c:pt idx="976">
                  <c:v>45637</c:v>
                </c:pt>
                <c:pt idx="977">
                  <c:v>45638</c:v>
                </c:pt>
                <c:pt idx="978">
                  <c:v>45639</c:v>
                </c:pt>
                <c:pt idx="979">
                  <c:v>45642</c:v>
                </c:pt>
                <c:pt idx="980">
                  <c:v>45643</c:v>
                </c:pt>
                <c:pt idx="981">
                  <c:v>45644</c:v>
                </c:pt>
                <c:pt idx="982">
                  <c:v>45645</c:v>
                </c:pt>
                <c:pt idx="983">
                  <c:v>45646</c:v>
                </c:pt>
                <c:pt idx="984">
                  <c:v>45649</c:v>
                </c:pt>
                <c:pt idx="985">
                  <c:v>45650</c:v>
                </c:pt>
                <c:pt idx="986">
                  <c:v>45652</c:v>
                </c:pt>
                <c:pt idx="987">
                  <c:v>45653</c:v>
                </c:pt>
                <c:pt idx="988">
                  <c:v>45656</c:v>
                </c:pt>
                <c:pt idx="989">
                  <c:v>45657</c:v>
                </c:pt>
                <c:pt idx="990">
                  <c:v>45658</c:v>
                </c:pt>
                <c:pt idx="991">
                  <c:v>45659</c:v>
                </c:pt>
                <c:pt idx="992">
                  <c:v>45660</c:v>
                </c:pt>
                <c:pt idx="993">
                  <c:v>45663</c:v>
                </c:pt>
                <c:pt idx="994">
                  <c:v>45664</c:v>
                </c:pt>
                <c:pt idx="995">
                  <c:v>45665</c:v>
                </c:pt>
                <c:pt idx="996">
                  <c:v>45666</c:v>
                </c:pt>
                <c:pt idx="997">
                  <c:v>45667</c:v>
                </c:pt>
                <c:pt idx="998">
                  <c:v>45670</c:v>
                </c:pt>
                <c:pt idx="999">
                  <c:v>45671</c:v>
                </c:pt>
                <c:pt idx="1000">
                  <c:v>45672</c:v>
                </c:pt>
                <c:pt idx="1001">
                  <c:v>45673</c:v>
                </c:pt>
                <c:pt idx="1002">
                  <c:v>45674</c:v>
                </c:pt>
                <c:pt idx="1003">
                  <c:v>45677</c:v>
                </c:pt>
                <c:pt idx="1004">
                  <c:v>45678</c:v>
                </c:pt>
                <c:pt idx="1005">
                  <c:v>45679</c:v>
                </c:pt>
                <c:pt idx="1006">
                  <c:v>45680</c:v>
                </c:pt>
                <c:pt idx="1007">
                  <c:v>45681</c:v>
                </c:pt>
                <c:pt idx="1008">
                  <c:v>45684</c:v>
                </c:pt>
                <c:pt idx="1009">
                  <c:v>45685</c:v>
                </c:pt>
                <c:pt idx="1010">
                  <c:v>45686</c:v>
                </c:pt>
                <c:pt idx="1011">
                  <c:v>45687</c:v>
                </c:pt>
                <c:pt idx="1012">
                  <c:v>45688</c:v>
                </c:pt>
                <c:pt idx="1013">
                  <c:v>45689</c:v>
                </c:pt>
                <c:pt idx="1014">
                  <c:v>45691</c:v>
                </c:pt>
                <c:pt idx="1015">
                  <c:v>45692</c:v>
                </c:pt>
                <c:pt idx="1016">
                  <c:v>45693</c:v>
                </c:pt>
                <c:pt idx="1017">
                  <c:v>45694</c:v>
                </c:pt>
                <c:pt idx="1018">
                  <c:v>45695</c:v>
                </c:pt>
                <c:pt idx="1019">
                  <c:v>45698</c:v>
                </c:pt>
                <c:pt idx="1020">
                  <c:v>45699</c:v>
                </c:pt>
                <c:pt idx="1021">
                  <c:v>45700</c:v>
                </c:pt>
                <c:pt idx="1022">
                  <c:v>45701</c:v>
                </c:pt>
                <c:pt idx="1023">
                  <c:v>45702</c:v>
                </c:pt>
                <c:pt idx="1024">
                  <c:v>45705</c:v>
                </c:pt>
                <c:pt idx="1025">
                  <c:v>45706</c:v>
                </c:pt>
                <c:pt idx="1026">
                  <c:v>45707</c:v>
                </c:pt>
                <c:pt idx="1027">
                  <c:v>45708</c:v>
                </c:pt>
                <c:pt idx="1028">
                  <c:v>45709</c:v>
                </c:pt>
                <c:pt idx="1029">
                  <c:v>45712</c:v>
                </c:pt>
                <c:pt idx="1030">
                  <c:v>45713</c:v>
                </c:pt>
                <c:pt idx="1031">
                  <c:v>45715</c:v>
                </c:pt>
                <c:pt idx="1032">
                  <c:v>45716</c:v>
                </c:pt>
                <c:pt idx="1033">
                  <c:v>45719</c:v>
                </c:pt>
                <c:pt idx="1034">
                  <c:v>45720</c:v>
                </c:pt>
                <c:pt idx="1035">
                  <c:v>45721</c:v>
                </c:pt>
                <c:pt idx="1036">
                  <c:v>45722</c:v>
                </c:pt>
                <c:pt idx="1037">
                  <c:v>45723</c:v>
                </c:pt>
                <c:pt idx="1038">
                  <c:v>45726</c:v>
                </c:pt>
                <c:pt idx="1039">
                  <c:v>45727</c:v>
                </c:pt>
                <c:pt idx="1040">
                  <c:v>45728</c:v>
                </c:pt>
                <c:pt idx="1041">
                  <c:v>45729</c:v>
                </c:pt>
                <c:pt idx="1042">
                  <c:v>45733</c:v>
                </c:pt>
                <c:pt idx="1043">
                  <c:v>45734</c:v>
                </c:pt>
                <c:pt idx="1044">
                  <c:v>45735</c:v>
                </c:pt>
                <c:pt idx="1045">
                  <c:v>45736</c:v>
                </c:pt>
                <c:pt idx="1046">
                  <c:v>45737</c:v>
                </c:pt>
                <c:pt idx="1047">
                  <c:v>45740</c:v>
                </c:pt>
                <c:pt idx="1048">
                  <c:v>45741</c:v>
                </c:pt>
                <c:pt idx="1049">
                  <c:v>45742</c:v>
                </c:pt>
                <c:pt idx="1050">
                  <c:v>45743</c:v>
                </c:pt>
                <c:pt idx="1051">
                  <c:v>45744</c:v>
                </c:pt>
                <c:pt idx="1052">
                  <c:v>45748</c:v>
                </c:pt>
                <c:pt idx="1053">
                  <c:v>45749</c:v>
                </c:pt>
                <c:pt idx="1054">
                  <c:v>45750</c:v>
                </c:pt>
                <c:pt idx="1055">
                  <c:v>45751</c:v>
                </c:pt>
                <c:pt idx="1056">
                  <c:v>45754</c:v>
                </c:pt>
                <c:pt idx="1057">
                  <c:v>45755</c:v>
                </c:pt>
                <c:pt idx="1058">
                  <c:v>45756</c:v>
                </c:pt>
                <c:pt idx="1059">
                  <c:v>45758</c:v>
                </c:pt>
                <c:pt idx="1060">
                  <c:v>45762</c:v>
                </c:pt>
                <c:pt idx="1061">
                  <c:v>45763</c:v>
                </c:pt>
                <c:pt idx="1062">
                  <c:v>45764</c:v>
                </c:pt>
                <c:pt idx="1063">
                  <c:v>45768</c:v>
                </c:pt>
                <c:pt idx="1064">
                  <c:v>45769</c:v>
                </c:pt>
                <c:pt idx="1065">
                  <c:v>45770</c:v>
                </c:pt>
                <c:pt idx="1066">
                  <c:v>45771</c:v>
                </c:pt>
                <c:pt idx="1067">
                  <c:v>45772</c:v>
                </c:pt>
                <c:pt idx="1068">
                  <c:v>45775</c:v>
                </c:pt>
                <c:pt idx="1069">
                  <c:v>45776</c:v>
                </c:pt>
                <c:pt idx="1070">
                  <c:v>45777</c:v>
                </c:pt>
                <c:pt idx="1071">
                  <c:v>45779</c:v>
                </c:pt>
                <c:pt idx="1072">
                  <c:v>45782</c:v>
                </c:pt>
                <c:pt idx="1073">
                  <c:v>45783</c:v>
                </c:pt>
                <c:pt idx="1074">
                  <c:v>45784</c:v>
                </c:pt>
                <c:pt idx="1075">
                  <c:v>45785</c:v>
                </c:pt>
                <c:pt idx="1076">
                  <c:v>45786</c:v>
                </c:pt>
                <c:pt idx="1077">
                  <c:v>45789</c:v>
                </c:pt>
                <c:pt idx="1078">
                  <c:v>45790</c:v>
                </c:pt>
                <c:pt idx="1079">
                  <c:v>45791</c:v>
                </c:pt>
                <c:pt idx="1080">
                  <c:v>45792</c:v>
                </c:pt>
                <c:pt idx="1081">
                  <c:v>45793</c:v>
                </c:pt>
                <c:pt idx="1082">
                  <c:v>45796</c:v>
                </c:pt>
                <c:pt idx="1083">
                  <c:v>45797</c:v>
                </c:pt>
                <c:pt idx="1084">
                  <c:v>45798</c:v>
                </c:pt>
                <c:pt idx="1085">
                  <c:v>45799</c:v>
                </c:pt>
                <c:pt idx="1086">
                  <c:v>45800</c:v>
                </c:pt>
                <c:pt idx="1087">
                  <c:v>45803</c:v>
                </c:pt>
                <c:pt idx="1088">
                  <c:v>45804</c:v>
                </c:pt>
                <c:pt idx="1089">
                  <c:v>45805</c:v>
                </c:pt>
                <c:pt idx="1090">
                  <c:v>45806</c:v>
                </c:pt>
                <c:pt idx="1091">
                  <c:v>45807</c:v>
                </c:pt>
                <c:pt idx="1092">
                  <c:v>45810</c:v>
                </c:pt>
                <c:pt idx="1093">
                  <c:v>45811</c:v>
                </c:pt>
                <c:pt idx="1094">
                  <c:v>45812</c:v>
                </c:pt>
                <c:pt idx="1095">
                  <c:v>45813</c:v>
                </c:pt>
                <c:pt idx="1096">
                  <c:v>45814</c:v>
                </c:pt>
                <c:pt idx="1097">
                  <c:v>45817</c:v>
                </c:pt>
                <c:pt idx="1098">
                  <c:v>45818</c:v>
                </c:pt>
                <c:pt idx="1099">
                  <c:v>45819</c:v>
                </c:pt>
                <c:pt idx="1100">
                  <c:v>45820</c:v>
                </c:pt>
                <c:pt idx="1101">
                  <c:v>45821</c:v>
                </c:pt>
                <c:pt idx="1102">
                  <c:v>45824</c:v>
                </c:pt>
                <c:pt idx="1103">
                  <c:v>45825</c:v>
                </c:pt>
                <c:pt idx="1104">
                  <c:v>45826</c:v>
                </c:pt>
                <c:pt idx="1105">
                  <c:v>45827</c:v>
                </c:pt>
                <c:pt idx="1106">
                  <c:v>45828</c:v>
                </c:pt>
                <c:pt idx="1107">
                  <c:v>45831</c:v>
                </c:pt>
                <c:pt idx="1108">
                  <c:v>45832</c:v>
                </c:pt>
                <c:pt idx="1109">
                  <c:v>45833</c:v>
                </c:pt>
                <c:pt idx="1110">
                  <c:v>45834</c:v>
                </c:pt>
                <c:pt idx="1111">
                  <c:v>45835</c:v>
                </c:pt>
                <c:pt idx="1112">
                  <c:v>45838</c:v>
                </c:pt>
                <c:pt idx="1113">
                  <c:v>45839</c:v>
                </c:pt>
                <c:pt idx="1114">
                  <c:v>45840</c:v>
                </c:pt>
                <c:pt idx="1115">
                  <c:v>45841</c:v>
                </c:pt>
                <c:pt idx="1116">
                  <c:v>45842</c:v>
                </c:pt>
                <c:pt idx="1117">
                  <c:v>45845</c:v>
                </c:pt>
                <c:pt idx="1118">
                  <c:v>45846</c:v>
                </c:pt>
                <c:pt idx="1119">
                  <c:v>45847</c:v>
                </c:pt>
                <c:pt idx="1120">
                  <c:v>45848</c:v>
                </c:pt>
                <c:pt idx="1121">
                  <c:v>45849</c:v>
                </c:pt>
                <c:pt idx="1122">
                  <c:v>45852</c:v>
                </c:pt>
                <c:pt idx="1123">
                  <c:v>45853</c:v>
                </c:pt>
                <c:pt idx="1124">
                  <c:v>45854</c:v>
                </c:pt>
                <c:pt idx="1125">
                  <c:v>45855</c:v>
                </c:pt>
                <c:pt idx="1126">
                  <c:v>45856</c:v>
                </c:pt>
                <c:pt idx="1127">
                  <c:v>45859</c:v>
                </c:pt>
                <c:pt idx="1128">
                  <c:v>45860</c:v>
                </c:pt>
                <c:pt idx="1129">
                  <c:v>45861</c:v>
                </c:pt>
                <c:pt idx="1130">
                  <c:v>45862</c:v>
                </c:pt>
                <c:pt idx="1131">
                  <c:v>45863</c:v>
                </c:pt>
                <c:pt idx="1132">
                  <c:v>45866</c:v>
                </c:pt>
                <c:pt idx="1133">
                  <c:v>45867</c:v>
                </c:pt>
                <c:pt idx="1134">
                  <c:v>45868</c:v>
                </c:pt>
                <c:pt idx="1135">
                  <c:v>45869</c:v>
                </c:pt>
                <c:pt idx="1136">
                  <c:v>45870</c:v>
                </c:pt>
                <c:pt idx="1137">
                  <c:v>45873</c:v>
                </c:pt>
                <c:pt idx="1138">
                  <c:v>45874</c:v>
                </c:pt>
                <c:pt idx="1139">
                  <c:v>45875</c:v>
                </c:pt>
                <c:pt idx="1140">
                  <c:v>45876</c:v>
                </c:pt>
                <c:pt idx="1141">
                  <c:v>45877</c:v>
                </c:pt>
                <c:pt idx="1142">
                  <c:v>45880</c:v>
                </c:pt>
                <c:pt idx="1143">
                  <c:v>45881</c:v>
                </c:pt>
                <c:pt idx="1144">
                  <c:v>45882</c:v>
                </c:pt>
                <c:pt idx="1145">
                  <c:v>45883</c:v>
                </c:pt>
                <c:pt idx="1146">
                  <c:v>45887</c:v>
                </c:pt>
                <c:pt idx="1147">
                  <c:v>45888</c:v>
                </c:pt>
                <c:pt idx="1148">
                  <c:v>45889</c:v>
                </c:pt>
                <c:pt idx="1149">
                  <c:v>45890</c:v>
                </c:pt>
                <c:pt idx="1150">
                  <c:v>45891</c:v>
                </c:pt>
                <c:pt idx="1151">
                  <c:v>45894</c:v>
                </c:pt>
                <c:pt idx="1152">
                  <c:v>45895</c:v>
                </c:pt>
                <c:pt idx="1153">
                  <c:v>45897</c:v>
                </c:pt>
                <c:pt idx="1154">
                  <c:v>45898</c:v>
                </c:pt>
                <c:pt idx="1155">
                  <c:v>45901</c:v>
                </c:pt>
                <c:pt idx="1156">
                  <c:v>45902</c:v>
                </c:pt>
                <c:pt idx="1157">
                  <c:v>45903</c:v>
                </c:pt>
                <c:pt idx="1158">
                  <c:v>45904</c:v>
                </c:pt>
                <c:pt idx="1159">
                  <c:v>45905</c:v>
                </c:pt>
                <c:pt idx="1160">
                  <c:v>45908</c:v>
                </c:pt>
                <c:pt idx="1161">
                  <c:v>45909</c:v>
                </c:pt>
                <c:pt idx="1162">
                  <c:v>45910</c:v>
                </c:pt>
                <c:pt idx="1163">
                  <c:v>45911</c:v>
                </c:pt>
                <c:pt idx="1164">
                  <c:v>45912</c:v>
                </c:pt>
                <c:pt idx="1165">
                  <c:v>45915</c:v>
                </c:pt>
                <c:pt idx="1166">
                  <c:v>45916</c:v>
                </c:pt>
                <c:pt idx="1167">
                  <c:v>45917</c:v>
                </c:pt>
                <c:pt idx="1168">
                  <c:v>45918</c:v>
                </c:pt>
                <c:pt idx="1169">
                  <c:v>45919</c:v>
                </c:pt>
                <c:pt idx="1170">
                  <c:v>45922</c:v>
                </c:pt>
                <c:pt idx="1171">
                  <c:v>45923</c:v>
                </c:pt>
                <c:pt idx="1172">
                  <c:v>45924</c:v>
                </c:pt>
                <c:pt idx="1173">
                  <c:v>45925</c:v>
                </c:pt>
                <c:pt idx="1174">
                  <c:v>45926</c:v>
                </c:pt>
                <c:pt idx="1175">
                  <c:v>45929</c:v>
                </c:pt>
                <c:pt idx="1176">
                  <c:v>45930</c:v>
                </c:pt>
                <c:pt idx="1177">
                  <c:v>45931</c:v>
                </c:pt>
                <c:pt idx="1178">
                  <c:v>45933</c:v>
                </c:pt>
                <c:pt idx="1179">
                  <c:v>45936</c:v>
                </c:pt>
                <c:pt idx="1180">
                  <c:v>45937</c:v>
                </c:pt>
                <c:pt idx="1181">
                  <c:v>45938</c:v>
                </c:pt>
                <c:pt idx="1182">
                  <c:v>45939</c:v>
                </c:pt>
                <c:pt idx="1183">
                  <c:v>45940</c:v>
                </c:pt>
                <c:pt idx="1184">
                  <c:v>45943</c:v>
                </c:pt>
                <c:pt idx="1185">
                  <c:v>45944</c:v>
                </c:pt>
                <c:pt idx="1186">
                  <c:v>45945</c:v>
                </c:pt>
                <c:pt idx="1187">
                  <c:v>45946</c:v>
                </c:pt>
                <c:pt idx="1188">
                  <c:v>45947</c:v>
                </c:pt>
                <c:pt idx="1189">
                  <c:v>45950</c:v>
                </c:pt>
                <c:pt idx="1190">
                  <c:v>45951</c:v>
                </c:pt>
                <c:pt idx="1191">
                  <c:v>45953</c:v>
                </c:pt>
                <c:pt idx="1192">
                  <c:v>45954</c:v>
                </c:pt>
                <c:pt idx="1193">
                  <c:v>45957</c:v>
                </c:pt>
                <c:pt idx="1194">
                  <c:v>45958</c:v>
                </c:pt>
                <c:pt idx="1195">
                  <c:v>45959</c:v>
                </c:pt>
                <c:pt idx="1196">
                  <c:v>45960</c:v>
                </c:pt>
                <c:pt idx="1197">
                  <c:v>45961</c:v>
                </c:pt>
                <c:pt idx="1198">
                  <c:v>45964</c:v>
                </c:pt>
                <c:pt idx="1199">
                  <c:v>45965</c:v>
                </c:pt>
                <c:pt idx="1200">
                  <c:v>45967</c:v>
                </c:pt>
                <c:pt idx="1201">
                  <c:v>45968</c:v>
                </c:pt>
                <c:pt idx="1202">
                  <c:v>45971</c:v>
                </c:pt>
                <c:pt idx="1203">
                  <c:v>45972</c:v>
                </c:pt>
                <c:pt idx="1204">
                  <c:v>45973</c:v>
                </c:pt>
                <c:pt idx="1205">
                  <c:v>45974</c:v>
                </c:pt>
                <c:pt idx="1206">
                  <c:v>45975</c:v>
                </c:pt>
                <c:pt idx="1207">
                  <c:v>45978</c:v>
                </c:pt>
                <c:pt idx="1208">
                  <c:v>45979</c:v>
                </c:pt>
                <c:pt idx="1209">
                  <c:v>45980</c:v>
                </c:pt>
                <c:pt idx="1210">
                  <c:v>45981</c:v>
                </c:pt>
                <c:pt idx="1211">
                  <c:v>45982</c:v>
                </c:pt>
                <c:pt idx="1212">
                  <c:v>45985</c:v>
                </c:pt>
                <c:pt idx="1213">
                  <c:v>45986</c:v>
                </c:pt>
                <c:pt idx="1214">
                  <c:v>45987</c:v>
                </c:pt>
                <c:pt idx="1215">
                  <c:v>45988</c:v>
                </c:pt>
                <c:pt idx="1216">
                  <c:v>45989</c:v>
                </c:pt>
                <c:pt idx="1217">
                  <c:v>45992</c:v>
                </c:pt>
                <c:pt idx="1218">
                  <c:v>45993</c:v>
                </c:pt>
                <c:pt idx="1219">
                  <c:v>45994</c:v>
                </c:pt>
                <c:pt idx="1220">
                  <c:v>45995</c:v>
                </c:pt>
                <c:pt idx="1221">
                  <c:v>45996</c:v>
                </c:pt>
                <c:pt idx="1222">
                  <c:v>45999</c:v>
                </c:pt>
                <c:pt idx="1223">
                  <c:v>46000</c:v>
                </c:pt>
                <c:pt idx="1224">
                  <c:v>46001</c:v>
                </c:pt>
                <c:pt idx="1225">
                  <c:v>46002</c:v>
                </c:pt>
                <c:pt idx="1226">
                  <c:v>46003</c:v>
                </c:pt>
                <c:pt idx="1227">
                  <c:v>46006</c:v>
                </c:pt>
                <c:pt idx="1228">
                  <c:v>46007</c:v>
                </c:pt>
                <c:pt idx="1229">
                  <c:v>46008</c:v>
                </c:pt>
                <c:pt idx="1230">
                  <c:v>46009</c:v>
                </c:pt>
                <c:pt idx="1231">
                  <c:v>46010</c:v>
                </c:pt>
                <c:pt idx="1232">
                  <c:v>46013</c:v>
                </c:pt>
                <c:pt idx="1233">
                  <c:v>46014</c:v>
                </c:pt>
                <c:pt idx="1234">
                  <c:v>46015</c:v>
                </c:pt>
                <c:pt idx="1235">
                  <c:v>46017</c:v>
                </c:pt>
                <c:pt idx="1236">
                  <c:v>46020</c:v>
                </c:pt>
                <c:pt idx="1237">
                  <c:v>46021</c:v>
                </c:pt>
                <c:pt idx="1238">
                  <c:v>46022</c:v>
                </c:pt>
              </c:numCache>
            </c:numRef>
          </c:cat>
          <c:val>
            <c:numRef>
              <c:f>'Drawdown Data'!$B$2:$B$1240</c:f>
              <c:numCache>
                <c:formatCode>General</c:formatCode>
                <c:ptCount val="1239"/>
                <c:pt idx="0">
                  <c:v>0</c:v>
                </c:pt>
                <c:pt idx="1">
                  <c:v>0</c:v>
                </c:pt>
                <c:pt idx="2">
                  <c:v>0</c:v>
                </c:pt>
                <c:pt idx="3">
                  <c:v>-3.7501320469031096E-3</c:v>
                </c:pt>
                <c:pt idx="4">
                  <c:v>-4.3769146800943792E-3</c:v>
                </c:pt>
                <c:pt idx="5">
                  <c:v>0</c:v>
                </c:pt>
                <c:pt idx="6">
                  <c:v>0</c:v>
                </c:pt>
                <c:pt idx="7">
                  <c:v>0</c:v>
                </c:pt>
                <c:pt idx="8">
                  <c:v>0</c:v>
                </c:pt>
                <c:pt idx="9">
                  <c:v>0</c:v>
                </c:pt>
                <c:pt idx="10">
                  <c:v>-1.1092384006138767E-2</c:v>
                </c:pt>
                <c:pt idx="11">
                  <c:v>-2.1533886924826717E-2</c:v>
                </c:pt>
                <c:pt idx="12">
                  <c:v>-5.1008523116555793E-3</c:v>
                </c:pt>
                <c:pt idx="13">
                  <c:v>0</c:v>
                </c:pt>
                <c:pt idx="14">
                  <c:v>-3.711240243910785E-3</c:v>
                </c:pt>
                <c:pt idx="15">
                  <c:v>-1.8627899513134483E-2</c:v>
                </c:pt>
                <c:pt idx="16">
                  <c:v>-2.7709683366678783E-2</c:v>
                </c:pt>
                <c:pt idx="17">
                  <c:v>-4.6241985155039078E-2</c:v>
                </c:pt>
                <c:pt idx="18">
                  <c:v>-5.6481184319241873E-2</c:v>
                </c:pt>
                <c:pt idx="19">
                  <c:v>-6.8973758424549558E-2</c:v>
                </c:pt>
                <c:pt idx="20">
                  <c:v>-2.482126639671689E-2</c:v>
                </c:pt>
                <c:pt idx="21">
                  <c:v>0</c:v>
                </c:pt>
                <c:pt idx="22">
                  <c:v>0</c:v>
                </c:pt>
                <c:pt idx="23">
                  <c:v>0</c:v>
                </c:pt>
                <c:pt idx="24">
                  <c:v>0</c:v>
                </c:pt>
                <c:pt idx="25">
                  <c:v>0</c:v>
                </c:pt>
                <c:pt idx="26">
                  <c:v>-4.3001362812422617E-4</c:v>
                </c:pt>
                <c:pt idx="27">
                  <c:v>-6.1525026793152193E-4</c:v>
                </c:pt>
                <c:pt idx="28">
                  <c:v>0</c:v>
                </c:pt>
                <c:pt idx="29">
                  <c:v>-6.5905241443853235E-4</c:v>
                </c:pt>
                <c:pt idx="30">
                  <c:v>0</c:v>
                </c:pt>
                <c:pt idx="31">
                  <c:v>-8.1620926299597052E-5</c:v>
                </c:pt>
                <c:pt idx="32">
                  <c:v>-6.9083952019954875E-3</c:v>
                </c:pt>
                <c:pt idx="33">
                  <c:v>-1.2781837058512435E-2</c:v>
                </c:pt>
                <c:pt idx="34">
                  <c:v>-2.1740549929153086E-2</c:v>
                </c:pt>
                <c:pt idx="35">
                  <c:v>-4.1724617524339314E-2</c:v>
                </c:pt>
                <c:pt idx="36">
                  <c:v>-3.9628592136966567E-2</c:v>
                </c:pt>
                <c:pt idx="37">
                  <c:v>-2.1724225743893211E-2</c:v>
                </c:pt>
                <c:pt idx="38">
                  <c:v>-1.4192246664968988E-2</c:v>
                </c:pt>
                <c:pt idx="39">
                  <c:v>-5.1293854923700866E-2</c:v>
                </c:pt>
                <c:pt idx="40">
                  <c:v>-3.6118892306085115E-2</c:v>
                </c:pt>
                <c:pt idx="41">
                  <c:v>-2.5831390755287398E-2</c:v>
                </c:pt>
                <c:pt idx="42">
                  <c:v>-4.5120048058401308E-3</c:v>
                </c:pt>
                <c:pt idx="43">
                  <c:v>-1.5276172566227264E-2</c:v>
                </c:pt>
                <c:pt idx="44">
                  <c:v>-2.4590752675534011E-2</c:v>
                </c:pt>
                <c:pt idx="45">
                  <c:v>-2.3408881662716263E-2</c:v>
                </c:pt>
                <c:pt idx="46">
                  <c:v>-1.4123685086877336E-2</c:v>
                </c:pt>
                <c:pt idx="47">
                  <c:v>-9.135014071447789E-3</c:v>
                </c:pt>
                <c:pt idx="48">
                  <c:v>-1.852795027000198E-2</c:v>
                </c:pt>
                <c:pt idx="49">
                  <c:v>-2.5152304648475066E-2</c:v>
                </c:pt>
                <c:pt idx="50">
                  <c:v>-2.6396207565280383E-2</c:v>
                </c:pt>
                <c:pt idx="51">
                  <c:v>-3.8747086132931208E-2</c:v>
                </c:pt>
                <c:pt idx="52">
                  <c:v>-4.941983845586273E-2</c:v>
                </c:pt>
                <c:pt idx="53">
                  <c:v>-3.726485011133096E-2</c:v>
                </c:pt>
                <c:pt idx="54">
                  <c:v>-3.7761105343232404E-2</c:v>
                </c:pt>
                <c:pt idx="55">
                  <c:v>-3.2645105682775455E-2</c:v>
                </c:pt>
                <c:pt idx="56">
                  <c:v>-4.9971595917647771E-2</c:v>
                </c:pt>
                <c:pt idx="57">
                  <c:v>-6.4630714281050272E-2</c:v>
                </c:pt>
                <c:pt idx="58">
                  <c:v>-5.2720588715417294E-2</c:v>
                </c:pt>
                <c:pt idx="59">
                  <c:v>-3.0663349592221834E-2</c:v>
                </c:pt>
                <c:pt idx="60">
                  <c:v>-4.0745166408744593E-2</c:v>
                </c:pt>
                <c:pt idx="61">
                  <c:v>-2.9210497104089517E-2</c:v>
                </c:pt>
                <c:pt idx="62">
                  <c:v>-4.4199364009742337E-2</c:v>
                </c:pt>
                <c:pt idx="63">
                  <c:v>-4.1215302944230148E-2</c:v>
                </c:pt>
                <c:pt idx="64">
                  <c:v>-3.2364329696304983E-2</c:v>
                </c:pt>
                <c:pt idx="65">
                  <c:v>-2.8789333124383809E-2</c:v>
                </c:pt>
                <c:pt idx="66">
                  <c:v>-3.1332641187878374E-2</c:v>
                </c:pt>
                <c:pt idx="67">
                  <c:v>-6.5551398329709465E-2</c:v>
                </c:pt>
                <c:pt idx="68">
                  <c:v>-5.2883830568016488E-2</c:v>
                </c:pt>
                <c:pt idx="69">
                  <c:v>-4.7878835367326844E-2</c:v>
                </c:pt>
                <c:pt idx="70">
                  <c:v>-4.5502033993483404E-2</c:v>
                </c:pt>
                <c:pt idx="71">
                  <c:v>-6.2374711878130151E-2</c:v>
                </c:pt>
                <c:pt idx="72">
                  <c:v>-6.6491671400680463E-2</c:v>
                </c:pt>
                <c:pt idx="73">
                  <c:v>-5.9325354071578351E-2</c:v>
                </c:pt>
                <c:pt idx="74">
                  <c:v>-6.3556582890947899E-2</c:v>
                </c:pt>
                <c:pt idx="75">
                  <c:v>-5.4176706040601541E-2</c:v>
                </c:pt>
                <c:pt idx="76">
                  <c:v>-4.320358870888763E-2</c:v>
                </c:pt>
                <c:pt idx="77">
                  <c:v>-2.9393327979000627E-2</c:v>
                </c:pt>
                <c:pt idx="78">
                  <c:v>-2.7411571888447117E-2</c:v>
                </c:pt>
                <c:pt idx="79">
                  <c:v>-4.463685217470803E-2</c:v>
                </c:pt>
                <c:pt idx="80">
                  <c:v>-4.4437697114537045E-2</c:v>
                </c:pt>
                <c:pt idx="81">
                  <c:v>-5.3425793518645515E-2</c:v>
                </c:pt>
                <c:pt idx="82">
                  <c:v>-4.5502033993483404E-2</c:v>
                </c:pt>
                <c:pt idx="83">
                  <c:v>-3.8518547539292403E-2</c:v>
                </c:pt>
                <c:pt idx="84">
                  <c:v>-3.2096613058042345E-2</c:v>
                </c:pt>
                <c:pt idx="85">
                  <c:v>-2.431324152611547E-2</c:v>
                </c:pt>
                <c:pt idx="86">
                  <c:v>-3.0294423005347904E-2</c:v>
                </c:pt>
                <c:pt idx="87">
                  <c:v>-4.0366445310714538E-2</c:v>
                </c:pt>
                <c:pt idx="88">
                  <c:v>-4.158749436815623E-2</c:v>
                </c:pt>
                <c:pt idx="89">
                  <c:v>-2.5566938954076912E-2</c:v>
                </c:pt>
                <c:pt idx="90">
                  <c:v>-1.3490306698792698E-2</c:v>
                </c:pt>
                <c:pt idx="91">
                  <c:v>-1.8580187662833869E-2</c:v>
                </c:pt>
                <c:pt idx="92">
                  <c:v>-2.6683513225854938E-2</c:v>
                </c:pt>
                <c:pt idx="93">
                  <c:v>-9.102365700927928E-3</c:v>
                </c:pt>
                <c:pt idx="94">
                  <c:v>-7.6397187016395973E-3</c:v>
                </c:pt>
                <c:pt idx="95">
                  <c:v>-6.9377787354633069E-3</c:v>
                </c:pt>
                <c:pt idx="96">
                  <c:v>-8.6518181877537348E-4</c:v>
                </c:pt>
                <c:pt idx="97">
                  <c:v>0</c:v>
                </c:pt>
                <c:pt idx="98">
                  <c:v>0</c:v>
                </c:pt>
                <c:pt idx="99">
                  <c:v>0</c:v>
                </c:pt>
                <c:pt idx="100">
                  <c:v>-5.1017788844098799E-4</c:v>
                </c:pt>
                <c:pt idx="101">
                  <c:v>-4.2354390738497116E-4</c:v>
                </c:pt>
                <c:pt idx="102">
                  <c:v>0</c:v>
                </c:pt>
                <c:pt idx="103">
                  <c:v>-1.2810421692314167E-3</c:v>
                </c:pt>
                <c:pt idx="104">
                  <c:v>0</c:v>
                </c:pt>
                <c:pt idx="105">
                  <c:v>-7.3325651598399322E-4</c:v>
                </c:pt>
                <c:pt idx="106">
                  <c:v>-7.3833534899517828E-3</c:v>
                </c:pt>
                <c:pt idx="107">
                  <c:v>-8.8244723568642325E-4</c:v>
                </c:pt>
                <c:pt idx="108">
                  <c:v>0</c:v>
                </c:pt>
                <c:pt idx="109">
                  <c:v>0</c:v>
                </c:pt>
                <c:pt idx="110">
                  <c:v>0</c:v>
                </c:pt>
                <c:pt idx="111">
                  <c:v>-6.4086204452006301E-3</c:v>
                </c:pt>
                <c:pt idx="112">
                  <c:v>-1.1207208910314015E-2</c:v>
                </c:pt>
                <c:pt idx="113">
                  <c:v>-1.1714479260204413E-2</c:v>
                </c:pt>
                <c:pt idx="114">
                  <c:v>-7.7350851489516037E-3</c:v>
                </c:pt>
                <c:pt idx="115">
                  <c:v>-6.0809427036564445E-3</c:v>
                </c:pt>
                <c:pt idx="116">
                  <c:v>-1.1487625439135396E-2</c:v>
                </c:pt>
                <c:pt idx="117">
                  <c:v>-4.9655780834002572E-3</c:v>
                </c:pt>
                <c:pt idx="118">
                  <c:v>-5.6083305764287328E-4</c:v>
                </c:pt>
                <c:pt idx="119">
                  <c:v>-3.4374655386990582E-3</c:v>
                </c:pt>
                <c:pt idx="120">
                  <c:v>-7.6122059958724231E-3</c:v>
                </c:pt>
                <c:pt idx="121">
                  <c:v>-9.3104589063754961E-3</c:v>
                </c:pt>
                <c:pt idx="122">
                  <c:v>-1.1925579343699311E-2</c:v>
                </c:pt>
                <c:pt idx="123">
                  <c:v>-9.2663484411675823E-3</c:v>
                </c:pt>
                <c:pt idx="124">
                  <c:v>-2.1992217653638013E-3</c:v>
                </c:pt>
                <c:pt idx="125">
                  <c:v>-3.2137624651448204E-3</c:v>
                </c:pt>
                <c:pt idx="126">
                  <c:v>0</c:v>
                </c:pt>
                <c:pt idx="127">
                  <c:v>-9.5562559628203925E-3</c:v>
                </c:pt>
                <c:pt idx="128">
                  <c:v>-1.1955553176549838E-2</c:v>
                </c:pt>
                <c:pt idx="129">
                  <c:v>-1.1779226872128734E-2</c:v>
                </c:pt>
                <c:pt idx="130">
                  <c:v>-4.2381286741206559E-3</c:v>
                </c:pt>
                <c:pt idx="131">
                  <c:v>-1.6184235798647473E-3</c:v>
                </c:pt>
                <c:pt idx="132">
                  <c:v>0</c:v>
                </c:pt>
                <c:pt idx="133">
                  <c:v>-5.023800253711741E-5</c:v>
                </c:pt>
                <c:pt idx="134">
                  <c:v>-1.0788611044824981E-2</c:v>
                </c:pt>
                <c:pt idx="135">
                  <c:v>-1.8343150676329079E-2</c:v>
                </c:pt>
                <c:pt idx="136">
                  <c:v>-6.2891699426032011E-3</c:v>
                </c:pt>
                <c:pt idx="137">
                  <c:v>-4.2796498411223904E-3</c:v>
                </c:pt>
                <c:pt idx="138">
                  <c:v>-6.2640509413345313E-3</c:v>
                </c:pt>
                <c:pt idx="139">
                  <c:v>-1.1162256188693931E-2</c:v>
                </c:pt>
                <c:pt idx="140">
                  <c:v>-1.3488903681189712E-2</c:v>
                </c:pt>
                <c:pt idx="141">
                  <c:v>-9.1527360872131203E-3</c:v>
                </c:pt>
                <c:pt idx="142">
                  <c:v>-1.0119817636050854E-2</c:v>
                </c:pt>
                <c:pt idx="143">
                  <c:v>-2.4522424988383529E-3</c:v>
                </c:pt>
                <c:pt idx="144">
                  <c:v>0</c:v>
                </c:pt>
                <c:pt idx="145">
                  <c:v>0</c:v>
                </c:pt>
                <c:pt idx="146">
                  <c:v>0</c:v>
                </c:pt>
                <c:pt idx="147">
                  <c:v>-3.4612693775851744E-3</c:v>
                </c:pt>
                <c:pt idx="148">
                  <c:v>-2.2308003878586113E-3</c:v>
                </c:pt>
                <c:pt idx="149">
                  <c:v>-8.8986535416646362E-4</c:v>
                </c:pt>
                <c:pt idx="150">
                  <c:v>-7.5791980165207384E-4</c:v>
                </c:pt>
                <c:pt idx="151">
                  <c:v>0</c:v>
                </c:pt>
                <c:pt idx="152">
                  <c:v>0</c:v>
                </c:pt>
                <c:pt idx="153">
                  <c:v>0</c:v>
                </c:pt>
                <c:pt idx="154">
                  <c:v>0</c:v>
                </c:pt>
                <c:pt idx="155">
                  <c:v>-2.7536022534397908E-3</c:v>
                </c:pt>
                <c:pt idx="156">
                  <c:v>-9.8768552959443978E-3</c:v>
                </c:pt>
                <c:pt idx="157">
                  <c:v>-7.1112154370250868E-3</c:v>
                </c:pt>
                <c:pt idx="158">
                  <c:v>0</c:v>
                </c:pt>
                <c:pt idx="159">
                  <c:v>0</c:v>
                </c:pt>
                <c:pt idx="160">
                  <c:v>0</c:v>
                </c:pt>
                <c:pt idx="161">
                  <c:v>0</c:v>
                </c:pt>
                <c:pt idx="162">
                  <c:v>0</c:v>
                </c:pt>
                <c:pt idx="163">
                  <c:v>0</c:v>
                </c:pt>
                <c:pt idx="164">
                  <c:v>-3.2657802267076486E-3</c:v>
                </c:pt>
                <c:pt idx="165">
                  <c:v>0</c:v>
                </c:pt>
                <c:pt idx="166">
                  <c:v>0</c:v>
                </c:pt>
                <c:pt idx="167">
                  <c:v>0</c:v>
                </c:pt>
                <c:pt idx="168">
                  <c:v>-9.0345153011317514E-4</c:v>
                </c:pt>
                <c:pt idx="169">
                  <c:v>-1.3983358077547248E-3</c:v>
                </c:pt>
                <c:pt idx="170">
                  <c:v>-4.9200704346918922E-4</c:v>
                </c:pt>
                <c:pt idx="171">
                  <c:v>-1.2947553775506382E-3</c:v>
                </c:pt>
                <c:pt idx="172">
                  <c:v>0</c:v>
                </c:pt>
                <c:pt idx="173">
                  <c:v>0</c:v>
                </c:pt>
                <c:pt idx="174">
                  <c:v>0</c:v>
                </c:pt>
                <c:pt idx="175">
                  <c:v>-2.5156697580758225E-3</c:v>
                </c:pt>
                <c:pt idx="176">
                  <c:v>-1.3193794492186273E-2</c:v>
                </c:pt>
                <c:pt idx="177">
                  <c:v>-3.8288096656172721E-3</c:v>
                </c:pt>
                <c:pt idx="178">
                  <c:v>-4.6995093451316361E-3</c:v>
                </c:pt>
                <c:pt idx="179">
                  <c:v>0</c:v>
                </c:pt>
                <c:pt idx="180">
                  <c:v>0</c:v>
                </c:pt>
                <c:pt idx="181">
                  <c:v>0</c:v>
                </c:pt>
                <c:pt idx="182">
                  <c:v>-5.9646823596619658E-3</c:v>
                </c:pt>
                <c:pt idx="183">
                  <c:v>-8.0537213457219092E-3</c:v>
                </c:pt>
                <c:pt idx="184">
                  <c:v>-1.3270718170158458E-2</c:v>
                </c:pt>
                <c:pt idx="185">
                  <c:v>-1.8092869824307911E-2</c:v>
                </c:pt>
                <c:pt idx="186">
                  <c:v>-9.1766498087380022E-3</c:v>
                </c:pt>
                <c:pt idx="187">
                  <c:v>-1.837010153961538E-3</c:v>
                </c:pt>
                <c:pt idx="188">
                  <c:v>-1.1710939731505166E-2</c:v>
                </c:pt>
                <c:pt idx="189">
                  <c:v>-3.6264148618602166E-3</c:v>
                </c:pt>
                <c:pt idx="190">
                  <c:v>0</c:v>
                </c:pt>
                <c:pt idx="191">
                  <c:v>0</c:v>
                </c:pt>
                <c:pt idx="192">
                  <c:v>0</c:v>
                </c:pt>
                <c:pt idx="193">
                  <c:v>0</c:v>
                </c:pt>
                <c:pt idx="194">
                  <c:v>0</c:v>
                </c:pt>
                <c:pt idx="195">
                  <c:v>0</c:v>
                </c:pt>
                <c:pt idx="196">
                  <c:v>-3.1552655862272516E-3</c:v>
                </c:pt>
                <c:pt idx="197">
                  <c:v>-1.1389805190763713E-2</c:v>
                </c:pt>
                <c:pt idx="198">
                  <c:v>-1.6179530823372867E-2</c:v>
                </c:pt>
                <c:pt idx="199">
                  <c:v>-1.959999025818504E-2</c:v>
                </c:pt>
                <c:pt idx="200">
                  <c:v>-1.9031717725502606E-2</c:v>
                </c:pt>
                <c:pt idx="201">
                  <c:v>-1.1292387042303731E-2</c:v>
                </c:pt>
                <c:pt idx="202">
                  <c:v>-1.4401649613980494E-2</c:v>
                </c:pt>
                <c:pt idx="203">
                  <c:v>-3.3544315786340317E-2</c:v>
                </c:pt>
                <c:pt idx="204">
                  <c:v>-4.3589209316422184E-2</c:v>
                </c:pt>
                <c:pt idx="205">
                  <c:v>-2.9625941370510889E-2</c:v>
                </c:pt>
                <c:pt idx="206">
                  <c:v>-3.1828673949575226E-2</c:v>
                </c:pt>
                <c:pt idx="207">
                  <c:v>-3.5062415266506219E-2</c:v>
                </c:pt>
                <c:pt idx="208">
                  <c:v>-3.0321398708127112E-2</c:v>
                </c:pt>
                <c:pt idx="209">
                  <c:v>-2.2108507581026227E-2</c:v>
                </c:pt>
                <c:pt idx="210">
                  <c:v>-2.3423652585234045E-2</c:v>
                </c:pt>
                <c:pt idx="211">
                  <c:v>-2.4887630871811117E-2</c:v>
                </c:pt>
                <c:pt idx="212">
                  <c:v>-3.2659434271163468E-2</c:v>
                </c:pt>
                <c:pt idx="213">
                  <c:v>-2.0257562760289116E-2</c:v>
                </c:pt>
                <c:pt idx="214">
                  <c:v>-1.9894950763244101E-2</c:v>
                </c:pt>
                <c:pt idx="215">
                  <c:v>-2.5861812356409608E-2</c:v>
                </c:pt>
                <c:pt idx="216">
                  <c:v>-3.1303698371763722E-2</c:v>
                </c:pt>
                <c:pt idx="217">
                  <c:v>-3.8547820133625232E-2</c:v>
                </c:pt>
                <c:pt idx="218">
                  <c:v>-5.7395525800925995E-2</c:v>
                </c:pt>
                <c:pt idx="219">
                  <c:v>-5.2697806197417929E-2</c:v>
                </c:pt>
                <c:pt idx="220">
                  <c:v>-5.7476707591309184E-2</c:v>
                </c:pt>
                <c:pt idx="221">
                  <c:v>-5.091721892834622E-2</c:v>
                </c:pt>
                <c:pt idx="222">
                  <c:v>-7.8508203419918154E-2</c:v>
                </c:pt>
                <c:pt idx="223">
                  <c:v>-7.7019870596226059E-2</c:v>
                </c:pt>
                <c:pt idx="224">
                  <c:v>-8.0848945042633846E-2</c:v>
                </c:pt>
                <c:pt idx="225">
                  <c:v>-7.0906881780370634E-2</c:v>
                </c:pt>
                <c:pt idx="226">
                  <c:v>-5.8201931585399103E-2</c:v>
                </c:pt>
                <c:pt idx="227">
                  <c:v>-6.9294070211424419E-2</c:v>
                </c:pt>
                <c:pt idx="228">
                  <c:v>-8.4688843727759533E-2</c:v>
                </c:pt>
                <c:pt idx="229">
                  <c:v>-7.0376494083200458E-2</c:v>
                </c:pt>
                <c:pt idx="230">
                  <c:v>-5.4516278302001675E-2</c:v>
                </c:pt>
                <c:pt idx="231">
                  <c:v>-5.1967170083969116E-2</c:v>
                </c:pt>
                <c:pt idx="232">
                  <c:v>-5.2267542708386849E-2</c:v>
                </c:pt>
                <c:pt idx="233">
                  <c:v>-6.0009579451265171E-2</c:v>
                </c:pt>
                <c:pt idx="234">
                  <c:v>-6.2355733193339757E-2</c:v>
                </c:pt>
                <c:pt idx="235">
                  <c:v>-6.7957276729780913E-2</c:v>
                </c:pt>
                <c:pt idx="236">
                  <c:v>-6.6496004502883177E-2</c:v>
                </c:pt>
                <c:pt idx="237">
                  <c:v>-8.0740702655456298E-2</c:v>
                </c:pt>
                <c:pt idx="238">
                  <c:v>-0.10081966547690235</c:v>
                </c:pt>
                <c:pt idx="239">
                  <c:v>-9.2341580501216436E-2</c:v>
                </c:pt>
                <c:pt idx="240">
                  <c:v>-8.2350808164723177E-2</c:v>
                </c:pt>
                <c:pt idx="241">
                  <c:v>-7.6010510335794979E-2</c:v>
                </c:pt>
                <c:pt idx="242">
                  <c:v>-7.9736754514384001E-2</c:v>
                </c:pt>
                <c:pt idx="243">
                  <c:v>-7.5271756043307714E-2</c:v>
                </c:pt>
                <c:pt idx="244">
                  <c:v>-6.7315940585753631E-2</c:v>
                </c:pt>
                <c:pt idx="245">
                  <c:v>-6.8379422039773652E-2</c:v>
                </c:pt>
                <c:pt idx="246">
                  <c:v>-6.8901691557905487E-2</c:v>
                </c:pt>
                <c:pt idx="247">
                  <c:v>-6.0778100400226243E-2</c:v>
                </c:pt>
                <c:pt idx="248">
                  <c:v>-4.6076078161827683E-2</c:v>
                </c:pt>
                <c:pt idx="249">
                  <c:v>-3.6358617852958131E-2</c:v>
                </c:pt>
                <c:pt idx="250">
                  <c:v>-2.9864074622301673E-2</c:v>
                </c:pt>
                <c:pt idx="251">
                  <c:v>-3.9570710692453548E-2</c:v>
                </c:pt>
                <c:pt idx="252">
                  <c:v>-3.5955414960721521E-2</c:v>
                </c:pt>
                <c:pt idx="253">
                  <c:v>-2.5639915462695617E-2</c:v>
                </c:pt>
                <c:pt idx="254">
                  <c:v>-2.2801258858962892E-2</c:v>
                </c:pt>
                <c:pt idx="255">
                  <c:v>-1.432587994295631E-2</c:v>
                </c:pt>
                <c:pt idx="256">
                  <c:v>-1.1866071694345171E-2</c:v>
                </c:pt>
                <c:pt idx="257">
                  <c:v>-1.1977020141202166E-2</c:v>
                </c:pt>
                <c:pt idx="258">
                  <c:v>-9.1437756568283346E-3</c:v>
                </c:pt>
                <c:pt idx="259">
                  <c:v>-1.970011446632447E-2</c:v>
                </c:pt>
                <c:pt idx="260">
                  <c:v>-2.9152380926608878E-2</c:v>
                </c:pt>
                <c:pt idx="261">
                  <c:v>-3.896996544361786E-2</c:v>
                </c:pt>
                <c:pt idx="262">
                  <c:v>-4.6538814367011905E-2</c:v>
                </c:pt>
                <c:pt idx="263">
                  <c:v>-7.1870239026251559E-2</c:v>
                </c:pt>
                <c:pt idx="264">
                  <c:v>-6.4896723232334086E-2</c:v>
                </c:pt>
                <c:pt idx="265">
                  <c:v>-7.397825951653525E-2</c:v>
                </c:pt>
                <c:pt idx="266">
                  <c:v>-7.4422053303963454E-2</c:v>
                </c:pt>
                <c:pt idx="267">
                  <c:v>-6.1546621349187314E-2</c:v>
                </c:pt>
                <c:pt idx="268">
                  <c:v>-4.8719898468640888E-2</c:v>
                </c:pt>
                <c:pt idx="269">
                  <c:v>-3.7725177991075332E-2</c:v>
                </c:pt>
                <c:pt idx="270">
                  <c:v>-4.9621016341894308E-2</c:v>
                </c:pt>
                <c:pt idx="271">
                  <c:v>-5.1996936740442923E-2</c:v>
                </c:pt>
                <c:pt idx="272">
                  <c:v>-6.8379422039773652E-2</c:v>
                </c:pt>
                <c:pt idx="273">
                  <c:v>-6.5502880600528779E-2</c:v>
                </c:pt>
                <c:pt idx="274">
                  <c:v>-5.4838299403855095E-2</c:v>
                </c:pt>
                <c:pt idx="275">
                  <c:v>-4.7150383854565603E-2</c:v>
                </c:pt>
                <c:pt idx="276">
                  <c:v>-5.9657791692937945E-2</c:v>
                </c:pt>
                <c:pt idx="277">
                  <c:v>-8.844756062250192E-2</c:v>
                </c:pt>
                <c:pt idx="278">
                  <c:v>-6.0864694309968215E-2</c:v>
                </c:pt>
                <c:pt idx="279">
                  <c:v>-6.2501860416029564E-2</c:v>
                </c:pt>
                <c:pt idx="280">
                  <c:v>-6.345439342319259E-2</c:v>
                </c:pt>
                <c:pt idx="281">
                  <c:v>-6.4986023201755727E-2</c:v>
                </c:pt>
                <c:pt idx="282">
                  <c:v>-6.875556433521568E-2</c:v>
                </c:pt>
                <c:pt idx="283">
                  <c:v>-7.4949734941454293E-2</c:v>
                </c:pt>
                <c:pt idx="284">
                  <c:v>-7.6516543495850242E-2</c:v>
                </c:pt>
                <c:pt idx="285">
                  <c:v>-0.12064155262880161</c:v>
                </c:pt>
                <c:pt idx="286">
                  <c:v>-9.8427508720277168E-2</c:v>
                </c:pt>
                <c:pt idx="287">
                  <c:v>-9.1094086988994349E-2</c:v>
                </c:pt>
                <c:pt idx="288">
                  <c:v>-0.10126616532401</c:v>
                </c:pt>
                <c:pt idx="289">
                  <c:v>-0.10710584211224194</c:v>
                </c:pt>
                <c:pt idx="290">
                  <c:v>-0.12078226773213252</c:v>
                </c:pt>
                <c:pt idx="291">
                  <c:v>-0.14146738792177316</c:v>
                </c:pt>
                <c:pt idx="292">
                  <c:v>-0.13333297252537601</c:v>
                </c:pt>
                <c:pt idx="293">
                  <c:v>-0.11537014837325221</c:v>
                </c:pt>
                <c:pt idx="294">
                  <c:v>-0.10186420451316625</c:v>
                </c:pt>
                <c:pt idx="295">
                  <c:v>-9.9940196081084287E-2</c:v>
                </c:pt>
                <c:pt idx="296">
                  <c:v>-8.6905106605221105E-2</c:v>
                </c:pt>
                <c:pt idx="297">
                  <c:v>-9.8178551229768818E-2</c:v>
                </c:pt>
                <c:pt idx="298">
                  <c:v>-8.1273796412306143E-2</c:v>
                </c:pt>
                <c:pt idx="299">
                  <c:v>-6.4404220370676057E-2</c:v>
                </c:pt>
                <c:pt idx="300">
                  <c:v>-7.3575056624298862E-2</c:v>
                </c:pt>
                <c:pt idx="301">
                  <c:v>-6.2864472413074579E-2</c:v>
                </c:pt>
                <c:pt idx="302">
                  <c:v>-6.6644837785252431E-2</c:v>
                </c:pt>
                <c:pt idx="303">
                  <c:v>-6.7884213118436065E-2</c:v>
                </c:pt>
                <c:pt idx="304">
                  <c:v>-7.1659166371255134E-2</c:v>
                </c:pt>
                <c:pt idx="305">
                  <c:v>-6.792480401362766E-2</c:v>
                </c:pt>
                <c:pt idx="306">
                  <c:v>-6.2334084715904292E-2</c:v>
                </c:pt>
                <c:pt idx="307">
                  <c:v>-5.297382428472075E-2</c:v>
                </c:pt>
                <c:pt idx="308">
                  <c:v>-5.4786884269945602E-2</c:v>
                </c:pt>
                <c:pt idx="309">
                  <c:v>-4.3654154748728802E-2</c:v>
                </c:pt>
                <c:pt idx="310">
                  <c:v>-2.2928443663896458E-2</c:v>
                </c:pt>
                <c:pt idx="311">
                  <c:v>-2.8124078248421558E-2</c:v>
                </c:pt>
                <c:pt idx="312">
                  <c:v>-3.6228726988344895E-2</c:v>
                </c:pt>
                <c:pt idx="313">
                  <c:v>-4.5326499630622852E-2</c:v>
                </c:pt>
                <c:pt idx="314">
                  <c:v>-3.7489750798964216E-2</c:v>
                </c:pt>
                <c:pt idx="315">
                  <c:v>-4.3410609377579124E-2</c:v>
                </c:pt>
                <c:pt idx="316">
                  <c:v>-5.123924003019964E-2</c:v>
                </c:pt>
                <c:pt idx="317">
                  <c:v>-5.4196963259827591E-2</c:v>
                </c:pt>
                <c:pt idx="318">
                  <c:v>-7.0541563723646283E-2</c:v>
                </c:pt>
                <c:pt idx="319">
                  <c:v>-8.2177620345239011E-2</c:v>
                </c:pt>
                <c:pt idx="320">
                  <c:v>-7.2549460005790989E-2</c:v>
                </c:pt>
                <c:pt idx="321">
                  <c:v>-5.8691728387377906E-2</c:v>
                </c:pt>
                <c:pt idx="322">
                  <c:v>-7.0633569752747261E-2</c:v>
                </c:pt>
                <c:pt idx="323">
                  <c:v>-8.2431989955106366E-2</c:v>
                </c:pt>
                <c:pt idx="324">
                  <c:v>-6.9072173317710317E-2</c:v>
                </c:pt>
                <c:pt idx="325">
                  <c:v>-7.7861455156531867E-2</c:v>
                </c:pt>
                <c:pt idx="326">
                  <c:v>-6.6677310501405795E-2</c:v>
                </c:pt>
                <c:pt idx="327">
                  <c:v>-7.4389580587810311E-2</c:v>
                </c:pt>
                <c:pt idx="328">
                  <c:v>-7.6199934513355827E-2</c:v>
                </c:pt>
                <c:pt idx="329">
                  <c:v>-9.7388381803372281E-2</c:v>
                </c:pt>
                <c:pt idx="330">
                  <c:v>-9.7115069775748686E-2</c:v>
                </c:pt>
                <c:pt idx="331">
                  <c:v>-0.11180356171575001</c:v>
                </c:pt>
                <c:pt idx="332">
                  <c:v>-0.11772442029436514</c:v>
                </c:pt>
                <c:pt idx="333">
                  <c:v>-0.12106911005815324</c:v>
                </c:pt>
                <c:pt idx="334">
                  <c:v>-0.12501725113045636</c:v>
                </c:pt>
                <c:pt idx="335">
                  <c:v>-0.14445217174819569</c:v>
                </c:pt>
                <c:pt idx="336">
                  <c:v>-0.14585120460246626</c:v>
                </c:pt>
                <c:pt idx="337">
                  <c:v>-0.1425958148080998</c:v>
                </c:pt>
                <c:pt idx="338">
                  <c:v>-0.1200272770815688</c:v>
                </c:pt>
                <c:pt idx="339">
                  <c:v>-0.121055579759756</c:v>
                </c:pt>
                <c:pt idx="340">
                  <c:v>-0.1443764020771714</c:v>
                </c:pt>
                <c:pt idx="341">
                  <c:v>-0.11965654690548544</c:v>
                </c:pt>
                <c:pt idx="342">
                  <c:v>-0.12244108231562933</c:v>
                </c:pt>
                <c:pt idx="343">
                  <c:v>-0.12728763520150677</c:v>
                </c:pt>
                <c:pt idx="344">
                  <c:v>-0.13266457578455437</c:v>
                </c:pt>
                <c:pt idx="345">
                  <c:v>-0.12485218149001054</c:v>
                </c:pt>
                <c:pt idx="346">
                  <c:v>-0.11498588789877162</c:v>
                </c:pt>
                <c:pt idx="347">
                  <c:v>-9.826514513951079E-2</c:v>
                </c:pt>
                <c:pt idx="348">
                  <c:v>-0.10242435886681045</c:v>
                </c:pt>
                <c:pt idx="349">
                  <c:v>-0.10576904863059844</c:v>
                </c:pt>
                <c:pt idx="350">
                  <c:v>-0.10007279300537686</c:v>
                </c:pt>
                <c:pt idx="351">
                  <c:v>-0.10243788916520769</c:v>
                </c:pt>
                <c:pt idx="352">
                  <c:v>-0.10323617677064245</c:v>
                </c:pt>
                <c:pt idx="353">
                  <c:v>-0.11152754362844719</c:v>
                </c:pt>
                <c:pt idx="354">
                  <c:v>-0.1147802273631342</c:v>
                </c:pt>
                <c:pt idx="355">
                  <c:v>-0.10818555992433865</c:v>
                </c:pt>
                <c:pt idx="356">
                  <c:v>-0.12313924571292501</c:v>
                </c:pt>
                <c:pt idx="357">
                  <c:v>-0.14627064385277955</c:v>
                </c:pt>
                <c:pt idx="358">
                  <c:v>-0.14855997034158586</c:v>
                </c:pt>
                <c:pt idx="359">
                  <c:v>-0.1507221120254586</c:v>
                </c:pt>
                <c:pt idx="360">
                  <c:v>-0.16866599375982627</c:v>
                </c:pt>
                <c:pt idx="361">
                  <c:v>-0.17229752584963509</c:v>
                </c:pt>
                <c:pt idx="362">
                  <c:v>-0.16923156023282937</c:v>
                </c:pt>
                <c:pt idx="363">
                  <c:v>-0.15360947770342126</c:v>
                </c:pt>
                <c:pt idx="364">
                  <c:v>-0.16581380685769642</c:v>
                </c:pt>
                <c:pt idx="365">
                  <c:v>-0.15805553375674142</c:v>
                </c:pt>
                <c:pt idx="366">
                  <c:v>-0.15033785155097812</c:v>
                </c:pt>
                <c:pt idx="367">
                  <c:v>-0.143150557042385</c:v>
                </c:pt>
                <c:pt idx="368">
                  <c:v>-0.14216825737874816</c:v>
                </c:pt>
                <c:pt idx="369">
                  <c:v>-0.14493385037113604</c:v>
                </c:pt>
                <c:pt idx="370">
                  <c:v>-0.14595403487028502</c:v>
                </c:pt>
                <c:pt idx="371">
                  <c:v>-0.14748025252948926</c:v>
                </c:pt>
                <c:pt idx="372">
                  <c:v>-0.14297195710354194</c:v>
                </c:pt>
                <c:pt idx="373">
                  <c:v>-0.14429792634646754</c:v>
                </c:pt>
                <c:pt idx="374">
                  <c:v>-0.13461293875375124</c:v>
                </c:pt>
                <c:pt idx="375">
                  <c:v>-0.12686819595119347</c:v>
                </c:pt>
                <c:pt idx="376">
                  <c:v>-0.12212176727345536</c:v>
                </c:pt>
                <c:pt idx="377">
                  <c:v>-0.12237072476396393</c:v>
                </c:pt>
                <c:pt idx="378">
                  <c:v>-0.13090563699291824</c:v>
                </c:pt>
                <c:pt idx="379">
                  <c:v>-0.13586584438533211</c:v>
                </c:pt>
                <c:pt idx="380">
                  <c:v>-0.13738123780581857</c:v>
                </c:pt>
                <c:pt idx="381">
                  <c:v>-0.13139813985457627</c:v>
                </c:pt>
                <c:pt idx="382">
                  <c:v>-0.11898815016466369</c:v>
                </c:pt>
                <c:pt idx="383">
                  <c:v>-0.11562993010247846</c:v>
                </c:pt>
                <c:pt idx="384">
                  <c:v>-0.10587187889841732</c:v>
                </c:pt>
                <c:pt idx="385">
                  <c:v>-0.10130405015952215</c:v>
                </c:pt>
                <c:pt idx="386">
                  <c:v>-9.5123409851680774E-2</c:v>
                </c:pt>
                <c:pt idx="387">
                  <c:v>-9.9910429424610481E-2</c:v>
                </c:pt>
                <c:pt idx="388">
                  <c:v>-0.10787436306120302</c:v>
                </c:pt>
                <c:pt idx="389">
                  <c:v>-9.9325920533851475E-2</c:v>
                </c:pt>
                <c:pt idx="390">
                  <c:v>-8.3749841018993854E-2</c:v>
                </c:pt>
                <c:pt idx="391">
                  <c:v>-7.1375030104913861E-2</c:v>
                </c:pt>
                <c:pt idx="392">
                  <c:v>-6.1535797110469526E-2</c:v>
                </c:pt>
                <c:pt idx="393">
                  <c:v>-6.1243542665089912E-2</c:v>
                </c:pt>
                <c:pt idx="394">
                  <c:v>-5.8932567698847915E-2</c:v>
                </c:pt>
                <c:pt idx="395">
                  <c:v>-5.9265413039419124E-2</c:v>
                </c:pt>
                <c:pt idx="396">
                  <c:v>-5.8426534538792652E-2</c:v>
                </c:pt>
                <c:pt idx="397">
                  <c:v>-5.1520670236861466E-2</c:v>
                </c:pt>
                <c:pt idx="398">
                  <c:v>-5.0998400718729409E-2</c:v>
                </c:pt>
                <c:pt idx="399">
                  <c:v>-4.4273842415320619E-2</c:v>
                </c:pt>
                <c:pt idx="400">
                  <c:v>-4.2154997686318807E-2</c:v>
                </c:pt>
                <c:pt idx="401">
                  <c:v>-3.527619398118198E-2</c:v>
                </c:pt>
                <c:pt idx="402">
                  <c:v>-2.8835771944114463E-2</c:v>
                </c:pt>
                <c:pt idx="403">
                  <c:v>-2.8172787322651605E-2</c:v>
                </c:pt>
                <c:pt idx="404">
                  <c:v>-3.8891489712914007E-2</c:v>
                </c:pt>
                <c:pt idx="405">
                  <c:v>-5.3382439296316142E-2</c:v>
                </c:pt>
                <c:pt idx="406">
                  <c:v>-4.8684719692808076E-2</c:v>
                </c:pt>
                <c:pt idx="407">
                  <c:v>-4.7199092928795428E-2</c:v>
                </c:pt>
                <c:pt idx="408">
                  <c:v>-5.1664091399871603E-2</c:v>
                </c:pt>
                <c:pt idx="409">
                  <c:v>-4.9691373893559709E-2</c:v>
                </c:pt>
                <c:pt idx="410">
                  <c:v>-6.3005187516405381E-2</c:v>
                </c:pt>
                <c:pt idx="411">
                  <c:v>-3.8845486698363629E-2</c:v>
                </c:pt>
                <c:pt idx="412">
                  <c:v>-5.0562725110339546E-2</c:v>
                </c:pt>
                <c:pt idx="413">
                  <c:v>-5.0744031108862053E-2</c:v>
                </c:pt>
                <c:pt idx="414">
                  <c:v>-4.3905818298916821E-2</c:v>
                </c:pt>
                <c:pt idx="415">
                  <c:v>-4.4457854473522573E-2</c:v>
                </c:pt>
                <c:pt idx="416">
                  <c:v>-4.6146435713493084E-2</c:v>
                </c:pt>
                <c:pt idx="417">
                  <c:v>-3.6710405611285357E-2</c:v>
                </c:pt>
                <c:pt idx="418">
                  <c:v>-3.4837812313112781E-2</c:v>
                </c:pt>
                <c:pt idx="419">
                  <c:v>-2.9263329373466096E-2</c:v>
                </c:pt>
                <c:pt idx="420">
                  <c:v>-2.2027325790643038E-2</c:v>
                </c:pt>
                <c:pt idx="421">
                  <c:v>-2.5615560925580594E-2</c:v>
                </c:pt>
                <c:pt idx="422">
                  <c:v>-3.2453773735525826E-2</c:v>
                </c:pt>
                <c:pt idx="423">
                  <c:v>-5.1209473373725833E-2</c:v>
                </c:pt>
                <c:pt idx="424">
                  <c:v>-4.6262796279709084E-2</c:v>
                </c:pt>
                <c:pt idx="425">
                  <c:v>-3.5763284723481226E-2</c:v>
                </c:pt>
                <c:pt idx="426">
                  <c:v>-4.1061749575825202E-2</c:v>
                </c:pt>
                <c:pt idx="427">
                  <c:v>-4.5854181268113692E-2</c:v>
                </c:pt>
                <c:pt idx="428">
                  <c:v>-6.2223136269047297E-2</c:v>
                </c:pt>
                <c:pt idx="429">
                  <c:v>-7.9057533534844571E-2</c:v>
                </c:pt>
                <c:pt idx="430">
                  <c:v>-7.9539212157784811E-2</c:v>
                </c:pt>
                <c:pt idx="431">
                  <c:v>-8.7592445763798876E-2</c:v>
                </c:pt>
                <c:pt idx="432">
                  <c:v>-8.9784354104145425E-2</c:v>
                </c:pt>
                <c:pt idx="433">
                  <c:v>-7.4833374375238515E-2</c:v>
                </c:pt>
                <c:pt idx="434">
                  <c:v>-8.6036461448120827E-2</c:v>
                </c:pt>
                <c:pt idx="435">
                  <c:v>-6.5094265588933276E-2</c:v>
                </c:pt>
                <c:pt idx="436">
                  <c:v>-6.1982296957577065E-2</c:v>
                </c:pt>
                <c:pt idx="437">
                  <c:v>-6.2910475427624957E-2</c:v>
                </c:pt>
                <c:pt idx="438">
                  <c:v>-6.689650133544045E-2</c:v>
                </c:pt>
                <c:pt idx="439">
                  <c:v>-8.0830002624877939E-2</c:v>
                </c:pt>
                <c:pt idx="440">
                  <c:v>-7.3250329462765995E-2</c:v>
                </c:pt>
                <c:pt idx="441">
                  <c:v>-7.9163069862342783E-2</c:v>
                </c:pt>
                <c:pt idx="442">
                  <c:v>-6.9889403340901213E-2</c:v>
                </c:pt>
                <c:pt idx="443">
                  <c:v>-6.3064720829353216E-2</c:v>
                </c:pt>
                <c:pt idx="444">
                  <c:v>-5.3585393772274226E-2</c:v>
                </c:pt>
                <c:pt idx="445">
                  <c:v>-5.2216127574477467E-2</c:v>
                </c:pt>
                <c:pt idx="446">
                  <c:v>-4.9418061865936336E-2</c:v>
                </c:pt>
                <c:pt idx="447">
                  <c:v>-4.8749665125114694E-2</c:v>
                </c:pt>
                <c:pt idx="448">
                  <c:v>-4.0390646775323891E-2</c:v>
                </c:pt>
                <c:pt idx="449">
                  <c:v>-4.4417263578330979E-2</c:v>
                </c:pt>
                <c:pt idx="450">
                  <c:v>-4.0055095375073346E-2</c:v>
                </c:pt>
                <c:pt idx="451">
                  <c:v>-3.7357153874671534E-2</c:v>
                </c:pt>
                <c:pt idx="452">
                  <c:v>-2.5158236839755155E-2</c:v>
                </c:pt>
                <c:pt idx="453">
                  <c:v>-1.7949293853726567E-2</c:v>
                </c:pt>
                <c:pt idx="454">
                  <c:v>-2.1334574512706372E-2</c:v>
                </c:pt>
                <c:pt idx="455">
                  <c:v>-2.2966328499408606E-2</c:v>
                </c:pt>
                <c:pt idx="456">
                  <c:v>-1.9478217572610257E-2</c:v>
                </c:pt>
                <c:pt idx="457">
                  <c:v>-1.4842737341729362E-2</c:v>
                </c:pt>
                <c:pt idx="458">
                  <c:v>-1.7321488008096519E-2</c:v>
                </c:pt>
                <c:pt idx="459">
                  <c:v>-2.4292297742334323E-2</c:v>
                </c:pt>
                <c:pt idx="460">
                  <c:v>-6.8923340035340619E-3</c:v>
                </c:pt>
                <c:pt idx="461">
                  <c:v>-8.0045245317839075E-3</c:v>
                </c:pt>
                <c:pt idx="462">
                  <c:v>-3.9860259078152716E-3</c:v>
                </c:pt>
                <c:pt idx="463">
                  <c:v>-3.6477684478852801E-3</c:v>
                </c:pt>
                <c:pt idx="464">
                  <c:v>-7.20623692634903E-3</c:v>
                </c:pt>
                <c:pt idx="465">
                  <c:v>-9.1681301939431359E-3</c:v>
                </c:pt>
                <c:pt idx="466">
                  <c:v>-1.7161830487009477E-2</c:v>
                </c:pt>
                <c:pt idx="467">
                  <c:v>-1.2602119927152766E-2</c:v>
                </c:pt>
                <c:pt idx="468">
                  <c:v>-1.1354626414930902E-2</c:v>
                </c:pt>
                <c:pt idx="469">
                  <c:v>0</c:v>
                </c:pt>
                <c:pt idx="470">
                  <c:v>0</c:v>
                </c:pt>
                <c:pt idx="471">
                  <c:v>0</c:v>
                </c:pt>
                <c:pt idx="472">
                  <c:v>0</c:v>
                </c:pt>
                <c:pt idx="473">
                  <c:v>0</c:v>
                </c:pt>
                <c:pt idx="474">
                  <c:v>0</c:v>
                </c:pt>
                <c:pt idx="475">
                  <c:v>-6.18737541528247E-3</c:v>
                </c:pt>
                <c:pt idx="476">
                  <c:v>-5.9242524916943706E-3</c:v>
                </c:pt>
                <c:pt idx="477">
                  <c:v>-9.023255813953468E-3</c:v>
                </c:pt>
                <c:pt idx="478">
                  <c:v>-1.3395348837209275E-2</c:v>
                </c:pt>
                <c:pt idx="479">
                  <c:v>-1.079867109634558E-2</c:v>
                </c:pt>
                <c:pt idx="480">
                  <c:v>-1.6792026578073216E-2</c:v>
                </c:pt>
                <c:pt idx="481">
                  <c:v>-1.676279069767439E-2</c:v>
                </c:pt>
                <c:pt idx="482">
                  <c:v>-1.0870431893687749E-2</c:v>
                </c:pt>
                <c:pt idx="483">
                  <c:v>-8.0903654485050547E-3</c:v>
                </c:pt>
                <c:pt idx="484">
                  <c:v>-2.1134883720930198E-2</c:v>
                </c:pt>
                <c:pt idx="485">
                  <c:v>-2.8890365448504984E-2</c:v>
                </c:pt>
                <c:pt idx="486">
                  <c:v>-2.083986710963448E-2</c:v>
                </c:pt>
                <c:pt idx="487">
                  <c:v>-2.2708305647840543E-2</c:v>
                </c:pt>
                <c:pt idx="488">
                  <c:v>-3.2605980066445217E-2</c:v>
                </c:pt>
                <c:pt idx="489">
                  <c:v>-3.6419933554817319E-2</c:v>
                </c:pt>
                <c:pt idx="490">
                  <c:v>-5.3459136212624658E-2</c:v>
                </c:pt>
                <c:pt idx="491">
                  <c:v>-4.2413289036544954E-2</c:v>
                </c:pt>
                <c:pt idx="492">
                  <c:v>-3.6156810631229219E-2</c:v>
                </c:pt>
                <c:pt idx="493">
                  <c:v>-3.6677740863787389E-2</c:v>
                </c:pt>
                <c:pt idx="494">
                  <c:v>-3.3036544850498339E-2</c:v>
                </c:pt>
                <c:pt idx="495">
                  <c:v>-3.7592026578073146E-2</c:v>
                </c:pt>
                <c:pt idx="496">
                  <c:v>-3.2693687707641139E-2</c:v>
                </c:pt>
                <c:pt idx="497">
                  <c:v>-3.0827906976744202E-2</c:v>
                </c:pt>
                <c:pt idx="498">
                  <c:v>-4.0906312292358749E-2</c:v>
                </c:pt>
                <c:pt idx="499">
                  <c:v>-4.3606644518272342E-2</c:v>
                </c:pt>
                <c:pt idx="500">
                  <c:v>-5.0660465116279085E-2</c:v>
                </c:pt>
                <c:pt idx="501">
                  <c:v>-3.7809966777408555E-2</c:v>
                </c:pt>
                <c:pt idx="502">
                  <c:v>-4.7752823920265697E-2</c:v>
                </c:pt>
                <c:pt idx="503">
                  <c:v>-4.8733554817275704E-2</c:v>
                </c:pt>
                <c:pt idx="504">
                  <c:v>-5.0726910299003336E-2</c:v>
                </c:pt>
                <c:pt idx="505">
                  <c:v>-4.5496345514950298E-2</c:v>
                </c:pt>
                <c:pt idx="506">
                  <c:v>-4.8778737541528283E-2</c:v>
                </c:pt>
                <c:pt idx="507">
                  <c:v>-4.0356146179402086E-2</c:v>
                </c:pt>
                <c:pt idx="508">
                  <c:v>-3.4400000000000097E-2</c:v>
                </c:pt>
                <c:pt idx="509">
                  <c:v>-3.7456478405315741E-2</c:v>
                </c:pt>
                <c:pt idx="510">
                  <c:v>-4.1719601328903622E-2</c:v>
                </c:pt>
                <c:pt idx="511">
                  <c:v>-3.6887707641196088E-2</c:v>
                </c:pt>
                <c:pt idx="512">
                  <c:v>-3.6900996677740938E-2</c:v>
                </c:pt>
                <c:pt idx="513">
                  <c:v>-4.8932890365448456E-2</c:v>
                </c:pt>
                <c:pt idx="514">
                  <c:v>-6.4220598006644591E-2</c:v>
                </c:pt>
                <c:pt idx="515">
                  <c:v>-6.1849833887043126E-2</c:v>
                </c:pt>
                <c:pt idx="516">
                  <c:v>-6.1148172757474972E-2</c:v>
                </c:pt>
                <c:pt idx="517">
                  <c:v>-6.3585382059800688E-2</c:v>
                </c:pt>
                <c:pt idx="518">
                  <c:v>-6.3899003322259063E-2</c:v>
                </c:pt>
                <c:pt idx="519">
                  <c:v>-5.0947508305647871E-2</c:v>
                </c:pt>
                <c:pt idx="520">
                  <c:v>-5.5702325581395429E-2</c:v>
                </c:pt>
                <c:pt idx="521">
                  <c:v>-5.7993355481727571E-2</c:v>
                </c:pt>
                <c:pt idx="522">
                  <c:v>-5.0009302325581317E-2</c:v>
                </c:pt>
                <c:pt idx="523">
                  <c:v>-4.8853156146179355E-2</c:v>
                </c:pt>
                <c:pt idx="524">
                  <c:v>-5.0817275747508273E-2</c:v>
                </c:pt>
                <c:pt idx="525">
                  <c:v>-5.536744186046505E-2</c:v>
                </c:pt>
                <c:pt idx="526">
                  <c:v>-4.6918272425249263E-2</c:v>
                </c:pt>
                <c:pt idx="527">
                  <c:v>-4.2346843853820704E-2</c:v>
                </c:pt>
                <c:pt idx="528">
                  <c:v>-4.1283720930232581E-2</c:v>
                </c:pt>
                <c:pt idx="529">
                  <c:v>-4.6155481727574665E-2</c:v>
                </c:pt>
                <c:pt idx="530">
                  <c:v>-5.1449833887043273E-2</c:v>
                </c:pt>
                <c:pt idx="531">
                  <c:v>-5.2401328903654454E-2</c:v>
                </c:pt>
                <c:pt idx="532">
                  <c:v>-6.6881063122923634E-2</c:v>
                </c:pt>
                <c:pt idx="533">
                  <c:v>-6.9169435215946873E-2</c:v>
                </c:pt>
                <c:pt idx="534">
                  <c:v>-7.1585382059800695E-2</c:v>
                </c:pt>
                <c:pt idx="535">
                  <c:v>-7.5471096345514965E-2</c:v>
                </c:pt>
                <c:pt idx="536">
                  <c:v>-8.0188704318936876E-2</c:v>
                </c:pt>
                <c:pt idx="537">
                  <c:v>-7.2377408637873675E-2</c:v>
                </c:pt>
                <c:pt idx="538">
                  <c:v>-7.923455149501657E-2</c:v>
                </c:pt>
                <c:pt idx="539">
                  <c:v>-6.4752159468438597E-2</c:v>
                </c:pt>
                <c:pt idx="540">
                  <c:v>-5.852757475083048E-2</c:v>
                </c:pt>
                <c:pt idx="541">
                  <c:v>-5.6244518272425159E-2</c:v>
                </c:pt>
                <c:pt idx="542">
                  <c:v>-6.500465116279075E-2</c:v>
                </c:pt>
                <c:pt idx="543">
                  <c:v>-7.4397342192691007E-2</c:v>
                </c:pt>
                <c:pt idx="544">
                  <c:v>-8.8143521594684415E-2</c:v>
                </c:pt>
                <c:pt idx="545">
                  <c:v>-9.40438538205981E-2</c:v>
                </c:pt>
                <c:pt idx="546">
                  <c:v>-9.7825913621262361E-2</c:v>
                </c:pt>
                <c:pt idx="547">
                  <c:v>-9.7110963455149579E-2</c:v>
                </c:pt>
                <c:pt idx="548">
                  <c:v>-9.1027242524917007E-2</c:v>
                </c:pt>
                <c:pt idx="549">
                  <c:v>-9.6962126245847102E-2</c:v>
                </c:pt>
                <c:pt idx="550">
                  <c:v>-9.0631229235880406E-2</c:v>
                </c:pt>
                <c:pt idx="551">
                  <c:v>-8.8271096345514888E-2</c:v>
                </c:pt>
                <c:pt idx="552">
                  <c:v>-9.2257807308970041E-2</c:v>
                </c:pt>
                <c:pt idx="553">
                  <c:v>-9.9266445182724317E-2</c:v>
                </c:pt>
                <c:pt idx="554">
                  <c:v>-9.710564784053155E-2</c:v>
                </c:pt>
                <c:pt idx="555">
                  <c:v>-9.891295681063117E-2</c:v>
                </c:pt>
                <c:pt idx="556">
                  <c:v>-9.2055813953488386E-2</c:v>
                </c:pt>
                <c:pt idx="557">
                  <c:v>-7.7222591362126281E-2</c:v>
                </c:pt>
                <c:pt idx="558">
                  <c:v>-7.5186710963455194E-2</c:v>
                </c:pt>
                <c:pt idx="559">
                  <c:v>-6.6734883720930283E-2</c:v>
                </c:pt>
                <c:pt idx="560">
                  <c:v>-6.4497009966777319E-2</c:v>
                </c:pt>
                <c:pt idx="561">
                  <c:v>-6.3173421926910334E-2</c:v>
                </c:pt>
                <c:pt idx="562">
                  <c:v>-5.7950830564784117E-2</c:v>
                </c:pt>
                <c:pt idx="563">
                  <c:v>-5.3161461794019815E-2</c:v>
                </c:pt>
                <c:pt idx="564">
                  <c:v>-5.23322259136213E-2</c:v>
                </c:pt>
                <c:pt idx="565">
                  <c:v>-5.8772093023255922E-2</c:v>
                </c:pt>
                <c:pt idx="566">
                  <c:v>-6.1254485049833773E-2</c:v>
                </c:pt>
                <c:pt idx="567">
                  <c:v>-6.345514950166109E-2</c:v>
                </c:pt>
                <c:pt idx="568">
                  <c:v>-6.3152159468438551E-2</c:v>
                </c:pt>
                <c:pt idx="569">
                  <c:v>-6.3173421926910334E-2</c:v>
                </c:pt>
                <c:pt idx="570">
                  <c:v>-5.6829235880398565E-2</c:v>
                </c:pt>
                <c:pt idx="571">
                  <c:v>-5.5455149501661083E-2</c:v>
                </c:pt>
                <c:pt idx="572">
                  <c:v>-5.309767441860469E-2</c:v>
                </c:pt>
                <c:pt idx="573">
                  <c:v>-4.7704983388704325E-2</c:v>
                </c:pt>
                <c:pt idx="574">
                  <c:v>-3.9734219269103033E-2</c:v>
                </c:pt>
                <c:pt idx="575">
                  <c:v>-3.5340863787375332E-2</c:v>
                </c:pt>
                <c:pt idx="576">
                  <c:v>-3.8413289036544951E-2</c:v>
                </c:pt>
                <c:pt idx="577">
                  <c:v>-2.9592026578073138E-2</c:v>
                </c:pt>
                <c:pt idx="578">
                  <c:v>-3.952159468438543E-2</c:v>
                </c:pt>
                <c:pt idx="579">
                  <c:v>-2.9134883720930205E-2</c:v>
                </c:pt>
                <c:pt idx="580">
                  <c:v>-2.9052491694352089E-2</c:v>
                </c:pt>
                <c:pt idx="581">
                  <c:v>-2.643986710963464E-2</c:v>
                </c:pt>
                <c:pt idx="582">
                  <c:v>-2.7401993355481769E-2</c:v>
                </c:pt>
                <c:pt idx="583">
                  <c:v>-2.6455813953488394E-2</c:v>
                </c:pt>
                <c:pt idx="584">
                  <c:v>-2.1988039867109732E-2</c:v>
                </c:pt>
                <c:pt idx="585">
                  <c:v>-2.7960132890365474E-2</c:v>
                </c:pt>
                <c:pt idx="586">
                  <c:v>-3.3528239202657795E-2</c:v>
                </c:pt>
                <c:pt idx="587">
                  <c:v>-3.6281727574750788E-2</c:v>
                </c:pt>
                <c:pt idx="588">
                  <c:v>-3.2377408637873639E-2</c:v>
                </c:pt>
                <c:pt idx="589">
                  <c:v>-2.6477076411960065E-2</c:v>
                </c:pt>
                <c:pt idx="590">
                  <c:v>-2.4691029900332229E-2</c:v>
                </c:pt>
                <c:pt idx="591">
                  <c:v>-2.8018604651162682E-2</c:v>
                </c:pt>
                <c:pt idx="592">
                  <c:v>-2.6118272425249112E-2</c:v>
                </c:pt>
                <c:pt idx="593">
                  <c:v>-1.6645847176079864E-2</c:v>
                </c:pt>
                <c:pt idx="594">
                  <c:v>-1.1367441860465011E-2</c:v>
                </c:pt>
                <c:pt idx="595">
                  <c:v>-9.4963455149502662E-3</c:v>
                </c:pt>
                <c:pt idx="596">
                  <c:v>-1.4782724252491608E-2</c:v>
                </c:pt>
                <c:pt idx="597">
                  <c:v>-1.7262458471760778E-2</c:v>
                </c:pt>
                <c:pt idx="598">
                  <c:v>-1.4798671096345584E-2</c:v>
                </c:pt>
                <c:pt idx="599">
                  <c:v>-1.1622591362126289E-2</c:v>
                </c:pt>
                <c:pt idx="600">
                  <c:v>-1.1348837209302354E-2</c:v>
                </c:pt>
                <c:pt idx="601">
                  <c:v>-4.5767441860464775E-3</c:v>
                </c:pt>
                <c:pt idx="602">
                  <c:v>-9.4591362126246192E-3</c:v>
                </c:pt>
                <c:pt idx="603">
                  <c:v>-1.3241196013288992E-2</c:v>
                </c:pt>
                <c:pt idx="604">
                  <c:v>-1.1215946843853852E-2</c:v>
                </c:pt>
                <c:pt idx="605">
                  <c:v>-5.1215946843853333E-3</c:v>
                </c:pt>
                <c:pt idx="606">
                  <c:v>-3.0086378737540498E-3</c:v>
                </c:pt>
                <c:pt idx="607">
                  <c:v>-6.6126245847176746E-3</c:v>
                </c:pt>
                <c:pt idx="608">
                  <c:v>0</c:v>
                </c:pt>
                <c:pt idx="609">
                  <c:v>-3.7474768936576197E-3</c:v>
                </c:pt>
                <c:pt idx="610">
                  <c:v>-4.9399766280666668E-4</c:v>
                </c:pt>
                <c:pt idx="611">
                  <c:v>0</c:v>
                </c:pt>
                <c:pt idx="612">
                  <c:v>-4.5394644386521632E-3</c:v>
                </c:pt>
                <c:pt idx="613">
                  <c:v>-1.0147506078692858E-2</c:v>
                </c:pt>
                <c:pt idx="614">
                  <c:v>-8.7846061245646645E-3</c:v>
                </c:pt>
                <c:pt idx="615">
                  <c:v>-2.0920779451497618E-3</c:v>
                </c:pt>
                <c:pt idx="616">
                  <c:v>0</c:v>
                </c:pt>
                <c:pt idx="617">
                  <c:v>0</c:v>
                </c:pt>
                <c:pt idx="618">
                  <c:v>0</c:v>
                </c:pt>
                <c:pt idx="619">
                  <c:v>0</c:v>
                </c:pt>
                <c:pt idx="620">
                  <c:v>0</c:v>
                </c:pt>
                <c:pt idx="621">
                  <c:v>0</c:v>
                </c:pt>
                <c:pt idx="622">
                  <c:v>-8.4883547978438223E-3</c:v>
                </c:pt>
                <c:pt idx="623">
                  <c:v>-7.2522862139885458E-3</c:v>
                </c:pt>
                <c:pt idx="624">
                  <c:v>-2.9696419504238181E-3</c:v>
                </c:pt>
                <c:pt idx="625">
                  <c:v>-5.7956742728479949E-3</c:v>
                </c:pt>
                <c:pt idx="626">
                  <c:v>-4.2852087212075229E-3</c:v>
                </c:pt>
                <c:pt idx="627">
                  <c:v>0</c:v>
                </c:pt>
                <c:pt idx="628">
                  <c:v>0</c:v>
                </c:pt>
                <c:pt idx="629">
                  <c:v>0</c:v>
                </c:pt>
                <c:pt idx="630">
                  <c:v>0</c:v>
                </c:pt>
                <c:pt idx="631">
                  <c:v>0</c:v>
                </c:pt>
                <c:pt idx="632">
                  <c:v>-1.1719717805812602E-2</c:v>
                </c:pt>
                <c:pt idx="633">
                  <c:v>-1.5356008639006324E-2</c:v>
                </c:pt>
                <c:pt idx="634">
                  <c:v>-1.4943078158980883E-2</c:v>
                </c:pt>
                <c:pt idx="635">
                  <c:v>-1.0052980231891828E-2</c:v>
                </c:pt>
                <c:pt idx="636">
                  <c:v>-1.5979158272499072E-2</c:v>
                </c:pt>
                <c:pt idx="637">
                  <c:v>-1.6672380957147959E-2</c:v>
                </c:pt>
                <c:pt idx="638">
                  <c:v>-1.1279258627118871E-2</c:v>
                </c:pt>
                <c:pt idx="639">
                  <c:v>-1.2292815259908552E-2</c:v>
                </c:pt>
                <c:pt idx="640">
                  <c:v>-2.2653616395092002E-2</c:v>
                </c:pt>
                <c:pt idx="641">
                  <c:v>-2.9906177189720329E-2</c:v>
                </c:pt>
                <c:pt idx="642">
                  <c:v>-2.313161470833347E-2</c:v>
                </c:pt>
                <c:pt idx="643">
                  <c:v>-1.9112424702752762E-2</c:v>
                </c:pt>
                <c:pt idx="644">
                  <c:v>-2.043630484780401E-2</c:v>
                </c:pt>
                <c:pt idx="645">
                  <c:v>-1.7348085379007672E-2</c:v>
                </c:pt>
                <c:pt idx="646">
                  <c:v>-2.1825252826071284E-2</c:v>
                </c:pt>
                <c:pt idx="647">
                  <c:v>-2.7571243020849345E-2</c:v>
                </c:pt>
                <c:pt idx="648">
                  <c:v>-2.7258416899617943E-2</c:v>
                </c:pt>
                <c:pt idx="649">
                  <c:v>-2.5734328036978615E-2</c:v>
                </c:pt>
                <c:pt idx="650">
                  <c:v>-3.0727032931831544E-2</c:v>
                </c:pt>
                <c:pt idx="651">
                  <c:v>-3.3484908016607307E-2</c:v>
                </c:pt>
                <c:pt idx="652">
                  <c:v>-2.9308053645926035E-2</c:v>
                </c:pt>
                <c:pt idx="653">
                  <c:v>-2.9165404934644368E-2</c:v>
                </c:pt>
                <c:pt idx="654">
                  <c:v>-2.6785423804316033E-2</c:v>
                </c:pt>
                <c:pt idx="655">
                  <c:v>-2.9653413683765395E-2</c:v>
                </c:pt>
                <c:pt idx="656">
                  <c:v>-3.5704722172865355E-2</c:v>
                </c:pt>
                <c:pt idx="657">
                  <c:v>-3.3690121952135166E-2</c:v>
                </c:pt>
                <c:pt idx="658">
                  <c:v>-3.1858212186204105E-2</c:v>
                </c:pt>
                <c:pt idx="659">
                  <c:v>-3.1617961725098453E-2</c:v>
                </c:pt>
                <c:pt idx="660">
                  <c:v>-3.6305348325629594E-2</c:v>
                </c:pt>
                <c:pt idx="661">
                  <c:v>-2.7220877765070206E-2</c:v>
                </c:pt>
                <c:pt idx="662">
                  <c:v>-2.254099899144868E-2</c:v>
                </c:pt>
                <c:pt idx="663">
                  <c:v>-2.0233593521245874E-2</c:v>
                </c:pt>
                <c:pt idx="664">
                  <c:v>-1.8424207236043655E-2</c:v>
                </c:pt>
                <c:pt idx="665">
                  <c:v>-1.2618154425989236E-2</c:v>
                </c:pt>
                <c:pt idx="666">
                  <c:v>-7.9683069600058332E-3</c:v>
                </c:pt>
                <c:pt idx="667">
                  <c:v>0</c:v>
                </c:pt>
                <c:pt idx="668">
                  <c:v>-1.5752874899654934E-4</c:v>
                </c:pt>
                <c:pt idx="669">
                  <c:v>0</c:v>
                </c:pt>
                <c:pt idx="670">
                  <c:v>0</c:v>
                </c:pt>
                <c:pt idx="671">
                  <c:v>0</c:v>
                </c:pt>
                <c:pt idx="672">
                  <c:v>-2.9243748251194246E-3</c:v>
                </c:pt>
                <c:pt idx="673">
                  <c:v>-1.4408922190829565E-2</c:v>
                </c:pt>
                <c:pt idx="674">
                  <c:v>-2.2285667591934621E-2</c:v>
                </c:pt>
                <c:pt idx="675">
                  <c:v>-2.5658231954180599E-2</c:v>
                </c:pt>
                <c:pt idx="676">
                  <c:v>-2.5643374842452715E-2</c:v>
                </c:pt>
                <c:pt idx="677">
                  <c:v>-2.6131183344187181E-2</c:v>
                </c:pt>
                <c:pt idx="678">
                  <c:v>-2.3568331571114709E-2</c:v>
                </c:pt>
                <c:pt idx="679">
                  <c:v>-3.3121454412190721E-2</c:v>
                </c:pt>
                <c:pt idx="680">
                  <c:v>-2.7438609176247408E-2</c:v>
                </c:pt>
                <c:pt idx="681">
                  <c:v>-3.28639311422394E-2</c:v>
                </c:pt>
                <c:pt idx="682">
                  <c:v>-3.7452302480890043E-2</c:v>
                </c:pt>
                <c:pt idx="683">
                  <c:v>-3.2022028144321868E-2</c:v>
                </c:pt>
                <c:pt idx="684">
                  <c:v>-2.6685848848697624E-2</c:v>
                </c:pt>
                <c:pt idx="685">
                  <c:v>-3.3676119916701164E-2</c:v>
                </c:pt>
                <c:pt idx="686">
                  <c:v>-2.488566214432697E-2</c:v>
                </c:pt>
                <c:pt idx="687">
                  <c:v>-1.8868531894504659E-2</c:v>
                </c:pt>
                <c:pt idx="688">
                  <c:v>-1.9727768189438E-2</c:v>
                </c:pt>
                <c:pt idx="689">
                  <c:v>-2.1854811351823766E-2</c:v>
                </c:pt>
                <c:pt idx="690">
                  <c:v>-2.2810618872988964E-2</c:v>
                </c:pt>
                <c:pt idx="691">
                  <c:v>-1.886110333864055E-2</c:v>
                </c:pt>
                <c:pt idx="692">
                  <c:v>-2.5814231627324213E-2</c:v>
                </c:pt>
                <c:pt idx="693">
                  <c:v>-2.8112131574581367E-2</c:v>
                </c:pt>
                <c:pt idx="694">
                  <c:v>-3.2175551632177446E-2</c:v>
                </c:pt>
                <c:pt idx="695">
                  <c:v>-4.5096286464923474E-2</c:v>
                </c:pt>
                <c:pt idx="696">
                  <c:v>-5.3000269904196262E-2</c:v>
                </c:pt>
                <c:pt idx="697">
                  <c:v>-6.6119099559981853E-2</c:v>
                </c:pt>
                <c:pt idx="698">
                  <c:v>-5.6709595465609386E-2</c:v>
                </c:pt>
                <c:pt idx="699">
                  <c:v>-5.2071700421199019E-2</c:v>
                </c:pt>
                <c:pt idx="700">
                  <c:v>-5.5107503584278184E-2</c:v>
                </c:pt>
                <c:pt idx="701">
                  <c:v>-5.95869227702569E-2</c:v>
                </c:pt>
                <c:pt idx="702">
                  <c:v>-5.2450556770261891E-2</c:v>
                </c:pt>
                <c:pt idx="703">
                  <c:v>-4.7629424014540178E-2</c:v>
                </c:pt>
                <c:pt idx="704">
                  <c:v>-3.8658204716142452E-2</c:v>
                </c:pt>
                <c:pt idx="705">
                  <c:v>-3.8908299430229665E-2</c:v>
                </c:pt>
                <c:pt idx="706">
                  <c:v>-3.7085827058267018E-2</c:v>
                </c:pt>
                <c:pt idx="707">
                  <c:v>-3.9472869675892031E-2</c:v>
                </c:pt>
                <c:pt idx="708">
                  <c:v>-3.7984682317808494E-2</c:v>
                </c:pt>
                <c:pt idx="709">
                  <c:v>-3.302240700067105E-2</c:v>
                </c:pt>
                <c:pt idx="710">
                  <c:v>-3.7083350872979093E-2</c:v>
                </c:pt>
                <c:pt idx="711">
                  <c:v>-2.559880350726873E-2</c:v>
                </c:pt>
                <c:pt idx="712">
                  <c:v>-2.1154050915321743E-2</c:v>
                </c:pt>
                <c:pt idx="713">
                  <c:v>-2.2808142687701038E-2</c:v>
                </c:pt>
                <c:pt idx="714">
                  <c:v>-2.468013876542352E-2</c:v>
                </c:pt>
                <c:pt idx="715">
                  <c:v>-2.0252719470492342E-2</c:v>
                </c:pt>
                <c:pt idx="716">
                  <c:v>-1.884377004162463E-2</c:v>
                </c:pt>
                <c:pt idx="717">
                  <c:v>-1.9331578543359207E-2</c:v>
                </c:pt>
                <c:pt idx="718">
                  <c:v>-1.9693101595406048E-2</c:v>
                </c:pt>
                <c:pt idx="719">
                  <c:v>-1.4988349548219926E-2</c:v>
                </c:pt>
                <c:pt idx="720">
                  <c:v>-4.74189482650611E-3</c:v>
                </c:pt>
                <c:pt idx="721">
                  <c:v>-2.9318033809832E-3</c:v>
                </c:pt>
                <c:pt idx="722">
                  <c:v>0</c:v>
                </c:pt>
                <c:pt idx="723">
                  <c:v>0</c:v>
                </c:pt>
                <c:pt idx="724">
                  <c:v>0</c:v>
                </c:pt>
                <c:pt idx="725">
                  <c:v>0</c:v>
                </c:pt>
                <c:pt idx="726">
                  <c:v>-1.7456549668778409E-3</c:v>
                </c:pt>
                <c:pt idx="727">
                  <c:v>0</c:v>
                </c:pt>
                <c:pt idx="728">
                  <c:v>0</c:v>
                </c:pt>
                <c:pt idx="729">
                  <c:v>-4.3196441413336784E-3</c:v>
                </c:pt>
                <c:pt idx="730">
                  <c:v>-3.36951293273835E-3</c:v>
                </c:pt>
                <c:pt idx="731">
                  <c:v>0</c:v>
                </c:pt>
                <c:pt idx="732">
                  <c:v>0</c:v>
                </c:pt>
                <c:pt idx="733">
                  <c:v>-1.7710127163373945E-3</c:v>
                </c:pt>
                <c:pt idx="734">
                  <c:v>-1.6544987218425344E-4</c:v>
                </c:pt>
                <c:pt idx="735">
                  <c:v>-1.4284615725194794E-2</c:v>
                </c:pt>
                <c:pt idx="736">
                  <c:v>-9.3956885161478043E-3</c:v>
                </c:pt>
                <c:pt idx="737">
                  <c:v>-4.9984503638732525E-3</c:v>
                </c:pt>
                <c:pt idx="738">
                  <c:v>-7.1306564631490321E-4</c:v>
                </c:pt>
                <c:pt idx="739">
                  <c:v>0</c:v>
                </c:pt>
                <c:pt idx="740">
                  <c:v>0</c:v>
                </c:pt>
                <c:pt idx="741">
                  <c:v>-2.1718468044464867E-3</c:v>
                </c:pt>
                <c:pt idx="742">
                  <c:v>-1.6897243637131742E-3</c:v>
                </c:pt>
                <c:pt idx="743">
                  <c:v>-5.1839641484570098E-3</c:v>
                </c:pt>
                <c:pt idx="744">
                  <c:v>-1.2000257131968506E-2</c:v>
                </c:pt>
                <c:pt idx="745">
                  <c:v>-5.5145623935314303E-3</c:v>
                </c:pt>
                <c:pt idx="746">
                  <c:v>-3.1177251167425757E-3</c:v>
                </c:pt>
                <c:pt idx="747">
                  <c:v>-1.2199993571700873E-2</c:v>
                </c:pt>
                <c:pt idx="748">
                  <c:v>-1.0737555501476259E-2</c:v>
                </c:pt>
                <c:pt idx="749">
                  <c:v>-7.346627668318173E-3</c:v>
                </c:pt>
                <c:pt idx="750">
                  <c:v>-6.0380096148989759E-3</c:v>
                </c:pt>
                <c:pt idx="751">
                  <c:v>0</c:v>
                </c:pt>
                <c:pt idx="752">
                  <c:v>0</c:v>
                </c:pt>
                <c:pt idx="753">
                  <c:v>-2.9483039898269281E-3</c:v>
                </c:pt>
                <c:pt idx="754">
                  <c:v>-2.3781024507352644E-2</c:v>
                </c:pt>
                <c:pt idx="755">
                  <c:v>-2.8745398224682028E-2</c:v>
                </c:pt>
                <c:pt idx="756">
                  <c:v>-2.1497955646465949E-2</c:v>
                </c:pt>
                <c:pt idx="757">
                  <c:v>-2.378781262091334E-2</c:v>
                </c:pt>
                <c:pt idx="758">
                  <c:v>-3.8857424725477485E-2</c:v>
                </c:pt>
                <c:pt idx="759">
                  <c:v>-2.9121007175036073E-2</c:v>
                </c:pt>
                <c:pt idx="760">
                  <c:v>-3.3707509237491329E-2</c:v>
                </c:pt>
                <c:pt idx="761">
                  <c:v>-1.628468443191422E-2</c:v>
                </c:pt>
                <c:pt idx="762">
                  <c:v>-2.6036940913996998E-2</c:v>
                </c:pt>
                <c:pt idx="763">
                  <c:v>-1.6823208107722865E-2</c:v>
                </c:pt>
                <c:pt idx="764">
                  <c:v>-1.8101636161638512E-2</c:v>
                </c:pt>
                <c:pt idx="765">
                  <c:v>-1.1026159126958146E-2</c:v>
                </c:pt>
                <c:pt idx="766">
                  <c:v>-1.4741519949134418E-2</c:v>
                </c:pt>
                <c:pt idx="767">
                  <c:v>-7.6049498924083414E-3</c:v>
                </c:pt>
                <c:pt idx="768">
                  <c:v>-7.5551703929639391E-3</c:v>
                </c:pt>
                <c:pt idx="769">
                  <c:v>-1.7173927308354542E-2</c:v>
                </c:pt>
                <c:pt idx="770">
                  <c:v>-1.4252775772770176E-2</c:v>
                </c:pt>
                <c:pt idx="771">
                  <c:v>-2.1785319120532054E-2</c:v>
                </c:pt>
                <c:pt idx="772">
                  <c:v>-1.6028998821130958E-2</c:v>
                </c:pt>
                <c:pt idx="773">
                  <c:v>-1.1648402870014452E-2</c:v>
                </c:pt>
                <c:pt idx="774">
                  <c:v>-8.4489386784448728E-3</c:v>
                </c:pt>
                <c:pt idx="775">
                  <c:v>-2.568169630432493E-3</c:v>
                </c:pt>
                <c:pt idx="776">
                  <c:v>0</c:v>
                </c:pt>
                <c:pt idx="777">
                  <c:v>0</c:v>
                </c:pt>
                <c:pt idx="778">
                  <c:v>-6.3927701778848656E-3</c:v>
                </c:pt>
                <c:pt idx="779">
                  <c:v>0</c:v>
                </c:pt>
                <c:pt idx="780">
                  <c:v>-2.1379591267223219E-4</c:v>
                </c:pt>
                <c:pt idx="781">
                  <c:v>-4.2939221197753064E-3</c:v>
                </c:pt>
                <c:pt idx="782">
                  <c:v>-8.5968461727170542E-4</c:v>
                </c:pt>
                <c:pt idx="783">
                  <c:v>-1.1986074009393444E-2</c:v>
                </c:pt>
                <c:pt idx="784">
                  <c:v>-1.0561518086009025E-2</c:v>
                </c:pt>
                <c:pt idx="785">
                  <c:v>0</c:v>
                </c:pt>
                <c:pt idx="786">
                  <c:v>0</c:v>
                </c:pt>
                <c:pt idx="787">
                  <c:v>-2.2003427714499812E-3</c:v>
                </c:pt>
                <c:pt idx="788">
                  <c:v>0</c:v>
                </c:pt>
                <c:pt idx="789">
                  <c:v>0</c:v>
                </c:pt>
                <c:pt idx="790">
                  <c:v>-7.1531616841271628E-3</c:v>
                </c:pt>
                <c:pt idx="791">
                  <c:v>-7.0175672581694881E-3</c:v>
                </c:pt>
                <c:pt idx="792">
                  <c:v>-2.2044097085608949E-2</c:v>
                </c:pt>
                <c:pt idx="793">
                  <c:v>-1.5422198808102694E-2</c:v>
                </c:pt>
                <c:pt idx="794">
                  <c:v>-2.0903770191899484E-2</c:v>
                </c:pt>
                <c:pt idx="795">
                  <c:v>-1.9465580132971394E-2</c:v>
                </c:pt>
                <c:pt idx="796">
                  <c:v>-3.0057505373762616E-2</c:v>
                </c:pt>
                <c:pt idx="797">
                  <c:v>-2.9095007235407477E-2</c:v>
                </c:pt>
                <c:pt idx="798">
                  <c:v>-2.1410582144659185E-2</c:v>
                </c:pt>
                <c:pt idx="799">
                  <c:v>-1.7640612531147792E-2</c:v>
                </c:pt>
                <c:pt idx="800">
                  <c:v>-2.1732896763738907E-2</c:v>
                </c:pt>
                <c:pt idx="801">
                  <c:v>-1.6444714151389928E-2</c:v>
                </c:pt>
                <c:pt idx="802">
                  <c:v>-7.4087905199489157E-3</c:v>
                </c:pt>
                <c:pt idx="803">
                  <c:v>-1.4026243078570921E-3</c:v>
                </c:pt>
                <c:pt idx="804">
                  <c:v>-1.7894018507528253E-3</c:v>
                </c:pt>
                <c:pt idx="805">
                  <c:v>-2.6185284225921368E-3</c:v>
                </c:pt>
                <c:pt idx="806">
                  <c:v>0</c:v>
                </c:pt>
                <c:pt idx="807">
                  <c:v>-4.2194748752555356E-5</c:v>
                </c:pt>
                <c:pt idx="808">
                  <c:v>0</c:v>
                </c:pt>
                <c:pt idx="809">
                  <c:v>-1.0389873953843276E-3</c:v>
                </c:pt>
                <c:pt idx="810">
                  <c:v>0</c:v>
                </c:pt>
                <c:pt idx="811">
                  <c:v>-1.0301576000492085E-2</c:v>
                </c:pt>
                <c:pt idx="812">
                  <c:v>-2.1152510789406609E-2</c:v>
                </c:pt>
                <c:pt idx="813">
                  <c:v>-2.6628519192398503E-2</c:v>
                </c:pt>
                <c:pt idx="814">
                  <c:v>-3.3310919494765723E-2</c:v>
                </c:pt>
                <c:pt idx="815">
                  <c:v>-2.6668073025165051E-2</c:v>
                </c:pt>
                <c:pt idx="816">
                  <c:v>-1.8344188662992478E-2</c:v>
                </c:pt>
                <c:pt idx="817">
                  <c:v>-1.6955409645861286E-2</c:v>
                </c:pt>
                <c:pt idx="818">
                  <c:v>-1.5443574260123438E-2</c:v>
                </c:pt>
                <c:pt idx="819">
                  <c:v>-8.0623895788836109E-3</c:v>
                </c:pt>
                <c:pt idx="820">
                  <c:v>-1.4672274521178807E-2</c:v>
                </c:pt>
                <c:pt idx="821">
                  <c:v>-4.8519368193443713E-3</c:v>
                </c:pt>
                <c:pt idx="822">
                  <c:v>-6.5461593228384185E-3</c:v>
                </c:pt>
                <c:pt idx="823">
                  <c:v>-4.6409830445902633E-3</c:v>
                </c:pt>
                <c:pt idx="824">
                  <c:v>-1.2215542019355041E-2</c:v>
                </c:pt>
                <c:pt idx="825">
                  <c:v>-1.3672441526250467E-2</c:v>
                </c:pt>
                <c:pt idx="826">
                  <c:v>-1.9834049697193379E-2</c:v>
                </c:pt>
                <c:pt idx="827">
                  <c:v>-1.9834049697193379E-2</c:v>
                </c:pt>
                <c:pt idx="828">
                  <c:v>-3.4996352257644858E-2</c:v>
                </c:pt>
                <c:pt idx="829">
                  <c:v>-3.0702563967337282E-2</c:v>
                </c:pt>
                <c:pt idx="830">
                  <c:v>-2.8555669822183494E-2</c:v>
                </c:pt>
                <c:pt idx="831">
                  <c:v>-2.3554307412388287E-2</c:v>
                </c:pt>
                <c:pt idx="832">
                  <c:v>-2.43146199755645E-2</c:v>
                </c:pt>
                <c:pt idx="833">
                  <c:v>-1.537984864066666E-2</c:v>
                </c:pt>
                <c:pt idx="834">
                  <c:v>-1.264404187432433E-2</c:v>
                </c:pt>
                <c:pt idx="835">
                  <c:v>-1.1066283433975865E-2</c:v>
                </c:pt>
                <c:pt idx="836">
                  <c:v>-9.8774710158303636E-3</c:v>
                </c:pt>
                <c:pt idx="837">
                  <c:v>-6.8559976795085076E-3</c:v>
                </c:pt>
                <c:pt idx="838">
                  <c:v>0</c:v>
                </c:pt>
                <c:pt idx="839">
                  <c:v>-4.5934172629780168E-4</c:v>
                </c:pt>
                <c:pt idx="840">
                  <c:v>-1.5325904043296257E-3</c:v>
                </c:pt>
                <c:pt idx="841">
                  <c:v>-3.4613902597784296E-3</c:v>
                </c:pt>
                <c:pt idx="842">
                  <c:v>-1.1448711557342617E-2</c:v>
                </c:pt>
                <c:pt idx="843">
                  <c:v>-2.0855420558916538E-2</c:v>
                </c:pt>
                <c:pt idx="844">
                  <c:v>-1.9024584578744452E-2</c:v>
                </c:pt>
                <c:pt idx="845">
                  <c:v>0</c:v>
                </c:pt>
                <c:pt idx="846">
                  <c:v>-5.9293583620975032E-2</c:v>
                </c:pt>
                <c:pt idx="847">
                  <c:v>-2.7663031563925355E-2</c:v>
                </c:pt>
                <c:pt idx="848">
                  <c:v>-1.9020886437785545E-2</c:v>
                </c:pt>
                <c:pt idx="849">
                  <c:v>0</c:v>
                </c:pt>
                <c:pt idx="850">
                  <c:v>-1.3288879633664985E-3</c:v>
                </c:pt>
                <c:pt idx="851">
                  <c:v>-1.0862961380670999E-3</c:v>
                </c:pt>
                <c:pt idx="852">
                  <c:v>0</c:v>
                </c:pt>
                <c:pt idx="853">
                  <c:v>0</c:v>
                </c:pt>
                <c:pt idx="854">
                  <c:v>0</c:v>
                </c:pt>
                <c:pt idx="855">
                  <c:v>0</c:v>
                </c:pt>
                <c:pt idx="856">
                  <c:v>-1.7785965642099777E-3</c:v>
                </c:pt>
                <c:pt idx="857">
                  <c:v>0</c:v>
                </c:pt>
                <c:pt idx="858">
                  <c:v>-2.7962829380066001E-3</c:v>
                </c:pt>
                <c:pt idx="859">
                  <c:v>-1.2368990537616753E-3</c:v>
                </c:pt>
                <c:pt idx="860">
                  <c:v>0</c:v>
                </c:pt>
                <c:pt idx="861">
                  <c:v>0</c:v>
                </c:pt>
                <c:pt idx="862">
                  <c:v>0</c:v>
                </c:pt>
                <c:pt idx="863">
                  <c:v>-1.4098858366778932E-3</c:v>
                </c:pt>
                <c:pt idx="864">
                  <c:v>0</c:v>
                </c:pt>
                <c:pt idx="865">
                  <c:v>-7.4973231242725369E-4</c:v>
                </c:pt>
                <c:pt idx="866">
                  <c:v>0</c:v>
                </c:pt>
                <c:pt idx="867">
                  <c:v>0</c:v>
                </c:pt>
                <c:pt idx="868">
                  <c:v>0</c:v>
                </c:pt>
                <c:pt idx="869">
                  <c:v>-1.3566931221820067E-4</c:v>
                </c:pt>
                <c:pt idx="870">
                  <c:v>0</c:v>
                </c:pt>
                <c:pt idx="871">
                  <c:v>-4.4509110554491471E-3</c:v>
                </c:pt>
                <c:pt idx="872">
                  <c:v>-4.798798356334788E-3</c:v>
                </c:pt>
                <c:pt idx="873">
                  <c:v>0</c:v>
                </c:pt>
                <c:pt idx="874">
                  <c:v>0</c:v>
                </c:pt>
                <c:pt idx="875">
                  <c:v>0</c:v>
                </c:pt>
                <c:pt idx="876">
                  <c:v>0</c:v>
                </c:pt>
                <c:pt idx="877">
                  <c:v>-1.0884707580586794E-2</c:v>
                </c:pt>
                <c:pt idx="878">
                  <c:v>-1.1757661531761943E-2</c:v>
                </c:pt>
                <c:pt idx="879">
                  <c:v>-1.2975361731553559E-2</c:v>
                </c:pt>
                <c:pt idx="880">
                  <c:v>-1.5618416304279847E-2</c:v>
                </c:pt>
                <c:pt idx="881">
                  <c:v>-1.5916793174427513E-2</c:v>
                </c:pt>
                <c:pt idx="882">
                  <c:v>0</c:v>
                </c:pt>
                <c:pt idx="883">
                  <c:v>0</c:v>
                </c:pt>
                <c:pt idx="884">
                  <c:v>0</c:v>
                </c:pt>
                <c:pt idx="885">
                  <c:v>0</c:v>
                </c:pt>
                <c:pt idx="886">
                  <c:v>0</c:v>
                </c:pt>
                <c:pt idx="887">
                  <c:v>-1.1722888820474342E-2</c:v>
                </c:pt>
                <c:pt idx="888">
                  <c:v>-3.8195346828782784E-2</c:v>
                </c:pt>
                <c:pt idx="889">
                  <c:v>-4.0716247715995912E-2</c:v>
                </c:pt>
                <c:pt idx="890">
                  <c:v>-2.8523563726215451E-2</c:v>
                </c:pt>
                <c:pt idx="891">
                  <c:v>-3.5740417178110384E-2</c:v>
                </c:pt>
                <c:pt idx="892">
                  <c:v>-2.5724783994178546E-2</c:v>
                </c:pt>
                <c:pt idx="893">
                  <c:v>-2.6544426629989348E-2</c:v>
                </c:pt>
                <c:pt idx="894">
                  <c:v>-3.4860800690898808E-2</c:v>
                </c:pt>
                <c:pt idx="895">
                  <c:v>-3.4670883494796301E-2</c:v>
                </c:pt>
                <c:pt idx="896">
                  <c:v>-1.8781811130347159E-2</c:v>
                </c:pt>
                <c:pt idx="897">
                  <c:v>-1.7522360250930569E-2</c:v>
                </c:pt>
                <c:pt idx="898">
                  <c:v>-1.2476560219744304E-2</c:v>
                </c:pt>
                <c:pt idx="899">
                  <c:v>-9.6238040214466913E-3</c:v>
                </c:pt>
                <c:pt idx="900">
                  <c:v>-7.9725239795449543E-3</c:v>
                </c:pt>
                <c:pt idx="901">
                  <c:v>-7.5067270669988417E-3</c:v>
                </c:pt>
                <c:pt idx="902">
                  <c:v>-1.199477028024365E-5</c:v>
                </c:pt>
                <c:pt idx="903">
                  <c:v>0</c:v>
                </c:pt>
                <c:pt idx="904">
                  <c:v>0</c:v>
                </c:pt>
                <c:pt idx="905">
                  <c:v>0</c:v>
                </c:pt>
                <c:pt idx="906">
                  <c:v>0</c:v>
                </c:pt>
                <c:pt idx="907">
                  <c:v>0</c:v>
                </c:pt>
                <c:pt idx="908">
                  <c:v>0</c:v>
                </c:pt>
                <c:pt idx="909">
                  <c:v>-3.2100665154262131E-3</c:v>
                </c:pt>
                <c:pt idx="910">
                  <c:v>-5.3303322606740311E-3</c:v>
                </c:pt>
                <c:pt idx="911">
                  <c:v>-1.6918613045567854E-2</c:v>
                </c:pt>
                <c:pt idx="912">
                  <c:v>-1.3585919220248432E-2</c:v>
                </c:pt>
                <c:pt idx="913">
                  <c:v>-9.4442807216024161E-3</c:v>
                </c:pt>
                <c:pt idx="914">
                  <c:v>-1.4295970901725963E-2</c:v>
                </c:pt>
                <c:pt idx="915">
                  <c:v>0</c:v>
                </c:pt>
                <c:pt idx="916">
                  <c:v>-1.276148238009589E-3</c:v>
                </c:pt>
                <c:pt idx="917">
                  <c:v>-2.0284455017749448E-4</c:v>
                </c:pt>
                <c:pt idx="918">
                  <c:v>0</c:v>
                </c:pt>
                <c:pt idx="919">
                  <c:v>-1.6129952337957665E-3</c:v>
                </c:pt>
                <c:pt idx="920">
                  <c:v>-1.0818870470585829E-4</c:v>
                </c:pt>
                <c:pt idx="921">
                  <c:v>0</c:v>
                </c:pt>
                <c:pt idx="922">
                  <c:v>0</c:v>
                </c:pt>
                <c:pt idx="923">
                  <c:v>0</c:v>
                </c:pt>
                <c:pt idx="924">
                  <c:v>0</c:v>
                </c:pt>
                <c:pt idx="925">
                  <c:v>0</c:v>
                </c:pt>
                <c:pt idx="926">
                  <c:v>-1.4151636116043198E-3</c:v>
                </c:pt>
                <c:pt idx="927">
                  <c:v>-1.5456180469597847E-2</c:v>
                </c:pt>
                <c:pt idx="928">
                  <c:v>-1.5988297245389638E-2</c:v>
                </c:pt>
                <c:pt idx="929">
                  <c:v>-3.6845749073563749E-2</c:v>
                </c:pt>
                <c:pt idx="930">
                  <c:v>-4.5828795718653281E-2</c:v>
                </c:pt>
                <c:pt idx="931">
                  <c:v>-5.4176735244249152E-2</c:v>
                </c:pt>
                <c:pt idx="932">
                  <c:v>-4.5884105347678172E-2</c:v>
                </c:pt>
                <c:pt idx="933">
                  <c:v>-4.7074215986008472E-2</c:v>
                </c:pt>
                <c:pt idx="934">
                  <c:v>-4.6444830552276106E-2</c:v>
                </c:pt>
                <c:pt idx="935">
                  <c:v>-4.7749374905830533E-2</c:v>
                </c:pt>
                <c:pt idx="936">
                  <c:v>-4.1505108511770361E-2</c:v>
                </c:pt>
                <c:pt idx="937">
                  <c:v>-4.4198115276710248E-2</c:v>
                </c:pt>
                <c:pt idx="938">
                  <c:v>-4.748045567505399E-2</c:v>
                </c:pt>
                <c:pt idx="939">
                  <c:v>-5.5927571087177497E-2</c:v>
                </c:pt>
                <c:pt idx="940">
                  <c:v>-5.1952906711728142E-2</c:v>
                </c:pt>
                <c:pt idx="941">
                  <c:v>-5.4735553220260136E-2</c:v>
                </c:pt>
                <c:pt idx="942">
                  <c:v>-6.6522225888339448E-2</c:v>
                </c:pt>
                <c:pt idx="943">
                  <c:v>-6.7918317214073043E-2</c:v>
                </c:pt>
                <c:pt idx="944">
                  <c:v>-6.9295336253935913E-2</c:v>
                </c:pt>
                <c:pt idx="945">
                  <c:v>-7.7633739636596699E-2</c:v>
                </c:pt>
                <c:pt idx="946">
                  <c:v>-7.1593546701352762E-2</c:v>
                </c:pt>
                <c:pt idx="947">
                  <c:v>-6.6722484889981559E-2</c:v>
                </c:pt>
                <c:pt idx="948">
                  <c:v>-7.1528700929392564E-2</c:v>
                </c:pt>
                <c:pt idx="949">
                  <c:v>-7.6697290400346341E-2</c:v>
                </c:pt>
                <c:pt idx="950">
                  <c:v>-7.2920977797952036E-2</c:v>
                </c:pt>
                <c:pt idx="951">
                  <c:v>-8.4707650466031348E-2</c:v>
                </c:pt>
                <c:pt idx="952">
                  <c:v>-7.6394041055002582E-2</c:v>
                </c:pt>
                <c:pt idx="953">
                  <c:v>-6.6066398256030223E-2</c:v>
                </c:pt>
                <c:pt idx="954">
                  <c:v>-7.6926157830794484E-2</c:v>
                </c:pt>
                <c:pt idx="955">
                  <c:v>-7.8877252675364828E-2</c:v>
                </c:pt>
                <c:pt idx="956">
                  <c:v>-7.9140450220380298E-2</c:v>
                </c:pt>
                <c:pt idx="957">
                  <c:v>-8.8976028043889044E-2</c:v>
                </c:pt>
                <c:pt idx="958">
                  <c:v>-0.10135012711678537</c:v>
                </c:pt>
                <c:pt idx="959">
                  <c:v>-0.10235523658217005</c:v>
                </c:pt>
                <c:pt idx="960">
                  <c:v>-0.10536484329256313</c:v>
                </c:pt>
                <c:pt idx="961">
                  <c:v>-0.10289688950089737</c:v>
                </c:pt>
                <c:pt idx="962">
                  <c:v>-0.10932806429649</c:v>
                </c:pt>
                <c:pt idx="963">
                  <c:v>-8.8068187236444828E-2</c:v>
                </c:pt>
                <c:pt idx="964">
                  <c:v>-7.6065997738026803E-2</c:v>
                </c:pt>
                <c:pt idx="965">
                  <c:v>-7.7111159003740104E-2</c:v>
                </c:pt>
                <c:pt idx="966">
                  <c:v>-7.4044335435734854E-2</c:v>
                </c:pt>
                <c:pt idx="967">
                  <c:v>-8.7804989691429358E-2</c:v>
                </c:pt>
                <c:pt idx="968">
                  <c:v>-7.9529524852142153E-2</c:v>
                </c:pt>
                <c:pt idx="969">
                  <c:v>-7.4000469178232442E-2</c:v>
                </c:pt>
                <c:pt idx="970">
                  <c:v>-6.7092487235872578E-2</c:v>
                </c:pt>
                <c:pt idx="971">
                  <c:v>-6.6699598146936601E-2</c:v>
                </c:pt>
                <c:pt idx="972">
                  <c:v>-5.7508663585856712E-2</c:v>
                </c:pt>
                <c:pt idx="973">
                  <c:v>-5.8675887481142275E-2</c:v>
                </c:pt>
                <c:pt idx="974">
                  <c:v>-6.091878829953401E-2</c:v>
                </c:pt>
                <c:pt idx="975">
                  <c:v>-6.1260182216619219E-2</c:v>
                </c:pt>
                <c:pt idx="976">
                  <c:v>-6.0049092063831133E-2</c:v>
                </c:pt>
                <c:pt idx="977">
                  <c:v>-6.3600351692951418E-2</c:v>
                </c:pt>
                <c:pt idx="978">
                  <c:v>-5.5223803738549515E-2</c:v>
                </c:pt>
                <c:pt idx="979">
                  <c:v>-5.904016814127222E-2</c:v>
                </c:pt>
                <c:pt idx="980">
                  <c:v>-7.1713702102338073E-2</c:v>
                </c:pt>
                <c:pt idx="981">
                  <c:v>-7.6945230116665209E-2</c:v>
                </c:pt>
                <c:pt idx="982">
                  <c:v>-8.6372661022541486E-2</c:v>
                </c:pt>
                <c:pt idx="983">
                  <c:v>-0.10026491405074367</c:v>
                </c:pt>
                <c:pt idx="984">
                  <c:v>-9.3934822370265514E-2</c:v>
                </c:pt>
                <c:pt idx="985">
                  <c:v>-9.4918952321192518E-2</c:v>
                </c:pt>
                <c:pt idx="986">
                  <c:v>-9.4058792228424948E-2</c:v>
                </c:pt>
                <c:pt idx="987">
                  <c:v>-9.1648055294371145E-2</c:v>
                </c:pt>
                <c:pt idx="988">
                  <c:v>-9.8075415632789764E-2</c:v>
                </c:pt>
                <c:pt idx="989">
                  <c:v>-9.8079230089963998E-2</c:v>
                </c:pt>
                <c:pt idx="990">
                  <c:v>-9.4337247602136798E-2</c:v>
                </c:pt>
                <c:pt idx="991">
                  <c:v>-7.7334304748426952E-2</c:v>
                </c:pt>
                <c:pt idx="992">
                  <c:v>-8.4349091491662476E-2</c:v>
                </c:pt>
                <c:pt idx="993">
                  <c:v>-9.9175886527527957E-2</c:v>
                </c:pt>
                <c:pt idx="994">
                  <c:v>-9.5672307613084318E-2</c:v>
                </c:pt>
                <c:pt idx="995">
                  <c:v>-9.6395147247583024E-2</c:v>
                </c:pt>
                <c:pt idx="996">
                  <c:v>-0.10259173292696644</c:v>
                </c:pt>
                <c:pt idx="997">
                  <c:v>-0.10621546724239539</c:v>
                </c:pt>
                <c:pt idx="998">
                  <c:v>-0.11939632400762124</c:v>
                </c:pt>
                <c:pt idx="999">
                  <c:v>-0.11595949809372508</c:v>
                </c:pt>
                <c:pt idx="1000">
                  <c:v>-0.11454242725353359</c:v>
                </c:pt>
                <c:pt idx="1001">
                  <c:v>-0.11078137247983588</c:v>
                </c:pt>
                <c:pt idx="1002">
                  <c:v>-0.11492387297094708</c:v>
                </c:pt>
                <c:pt idx="1003">
                  <c:v>-0.1095245088409581</c:v>
                </c:pt>
                <c:pt idx="1004">
                  <c:v>-0.12173458625536637</c:v>
                </c:pt>
                <c:pt idx="1005">
                  <c:v>-0.11674909072877115</c:v>
                </c:pt>
                <c:pt idx="1006">
                  <c:v>-0.11484186214170333</c:v>
                </c:pt>
                <c:pt idx="1007">
                  <c:v>-0.11915792043423779</c:v>
                </c:pt>
                <c:pt idx="1008">
                  <c:v>-0.12919185003080169</c:v>
                </c:pt>
                <c:pt idx="1009">
                  <c:v>-0.12430553039073389</c:v>
                </c:pt>
                <c:pt idx="1010">
                  <c:v>-0.11645347029777564</c:v>
                </c:pt>
                <c:pt idx="1011">
                  <c:v>-0.11315777929932236</c:v>
                </c:pt>
                <c:pt idx="1012">
                  <c:v>-0.10328214967548499</c:v>
                </c:pt>
                <c:pt idx="1013">
                  <c:v>-0.10428344468369555</c:v>
                </c:pt>
                <c:pt idx="1014">
                  <c:v>-0.10890275232157398</c:v>
                </c:pt>
                <c:pt idx="1015">
                  <c:v>-9.4476475288992834E-2</c:v>
                </c:pt>
                <c:pt idx="1016">
                  <c:v>-9.6114784645284113E-2</c:v>
                </c:pt>
                <c:pt idx="1017">
                  <c:v>-9.9660322588643213E-2</c:v>
                </c:pt>
                <c:pt idx="1018">
                  <c:v>-0.10131579700221804</c:v>
                </c:pt>
                <c:pt idx="1019">
                  <c:v>-0.10811888137228909</c:v>
                </c:pt>
                <c:pt idx="1020">
                  <c:v>-0.11993606969776149</c:v>
                </c:pt>
                <c:pt idx="1021">
                  <c:v>-0.12094880807749453</c:v>
                </c:pt>
                <c:pt idx="1022">
                  <c:v>-0.1214771103961122</c:v>
                </c:pt>
                <c:pt idx="1023">
                  <c:v>-0.12537357839949193</c:v>
                </c:pt>
                <c:pt idx="1024">
                  <c:v>-0.12421970510431579</c:v>
                </c:pt>
                <c:pt idx="1025">
                  <c:v>-0.12476135802304311</c:v>
                </c:pt>
                <c:pt idx="1026">
                  <c:v>-0.12523435071263589</c:v>
                </c:pt>
                <c:pt idx="1027">
                  <c:v>-0.12598770600452769</c:v>
                </c:pt>
                <c:pt idx="1028">
                  <c:v>-0.13046015704120173</c:v>
                </c:pt>
                <c:pt idx="1029">
                  <c:v>-0.13971212291706803</c:v>
                </c:pt>
                <c:pt idx="1030">
                  <c:v>-0.13993336143316781</c:v>
                </c:pt>
                <c:pt idx="1031">
                  <c:v>-0.14002872286252122</c:v>
                </c:pt>
                <c:pt idx="1032">
                  <c:v>-0.15606279359400055</c:v>
                </c:pt>
                <c:pt idx="1033">
                  <c:v>-0.15626877428140395</c:v>
                </c:pt>
                <c:pt idx="1034">
                  <c:v>-0.15766677283572461</c:v>
                </c:pt>
                <c:pt idx="1035">
                  <c:v>-0.14795325764178813</c:v>
                </c:pt>
                <c:pt idx="1036">
                  <c:v>-0.14004207346263065</c:v>
                </c:pt>
                <c:pt idx="1037">
                  <c:v>-0.13974454580304807</c:v>
                </c:pt>
                <c:pt idx="1038">
                  <c:v>-0.14326147531760125</c:v>
                </c:pt>
                <c:pt idx="1039">
                  <c:v>-0.14182723942012609</c:v>
                </c:pt>
                <c:pt idx="1040">
                  <c:v>-0.1428724006858394</c:v>
                </c:pt>
                <c:pt idx="1041">
                  <c:v>-0.14566839779448082</c:v>
                </c:pt>
                <c:pt idx="1042">
                  <c:v>-0.14141337081673244</c:v>
                </c:pt>
                <c:pt idx="1043">
                  <c:v>-0.1289954054863337</c:v>
                </c:pt>
                <c:pt idx="1044">
                  <c:v>-0.12619940837769228</c:v>
                </c:pt>
                <c:pt idx="1045">
                  <c:v>-0.11540258734630116</c:v>
                </c:pt>
                <c:pt idx="1046">
                  <c:v>-0.10930899201061939</c:v>
                </c:pt>
                <c:pt idx="1047">
                  <c:v>-9.7562371142868587E-2</c:v>
                </c:pt>
                <c:pt idx="1048">
                  <c:v>-9.7169482053932499E-2</c:v>
                </c:pt>
                <c:pt idx="1049">
                  <c:v>-0.10410416519651133</c:v>
                </c:pt>
                <c:pt idx="1050">
                  <c:v>-0.10009517070649465</c:v>
                </c:pt>
                <c:pt idx="1051">
                  <c:v>-0.10286446661491722</c:v>
                </c:pt>
                <c:pt idx="1052">
                  <c:v>-0.116354294411248</c:v>
                </c:pt>
                <c:pt idx="1053">
                  <c:v>-0.10999750153055099</c:v>
                </c:pt>
                <c:pt idx="1054">
                  <c:v>-0.11313489255627762</c:v>
                </c:pt>
                <c:pt idx="1055">
                  <c:v>-0.12631956377867748</c:v>
                </c:pt>
                <c:pt idx="1056">
                  <c:v>-0.15465525889674459</c:v>
                </c:pt>
                <c:pt idx="1057">
                  <c:v>-0.14037965292254173</c:v>
                </c:pt>
                <c:pt idx="1058">
                  <c:v>-0.14559401587958509</c:v>
                </c:pt>
                <c:pt idx="1059">
                  <c:v>-0.12921473677384654</c:v>
                </c:pt>
                <c:pt idx="1060">
                  <c:v>-0.1101424509031681</c:v>
                </c:pt>
                <c:pt idx="1061">
                  <c:v>-0.10599804318346961</c:v>
                </c:pt>
                <c:pt idx="1062">
                  <c:v>-9.0189025425264191E-2</c:v>
                </c:pt>
                <c:pt idx="1063">
                  <c:v>-7.9741227225306632E-2</c:v>
                </c:pt>
                <c:pt idx="1064">
                  <c:v>-7.8150598583691999E-2</c:v>
                </c:pt>
                <c:pt idx="1065">
                  <c:v>-7.1982621333114616E-2</c:v>
                </c:pt>
                <c:pt idx="1066">
                  <c:v>-7.5120012358841137E-2</c:v>
                </c:pt>
                <c:pt idx="1067">
                  <c:v>-8.3029289309411669E-2</c:v>
                </c:pt>
                <c:pt idx="1068">
                  <c:v>-7.1999786390398168E-2</c:v>
                </c:pt>
                <c:pt idx="1069">
                  <c:v>-7.1715609330925134E-2</c:v>
                </c:pt>
                <c:pt idx="1070">
                  <c:v>-7.1782362331472505E-2</c:v>
                </c:pt>
                <c:pt idx="1071">
                  <c:v>-7.1305555184705494E-2</c:v>
                </c:pt>
                <c:pt idx="1072">
                  <c:v>-6.6939908948907223E-2</c:v>
                </c:pt>
                <c:pt idx="1073">
                  <c:v>-7.0050598774414885E-2</c:v>
                </c:pt>
                <c:pt idx="1074">
                  <c:v>-6.8723167677815611E-2</c:v>
                </c:pt>
                <c:pt idx="1075">
                  <c:v>-7.4086294464650426E-2</c:v>
                </c:pt>
                <c:pt idx="1076">
                  <c:v>-8.4225121633503153E-2</c:v>
                </c:pt>
                <c:pt idx="1077">
                  <c:v>-4.9257992718201193E-2</c:v>
                </c:pt>
                <c:pt idx="1078">
                  <c:v>-6.2469365140820243E-2</c:v>
                </c:pt>
                <c:pt idx="1079">
                  <c:v>-5.9091663313122988E-2</c:v>
                </c:pt>
                <c:pt idx="1080">
                  <c:v>-4.4016928560938862E-2</c:v>
                </c:pt>
                <c:pt idx="1081">
                  <c:v>-4.5630443945598231E-2</c:v>
                </c:pt>
                <c:pt idx="1082">
                  <c:v>-4.8466492854568055E-2</c:v>
                </c:pt>
                <c:pt idx="1083">
                  <c:v>-5.8443205593519898E-2</c:v>
                </c:pt>
                <c:pt idx="1084">
                  <c:v>-5.3501576324427202E-2</c:v>
                </c:pt>
                <c:pt idx="1085">
                  <c:v>-6.1273532816728649E-2</c:v>
                </c:pt>
                <c:pt idx="1086">
                  <c:v>-5.1987236826295247E-2</c:v>
                </c:pt>
                <c:pt idx="1087">
                  <c:v>-4.6341840208574459E-2</c:v>
                </c:pt>
                <c:pt idx="1088">
                  <c:v>-5.3015233034724885E-2</c:v>
                </c:pt>
                <c:pt idx="1089">
                  <c:v>-5.5828395200649972E-2</c:v>
                </c:pt>
                <c:pt idx="1090">
                  <c:v>-5.2732963203838912E-2</c:v>
                </c:pt>
                <c:pt idx="1091">
                  <c:v>-5.5895148201197342E-2</c:v>
                </c:pt>
                <c:pt idx="1092">
                  <c:v>-5.7195878097577646E-2</c:v>
                </c:pt>
                <c:pt idx="1093">
                  <c:v>-6.3836848037747806E-2</c:v>
                </c:pt>
                <c:pt idx="1094">
                  <c:v>-6.0873014813444426E-2</c:v>
                </c:pt>
                <c:pt idx="1095">
                  <c:v>-5.5887519286848986E-2</c:v>
                </c:pt>
                <c:pt idx="1096">
                  <c:v>-4.6269365522265904E-2</c:v>
                </c:pt>
                <c:pt idx="1097">
                  <c:v>-4.2449186662368965E-2</c:v>
                </c:pt>
                <c:pt idx="1098">
                  <c:v>-4.2409134862040565E-2</c:v>
                </c:pt>
                <c:pt idx="1099">
                  <c:v>-4.0992064021849184E-2</c:v>
                </c:pt>
                <c:pt idx="1100">
                  <c:v>-5.0650269586760777E-2</c:v>
                </c:pt>
                <c:pt idx="1101">
                  <c:v>-5.7119588954094969E-2</c:v>
                </c:pt>
                <c:pt idx="1102">
                  <c:v>-4.8426441054239655E-2</c:v>
                </c:pt>
                <c:pt idx="1103">
                  <c:v>-5.197770068335994E-2</c:v>
                </c:pt>
                <c:pt idx="1104">
                  <c:v>-5.3554978724865143E-2</c:v>
                </c:pt>
                <c:pt idx="1105">
                  <c:v>-5.4272096673602555E-2</c:v>
                </c:pt>
                <c:pt idx="1106">
                  <c:v>-4.2098256602348449E-2</c:v>
                </c:pt>
                <c:pt idx="1107">
                  <c:v>-4.7457568932009142E-2</c:v>
                </c:pt>
                <c:pt idx="1108">
                  <c:v>-4.4693994709347984E-2</c:v>
                </c:pt>
                <c:pt idx="1109">
                  <c:v>-3.7049822532379983E-2</c:v>
                </c:pt>
                <c:pt idx="1110">
                  <c:v>-2.5444336580072058E-2</c:v>
                </c:pt>
                <c:pt idx="1111">
                  <c:v>-2.2057098609439607E-2</c:v>
                </c:pt>
                <c:pt idx="1112">
                  <c:v>-2.66630556472085E-2</c:v>
                </c:pt>
                <c:pt idx="1113">
                  <c:v>-2.5718977496609896E-2</c:v>
                </c:pt>
                <c:pt idx="1114">
                  <c:v>-2.9090957638545745E-2</c:v>
                </c:pt>
                <c:pt idx="1115">
                  <c:v>-3.0925711539305123E-2</c:v>
                </c:pt>
                <c:pt idx="1116">
                  <c:v>-2.8801058893311526E-2</c:v>
                </c:pt>
                <c:pt idx="1117">
                  <c:v>-2.8789615521789158E-2</c:v>
                </c:pt>
                <c:pt idx="1118">
                  <c:v>-2.6455167731218032E-2</c:v>
                </c:pt>
                <c:pt idx="1119">
                  <c:v>-2.8225075860017101E-2</c:v>
                </c:pt>
                <c:pt idx="1120">
                  <c:v>-3.2834847354960006E-2</c:v>
                </c:pt>
                <c:pt idx="1121">
                  <c:v>-4.0669742390634811E-2</c:v>
                </c:pt>
                <c:pt idx="1122">
                  <c:v>-4.3246408211763399E-2</c:v>
                </c:pt>
                <c:pt idx="1123">
                  <c:v>-3.8916999319119405E-2</c:v>
                </c:pt>
                <c:pt idx="1124">
                  <c:v>-3.8297150028322346E-2</c:v>
                </c:pt>
                <c:pt idx="1125">
                  <c:v>-4.2134493945502838E-2</c:v>
                </c:pt>
                <c:pt idx="1126">
                  <c:v>-4.7591074933103883E-2</c:v>
                </c:pt>
                <c:pt idx="1127">
                  <c:v>-4.2925993809135976E-2</c:v>
                </c:pt>
                <c:pt idx="1128">
                  <c:v>-4.4062702047028335E-2</c:v>
                </c:pt>
                <c:pt idx="1129">
                  <c:v>-3.7997715140152599E-2</c:v>
                </c:pt>
                <c:pt idx="1130">
                  <c:v>-4.4016928560938862E-2</c:v>
                </c:pt>
                <c:pt idx="1131">
                  <c:v>-5.2603271659918183E-2</c:v>
                </c:pt>
                <c:pt idx="1132">
                  <c:v>-5.8557639308744025E-2</c:v>
                </c:pt>
                <c:pt idx="1133">
                  <c:v>-5.3209770350605812E-2</c:v>
                </c:pt>
                <c:pt idx="1134">
                  <c:v>-5.1914762139986803E-2</c:v>
                </c:pt>
                <c:pt idx="1135">
                  <c:v>-5.5221896509962454E-2</c:v>
                </c:pt>
                <c:pt idx="1136">
                  <c:v>-6.2965244573457868E-2</c:v>
                </c:pt>
                <c:pt idx="1137">
                  <c:v>-5.6961288981368208E-2</c:v>
                </c:pt>
                <c:pt idx="1138">
                  <c:v>-5.975347163283562E-2</c:v>
                </c:pt>
                <c:pt idx="1139">
                  <c:v>-6.2627665113546782E-2</c:v>
                </c:pt>
                <c:pt idx="1140">
                  <c:v>-6.1790391763823949E-2</c:v>
                </c:pt>
                <c:pt idx="1141">
                  <c:v>-7.0672355293799005E-2</c:v>
                </c:pt>
                <c:pt idx="1142">
                  <c:v>-6.221379651015313E-2</c:v>
                </c:pt>
                <c:pt idx="1143">
                  <c:v>-6.5938613940696555E-2</c:v>
                </c:pt>
                <c:pt idx="1144">
                  <c:v>-6.0905437699424581E-2</c:v>
                </c:pt>
                <c:pt idx="1145">
                  <c:v>-6.0449610067115356E-2</c:v>
                </c:pt>
                <c:pt idx="1146">
                  <c:v>-5.1079396018851031E-2</c:v>
                </c:pt>
                <c:pt idx="1147">
                  <c:v>-4.712380392927229E-2</c:v>
                </c:pt>
                <c:pt idx="1148">
                  <c:v>-4.4457498364551484E-2</c:v>
                </c:pt>
                <c:pt idx="1149">
                  <c:v>-4.3191098582738396E-2</c:v>
                </c:pt>
                <c:pt idx="1150">
                  <c:v>-5.1340686335279329E-2</c:v>
                </c:pt>
                <c:pt idx="1151">
                  <c:v>-4.7615868904735792E-2</c:v>
                </c:pt>
                <c:pt idx="1152">
                  <c:v>-5.7369435899000787E-2</c:v>
                </c:pt>
                <c:pt idx="1153">
                  <c:v>-6.5423662222188206E-2</c:v>
                </c:pt>
                <c:pt idx="1154">
                  <c:v>-6.8248267759635772E-2</c:v>
                </c:pt>
                <c:pt idx="1155">
                  <c:v>-6.0688013640498806E-2</c:v>
                </c:pt>
                <c:pt idx="1156">
                  <c:v>-6.2421684426143598E-2</c:v>
                </c:pt>
                <c:pt idx="1157">
                  <c:v>-5.7255002183776771E-2</c:v>
                </c:pt>
                <c:pt idx="1158">
                  <c:v>-5.6520719177755585E-2</c:v>
                </c:pt>
                <c:pt idx="1159">
                  <c:v>-5.6265150547088472E-2</c:v>
                </c:pt>
                <c:pt idx="1160">
                  <c:v>-5.5038802565603784E-2</c:v>
                </c:pt>
                <c:pt idx="1161">
                  <c:v>-5.1397903192891392E-2</c:v>
                </c:pt>
                <c:pt idx="1162">
                  <c:v>-4.7411795445919558E-2</c:v>
                </c:pt>
                <c:pt idx="1163">
                  <c:v>-4.6175911321499563E-2</c:v>
                </c:pt>
                <c:pt idx="1164">
                  <c:v>-4.2037225287562374E-2</c:v>
                </c:pt>
                <c:pt idx="1165">
                  <c:v>-4.3746102101575146E-2</c:v>
                </c:pt>
                <c:pt idx="1166">
                  <c:v>-3.7265339362718697E-2</c:v>
                </c:pt>
                <c:pt idx="1167">
                  <c:v>-3.3788461648493917E-2</c:v>
                </c:pt>
                <c:pt idx="1168">
                  <c:v>-3.0227665876438325E-2</c:v>
                </c:pt>
                <c:pt idx="1169">
                  <c:v>-3.391052427806629E-2</c:v>
                </c:pt>
                <c:pt idx="1170">
                  <c:v>-3.8667152374213587E-2</c:v>
                </c:pt>
                <c:pt idx="1171">
                  <c:v>-3.9920201555917023E-2</c:v>
                </c:pt>
                <c:pt idx="1172">
                  <c:v>-4.4215280333993801E-2</c:v>
                </c:pt>
                <c:pt idx="1173">
                  <c:v>-5.054918647164619E-2</c:v>
                </c:pt>
                <c:pt idx="1174">
                  <c:v>-5.955702708836752E-2</c:v>
                </c:pt>
                <c:pt idx="1175">
                  <c:v>-6.0312289608846381E-2</c:v>
                </c:pt>
                <c:pt idx="1176">
                  <c:v>-6.1220130416290819E-2</c:v>
                </c:pt>
                <c:pt idx="1177">
                  <c:v>-5.2629972860137153E-2</c:v>
                </c:pt>
                <c:pt idx="1178">
                  <c:v>-5.0419494927725572E-2</c:v>
                </c:pt>
                <c:pt idx="1179">
                  <c:v>-4.3423780470360662E-2</c:v>
                </c:pt>
                <c:pt idx="1180">
                  <c:v>-4.2254649346488149E-2</c:v>
                </c:pt>
                <c:pt idx="1181">
                  <c:v>-4.462533448021333E-2</c:v>
                </c:pt>
                <c:pt idx="1182">
                  <c:v>-3.9451023323498369E-2</c:v>
                </c:pt>
                <c:pt idx="1183">
                  <c:v>-3.5501152919680923E-2</c:v>
                </c:pt>
                <c:pt idx="1184">
                  <c:v>-3.7713538080679565E-2</c:v>
                </c:pt>
                <c:pt idx="1185">
                  <c:v>-4.0835671277709595E-2</c:v>
                </c:pt>
                <c:pt idx="1186">
                  <c:v>-3.4044030279161031E-2</c:v>
                </c:pt>
                <c:pt idx="1187">
                  <c:v>-2.4059688625860831E-2</c:v>
                </c:pt>
                <c:pt idx="1188">
                  <c:v>-1.930878221547494E-2</c:v>
                </c:pt>
                <c:pt idx="1189">
                  <c:v>-1.4224110802351864E-2</c:v>
                </c:pt>
                <c:pt idx="1190">
                  <c:v>-1.3253331451534511E-2</c:v>
                </c:pt>
                <c:pt idx="1191">
                  <c:v>-1.2383635215831412E-2</c:v>
                </c:pt>
                <c:pt idx="1192">
                  <c:v>-1.6055050245937008E-2</c:v>
                </c:pt>
                <c:pt idx="1193">
                  <c:v>-9.5361429353392202E-3</c:v>
                </c:pt>
                <c:pt idx="1194">
                  <c:v>-1.067475840181864E-2</c:v>
                </c:pt>
                <c:pt idx="1195">
                  <c:v>-6.1851423078609358E-3</c:v>
                </c:pt>
                <c:pt idx="1196">
                  <c:v>-1.2900494162926934E-2</c:v>
                </c:pt>
                <c:pt idx="1197">
                  <c:v>-1.8841511211643236E-2</c:v>
                </c:pt>
                <c:pt idx="1198">
                  <c:v>-1.7268047627312266E-2</c:v>
                </c:pt>
                <c:pt idx="1199">
                  <c:v>-2.3588603164855004E-2</c:v>
                </c:pt>
                <c:pt idx="1200">
                  <c:v>-2.6943418249507411E-2</c:v>
                </c:pt>
                <c:pt idx="1201">
                  <c:v>-2.7607133797807104E-2</c:v>
                </c:pt>
                <c:pt idx="1202">
                  <c:v>-2.4477371686428717E-2</c:v>
                </c:pt>
                <c:pt idx="1203">
                  <c:v>-1.9877136334421008E-2</c:v>
                </c:pt>
                <c:pt idx="1204">
                  <c:v>-1.2978690534996673E-2</c:v>
                </c:pt>
                <c:pt idx="1205">
                  <c:v>-1.2850906219663116E-2</c:v>
                </c:pt>
                <c:pt idx="1206">
                  <c:v>-1.1672238952855185E-2</c:v>
                </c:pt>
                <c:pt idx="1207">
                  <c:v>-7.7280902347988123E-3</c:v>
                </c:pt>
                <c:pt idx="1208">
                  <c:v>-1.1672238952855185E-2</c:v>
                </c:pt>
                <c:pt idx="1209">
                  <c:v>-6.2328230225376924E-3</c:v>
                </c:pt>
                <c:pt idx="1210">
                  <c:v>-9.1165526461833846E-4</c:v>
                </c:pt>
                <c:pt idx="1211">
                  <c:v>-5.6415821605465544E-3</c:v>
                </c:pt>
                <c:pt idx="1212">
                  <c:v>-9.7859898802450385E-3</c:v>
                </c:pt>
                <c:pt idx="1213">
                  <c:v>-1.2635389389324514E-2</c:v>
                </c:pt>
                <c:pt idx="1214">
                  <c:v>-4.1005414621964054E-4</c:v>
                </c:pt>
                <c:pt idx="1215">
                  <c:v>-1.9072285870724848E-5</c:v>
                </c:pt>
                <c:pt idx="1216">
                  <c:v>-4.9969388981174756E-4</c:v>
                </c:pt>
                <c:pt idx="1217">
                  <c:v>-1.5372262411766924E-3</c:v>
                </c:pt>
                <c:pt idx="1218">
                  <c:v>-7.0128795146484624E-3</c:v>
                </c:pt>
                <c:pt idx="1219">
                  <c:v>-8.775158729099175E-3</c:v>
                </c:pt>
                <c:pt idx="1220">
                  <c:v>-6.9537554284493375E-3</c:v>
                </c:pt>
                <c:pt idx="1221">
                  <c:v>-1.1290793235441132E-3</c:v>
                </c:pt>
                <c:pt idx="1222">
                  <c:v>-9.7459380799166384E-3</c:v>
                </c:pt>
                <c:pt idx="1223">
                  <c:v>-1.4357616803446716E-2</c:v>
                </c:pt>
                <c:pt idx="1224">
                  <c:v>-1.74721210861285E-2</c:v>
                </c:pt>
                <c:pt idx="1225">
                  <c:v>-1.2110901527880857E-2</c:v>
                </c:pt>
                <c:pt idx="1226">
                  <c:v>-6.4502470814633561E-3</c:v>
                </c:pt>
                <c:pt idx="1227">
                  <c:v>-7.199787916181144E-3</c:v>
                </c:pt>
                <c:pt idx="1228">
                  <c:v>-1.3577560311336057E-2</c:v>
                </c:pt>
                <c:pt idx="1229">
                  <c:v>-1.5162467267189395E-2</c:v>
                </c:pt>
                <c:pt idx="1230">
                  <c:v>-1.5276900982413411E-2</c:v>
                </c:pt>
                <c:pt idx="1231">
                  <c:v>-9.5227923352296795E-3</c:v>
                </c:pt>
                <c:pt idx="1232">
                  <c:v>-1.6650105565101381E-3</c:v>
                </c:pt>
                <c:pt idx="1233">
                  <c:v>-1.4838238407387516E-3</c:v>
                </c:pt>
                <c:pt idx="1234">
                  <c:v>-2.8207910802733327E-3</c:v>
                </c:pt>
                <c:pt idx="1235">
                  <c:v>-6.6276193400607308E-3</c:v>
                </c:pt>
                <c:pt idx="1236">
                  <c:v>-1.0449705428544731E-2</c:v>
                </c:pt>
                <c:pt idx="1237">
                  <c:v>-1.0573675286704165E-2</c:v>
                </c:pt>
                <c:pt idx="1238">
                  <c:v>-3.2975982270403437E-3</c:v>
                </c:pt>
              </c:numCache>
            </c:numRef>
          </c:val>
          <c:extLst>
            <c:ext xmlns:c16="http://schemas.microsoft.com/office/drawing/2014/chart" uri="{C3380CC4-5D6E-409C-BE32-E72D297353CC}">
              <c16:uniqueId val="{00000000-6BAD-4087-8D7E-A9017B65C816}"/>
            </c:ext>
          </c:extLst>
        </c:ser>
        <c:dLbls>
          <c:showLegendKey val="0"/>
          <c:showVal val="0"/>
          <c:showCatName val="0"/>
          <c:showSerName val="0"/>
          <c:showPercent val="0"/>
          <c:showBubbleSize val="0"/>
        </c:dLbls>
        <c:axId val="490643199"/>
        <c:axId val="196945343"/>
      </c:areaChart>
      <c:dateAx>
        <c:axId val="490643199"/>
        <c:scaling>
          <c:orientation val="minMax"/>
        </c:scaling>
        <c:delete val="0"/>
        <c:axPos val="b"/>
        <c:numFmt formatCode="d\-mmm\-yy" sourceLinked="1"/>
        <c:majorTickMark val="out"/>
        <c:minorTickMark val="none"/>
        <c:tickLblPos val="nextTo"/>
        <c:spPr>
          <a:noFill/>
          <a:ln w="0" cap="flat" cmpd="sng" algn="ctr">
            <a:solidFill>
              <a:schemeClr val="accent1">
                <a:alpha val="76000"/>
              </a:schemeClr>
            </a:solidFill>
            <a:round/>
          </a:ln>
          <a:effectLst/>
        </c:spPr>
        <c:txPr>
          <a:bodyPr rot="0" spcFirstLastPara="1" vertOverflow="ellipsis" wrap="square" anchor="t" anchorCtr="0"/>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96945343"/>
        <c:crosses val="autoZero"/>
        <c:auto val="0"/>
        <c:lblOffset val="100"/>
        <c:baseTimeUnit val="days"/>
      </c:dateAx>
      <c:valAx>
        <c:axId val="19694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43199"/>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'Project pivot table 2'!$D$3</c:f>
              <c:strCache>
                <c:ptCount val="1"/>
                <c:pt idx="0">
                  <c:v>%age of Yearly Returns</c:v>
                </c:pt>
              </c:strCache>
            </c:strRef>
          </c:tx>
          <c:spPr>
            <a:solidFill>
              <a:schemeClr val="accent1"/>
            </a:solidFill>
            <a:ln>
              <a:noFill/>
            </a:ln>
            <a:effectLst/>
          </c:spPr>
          <c:invertIfNegative val="0"/>
          <c:cat>
            <c:strRef>
              <c:f>'Project pivot table 2'!$A$4:$A$8</c:f>
              <c:strCache>
                <c:ptCount val="5"/>
                <c:pt idx="0">
                  <c:v>2021</c:v>
                </c:pt>
                <c:pt idx="1">
                  <c:v>2022</c:v>
                </c:pt>
                <c:pt idx="2">
                  <c:v>2023</c:v>
                </c:pt>
                <c:pt idx="3">
                  <c:v>2024</c:v>
                </c:pt>
                <c:pt idx="4">
                  <c:v>2025</c:v>
                </c:pt>
              </c:strCache>
            </c:strRef>
          </c:cat>
          <c:val>
            <c:numRef>
              <c:f>'Project pivot table 2'!$D$4:$D$8</c:f>
              <c:numCache>
                <c:formatCode>0.00%</c:formatCode>
                <c:ptCount val="5"/>
                <c:pt idx="0">
                  <c:v>0.23793915183507502</c:v>
                </c:pt>
                <c:pt idx="1">
                  <c:v>2.7210266826281995E-2</c:v>
                </c:pt>
                <c:pt idx="2">
                  <c:v>0.19420028630385031</c:v>
                </c:pt>
                <c:pt idx="3">
                  <c:v>8.7522249665392529E-2</c:v>
                </c:pt>
                <c:pt idx="4">
                  <c:v>0.10052268257036828</c:v>
                </c:pt>
              </c:numCache>
            </c:numRef>
          </c:val>
          <c:extLst>
            <c:ext xmlns:c16="http://schemas.microsoft.com/office/drawing/2014/chart" uri="{C3380CC4-5D6E-409C-BE32-E72D297353CC}">
              <c16:uniqueId val="{00000000-270F-47F4-9C4F-42074B5F0A0A}"/>
            </c:ext>
          </c:extLst>
        </c:ser>
        <c:dLbls>
          <c:showLegendKey val="0"/>
          <c:showVal val="0"/>
          <c:showCatName val="0"/>
          <c:showSerName val="0"/>
          <c:showPercent val="0"/>
          <c:showBubbleSize val="0"/>
        </c:dLbls>
        <c:gapWidth val="219"/>
        <c:overlap val="-27"/>
        <c:axId val="1784675103"/>
        <c:axId val="196920863"/>
      </c:barChart>
      <c:catAx>
        <c:axId val="178467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20863"/>
        <c:crosses val="autoZero"/>
        <c:auto val="1"/>
        <c:lblAlgn val="ctr"/>
        <c:lblOffset val="100"/>
        <c:noMultiLvlLbl val="0"/>
      </c:catAx>
      <c:valAx>
        <c:axId val="1969208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6751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Excel.xlsx]Project pivot table 2!PivotTable9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 pivot table 2'!$B$14:$B$15</c:f>
              <c:strCache>
                <c:ptCount val="1"/>
                <c:pt idx="0">
                  <c:v>2021</c:v>
                </c:pt>
              </c:strCache>
            </c:strRef>
          </c:tx>
          <c:spPr>
            <a:solidFill>
              <a:schemeClr val="accent1"/>
            </a:solidFill>
            <a:ln>
              <a:noFill/>
            </a:ln>
            <a:effectLst/>
          </c:spPr>
          <c:invertIfNegative val="0"/>
          <c:cat>
            <c:strRef>
              <c:f>'Project pivot table 2'!$A$16:$A$28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'Project pivot table 2'!$B$16:$B$28</c:f>
              <c:numCache>
                <c:formatCode>0.000%</c:formatCode>
                <c:ptCount val="12"/>
                <c:pt idx="0">
                  <c:v>-2.6996579162268532E-2</c:v>
                </c:pt>
                <c:pt idx="1">
                  <c:v>6.473662179787254E-2</c:v>
                </c:pt>
                <c:pt idx="2">
                  <c:v>1.1658006204066929E-2</c:v>
                </c:pt>
                <c:pt idx="3">
                  <c:v>-3.8211056361732165E-3</c:v>
                </c:pt>
                <c:pt idx="4">
                  <c:v>6.3154883453383659E-2</c:v>
                </c:pt>
                <c:pt idx="5">
                  <c:v>8.9683422503592063E-3</c:v>
                </c:pt>
                <c:pt idx="6">
                  <c:v>2.6293528104515277E-3</c:v>
                </c:pt>
                <c:pt idx="7">
                  <c:v>8.3416912365109341E-2</c:v>
                </c:pt>
                <c:pt idx="8">
                  <c:v>2.8106123512210746E-2</c:v>
                </c:pt>
                <c:pt idx="9">
                  <c:v>3.3867593960328832E-3</c:v>
                </c:pt>
                <c:pt idx="10">
                  <c:v>-3.924161361027486E-2</c:v>
                </c:pt>
                <c:pt idx="11">
                  <c:v>2.2151319663232402E-2</c:v>
                </c:pt>
              </c:numCache>
            </c:numRef>
          </c:val>
          <c:extLst>
            <c:ext xmlns:c16="http://schemas.microsoft.com/office/drawing/2014/chart" uri="{C3380CC4-5D6E-409C-BE32-E72D297353CC}">
              <c16:uniqueId val="{00000000-D516-48BF-BED3-4C245408CE12}"/>
            </c:ext>
          </c:extLst>
        </c:ser>
        <c:ser>
          <c:idx val="1"/>
          <c:order val="1"/>
          <c:tx>
            <c:strRef>
              <c:f>'Project pivot table 2'!$C$14:$C$15</c:f>
              <c:strCache>
                <c:ptCount val="1"/>
                <c:pt idx="0">
                  <c:v>2022</c:v>
                </c:pt>
              </c:strCache>
            </c:strRef>
          </c:tx>
          <c:spPr>
            <a:solidFill>
              <a:schemeClr val="accent2"/>
            </a:solidFill>
            <a:ln>
              <a:noFill/>
            </a:ln>
            <a:effectLst/>
          </c:spPr>
          <c:invertIfNegative val="0"/>
          <c:cat>
            <c:strRef>
              <c:f>'Project pivot table 2'!$A$16:$A$28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'Project pivot table 2'!$C$16:$C$28</c:f>
              <c:numCache>
                <c:formatCode>0.000%</c:formatCode>
                <c:ptCount val="12"/>
                <c:pt idx="0">
                  <c:v>-3.5357206715218477E-4</c:v>
                </c:pt>
                <c:pt idx="1">
                  <c:v>-3.211000078847525E-2</c:v>
                </c:pt>
                <c:pt idx="2">
                  <c:v>3.9051482638561064E-2</c:v>
                </c:pt>
                <c:pt idx="3">
                  <c:v>-2.085047772243797E-2</c:v>
                </c:pt>
                <c:pt idx="4">
                  <c:v>-3.0539406282689543E-2</c:v>
                </c:pt>
                <c:pt idx="5">
                  <c:v>-4.9465064782091915E-2</c:v>
                </c:pt>
                <c:pt idx="6">
                  <c:v>8.3813035847961598E-2</c:v>
                </c:pt>
                <c:pt idx="7">
                  <c:v>3.4579501305069038E-2</c:v>
                </c:pt>
                <c:pt idx="8">
                  <c:v>-3.8022767283691222E-2</c:v>
                </c:pt>
                <c:pt idx="9">
                  <c:v>5.2240072336445537E-2</c:v>
                </c:pt>
                <c:pt idx="10">
                  <c:v>4.0567722175129439E-2</c:v>
                </c:pt>
                <c:pt idx="11">
                  <c:v>-3.5132332738297967E-2</c:v>
                </c:pt>
              </c:numCache>
            </c:numRef>
          </c:val>
          <c:extLst>
            <c:ext xmlns:c16="http://schemas.microsoft.com/office/drawing/2014/chart" uri="{C3380CC4-5D6E-409C-BE32-E72D297353CC}">
              <c16:uniqueId val="{00000001-D516-48BF-BED3-4C245408CE12}"/>
            </c:ext>
          </c:extLst>
        </c:ser>
        <c:ser>
          <c:idx val="2"/>
          <c:order val="2"/>
          <c:tx>
            <c:strRef>
              <c:f>'Project pivot table 2'!$D$14:$D$15</c:f>
              <c:strCache>
                <c:ptCount val="1"/>
                <c:pt idx="0">
                  <c:v>2023</c:v>
                </c:pt>
              </c:strCache>
            </c:strRef>
          </c:tx>
          <c:spPr>
            <a:solidFill>
              <a:schemeClr val="accent3"/>
            </a:solidFill>
            <a:ln>
              <a:noFill/>
            </a:ln>
            <a:effectLst/>
          </c:spPr>
          <c:invertIfNegative val="0"/>
          <c:cat>
            <c:strRef>
              <c:f>'Project pivot table 2'!$A$16:$A$28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'Project pivot table 2'!$D$16:$D$28</c:f>
              <c:numCache>
                <c:formatCode>0.000%</c:formatCode>
                <c:ptCount val="12"/>
                <c:pt idx="0">
                  <c:v>-2.4323388380095769E-2</c:v>
                </c:pt>
                <c:pt idx="1">
                  <c:v>-2.0287534788040129E-2</c:v>
                </c:pt>
                <c:pt idx="2">
                  <c:v>3.4728873477684209E-3</c:v>
                </c:pt>
                <c:pt idx="3">
                  <c:v>3.9920656738745029E-2</c:v>
                </c:pt>
                <c:pt idx="4">
                  <c:v>2.5788209260898434E-2</c:v>
                </c:pt>
                <c:pt idx="5">
                  <c:v>3.47946003977566E-2</c:v>
                </c:pt>
                <c:pt idx="6">
                  <c:v>2.9060591553938937E-2</c:v>
                </c:pt>
                <c:pt idx="7">
                  <c:v>-2.5559532704882579E-2</c:v>
                </c:pt>
                <c:pt idx="8">
                  <c:v>1.9906775187264511E-2</c:v>
                </c:pt>
                <c:pt idx="9">
                  <c:v>-2.871627031806484E-2</c:v>
                </c:pt>
                <c:pt idx="10">
                  <c:v>5.3646385274640863E-2</c:v>
                </c:pt>
                <c:pt idx="11">
                  <c:v>7.6470965713015898E-2</c:v>
                </c:pt>
              </c:numCache>
            </c:numRef>
          </c:val>
          <c:extLst>
            <c:ext xmlns:c16="http://schemas.microsoft.com/office/drawing/2014/chart" uri="{C3380CC4-5D6E-409C-BE32-E72D297353CC}">
              <c16:uniqueId val="{00000002-D516-48BF-BED3-4C245408CE12}"/>
            </c:ext>
          </c:extLst>
        </c:ser>
        <c:ser>
          <c:idx val="3"/>
          <c:order val="3"/>
          <c:tx>
            <c:strRef>
              <c:f>'Project pivot table 2'!$E$14:$E$15</c:f>
              <c:strCache>
                <c:ptCount val="1"/>
                <c:pt idx="0">
                  <c:v>2024</c:v>
                </c:pt>
              </c:strCache>
            </c:strRef>
          </c:tx>
          <c:spPr>
            <a:solidFill>
              <a:schemeClr val="accent4"/>
            </a:solidFill>
            <a:ln>
              <a:noFill/>
            </a:ln>
            <a:effectLst/>
          </c:spPr>
          <c:invertIfNegative val="0"/>
          <c:cat>
            <c:strRef>
              <c:f>'Project pivot table 2'!$A$16:$A$28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'Project pivot table 2'!$E$16:$E$28</c:f>
              <c:numCache>
                <c:formatCode>0.000%</c:formatCode>
                <c:ptCount val="12"/>
                <c:pt idx="0">
                  <c:v>1.3286566365083505E-4</c:v>
                </c:pt>
                <c:pt idx="1">
                  <c:v>1.2079085845186972E-2</c:v>
                </c:pt>
                <c:pt idx="2">
                  <c:v>1.5878822136493331E-2</c:v>
                </c:pt>
                <c:pt idx="3">
                  <c:v>1.2495376425197208E-2</c:v>
                </c:pt>
                <c:pt idx="4">
                  <c:v>-2.965056770188304E-3</c:v>
                </c:pt>
                <c:pt idx="5">
                  <c:v>6.5039930223891845E-2</c:v>
                </c:pt>
                <c:pt idx="6">
                  <c:v>3.8719587594618562E-2</c:v>
                </c:pt>
                <c:pt idx="7">
                  <c:v>1.1148146284309927E-2</c:v>
                </c:pt>
                <c:pt idx="8">
                  <c:v>2.2758927527149246E-2</c:v>
                </c:pt>
                <c:pt idx="9">
                  <c:v>-6.3898837964909375E-2</c:v>
                </c:pt>
                <c:pt idx="10">
                  <c:v>-2.3776287482441295E-3</c:v>
                </c:pt>
                <c:pt idx="11">
                  <c:v>-2.0169299379542403E-2</c:v>
                </c:pt>
              </c:numCache>
            </c:numRef>
          </c:val>
          <c:extLst>
            <c:ext xmlns:c16="http://schemas.microsoft.com/office/drawing/2014/chart" uri="{C3380CC4-5D6E-409C-BE32-E72D297353CC}">
              <c16:uniqueId val="{00000003-D516-48BF-BED3-4C245408CE12}"/>
            </c:ext>
          </c:extLst>
        </c:ser>
        <c:ser>
          <c:idx val="4"/>
          <c:order val="4"/>
          <c:tx>
            <c:strRef>
              <c:f>'Project pivot table 2'!$F$14:$F$15</c:f>
              <c:strCache>
                <c:ptCount val="1"/>
                <c:pt idx="0">
                  <c:v>2025</c:v>
                </c:pt>
              </c:strCache>
            </c:strRef>
          </c:tx>
          <c:spPr>
            <a:solidFill>
              <a:schemeClr val="accent5"/>
            </a:solidFill>
            <a:ln>
              <a:noFill/>
            </a:ln>
            <a:effectLst/>
          </c:spPr>
          <c:invertIfNegative val="0"/>
          <c:cat>
            <c:strRef>
              <c:f>'Project pivot table 2'!$A$16:$A$28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'Project pivot table 2'!$F$16:$F$28</c:f>
              <c:numCache>
                <c:formatCode>0.000%</c:formatCode>
                <c:ptCount val="12"/>
                <c:pt idx="0">
                  <c:v>-5.3008333265250306E-3</c:v>
                </c:pt>
                <c:pt idx="1">
                  <c:v>-6.0436362933755469E-2</c:v>
                </c:pt>
                <c:pt idx="2">
                  <c:v>6.1330475978815732E-2</c:v>
                </c:pt>
                <c:pt idx="3">
                  <c:v>3.2824440223409697E-2</c:v>
                </c:pt>
                <c:pt idx="4">
                  <c:v>1.7299838224757263E-2</c:v>
                </c:pt>
                <c:pt idx="5">
                  <c:v>3.0702811548120667E-2</c:v>
                </c:pt>
                <c:pt idx="6">
                  <c:v>-2.962793708459666E-2</c:v>
                </c:pt>
                <c:pt idx="7">
                  <c:v>-1.3759840617777869E-2</c:v>
                </c:pt>
                <c:pt idx="8">
                  <c:v>7.5812290568245677E-3</c:v>
                </c:pt>
                <c:pt idx="9">
                  <c:v>4.4330618843847695E-2</c:v>
                </c:pt>
                <c:pt idx="10">
                  <c:v>1.868403132212864E-2</c:v>
                </c:pt>
                <c:pt idx="11">
                  <c:v>-2.6968349854626858E-3</c:v>
                </c:pt>
              </c:numCache>
            </c:numRef>
          </c:val>
          <c:extLst>
            <c:ext xmlns:c16="http://schemas.microsoft.com/office/drawing/2014/chart" uri="{C3380CC4-5D6E-409C-BE32-E72D297353CC}">
              <c16:uniqueId val="{00000004-D516-48BF-BED3-4C245408CE12}"/>
            </c:ext>
          </c:extLst>
        </c:ser>
        <c:dLbls>
          <c:showLegendKey val="0"/>
          <c:showVal val="0"/>
          <c:showCatName val="0"/>
          <c:showSerName val="0"/>
          <c:showPercent val="0"/>
          <c:showBubbleSize val="0"/>
        </c:dLbls>
        <c:gapWidth val="219"/>
        <c:overlap val="-27"/>
        <c:axId val="376287951"/>
        <c:axId val="225248415"/>
      </c:barChart>
      <c:catAx>
        <c:axId val="37628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248415"/>
        <c:crosses val="autoZero"/>
        <c:auto val="1"/>
        <c:lblAlgn val="ctr"/>
        <c:lblOffset val="100"/>
        <c:noMultiLvlLbl val="0"/>
      </c:catAx>
      <c:valAx>
        <c:axId val="225248415"/>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28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Excel.xlsx]Project pivot table!PivotTable4</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Trading Volume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 pivot table'!$B$3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'Project pivot table'!$A$4:$A$9</c:f>
              <c:strCache>
                <c:ptCount val="5"/>
                <c:pt idx="0">
                  <c:v>2021</c:v>
                </c:pt>
                <c:pt idx="1">
                  <c:v>2022</c:v>
                </c:pt>
                <c:pt idx="2">
                  <c:v>2023</c:v>
                </c:pt>
                <c:pt idx="3">
                  <c:v>2024</c:v>
                </c:pt>
                <c:pt idx="4">
                  <c:v>2025</c:v>
                </c:pt>
              </c:strCache>
            </c:strRef>
          </c:cat>
          <c:val>
            <c:numRef>
              <c:f>'Project pivot table'!$B$4:$B$9</c:f>
              <c:numCache>
                <c:formatCode>General</c:formatCode>
                <c:ptCount val="5"/>
                <c:pt idx="0">
                  <c:v>6955527074</c:v>
                </c:pt>
                <c:pt idx="1">
                  <c:v>6900597267</c:v>
                </c:pt>
                <c:pt idx="2">
                  <c:v>6077673965</c:v>
                </c:pt>
                <c:pt idx="3">
                  <c:v>6194722735</c:v>
                </c:pt>
                <c:pt idx="4">
                  <c:v>5978414023</c:v>
                </c:pt>
              </c:numCache>
            </c:numRef>
          </c:val>
          <c:extLst>
            <c:ext xmlns:c16="http://schemas.microsoft.com/office/drawing/2014/chart" uri="{C3380CC4-5D6E-409C-BE32-E72D297353CC}">
              <c16:uniqueId val="{00000000-1DF7-497F-9934-8E0A865DE28B}"/>
            </c:ext>
          </c:extLst>
        </c:ser>
        <c:dLbls>
          <c:dLblPos val="outEnd"/>
          <c:showLegendKey val="0"/>
          <c:showVal val="1"/>
          <c:showCatName val="0"/>
          <c:showSerName val="0"/>
          <c:showPercent val="0"/>
          <c:showBubbleSize val="0"/>
        </c:dLbls>
        <c:gapWidth val="444"/>
        <c:overlap val="-90"/>
        <c:axId val="234159183"/>
        <c:axId val="196930943"/>
      </c:barChart>
      <c:catAx>
        <c:axId val="234159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6930943"/>
        <c:crosses val="autoZero"/>
        <c:auto val="1"/>
        <c:lblAlgn val="ctr"/>
        <c:lblOffset val="100"/>
        <c:noMultiLvlLbl val="0"/>
      </c:catAx>
      <c:valAx>
        <c:axId val="196930943"/>
        <c:scaling>
          <c:orientation val="minMax"/>
        </c:scaling>
        <c:delete val="1"/>
        <c:axPos val="l"/>
        <c:numFmt formatCode="General" sourceLinked="1"/>
        <c:majorTickMark val="none"/>
        <c:minorTickMark val="none"/>
        <c:tickLblPos val="nextTo"/>
        <c:crossAx val="23415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'Price trend line table'!$B$1:$B$201</c:f>
              <c:strCache>
                <c:ptCount val="201"/>
                <c:pt idx="0">
                  <c:v>Close </c:v>
                </c:pt>
                <c:pt idx="1">
                  <c:v>14018.5</c:v>
                </c:pt>
                <c:pt idx="2">
                  <c:v>14132.9</c:v>
                </c:pt>
                <c:pt idx="3">
                  <c:v>14199.5</c:v>
                </c:pt>
                <c:pt idx="4">
                  <c:v>14146.25</c:v>
                </c:pt>
                <c:pt idx="5">
                  <c:v>14137.35</c:v>
                </c:pt>
                <c:pt idx="6">
                  <c:v>14347.25</c:v>
                </c:pt>
                <c:pt idx="7">
                  <c:v>14484.75</c:v>
                </c:pt>
                <c:pt idx="8">
                  <c:v>14563.45</c:v>
                </c:pt>
                <c:pt idx="9">
                  <c:v>14564.85</c:v>
                </c:pt>
                <c:pt idx="10">
                  <c:v>14595.6</c:v>
                </c:pt>
                <c:pt idx="11">
                  <c:v>14433.7</c:v>
                </c:pt>
                <c:pt idx="12">
                  <c:v>14281.3</c:v>
                </c:pt>
                <c:pt idx="13">
                  <c:v>14521.15</c:v>
                </c:pt>
                <c:pt idx="14">
                  <c:v>14644.7</c:v>
                </c:pt>
                <c:pt idx="15">
                  <c:v>14590.35</c:v>
                </c:pt>
                <c:pt idx="16">
                  <c:v>14371.9</c:v>
                </c:pt>
                <c:pt idx="17">
                  <c:v>14238.9</c:v>
                </c:pt>
                <c:pt idx="18">
                  <c:v>13967.5</c:v>
                </c:pt>
                <c:pt idx="19">
                  <c:v>13817.55</c:v>
                </c:pt>
                <c:pt idx="20">
                  <c:v>13634.6</c:v>
                </c:pt>
                <c:pt idx="21">
                  <c:v>14281.2</c:v>
                </c:pt>
                <c:pt idx="22">
                  <c:v>14647.85</c:v>
                </c:pt>
                <c:pt idx="23">
                  <c:v>14789.95</c:v>
                </c:pt>
                <c:pt idx="24">
                  <c:v>14895.65</c:v>
                </c:pt>
                <c:pt idx="25">
                  <c:v>14924.25</c:v>
                </c:pt>
                <c:pt idx="26">
                  <c:v>15115.8</c:v>
                </c:pt>
                <c:pt idx="27">
                  <c:v>15109.3</c:v>
                </c:pt>
                <c:pt idx="28">
                  <c:v>15106.5</c:v>
                </c:pt>
                <c:pt idx="29">
                  <c:v>15173.3</c:v>
                </c:pt>
                <c:pt idx="30">
                  <c:v>15163.3</c:v>
                </c:pt>
                <c:pt idx="31">
                  <c:v>15314.7</c:v>
                </c:pt>
                <c:pt idx="32">
                  <c:v>15313.45</c:v>
                </c:pt>
                <c:pt idx="33">
                  <c:v>15208.9</c:v>
                </c:pt>
                <c:pt idx="34">
                  <c:v>15118.95</c:v>
                </c:pt>
                <c:pt idx="35">
                  <c:v>14981.75</c:v>
                </c:pt>
                <c:pt idx="36">
                  <c:v>14675.7</c:v>
                </c:pt>
                <c:pt idx="37">
                  <c:v>14707.8</c:v>
                </c:pt>
                <c:pt idx="38">
                  <c:v>14982</c:v>
                </c:pt>
                <c:pt idx="39">
                  <c:v>15097.35</c:v>
                </c:pt>
                <c:pt idx="40">
                  <c:v>14529.15</c:v>
                </c:pt>
                <c:pt idx="41">
                  <c:v>14761.55</c:v>
                </c:pt>
                <c:pt idx="42">
                  <c:v>14919.1</c:v>
                </c:pt>
                <c:pt idx="43">
                  <c:v>15245.6</c:v>
                </c:pt>
                <c:pt idx="44">
                  <c:v>15080.75</c:v>
                </c:pt>
                <c:pt idx="45">
                  <c:v>14938.1</c:v>
                </c:pt>
                <c:pt idx="46">
                  <c:v>14956.2</c:v>
                </c:pt>
                <c:pt idx="47">
                  <c:v>15098.4</c:v>
                </c:pt>
                <c:pt idx="48">
                  <c:v>15174.8</c:v>
                </c:pt>
                <c:pt idx="49">
                  <c:v>15030.95</c:v>
                </c:pt>
                <c:pt idx="50">
                  <c:v>14929.5</c:v>
                </c:pt>
                <c:pt idx="51">
                  <c:v>14910.45</c:v>
                </c:pt>
                <c:pt idx="52">
                  <c:v>14721.3</c:v>
                </c:pt>
                <c:pt idx="53">
                  <c:v>14557.85</c:v>
                </c:pt>
                <c:pt idx="54">
                  <c:v>14744</c:v>
                </c:pt>
                <c:pt idx="55">
                  <c:v>14736.4</c:v>
                </c:pt>
                <c:pt idx="56">
                  <c:v>14814.75</c:v>
                </c:pt>
                <c:pt idx="57">
                  <c:v>14549.4</c:v>
                </c:pt>
                <c:pt idx="58">
                  <c:v>14324.9</c:v>
                </c:pt>
                <c:pt idx="59">
                  <c:v>14507.3</c:v>
                </c:pt>
                <c:pt idx="60">
                  <c:v>14845.1</c:v>
                </c:pt>
                <c:pt idx="61">
                  <c:v>14690.7</c:v>
                </c:pt>
                <c:pt idx="62">
                  <c:v>14867.35</c:v>
                </c:pt>
                <c:pt idx="63">
                  <c:v>14637.8</c:v>
                </c:pt>
                <c:pt idx="64">
                  <c:v>14683.5</c:v>
                </c:pt>
                <c:pt idx="65">
                  <c:v>14819.05</c:v>
                </c:pt>
                <c:pt idx="66">
                  <c:v>14873.8</c:v>
                </c:pt>
                <c:pt idx="67">
                  <c:v>14834.85</c:v>
                </c:pt>
                <c:pt idx="68">
                  <c:v>14310.8</c:v>
                </c:pt>
                <c:pt idx="69">
                  <c:v>14504.8</c:v>
                </c:pt>
                <c:pt idx="70">
                  <c:v>14581.45</c:v>
                </c:pt>
                <c:pt idx="71">
                  <c:v>14617.85</c:v>
                </c:pt>
                <c:pt idx="72">
                  <c:v>14359.45</c:v>
                </c:pt>
                <c:pt idx="73">
                  <c:v>14296.4</c:v>
                </c:pt>
                <c:pt idx="74">
                  <c:v>14406.15</c:v>
                </c:pt>
                <c:pt idx="75">
                  <c:v>14341.35</c:v>
                </c:pt>
                <c:pt idx="76">
                  <c:v>14485</c:v>
                </c:pt>
                <c:pt idx="77">
                  <c:v>14653.05</c:v>
                </c:pt>
                <c:pt idx="78">
                  <c:v>14864.55</c:v>
                </c:pt>
                <c:pt idx="79">
                  <c:v>14894.9</c:v>
                </c:pt>
                <c:pt idx="80">
                  <c:v>14631.1</c:v>
                </c:pt>
                <c:pt idx="81">
                  <c:v>14634.15</c:v>
                </c:pt>
                <c:pt idx="82">
                  <c:v>14496.5</c:v>
                </c:pt>
                <c:pt idx="83">
                  <c:v>14617.85</c:v>
                </c:pt>
                <c:pt idx="84">
                  <c:v>14724.8</c:v>
                </c:pt>
                <c:pt idx="85">
                  <c:v>14823.15</c:v>
                </c:pt>
                <c:pt idx="86">
                  <c:v>14942.35</c:v>
                </c:pt>
                <c:pt idx="87">
                  <c:v>14850.75</c:v>
                </c:pt>
                <c:pt idx="88">
                  <c:v>14696.5</c:v>
                </c:pt>
                <c:pt idx="89">
                  <c:v>14677.8</c:v>
                </c:pt>
                <c:pt idx="90">
                  <c:v>14923.15</c:v>
                </c:pt>
                <c:pt idx="91">
                  <c:v>15108.1</c:v>
                </c:pt>
                <c:pt idx="92">
                  <c:v>15030.15</c:v>
                </c:pt>
                <c:pt idx="93">
                  <c:v>14906.05</c:v>
                </c:pt>
                <c:pt idx="94">
                  <c:v>15175.3</c:v>
                </c:pt>
                <c:pt idx="95">
                  <c:v>15197.7</c:v>
                </c:pt>
                <c:pt idx="96">
                  <c:v>15208.45</c:v>
                </c:pt>
                <c:pt idx="97">
                  <c:v>15301.45</c:v>
                </c:pt>
                <c:pt idx="98">
                  <c:v>15337.85</c:v>
                </c:pt>
                <c:pt idx="99">
                  <c:v>15435.65</c:v>
                </c:pt>
                <c:pt idx="100">
                  <c:v>15582.8</c:v>
                </c:pt>
                <c:pt idx="101">
                  <c:v>15574.85</c:v>
                </c:pt>
                <c:pt idx="102">
                  <c:v>15576.2</c:v>
                </c:pt>
                <c:pt idx="103">
                  <c:v>15690.35</c:v>
                </c:pt>
                <c:pt idx="104">
                  <c:v>15670.25</c:v>
                </c:pt>
                <c:pt idx="105">
                  <c:v>15751.65</c:v>
                </c:pt>
                <c:pt idx="106">
                  <c:v>15740.1</c:v>
                </c:pt>
                <c:pt idx="107">
                  <c:v>15635.35</c:v>
                </c:pt>
                <c:pt idx="108">
                  <c:v>15737.75</c:v>
                </c:pt>
                <c:pt idx="109">
                  <c:v>15799.35</c:v>
                </c:pt>
                <c:pt idx="110">
                  <c:v>15811.85</c:v>
                </c:pt>
                <c:pt idx="111">
                  <c:v>15869.25</c:v>
                </c:pt>
                <c:pt idx="112">
                  <c:v>15767.55</c:v>
                </c:pt>
                <c:pt idx="113">
                  <c:v>15691.4</c:v>
                </c:pt>
                <c:pt idx="114">
                  <c:v>15683.35</c:v>
                </c:pt>
                <c:pt idx="115">
                  <c:v>15746.5</c:v>
                </c:pt>
                <c:pt idx="116">
                  <c:v>15772.75</c:v>
                </c:pt>
                <c:pt idx="117">
                  <c:v>15686.95</c:v>
                </c:pt>
                <c:pt idx="118">
                  <c:v>15790.45</c:v>
                </c:pt>
                <c:pt idx="119">
                  <c:v>15860.35</c:v>
                </c:pt>
                <c:pt idx="120">
                  <c:v>15814.7</c:v>
                </c:pt>
                <c:pt idx="121">
                  <c:v>15748.45</c:v>
                </c:pt>
                <c:pt idx="122">
                  <c:v>15721.5</c:v>
                </c:pt>
                <c:pt idx="123">
                  <c:v>15680</c:v>
                </c:pt>
                <c:pt idx="124">
                  <c:v>15722.2</c:v>
                </c:pt>
                <c:pt idx="125">
                  <c:v>15834.35</c:v>
                </c:pt>
                <c:pt idx="126">
                  <c:v>15818.25</c:v>
                </c:pt>
                <c:pt idx="127">
                  <c:v>15879.65</c:v>
                </c:pt>
                <c:pt idx="128">
                  <c:v>15727.9</c:v>
                </c:pt>
                <c:pt idx="129">
                  <c:v>15689.8</c:v>
                </c:pt>
                <c:pt idx="130">
                  <c:v>15692.6</c:v>
                </c:pt>
                <c:pt idx="131">
                  <c:v>15812.35</c:v>
                </c:pt>
                <c:pt idx="132">
                  <c:v>15853.95</c:v>
                </c:pt>
                <c:pt idx="133">
                  <c:v>15924.2</c:v>
                </c:pt>
                <c:pt idx="134">
                  <c:v>15923.4</c:v>
                </c:pt>
                <c:pt idx="135">
                  <c:v>15752.4</c:v>
                </c:pt>
                <c:pt idx="136">
                  <c:v>15632.1</c:v>
                </c:pt>
                <c:pt idx="137">
                  <c:v>15824.05</c:v>
                </c:pt>
                <c:pt idx="138">
                  <c:v>15856.05</c:v>
                </c:pt>
                <c:pt idx="139">
                  <c:v>15824.45</c:v>
                </c:pt>
                <c:pt idx="140">
                  <c:v>15746.45</c:v>
                </c:pt>
                <c:pt idx="141">
                  <c:v>15709.4</c:v>
                </c:pt>
                <c:pt idx="142">
                  <c:v>15778.45</c:v>
                </c:pt>
                <c:pt idx="143">
                  <c:v>15763.05</c:v>
                </c:pt>
                <c:pt idx="144">
                  <c:v>15885.15</c:v>
                </c:pt>
                <c:pt idx="145">
                  <c:v>16130.75</c:v>
                </c:pt>
                <c:pt idx="146">
                  <c:v>16258.8</c:v>
                </c:pt>
                <c:pt idx="147">
                  <c:v>16294.6</c:v>
                </c:pt>
                <c:pt idx="148">
                  <c:v>16238.2</c:v>
                </c:pt>
                <c:pt idx="149">
                  <c:v>16258.25</c:v>
                </c:pt>
                <c:pt idx="150">
                  <c:v>16280.1</c:v>
                </c:pt>
                <c:pt idx="151">
                  <c:v>16282.25</c:v>
                </c:pt>
                <c:pt idx="152">
                  <c:v>16364.4</c:v>
                </c:pt>
                <c:pt idx="153">
                  <c:v>16529.1</c:v>
                </c:pt>
                <c:pt idx="154">
                  <c:v>16563.05</c:v>
                </c:pt>
                <c:pt idx="155">
                  <c:v>16614.6</c:v>
                </c:pt>
                <c:pt idx="156">
                  <c:v>16568.85</c:v>
                </c:pt>
                <c:pt idx="157">
                  <c:v>16450.5</c:v>
                </c:pt>
                <c:pt idx="158">
                  <c:v>16496.45</c:v>
                </c:pt>
                <c:pt idx="159">
                  <c:v>16624.6</c:v>
                </c:pt>
                <c:pt idx="160">
                  <c:v>16634.65</c:v>
                </c:pt>
                <c:pt idx="161">
                  <c:v>16636.9</c:v>
                </c:pt>
                <c:pt idx="162">
                  <c:v>16705.2</c:v>
                </c:pt>
                <c:pt idx="163">
                  <c:v>16931.05</c:v>
                </c:pt>
                <c:pt idx="164">
                  <c:v>17132.2</c:v>
                </c:pt>
                <c:pt idx="165">
                  <c:v>17076.25</c:v>
                </c:pt>
                <c:pt idx="166">
                  <c:v>17234.15</c:v>
                </c:pt>
                <c:pt idx="167">
                  <c:v>17323.6</c:v>
                </c:pt>
                <c:pt idx="168">
                  <c:v>17377.8</c:v>
                </c:pt>
                <c:pt idx="169">
                  <c:v>17362.1</c:v>
                </c:pt>
                <c:pt idx="170">
                  <c:v>17353.5</c:v>
                </c:pt>
                <c:pt idx="171">
                  <c:v>17369.25</c:v>
                </c:pt>
                <c:pt idx="172">
                  <c:v>17355.3</c:v>
                </c:pt>
                <c:pt idx="173">
                  <c:v>17380</c:v>
                </c:pt>
                <c:pt idx="174">
                  <c:v>17519.45</c:v>
                </c:pt>
                <c:pt idx="175">
                  <c:v>17629.5</c:v>
                </c:pt>
                <c:pt idx="176">
                  <c:v>17585.15</c:v>
                </c:pt>
                <c:pt idx="177">
                  <c:v>17396.9</c:v>
                </c:pt>
                <c:pt idx="178">
                  <c:v>17562</c:v>
                </c:pt>
                <c:pt idx="179">
                  <c:v>17546.65</c:v>
                </c:pt>
                <c:pt idx="180">
                  <c:v>17822.95</c:v>
                </c:pt>
                <c:pt idx="181">
                  <c:v>17853.2</c:v>
                </c:pt>
                <c:pt idx="182">
                  <c:v>17855.1</c:v>
                </c:pt>
                <c:pt idx="183">
                  <c:v>17748.6</c:v>
                </c:pt>
                <c:pt idx="184">
                  <c:v>17711.3</c:v>
                </c:pt>
                <c:pt idx="185">
                  <c:v>17618.15</c:v>
                </c:pt>
                <c:pt idx="186">
                  <c:v>17532.05</c:v>
                </c:pt>
                <c:pt idx="187">
                  <c:v>17691.25</c:v>
                </c:pt>
                <c:pt idx="188">
                  <c:v>17822.3</c:v>
                </c:pt>
                <c:pt idx="189">
                  <c:v>17646</c:v>
                </c:pt>
                <c:pt idx="190">
                  <c:v>17790.35</c:v>
                </c:pt>
                <c:pt idx="191">
                  <c:v>17895.2</c:v>
                </c:pt>
                <c:pt idx="192">
                  <c:v>17945.95</c:v>
                </c:pt>
                <c:pt idx="193">
                  <c:v>17991.95</c:v>
                </c:pt>
                <c:pt idx="194">
                  <c:v>18161.75</c:v>
                </c:pt>
                <c:pt idx="195">
                  <c:v>18338.55</c:v>
                </c:pt>
                <c:pt idx="196">
                  <c:v>18477.05</c:v>
                </c:pt>
                <c:pt idx="197">
                  <c:v>18418.75</c:v>
                </c:pt>
                <c:pt idx="198">
                  <c:v>18266.6</c:v>
                </c:pt>
                <c:pt idx="199">
                  <c:v>18178.1</c:v>
                </c:pt>
                <c:pt idx="200">
                  <c:v>18114.9</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'Price trend line table'!$A$202:$A$1241</c:f>
              <c:numCache>
                <c:formatCode>d\-mmm\-yy</c:formatCode>
                <c:ptCount val="1040"/>
                <c:pt idx="0">
                  <c:v>44494</c:v>
                </c:pt>
                <c:pt idx="1">
                  <c:v>44495</c:v>
                </c:pt>
                <c:pt idx="2">
                  <c:v>44496</c:v>
                </c:pt>
                <c:pt idx="3">
                  <c:v>44497</c:v>
                </c:pt>
                <c:pt idx="4">
                  <c:v>44498</c:v>
                </c:pt>
                <c:pt idx="5">
                  <c:v>44501</c:v>
                </c:pt>
                <c:pt idx="6">
                  <c:v>44502</c:v>
                </c:pt>
                <c:pt idx="7">
                  <c:v>44503</c:v>
                </c:pt>
                <c:pt idx="8">
                  <c:v>44504</c:v>
                </c:pt>
                <c:pt idx="9">
                  <c:v>44508</c:v>
                </c:pt>
                <c:pt idx="10">
                  <c:v>44509</c:v>
                </c:pt>
                <c:pt idx="11">
                  <c:v>44510</c:v>
                </c:pt>
                <c:pt idx="12">
                  <c:v>44511</c:v>
                </c:pt>
                <c:pt idx="13">
                  <c:v>44512</c:v>
                </c:pt>
                <c:pt idx="14">
                  <c:v>44515</c:v>
                </c:pt>
                <c:pt idx="15">
                  <c:v>44516</c:v>
                </c:pt>
                <c:pt idx="16">
                  <c:v>44517</c:v>
                </c:pt>
                <c:pt idx="17">
                  <c:v>44518</c:v>
                </c:pt>
                <c:pt idx="18">
                  <c:v>44522</c:v>
                </c:pt>
                <c:pt idx="19">
                  <c:v>44523</c:v>
                </c:pt>
                <c:pt idx="20">
                  <c:v>44524</c:v>
                </c:pt>
                <c:pt idx="21">
                  <c:v>44525</c:v>
                </c:pt>
                <c:pt idx="22">
                  <c:v>44526</c:v>
                </c:pt>
                <c:pt idx="23">
                  <c:v>44529</c:v>
                </c:pt>
                <c:pt idx="24">
                  <c:v>44530</c:v>
                </c:pt>
                <c:pt idx="25">
                  <c:v>44531</c:v>
                </c:pt>
                <c:pt idx="26">
                  <c:v>44532</c:v>
                </c:pt>
                <c:pt idx="27">
                  <c:v>44533</c:v>
                </c:pt>
                <c:pt idx="28">
                  <c:v>44536</c:v>
                </c:pt>
                <c:pt idx="29">
                  <c:v>44537</c:v>
                </c:pt>
                <c:pt idx="30">
                  <c:v>44538</c:v>
                </c:pt>
                <c:pt idx="31">
                  <c:v>44539</c:v>
                </c:pt>
                <c:pt idx="32">
                  <c:v>44540</c:v>
                </c:pt>
                <c:pt idx="33">
                  <c:v>44543</c:v>
                </c:pt>
                <c:pt idx="34">
                  <c:v>44544</c:v>
                </c:pt>
                <c:pt idx="35">
                  <c:v>44545</c:v>
                </c:pt>
                <c:pt idx="36">
                  <c:v>44546</c:v>
                </c:pt>
                <c:pt idx="37">
                  <c:v>44547</c:v>
                </c:pt>
                <c:pt idx="38">
                  <c:v>44550</c:v>
                </c:pt>
                <c:pt idx="39">
                  <c:v>44551</c:v>
                </c:pt>
                <c:pt idx="40">
                  <c:v>44552</c:v>
                </c:pt>
                <c:pt idx="41">
                  <c:v>44553</c:v>
                </c:pt>
                <c:pt idx="42">
                  <c:v>44554</c:v>
                </c:pt>
                <c:pt idx="43">
                  <c:v>44557</c:v>
                </c:pt>
                <c:pt idx="44">
                  <c:v>44558</c:v>
                </c:pt>
                <c:pt idx="45">
                  <c:v>44559</c:v>
                </c:pt>
                <c:pt idx="46">
                  <c:v>44560</c:v>
                </c:pt>
                <c:pt idx="47">
                  <c:v>44561</c:v>
                </c:pt>
                <c:pt idx="48">
                  <c:v>44564</c:v>
                </c:pt>
                <c:pt idx="49">
                  <c:v>44565</c:v>
                </c:pt>
                <c:pt idx="50">
                  <c:v>44566</c:v>
                </c:pt>
                <c:pt idx="51">
                  <c:v>44567</c:v>
                </c:pt>
                <c:pt idx="52">
                  <c:v>44568</c:v>
                </c:pt>
                <c:pt idx="53">
                  <c:v>44571</c:v>
                </c:pt>
                <c:pt idx="54">
                  <c:v>44572</c:v>
                </c:pt>
                <c:pt idx="55">
                  <c:v>44573</c:v>
                </c:pt>
                <c:pt idx="56">
                  <c:v>44574</c:v>
                </c:pt>
                <c:pt idx="57">
                  <c:v>44575</c:v>
                </c:pt>
                <c:pt idx="58">
                  <c:v>44578</c:v>
                </c:pt>
                <c:pt idx="59">
                  <c:v>44579</c:v>
                </c:pt>
                <c:pt idx="60">
                  <c:v>44580</c:v>
                </c:pt>
                <c:pt idx="61">
                  <c:v>44581</c:v>
                </c:pt>
                <c:pt idx="62">
                  <c:v>44582</c:v>
                </c:pt>
                <c:pt idx="63">
                  <c:v>44585</c:v>
                </c:pt>
                <c:pt idx="64">
                  <c:v>44586</c:v>
                </c:pt>
                <c:pt idx="65">
                  <c:v>44588</c:v>
                </c:pt>
                <c:pt idx="66">
                  <c:v>44589</c:v>
                </c:pt>
                <c:pt idx="67">
                  <c:v>44592</c:v>
                </c:pt>
                <c:pt idx="68">
                  <c:v>44593</c:v>
                </c:pt>
                <c:pt idx="69">
                  <c:v>44594</c:v>
                </c:pt>
                <c:pt idx="70">
                  <c:v>44595</c:v>
                </c:pt>
                <c:pt idx="71">
                  <c:v>44596</c:v>
                </c:pt>
                <c:pt idx="72">
                  <c:v>44599</c:v>
                </c:pt>
                <c:pt idx="73">
                  <c:v>44600</c:v>
                </c:pt>
                <c:pt idx="74">
                  <c:v>44601</c:v>
                </c:pt>
                <c:pt idx="75">
                  <c:v>44602</c:v>
                </c:pt>
                <c:pt idx="76">
                  <c:v>44603</c:v>
                </c:pt>
                <c:pt idx="77">
                  <c:v>44606</c:v>
                </c:pt>
                <c:pt idx="78">
                  <c:v>44607</c:v>
                </c:pt>
                <c:pt idx="79">
                  <c:v>44608</c:v>
                </c:pt>
                <c:pt idx="80">
                  <c:v>44609</c:v>
                </c:pt>
                <c:pt idx="81">
                  <c:v>44610</c:v>
                </c:pt>
                <c:pt idx="82">
                  <c:v>44613</c:v>
                </c:pt>
                <c:pt idx="83">
                  <c:v>44614</c:v>
                </c:pt>
                <c:pt idx="84">
                  <c:v>44615</c:v>
                </c:pt>
                <c:pt idx="85">
                  <c:v>44616</c:v>
                </c:pt>
                <c:pt idx="86">
                  <c:v>44617</c:v>
                </c:pt>
                <c:pt idx="87">
                  <c:v>44620</c:v>
                </c:pt>
                <c:pt idx="88">
                  <c:v>44622</c:v>
                </c:pt>
                <c:pt idx="89">
                  <c:v>44623</c:v>
                </c:pt>
                <c:pt idx="90">
                  <c:v>44624</c:v>
                </c:pt>
                <c:pt idx="91">
                  <c:v>44627</c:v>
                </c:pt>
                <c:pt idx="92">
                  <c:v>44628</c:v>
                </c:pt>
                <c:pt idx="93">
                  <c:v>44629</c:v>
                </c:pt>
                <c:pt idx="94">
                  <c:v>44630</c:v>
                </c:pt>
                <c:pt idx="95">
                  <c:v>44631</c:v>
                </c:pt>
                <c:pt idx="96">
                  <c:v>44634</c:v>
                </c:pt>
                <c:pt idx="97">
                  <c:v>44635</c:v>
                </c:pt>
                <c:pt idx="98">
                  <c:v>44636</c:v>
                </c:pt>
                <c:pt idx="99">
                  <c:v>44637</c:v>
                </c:pt>
                <c:pt idx="100">
                  <c:v>44641</c:v>
                </c:pt>
                <c:pt idx="101">
                  <c:v>44642</c:v>
                </c:pt>
                <c:pt idx="102">
                  <c:v>44643</c:v>
                </c:pt>
                <c:pt idx="103">
                  <c:v>44644</c:v>
                </c:pt>
                <c:pt idx="104">
                  <c:v>44645</c:v>
                </c:pt>
                <c:pt idx="105">
                  <c:v>44648</c:v>
                </c:pt>
                <c:pt idx="106">
                  <c:v>44649</c:v>
                </c:pt>
                <c:pt idx="107">
                  <c:v>44650</c:v>
                </c:pt>
                <c:pt idx="108">
                  <c:v>44651</c:v>
                </c:pt>
                <c:pt idx="109">
                  <c:v>44652</c:v>
                </c:pt>
                <c:pt idx="110">
                  <c:v>44655</c:v>
                </c:pt>
                <c:pt idx="111">
                  <c:v>44656</c:v>
                </c:pt>
                <c:pt idx="112">
                  <c:v>44657</c:v>
                </c:pt>
                <c:pt idx="113">
                  <c:v>44658</c:v>
                </c:pt>
                <c:pt idx="114">
                  <c:v>44659</c:v>
                </c:pt>
                <c:pt idx="115">
                  <c:v>44662</c:v>
                </c:pt>
                <c:pt idx="116">
                  <c:v>44663</c:v>
                </c:pt>
                <c:pt idx="117">
                  <c:v>44664</c:v>
                </c:pt>
                <c:pt idx="118">
                  <c:v>44669</c:v>
                </c:pt>
                <c:pt idx="119">
                  <c:v>44670</c:v>
                </c:pt>
                <c:pt idx="120">
                  <c:v>44671</c:v>
                </c:pt>
                <c:pt idx="121">
                  <c:v>44672</c:v>
                </c:pt>
                <c:pt idx="122">
                  <c:v>44673</c:v>
                </c:pt>
                <c:pt idx="123">
                  <c:v>44676</c:v>
                </c:pt>
                <c:pt idx="124">
                  <c:v>44677</c:v>
                </c:pt>
                <c:pt idx="125">
                  <c:v>44678</c:v>
                </c:pt>
                <c:pt idx="126">
                  <c:v>44679</c:v>
                </c:pt>
                <c:pt idx="127">
                  <c:v>44680</c:v>
                </c:pt>
                <c:pt idx="128">
                  <c:v>44683</c:v>
                </c:pt>
                <c:pt idx="129">
                  <c:v>44685</c:v>
                </c:pt>
                <c:pt idx="130">
                  <c:v>44686</c:v>
                </c:pt>
                <c:pt idx="131">
                  <c:v>44687</c:v>
                </c:pt>
                <c:pt idx="132">
                  <c:v>44690</c:v>
                </c:pt>
                <c:pt idx="133">
                  <c:v>44691</c:v>
                </c:pt>
                <c:pt idx="134">
                  <c:v>44692</c:v>
                </c:pt>
                <c:pt idx="135">
                  <c:v>44693</c:v>
                </c:pt>
                <c:pt idx="136">
                  <c:v>44694</c:v>
                </c:pt>
                <c:pt idx="137">
                  <c:v>44697</c:v>
                </c:pt>
                <c:pt idx="138">
                  <c:v>44698</c:v>
                </c:pt>
                <c:pt idx="139">
                  <c:v>44699</c:v>
                </c:pt>
                <c:pt idx="140">
                  <c:v>44700</c:v>
                </c:pt>
                <c:pt idx="141">
                  <c:v>44701</c:v>
                </c:pt>
                <c:pt idx="142">
                  <c:v>44704</c:v>
                </c:pt>
                <c:pt idx="143">
                  <c:v>44705</c:v>
                </c:pt>
                <c:pt idx="144">
                  <c:v>44706</c:v>
                </c:pt>
                <c:pt idx="145">
                  <c:v>44707</c:v>
                </c:pt>
                <c:pt idx="146">
                  <c:v>44708</c:v>
                </c:pt>
                <c:pt idx="147">
                  <c:v>44711</c:v>
                </c:pt>
                <c:pt idx="148">
                  <c:v>44712</c:v>
                </c:pt>
                <c:pt idx="149">
                  <c:v>44713</c:v>
                </c:pt>
                <c:pt idx="150">
                  <c:v>44714</c:v>
                </c:pt>
                <c:pt idx="151">
                  <c:v>44715</c:v>
                </c:pt>
                <c:pt idx="152">
                  <c:v>44718</c:v>
                </c:pt>
                <c:pt idx="153">
                  <c:v>44719</c:v>
                </c:pt>
                <c:pt idx="154">
                  <c:v>44720</c:v>
                </c:pt>
                <c:pt idx="155">
                  <c:v>44721</c:v>
                </c:pt>
                <c:pt idx="156">
                  <c:v>44722</c:v>
                </c:pt>
                <c:pt idx="157">
                  <c:v>44725</c:v>
                </c:pt>
                <c:pt idx="158">
                  <c:v>44726</c:v>
                </c:pt>
                <c:pt idx="159">
                  <c:v>44727</c:v>
                </c:pt>
                <c:pt idx="160">
                  <c:v>44728</c:v>
                </c:pt>
                <c:pt idx="161">
                  <c:v>44729</c:v>
                </c:pt>
                <c:pt idx="162">
                  <c:v>44732</c:v>
                </c:pt>
                <c:pt idx="163">
                  <c:v>44733</c:v>
                </c:pt>
                <c:pt idx="164">
                  <c:v>44734</c:v>
                </c:pt>
                <c:pt idx="165">
                  <c:v>44735</c:v>
                </c:pt>
                <c:pt idx="166">
                  <c:v>44736</c:v>
                </c:pt>
                <c:pt idx="167">
                  <c:v>44739</c:v>
                </c:pt>
                <c:pt idx="168">
                  <c:v>44740</c:v>
                </c:pt>
                <c:pt idx="169">
                  <c:v>44741</c:v>
                </c:pt>
                <c:pt idx="170">
                  <c:v>44742</c:v>
                </c:pt>
                <c:pt idx="171">
                  <c:v>44743</c:v>
                </c:pt>
                <c:pt idx="172">
                  <c:v>44746</c:v>
                </c:pt>
                <c:pt idx="173">
                  <c:v>44747</c:v>
                </c:pt>
                <c:pt idx="174">
                  <c:v>44748</c:v>
                </c:pt>
                <c:pt idx="175">
                  <c:v>44749</c:v>
                </c:pt>
                <c:pt idx="176">
                  <c:v>44750</c:v>
                </c:pt>
                <c:pt idx="177">
                  <c:v>44753</c:v>
                </c:pt>
                <c:pt idx="178">
                  <c:v>44754</c:v>
                </c:pt>
                <c:pt idx="179">
                  <c:v>44755</c:v>
                </c:pt>
                <c:pt idx="180">
                  <c:v>44756</c:v>
                </c:pt>
                <c:pt idx="181">
                  <c:v>44757</c:v>
                </c:pt>
                <c:pt idx="182">
                  <c:v>44760</c:v>
                </c:pt>
                <c:pt idx="183">
                  <c:v>44761</c:v>
                </c:pt>
                <c:pt idx="184">
                  <c:v>44762</c:v>
                </c:pt>
                <c:pt idx="185">
                  <c:v>44763</c:v>
                </c:pt>
                <c:pt idx="186">
                  <c:v>44764</c:v>
                </c:pt>
                <c:pt idx="187">
                  <c:v>44767</c:v>
                </c:pt>
                <c:pt idx="188">
                  <c:v>44768</c:v>
                </c:pt>
                <c:pt idx="189">
                  <c:v>44769</c:v>
                </c:pt>
                <c:pt idx="190">
                  <c:v>44770</c:v>
                </c:pt>
                <c:pt idx="191">
                  <c:v>44771</c:v>
                </c:pt>
                <c:pt idx="192">
                  <c:v>44774</c:v>
                </c:pt>
                <c:pt idx="193">
                  <c:v>44775</c:v>
                </c:pt>
                <c:pt idx="194">
                  <c:v>44776</c:v>
                </c:pt>
                <c:pt idx="195">
                  <c:v>44777</c:v>
                </c:pt>
                <c:pt idx="196">
                  <c:v>44778</c:v>
                </c:pt>
                <c:pt idx="197">
                  <c:v>44781</c:v>
                </c:pt>
                <c:pt idx="198">
                  <c:v>44783</c:v>
                </c:pt>
                <c:pt idx="199">
                  <c:v>44784</c:v>
                </c:pt>
                <c:pt idx="200">
                  <c:v>44785</c:v>
                </c:pt>
                <c:pt idx="201">
                  <c:v>44789</c:v>
                </c:pt>
                <c:pt idx="202">
                  <c:v>44790</c:v>
                </c:pt>
                <c:pt idx="203">
                  <c:v>44791</c:v>
                </c:pt>
                <c:pt idx="204">
                  <c:v>44792</c:v>
                </c:pt>
                <c:pt idx="205">
                  <c:v>44795</c:v>
                </c:pt>
                <c:pt idx="206">
                  <c:v>44796</c:v>
                </c:pt>
                <c:pt idx="207">
                  <c:v>44797</c:v>
                </c:pt>
                <c:pt idx="208">
                  <c:v>44798</c:v>
                </c:pt>
                <c:pt idx="209">
                  <c:v>44799</c:v>
                </c:pt>
                <c:pt idx="210">
                  <c:v>44802</c:v>
                </c:pt>
                <c:pt idx="211">
                  <c:v>44803</c:v>
                </c:pt>
                <c:pt idx="212">
                  <c:v>44805</c:v>
                </c:pt>
                <c:pt idx="213">
                  <c:v>44806</c:v>
                </c:pt>
                <c:pt idx="214">
                  <c:v>44809</c:v>
                </c:pt>
                <c:pt idx="215">
                  <c:v>44810</c:v>
                </c:pt>
                <c:pt idx="216">
                  <c:v>44811</c:v>
                </c:pt>
                <c:pt idx="217">
                  <c:v>44812</c:v>
                </c:pt>
                <c:pt idx="218">
                  <c:v>44813</c:v>
                </c:pt>
                <c:pt idx="219">
                  <c:v>44816</c:v>
                </c:pt>
                <c:pt idx="220">
                  <c:v>44817</c:v>
                </c:pt>
                <c:pt idx="221">
                  <c:v>44818</c:v>
                </c:pt>
                <c:pt idx="222">
                  <c:v>44819</c:v>
                </c:pt>
                <c:pt idx="223">
                  <c:v>44820</c:v>
                </c:pt>
                <c:pt idx="224">
                  <c:v>44823</c:v>
                </c:pt>
                <c:pt idx="225">
                  <c:v>44824</c:v>
                </c:pt>
                <c:pt idx="226">
                  <c:v>44825</c:v>
                </c:pt>
                <c:pt idx="227">
                  <c:v>44826</c:v>
                </c:pt>
                <c:pt idx="228">
                  <c:v>44827</c:v>
                </c:pt>
                <c:pt idx="229">
                  <c:v>44830</c:v>
                </c:pt>
                <c:pt idx="230">
                  <c:v>44831</c:v>
                </c:pt>
                <c:pt idx="231">
                  <c:v>44832</c:v>
                </c:pt>
                <c:pt idx="232">
                  <c:v>44833</c:v>
                </c:pt>
                <c:pt idx="233">
                  <c:v>44834</c:v>
                </c:pt>
                <c:pt idx="234">
                  <c:v>44837</c:v>
                </c:pt>
                <c:pt idx="235">
                  <c:v>44838</c:v>
                </c:pt>
                <c:pt idx="236">
                  <c:v>44840</c:v>
                </c:pt>
                <c:pt idx="237">
                  <c:v>44841</c:v>
                </c:pt>
                <c:pt idx="238">
                  <c:v>44844</c:v>
                </c:pt>
                <c:pt idx="239">
                  <c:v>44845</c:v>
                </c:pt>
                <c:pt idx="240">
                  <c:v>44846</c:v>
                </c:pt>
                <c:pt idx="241">
                  <c:v>44847</c:v>
                </c:pt>
                <c:pt idx="242">
                  <c:v>44848</c:v>
                </c:pt>
                <c:pt idx="243">
                  <c:v>44851</c:v>
                </c:pt>
                <c:pt idx="244">
                  <c:v>44852</c:v>
                </c:pt>
                <c:pt idx="245">
                  <c:v>44853</c:v>
                </c:pt>
                <c:pt idx="246">
                  <c:v>44854</c:v>
                </c:pt>
                <c:pt idx="247">
                  <c:v>44855</c:v>
                </c:pt>
                <c:pt idx="248">
                  <c:v>44858</c:v>
                </c:pt>
                <c:pt idx="249">
                  <c:v>44859</c:v>
                </c:pt>
                <c:pt idx="250">
                  <c:v>44861</c:v>
                </c:pt>
                <c:pt idx="251">
                  <c:v>44862</c:v>
                </c:pt>
                <c:pt idx="252">
                  <c:v>44865</c:v>
                </c:pt>
                <c:pt idx="253">
                  <c:v>44866</c:v>
                </c:pt>
                <c:pt idx="254">
                  <c:v>44867</c:v>
                </c:pt>
                <c:pt idx="255">
                  <c:v>44868</c:v>
                </c:pt>
                <c:pt idx="256">
                  <c:v>44869</c:v>
                </c:pt>
                <c:pt idx="257">
                  <c:v>44872</c:v>
                </c:pt>
                <c:pt idx="258">
                  <c:v>44874</c:v>
                </c:pt>
                <c:pt idx="259">
                  <c:v>44875</c:v>
                </c:pt>
                <c:pt idx="260">
                  <c:v>44876</c:v>
                </c:pt>
                <c:pt idx="261">
                  <c:v>44879</c:v>
                </c:pt>
                <c:pt idx="262">
                  <c:v>44880</c:v>
                </c:pt>
                <c:pt idx="263">
                  <c:v>44881</c:v>
                </c:pt>
                <c:pt idx="264">
                  <c:v>44882</c:v>
                </c:pt>
                <c:pt idx="265">
                  <c:v>44883</c:v>
                </c:pt>
                <c:pt idx="266">
                  <c:v>44886</c:v>
                </c:pt>
                <c:pt idx="267">
                  <c:v>44887</c:v>
                </c:pt>
                <c:pt idx="268">
                  <c:v>44888</c:v>
                </c:pt>
                <c:pt idx="269">
                  <c:v>44889</c:v>
                </c:pt>
                <c:pt idx="270">
                  <c:v>44890</c:v>
                </c:pt>
                <c:pt idx="271">
                  <c:v>44893</c:v>
                </c:pt>
                <c:pt idx="272">
                  <c:v>44894</c:v>
                </c:pt>
                <c:pt idx="273">
                  <c:v>44895</c:v>
                </c:pt>
                <c:pt idx="274">
                  <c:v>44896</c:v>
                </c:pt>
                <c:pt idx="275">
                  <c:v>44897</c:v>
                </c:pt>
                <c:pt idx="276">
                  <c:v>44900</c:v>
                </c:pt>
                <c:pt idx="277">
                  <c:v>44901</c:v>
                </c:pt>
                <c:pt idx="278">
                  <c:v>44902</c:v>
                </c:pt>
                <c:pt idx="279">
                  <c:v>44903</c:v>
                </c:pt>
                <c:pt idx="280">
                  <c:v>44904</c:v>
                </c:pt>
                <c:pt idx="281">
                  <c:v>44907</c:v>
                </c:pt>
                <c:pt idx="282">
                  <c:v>44908</c:v>
                </c:pt>
                <c:pt idx="283">
                  <c:v>44909</c:v>
                </c:pt>
                <c:pt idx="284">
                  <c:v>44910</c:v>
                </c:pt>
                <c:pt idx="285">
                  <c:v>44911</c:v>
                </c:pt>
                <c:pt idx="286">
                  <c:v>44914</c:v>
                </c:pt>
                <c:pt idx="287">
                  <c:v>44915</c:v>
                </c:pt>
                <c:pt idx="288">
                  <c:v>44916</c:v>
                </c:pt>
                <c:pt idx="289">
                  <c:v>44917</c:v>
                </c:pt>
                <c:pt idx="290">
                  <c:v>44918</c:v>
                </c:pt>
                <c:pt idx="291">
                  <c:v>44921</c:v>
                </c:pt>
                <c:pt idx="292">
                  <c:v>44922</c:v>
                </c:pt>
                <c:pt idx="293">
                  <c:v>44923</c:v>
                </c:pt>
                <c:pt idx="294">
                  <c:v>44924</c:v>
                </c:pt>
                <c:pt idx="295">
                  <c:v>44925</c:v>
                </c:pt>
                <c:pt idx="296">
                  <c:v>44928</c:v>
                </c:pt>
                <c:pt idx="297">
                  <c:v>44929</c:v>
                </c:pt>
                <c:pt idx="298">
                  <c:v>44930</c:v>
                </c:pt>
                <c:pt idx="299">
                  <c:v>44931</c:v>
                </c:pt>
                <c:pt idx="300">
                  <c:v>44932</c:v>
                </c:pt>
                <c:pt idx="301">
                  <c:v>44935</c:v>
                </c:pt>
                <c:pt idx="302">
                  <c:v>44936</c:v>
                </c:pt>
                <c:pt idx="303">
                  <c:v>44937</c:v>
                </c:pt>
                <c:pt idx="304">
                  <c:v>44938</c:v>
                </c:pt>
                <c:pt idx="305">
                  <c:v>44939</c:v>
                </c:pt>
                <c:pt idx="306">
                  <c:v>44942</c:v>
                </c:pt>
                <c:pt idx="307">
                  <c:v>44943</c:v>
                </c:pt>
                <c:pt idx="308">
                  <c:v>44944</c:v>
                </c:pt>
                <c:pt idx="309">
                  <c:v>44945</c:v>
                </c:pt>
                <c:pt idx="310">
                  <c:v>44946</c:v>
                </c:pt>
                <c:pt idx="311">
                  <c:v>44949</c:v>
                </c:pt>
                <c:pt idx="312">
                  <c:v>44950</c:v>
                </c:pt>
                <c:pt idx="313">
                  <c:v>44951</c:v>
                </c:pt>
                <c:pt idx="314">
                  <c:v>44953</c:v>
                </c:pt>
                <c:pt idx="315">
                  <c:v>44956</c:v>
                </c:pt>
                <c:pt idx="316">
                  <c:v>44957</c:v>
                </c:pt>
                <c:pt idx="317">
                  <c:v>44958</c:v>
                </c:pt>
                <c:pt idx="318">
                  <c:v>44959</c:v>
                </c:pt>
                <c:pt idx="319">
                  <c:v>44960</c:v>
                </c:pt>
                <c:pt idx="320">
                  <c:v>44963</c:v>
                </c:pt>
                <c:pt idx="321">
                  <c:v>44964</c:v>
                </c:pt>
                <c:pt idx="322">
                  <c:v>44965</c:v>
                </c:pt>
                <c:pt idx="323">
                  <c:v>44966</c:v>
                </c:pt>
                <c:pt idx="324">
                  <c:v>44967</c:v>
                </c:pt>
                <c:pt idx="325">
                  <c:v>44970</c:v>
                </c:pt>
                <c:pt idx="326">
                  <c:v>44971</c:v>
                </c:pt>
                <c:pt idx="327">
                  <c:v>44972</c:v>
                </c:pt>
                <c:pt idx="328">
                  <c:v>44973</c:v>
                </c:pt>
                <c:pt idx="329">
                  <c:v>44974</c:v>
                </c:pt>
                <c:pt idx="330">
                  <c:v>44977</c:v>
                </c:pt>
                <c:pt idx="331">
                  <c:v>44978</c:v>
                </c:pt>
                <c:pt idx="332">
                  <c:v>44979</c:v>
                </c:pt>
                <c:pt idx="333">
                  <c:v>44980</c:v>
                </c:pt>
                <c:pt idx="334">
                  <c:v>44981</c:v>
                </c:pt>
                <c:pt idx="335">
                  <c:v>44984</c:v>
                </c:pt>
                <c:pt idx="336">
                  <c:v>44985</c:v>
                </c:pt>
                <c:pt idx="337">
                  <c:v>44986</c:v>
                </c:pt>
                <c:pt idx="338">
                  <c:v>44987</c:v>
                </c:pt>
                <c:pt idx="339">
                  <c:v>44988</c:v>
                </c:pt>
                <c:pt idx="340">
                  <c:v>44991</c:v>
                </c:pt>
                <c:pt idx="341">
                  <c:v>44993</c:v>
                </c:pt>
                <c:pt idx="342">
                  <c:v>44994</c:v>
                </c:pt>
                <c:pt idx="343">
                  <c:v>44995</c:v>
                </c:pt>
                <c:pt idx="344">
                  <c:v>44998</c:v>
                </c:pt>
                <c:pt idx="345">
                  <c:v>44999</c:v>
                </c:pt>
                <c:pt idx="346">
                  <c:v>45000</c:v>
                </c:pt>
                <c:pt idx="347">
                  <c:v>45001</c:v>
                </c:pt>
                <c:pt idx="348">
                  <c:v>45002</c:v>
                </c:pt>
                <c:pt idx="349">
                  <c:v>45005</c:v>
                </c:pt>
                <c:pt idx="350">
                  <c:v>45006</c:v>
                </c:pt>
                <c:pt idx="351">
                  <c:v>45007</c:v>
                </c:pt>
                <c:pt idx="352">
                  <c:v>45008</c:v>
                </c:pt>
                <c:pt idx="353">
                  <c:v>45009</c:v>
                </c:pt>
                <c:pt idx="354">
                  <c:v>45012</c:v>
                </c:pt>
                <c:pt idx="355">
                  <c:v>45013</c:v>
                </c:pt>
                <c:pt idx="356">
                  <c:v>45014</c:v>
                </c:pt>
                <c:pt idx="357">
                  <c:v>45016</c:v>
                </c:pt>
                <c:pt idx="358">
                  <c:v>45019</c:v>
                </c:pt>
                <c:pt idx="359">
                  <c:v>45021</c:v>
                </c:pt>
                <c:pt idx="360">
                  <c:v>45022</c:v>
                </c:pt>
                <c:pt idx="361">
                  <c:v>45026</c:v>
                </c:pt>
                <c:pt idx="362">
                  <c:v>45027</c:v>
                </c:pt>
                <c:pt idx="363">
                  <c:v>45028</c:v>
                </c:pt>
                <c:pt idx="364">
                  <c:v>45029</c:v>
                </c:pt>
                <c:pt idx="365">
                  <c:v>45033</c:v>
                </c:pt>
                <c:pt idx="366">
                  <c:v>45034</c:v>
                </c:pt>
                <c:pt idx="367">
                  <c:v>45035</c:v>
                </c:pt>
                <c:pt idx="368">
                  <c:v>45036</c:v>
                </c:pt>
                <c:pt idx="369">
                  <c:v>45037</c:v>
                </c:pt>
                <c:pt idx="370">
                  <c:v>45040</c:v>
                </c:pt>
                <c:pt idx="371">
                  <c:v>45041</c:v>
                </c:pt>
                <c:pt idx="372">
                  <c:v>45042</c:v>
                </c:pt>
                <c:pt idx="373">
                  <c:v>45043</c:v>
                </c:pt>
                <c:pt idx="374">
                  <c:v>45044</c:v>
                </c:pt>
                <c:pt idx="375">
                  <c:v>45048</c:v>
                </c:pt>
                <c:pt idx="376">
                  <c:v>45049</c:v>
                </c:pt>
                <c:pt idx="377">
                  <c:v>45050</c:v>
                </c:pt>
                <c:pt idx="378">
                  <c:v>45051</c:v>
                </c:pt>
                <c:pt idx="379">
                  <c:v>45054</c:v>
                </c:pt>
                <c:pt idx="380">
                  <c:v>45055</c:v>
                </c:pt>
                <c:pt idx="381">
                  <c:v>45056</c:v>
                </c:pt>
                <c:pt idx="382">
                  <c:v>45057</c:v>
                </c:pt>
                <c:pt idx="383">
                  <c:v>45058</c:v>
                </c:pt>
                <c:pt idx="384">
                  <c:v>45061</c:v>
                </c:pt>
                <c:pt idx="385">
                  <c:v>45062</c:v>
                </c:pt>
                <c:pt idx="386">
                  <c:v>45063</c:v>
                </c:pt>
                <c:pt idx="387">
                  <c:v>45064</c:v>
                </c:pt>
                <c:pt idx="388">
                  <c:v>45065</c:v>
                </c:pt>
                <c:pt idx="389">
                  <c:v>45068</c:v>
                </c:pt>
                <c:pt idx="390">
                  <c:v>45069</c:v>
                </c:pt>
                <c:pt idx="391">
                  <c:v>45070</c:v>
                </c:pt>
                <c:pt idx="392">
                  <c:v>45071</c:v>
                </c:pt>
                <c:pt idx="393">
                  <c:v>45072</c:v>
                </c:pt>
                <c:pt idx="394">
                  <c:v>45075</c:v>
                </c:pt>
                <c:pt idx="395">
                  <c:v>45076</c:v>
                </c:pt>
                <c:pt idx="396">
                  <c:v>45077</c:v>
                </c:pt>
                <c:pt idx="397">
                  <c:v>45078</c:v>
                </c:pt>
                <c:pt idx="398">
                  <c:v>45079</c:v>
                </c:pt>
                <c:pt idx="399">
                  <c:v>45082</c:v>
                </c:pt>
                <c:pt idx="400">
                  <c:v>45083</c:v>
                </c:pt>
                <c:pt idx="401">
                  <c:v>45084</c:v>
                </c:pt>
                <c:pt idx="402">
                  <c:v>45085</c:v>
                </c:pt>
                <c:pt idx="403">
                  <c:v>45086</c:v>
                </c:pt>
                <c:pt idx="404">
                  <c:v>45089</c:v>
                </c:pt>
                <c:pt idx="405">
                  <c:v>45090</c:v>
                </c:pt>
                <c:pt idx="406">
                  <c:v>45091</c:v>
                </c:pt>
                <c:pt idx="407">
                  <c:v>45092</c:v>
                </c:pt>
                <c:pt idx="408">
                  <c:v>45093</c:v>
                </c:pt>
                <c:pt idx="409">
                  <c:v>45096</c:v>
                </c:pt>
                <c:pt idx="410">
                  <c:v>45097</c:v>
                </c:pt>
                <c:pt idx="411">
                  <c:v>45098</c:v>
                </c:pt>
                <c:pt idx="412">
                  <c:v>45099</c:v>
                </c:pt>
                <c:pt idx="413">
                  <c:v>45100</c:v>
                </c:pt>
                <c:pt idx="414">
                  <c:v>45103</c:v>
                </c:pt>
                <c:pt idx="415">
                  <c:v>45104</c:v>
                </c:pt>
                <c:pt idx="416">
                  <c:v>45105</c:v>
                </c:pt>
                <c:pt idx="417">
                  <c:v>45107</c:v>
                </c:pt>
                <c:pt idx="418">
                  <c:v>45110</c:v>
                </c:pt>
                <c:pt idx="419">
                  <c:v>45111</c:v>
                </c:pt>
                <c:pt idx="420">
                  <c:v>45112</c:v>
                </c:pt>
                <c:pt idx="421">
                  <c:v>45113</c:v>
                </c:pt>
                <c:pt idx="422">
                  <c:v>45114</c:v>
                </c:pt>
                <c:pt idx="423">
                  <c:v>45117</c:v>
                </c:pt>
                <c:pt idx="424">
                  <c:v>45118</c:v>
                </c:pt>
                <c:pt idx="425">
                  <c:v>45119</c:v>
                </c:pt>
                <c:pt idx="426">
                  <c:v>45120</c:v>
                </c:pt>
                <c:pt idx="427">
                  <c:v>45121</c:v>
                </c:pt>
                <c:pt idx="428">
                  <c:v>45124</c:v>
                </c:pt>
                <c:pt idx="429">
                  <c:v>45125</c:v>
                </c:pt>
                <c:pt idx="430">
                  <c:v>45126</c:v>
                </c:pt>
                <c:pt idx="431">
                  <c:v>45127</c:v>
                </c:pt>
                <c:pt idx="432">
                  <c:v>45128</c:v>
                </c:pt>
                <c:pt idx="433">
                  <c:v>45131</c:v>
                </c:pt>
                <c:pt idx="434">
                  <c:v>45132</c:v>
                </c:pt>
                <c:pt idx="435">
                  <c:v>45133</c:v>
                </c:pt>
                <c:pt idx="436">
                  <c:v>45134</c:v>
                </c:pt>
                <c:pt idx="437">
                  <c:v>45135</c:v>
                </c:pt>
                <c:pt idx="438">
                  <c:v>45138</c:v>
                </c:pt>
                <c:pt idx="439">
                  <c:v>45139</c:v>
                </c:pt>
                <c:pt idx="440">
                  <c:v>45140</c:v>
                </c:pt>
                <c:pt idx="441">
                  <c:v>45141</c:v>
                </c:pt>
                <c:pt idx="442">
                  <c:v>45142</c:v>
                </c:pt>
                <c:pt idx="443">
                  <c:v>45145</c:v>
                </c:pt>
                <c:pt idx="444">
                  <c:v>45146</c:v>
                </c:pt>
                <c:pt idx="445">
                  <c:v>45147</c:v>
                </c:pt>
                <c:pt idx="446">
                  <c:v>45148</c:v>
                </c:pt>
                <c:pt idx="447">
                  <c:v>45149</c:v>
                </c:pt>
                <c:pt idx="448">
                  <c:v>45152</c:v>
                </c:pt>
                <c:pt idx="449">
                  <c:v>45154</c:v>
                </c:pt>
                <c:pt idx="450">
                  <c:v>45155</c:v>
                </c:pt>
                <c:pt idx="451">
                  <c:v>45156</c:v>
                </c:pt>
                <c:pt idx="452">
                  <c:v>45159</c:v>
                </c:pt>
                <c:pt idx="453">
                  <c:v>45160</c:v>
                </c:pt>
                <c:pt idx="454">
                  <c:v>45161</c:v>
                </c:pt>
                <c:pt idx="455">
                  <c:v>45162</c:v>
                </c:pt>
                <c:pt idx="456">
                  <c:v>45163</c:v>
                </c:pt>
                <c:pt idx="457">
                  <c:v>45166</c:v>
                </c:pt>
                <c:pt idx="458">
                  <c:v>45167</c:v>
                </c:pt>
                <c:pt idx="459">
                  <c:v>45168</c:v>
                </c:pt>
                <c:pt idx="460">
                  <c:v>45169</c:v>
                </c:pt>
                <c:pt idx="461">
                  <c:v>45170</c:v>
                </c:pt>
                <c:pt idx="462">
                  <c:v>45173</c:v>
                </c:pt>
                <c:pt idx="463">
                  <c:v>45174</c:v>
                </c:pt>
                <c:pt idx="464">
                  <c:v>45175</c:v>
                </c:pt>
                <c:pt idx="465">
                  <c:v>45176</c:v>
                </c:pt>
                <c:pt idx="466">
                  <c:v>45177</c:v>
                </c:pt>
                <c:pt idx="467">
                  <c:v>45180</c:v>
                </c:pt>
                <c:pt idx="468">
                  <c:v>45181</c:v>
                </c:pt>
                <c:pt idx="469">
                  <c:v>45182</c:v>
                </c:pt>
                <c:pt idx="470">
                  <c:v>45183</c:v>
                </c:pt>
                <c:pt idx="471">
                  <c:v>45184</c:v>
                </c:pt>
                <c:pt idx="472">
                  <c:v>45187</c:v>
                </c:pt>
                <c:pt idx="473">
                  <c:v>45189</c:v>
                </c:pt>
                <c:pt idx="474">
                  <c:v>45190</c:v>
                </c:pt>
                <c:pt idx="475">
                  <c:v>45191</c:v>
                </c:pt>
                <c:pt idx="476">
                  <c:v>45194</c:v>
                </c:pt>
                <c:pt idx="477">
                  <c:v>45195</c:v>
                </c:pt>
                <c:pt idx="478">
                  <c:v>45196</c:v>
                </c:pt>
                <c:pt idx="479">
                  <c:v>45197</c:v>
                </c:pt>
                <c:pt idx="480">
                  <c:v>45198</c:v>
                </c:pt>
                <c:pt idx="481">
                  <c:v>45202</c:v>
                </c:pt>
                <c:pt idx="482">
                  <c:v>45203</c:v>
                </c:pt>
                <c:pt idx="483">
                  <c:v>45204</c:v>
                </c:pt>
                <c:pt idx="484">
                  <c:v>45205</c:v>
                </c:pt>
                <c:pt idx="485">
                  <c:v>45208</c:v>
                </c:pt>
                <c:pt idx="486">
                  <c:v>45209</c:v>
                </c:pt>
                <c:pt idx="487">
                  <c:v>45210</c:v>
                </c:pt>
                <c:pt idx="488">
                  <c:v>45211</c:v>
                </c:pt>
                <c:pt idx="489">
                  <c:v>45212</c:v>
                </c:pt>
                <c:pt idx="490">
                  <c:v>45215</c:v>
                </c:pt>
                <c:pt idx="491">
                  <c:v>45216</c:v>
                </c:pt>
                <c:pt idx="492">
                  <c:v>45217</c:v>
                </c:pt>
                <c:pt idx="493">
                  <c:v>45218</c:v>
                </c:pt>
                <c:pt idx="494">
                  <c:v>45219</c:v>
                </c:pt>
                <c:pt idx="495">
                  <c:v>45222</c:v>
                </c:pt>
                <c:pt idx="496">
                  <c:v>45224</c:v>
                </c:pt>
                <c:pt idx="497">
                  <c:v>45225</c:v>
                </c:pt>
                <c:pt idx="498">
                  <c:v>45226</c:v>
                </c:pt>
                <c:pt idx="499">
                  <c:v>45229</c:v>
                </c:pt>
                <c:pt idx="500">
                  <c:v>45230</c:v>
                </c:pt>
                <c:pt idx="501">
                  <c:v>45231</c:v>
                </c:pt>
                <c:pt idx="502">
                  <c:v>45232</c:v>
                </c:pt>
                <c:pt idx="503">
                  <c:v>45233</c:v>
                </c:pt>
                <c:pt idx="504">
                  <c:v>45236</c:v>
                </c:pt>
                <c:pt idx="505">
                  <c:v>45237</c:v>
                </c:pt>
                <c:pt idx="506">
                  <c:v>45238</c:v>
                </c:pt>
                <c:pt idx="507">
                  <c:v>45239</c:v>
                </c:pt>
                <c:pt idx="508">
                  <c:v>45240</c:v>
                </c:pt>
                <c:pt idx="509">
                  <c:v>45242</c:v>
                </c:pt>
                <c:pt idx="510">
                  <c:v>45243</c:v>
                </c:pt>
                <c:pt idx="511">
                  <c:v>45245</c:v>
                </c:pt>
                <c:pt idx="512">
                  <c:v>45246</c:v>
                </c:pt>
                <c:pt idx="513">
                  <c:v>45247</c:v>
                </c:pt>
                <c:pt idx="514">
                  <c:v>45250</c:v>
                </c:pt>
                <c:pt idx="515">
                  <c:v>45251</c:v>
                </c:pt>
                <c:pt idx="516">
                  <c:v>45252</c:v>
                </c:pt>
                <c:pt idx="517">
                  <c:v>45253</c:v>
                </c:pt>
                <c:pt idx="518">
                  <c:v>45254</c:v>
                </c:pt>
                <c:pt idx="519">
                  <c:v>45258</c:v>
                </c:pt>
                <c:pt idx="520">
                  <c:v>45259</c:v>
                </c:pt>
                <c:pt idx="521">
                  <c:v>45260</c:v>
                </c:pt>
                <c:pt idx="522">
                  <c:v>45261</c:v>
                </c:pt>
                <c:pt idx="523">
                  <c:v>45264</c:v>
                </c:pt>
                <c:pt idx="524">
                  <c:v>45265</c:v>
                </c:pt>
                <c:pt idx="525">
                  <c:v>45266</c:v>
                </c:pt>
                <c:pt idx="526">
                  <c:v>45267</c:v>
                </c:pt>
                <c:pt idx="527">
                  <c:v>45268</c:v>
                </c:pt>
                <c:pt idx="528">
                  <c:v>45271</c:v>
                </c:pt>
                <c:pt idx="529">
                  <c:v>45272</c:v>
                </c:pt>
                <c:pt idx="530">
                  <c:v>45273</c:v>
                </c:pt>
                <c:pt idx="531">
                  <c:v>45274</c:v>
                </c:pt>
                <c:pt idx="532">
                  <c:v>45275</c:v>
                </c:pt>
                <c:pt idx="533">
                  <c:v>45278</c:v>
                </c:pt>
                <c:pt idx="534">
                  <c:v>45279</c:v>
                </c:pt>
                <c:pt idx="535">
                  <c:v>45280</c:v>
                </c:pt>
                <c:pt idx="536">
                  <c:v>45281</c:v>
                </c:pt>
                <c:pt idx="537">
                  <c:v>45282</c:v>
                </c:pt>
                <c:pt idx="538">
                  <c:v>45286</c:v>
                </c:pt>
                <c:pt idx="539">
                  <c:v>45287</c:v>
                </c:pt>
                <c:pt idx="540">
                  <c:v>45288</c:v>
                </c:pt>
                <c:pt idx="541">
                  <c:v>45289</c:v>
                </c:pt>
                <c:pt idx="542">
                  <c:v>45292</c:v>
                </c:pt>
                <c:pt idx="543">
                  <c:v>45293</c:v>
                </c:pt>
                <c:pt idx="544">
                  <c:v>45294</c:v>
                </c:pt>
                <c:pt idx="545">
                  <c:v>45295</c:v>
                </c:pt>
                <c:pt idx="546">
                  <c:v>45296</c:v>
                </c:pt>
                <c:pt idx="547">
                  <c:v>45299</c:v>
                </c:pt>
                <c:pt idx="548">
                  <c:v>45300</c:v>
                </c:pt>
                <c:pt idx="549">
                  <c:v>45301</c:v>
                </c:pt>
                <c:pt idx="550">
                  <c:v>45302</c:v>
                </c:pt>
                <c:pt idx="551">
                  <c:v>45303</c:v>
                </c:pt>
                <c:pt idx="552">
                  <c:v>45306</c:v>
                </c:pt>
                <c:pt idx="553">
                  <c:v>45307</c:v>
                </c:pt>
                <c:pt idx="554">
                  <c:v>45308</c:v>
                </c:pt>
                <c:pt idx="555">
                  <c:v>45309</c:v>
                </c:pt>
                <c:pt idx="556">
                  <c:v>45310</c:v>
                </c:pt>
                <c:pt idx="557">
                  <c:v>45311</c:v>
                </c:pt>
                <c:pt idx="558">
                  <c:v>45314</c:v>
                </c:pt>
                <c:pt idx="559">
                  <c:v>45315</c:v>
                </c:pt>
                <c:pt idx="560">
                  <c:v>45316</c:v>
                </c:pt>
                <c:pt idx="561">
                  <c:v>45320</c:v>
                </c:pt>
                <c:pt idx="562">
                  <c:v>45321</c:v>
                </c:pt>
                <c:pt idx="563">
                  <c:v>45322</c:v>
                </c:pt>
                <c:pt idx="564">
                  <c:v>45323</c:v>
                </c:pt>
                <c:pt idx="565">
                  <c:v>45324</c:v>
                </c:pt>
                <c:pt idx="566">
                  <c:v>45327</c:v>
                </c:pt>
                <c:pt idx="567">
                  <c:v>45328</c:v>
                </c:pt>
                <c:pt idx="568">
                  <c:v>45329</c:v>
                </c:pt>
                <c:pt idx="569">
                  <c:v>45330</c:v>
                </c:pt>
                <c:pt idx="570">
                  <c:v>45331</c:v>
                </c:pt>
                <c:pt idx="571">
                  <c:v>45334</c:v>
                </c:pt>
                <c:pt idx="572">
                  <c:v>45335</c:v>
                </c:pt>
                <c:pt idx="573">
                  <c:v>45336</c:v>
                </c:pt>
                <c:pt idx="574">
                  <c:v>45337</c:v>
                </c:pt>
                <c:pt idx="575">
                  <c:v>45338</c:v>
                </c:pt>
                <c:pt idx="576">
                  <c:v>45341</c:v>
                </c:pt>
                <c:pt idx="577">
                  <c:v>45342</c:v>
                </c:pt>
                <c:pt idx="578">
                  <c:v>45343</c:v>
                </c:pt>
                <c:pt idx="579">
                  <c:v>45344</c:v>
                </c:pt>
                <c:pt idx="580">
                  <c:v>45345</c:v>
                </c:pt>
                <c:pt idx="581">
                  <c:v>45348</c:v>
                </c:pt>
                <c:pt idx="582">
                  <c:v>45349</c:v>
                </c:pt>
                <c:pt idx="583">
                  <c:v>45350</c:v>
                </c:pt>
                <c:pt idx="584">
                  <c:v>45351</c:v>
                </c:pt>
                <c:pt idx="585">
                  <c:v>45352</c:v>
                </c:pt>
                <c:pt idx="586">
                  <c:v>45355</c:v>
                </c:pt>
                <c:pt idx="587">
                  <c:v>45356</c:v>
                </c:pt>
                <c:pt idx="588">
                  <c:v>45357</c:v>
                </c:pt>
                <c:pt idx="589">
                  <c:v>45358</c:v>
                </c:pt>
                <c:pt idx="590">
                  <c:v>45362</c:v>
                </c:pt>
                <c:pt idx="591">
                  <c:v>45363</c:v>
                </c:pt>
                <c:pt idx="592">
                  <c:v>45364</c:v>
                </c:pt>
                <c:pt idx="593">
                  <c:v>45365</c:v>
                </c:pt>
                <c:pt idx="594">
                  <c:v>45366</c:v>
                </c:pt>
                <c:pt idx="595">
                  <c:v>45369</c:v>
                </c:pt>
                <c:pt idx="596">
                  <c:v>45370</c:v>
                </c:pt>
                <c:pt idx="597">
                  <c:v>45371</c:v>
                </c:pt>
                <c:pt idx="598">
                  <c:v>45372</c:v>
                </c:pt>
                <c:pt idx="599">
                  <c:v>45373</c:v>
                </c:pt>
                <c:pt idx="600">
                  <c:v>45377</c:v>
                </c:pt>
                <c:pt idx="601">
                  <c:v>45378</c:v>
                </c:pt>
                <c:pt idx="602">
                  <c:v>45379</c:v>
                </c:pt>
                <c:pt idx="603">
                  <c:v>45383</c:v>
                </c:pt>
                <c:pt idx="604">
                  <c:v>45384</c:v>
                </c:pt>
                <c:pt idx="605">
                  <c:v>45385</c:v>
                </c:pt>
                <c:pt idx="606">
                  <c:v>45386</c:v>
                </c:pt>
                <c:pt idx="607">
                  <c:v>45387</c:v>
                </c:pt>
                <c:pt idx="608">
                  <c:v>45390</c:v>
                </c:pt>
                <c:pt idx="609">
                  <c:v>45391</c:v>
                </c:pt>
                <c:pt idx="610">
                  <c:v>45392</c:v>
                </c:pt>
                <c:pt idx="611">
                  <c:v>45394</c:v>
                </c:pt>
                <c:pt idx="612">
                  <c:v>45397</c:v>
                </c:pt>
                <c:pt idx="613">
                  <c:v>45398</c:v>
                </c:pt>
                <c:pt idx="614">
                  <c:v>45400</c:v>
                </c:pt>
                <c:pt idx="615">
                  <c:v>45401</c:v>
                </c:pt>
                <c:pt idx="616">
                  <c:v>45404</c:v>
                </c:pt>
                <c:pt idx="617">
                  <c:v>45405</c:v>
                </c:pt>
                <c:pt idx="618">
                  <c:v>45406</c:v>
                </c:pt>
                <c:pt idx="619">
                  <c:v>45407</c:v>
                </c:pt>
                <c:pt idx="620">
                  <c:v>45408</c:v>
                </c:pt>
                <c:pt idx="621">
                  <c:v>45411</c:v>
                </c:pt>
                <c:pt idx="622">
                  <c:v>45412</c:v>
                </c:pt>
                <c:pt idx="623">
                  <c:v>45414</c:v>
                </c:pt>
                <c:pt idx="624">
                  <c:v>45415</c:v>
                </c:pt>
                <c:pt idx="625">
                  <c:v>45418</c:v>
                </c:pt>
                <c:pt idx="626">
                  <c:v>45419</c:v>
                </c:pt>
                <c:pt idx="627">
                  <c:v>45420</c:v>
                </c:pt>
                <c:pt idx="628">
                  <c:v>45421</c:v>
                </c:pt>
                <c:pt idx="629">
                  <c:v>45422</c:v>
                </c:pt>
                <c:pt idx="630">
                  <c:v>45425</c:v>
                </c:pt>
                <c:pt idx="631">
                  <c:v>45426</c:v>
                </c:pt>
                <c:pt idx="632">
                  <c:v>45427</c:v>
                </c:pt>
                <c:pt idx="633">
                  <c:v>45428</c:v>
                </c:pt>
                <c:pt idx="634">
                  <c:v>45429</c:v>
                </c:pt>
                <c:pt idx="635">
                  <c:v>45430</c:v>
                </c:pt>
                <c:pt idx="636">
                  <c:v>45433</c:v>
                </c:pt>
                <c:pt idx="637">
                  <c:v>45434</c:v>
                </c:pt>
                <c:pt idx="638">
                  <c:v>45435</c:v>
                </c:pt>
                <c:pt idx="639">
                  <c:v>45436</c:v>
                </c:pt>
                <c:pt idx="640">
                  <c:v>45439</c:v>
                </c:pt>
                <c:pt idx="641">
                  <c:v>45440</c:v>
                </c:pt>
                <c:pt idx="642">
                  <c:v>45441</c:v>
                </c:pt>
                <c:pt idx="643">
                  <c:v>45442</c:v>
                </c:pt>
                <c:pt idx="644">
                  <c:v>45443</c:v>
                </c:pt>
                <c:pt idx="645">
                  <c:v>45446</c:v>
                </c:pt>
                <c:pt idx="646">
                  <c:v>45447</c:v>
                </c:pt>
                <c:pt idx="647">
                  <c:v>45448</c:v>
                </c:pt>
                <c:pt idx="648">
                  <c:v>45449</c:v>
                </c:pt>
                <c:pt idx="649">
                  <c:v>45450</c:v>
                </c:pt>
                <c:pt idx="650">
                  <c:v>45453</c:v>
                </c:pt>
                <c:pt idx="651">
                  <c:v>45454</c:v>
                </c:pt>
                <c:pt idx="652">
                  <c:v>45455</c:v>
                </c:pt>
                <c:pt idx="653">
                  <c:v>45456</c:v>
                </c:pt>
                <c:pt idx="654">
                  <c:v>45457</c:v>
                </c:pt>
                <c:pt idx="655">
                  <c:v>45461</c:v>
                </c:pt>
                <c:pt idx="656">
                  <c:v>45462</c:v>
                </c:pt>
                <c:pt idx="657">
                  <c:v>45463</c:v>
                </c:pt>
                <c:pt idx="658">
                  <c:v>45464</c:v>
                </c:pt>
                <c:pt idx="659">
                  <c:v>45467</c:v>
                </c:pt>
                <c:pt idx="660">
                  <c:v>45468</c:v>
                </c:pt>
                <c:pt idx="661">
                  <c:v>45469</c:v>
                </c:pt>
                <c:pt idx="662">
                  <c:v>45470</c:v>
                </c:pt>
                <c:pt idx="663">
                  <c:v>45471</c:v>
                </c:pt>
                <c:pt idx="664">
                  <c:v>45474</c:v>
                </c:pt>
                <c:pt idx="665">
                  <c:v>45475</c:v>
                </c:pt>
                <c:pt idx="666">
                  <c:v>45476</c:v>
                </c:pt>
                <c:pt idx="667">
                  <c:v>45477</c:v>
                </c:pt>
                <c:pt idx="668">
                  <c:v>45478</c:v>
                </c:pt>
                <c:pt idx="669">
                  <c:v>45481</c:v>
                </c:pt>
                <c:pt idx="670">
                  <c:v>45482</c:v>
                </c:pt>
                <c:pt idx="671">
                  <c:v>45483</c:v>
                </c:pt>
                <c:pt idx="672">
                  <c:v>45484</c:v>
                </c:pt>
                <c:pt idx="673">
                  <c:v>45485</c:v>
                </c:pt>
                <c:pt idx="674">
                  <c:v>45488</c:v>
                </c:pt>
                <c:pt idx="675">
                  <c:v>45489</c:v>
                </c:pt>
                <c:pt idx="676">
                  <c:v>45491</c:v>
                </c:pt>
                <c:pt idx="677">
                  <c:v>45492</c:v>
                </c:pt>
                <c:pt idx="678">
                  <c:v>45495</c:v>
                </c:pt>
                <c:pt idx="679">
                  <c:v>45496</c:v>
                </c:pt>
                <c:pt idx="680">
                  <c:v>45497</c:v>
                </c:pt>
                <c:pt idx="681">
                  <c:v>45498</c:v>
                </c:pt>
                <c:pt idx="682">
                  <c:v>45499</c:v>
                </c:pt>
                <c:pt idx="683">
                  <c:v>45502</c:v>
                </c:pt>
                <c:pt idx="684">
                  <c:v>45503</c:v>
                </c:pt>
                <c:pt idx="685">
                  <c:v>45504</c:v>
                </c:pt>
                <c:pt idx="686">
                  <c:v>45505</c:v>
                </c:pt>
                <c:pt idx="687">
                  <c:v>45506</c:v>
                </c:pt>
                <c:pt idx="688">
                  <c:v>45509</c:v>
                </c:pt>
                <c:pt idx="689">
                  <c:v>45510</c:v>
                </c:pt>
                <c:pt idx="690">
                  <c:v>45511</c:v>
                </c:pt>
                <c:pt idx="691">
                  <c:v>45512</c:v>
                </c:pt>
                <c:pt idx="692">
                  <c:v>45513</c:v>
                </c:pt>
                <c:pt idx="693">
                  <c:v>45516</c:v>
                </c:pt>
                <c:pt idx="694">
                  <c:v>45517</c:v>
                </c:pt>
                <c:pt idx="695">
                  <c:v>45518</c:v>
                </c:pt>
                <c:pt idx="696">
                  <c:v>45520</c:v>
                </c:pt>
                <c:pt idx="697">
                  <c:v>45523</c:v>
                </c:pt>
                <c:pt idx="698">
                  <c:v>45524</c:v>
                </c:pt>
                <c:pt idx="699">
                  <c:v>45525</c:v>
                </c:pt>
                <c:pt idx="700">
                  <c:v>45526</c:v>
                </c:pt>
                <c:pt idx="701">
                  <c:v>45527</c:v>
                </c:pt>
                <c:pt idx="702">
                  <c:v>45530</c:v>
                </c:pt>
                <c:pt idx="703">
                  <c:v>45531</c:v>
                </c:pt>
                <c:pt idx="704">
                  <c:v>45532</c:v>
                </c:pt>
                <c:pt idx="705">
                  <c:v>45533</c:v>
                </c:pt>
                <c:pt idx="706">
                  <c:v>45534</c:v>
                </c:pt>
                <c:pt idx="707">
                  <c:v>45537</c:v>
                </c:pt>
                <c:pt idx="708">
                  <c:v>45538</c:v>
                </c:pt>
                <c:pt idx="709">
                  <c:v>45539</c:v>
                </c:pt>
                <c:pt idx="710">
                  <c:v>45540</c:v>
                </c:pt>
                <c:pt idx="711">
                  <c:v>45541</c:v>
                </c:pt>
                <c:pt idx="712">
                  <c:v>45544</c:v>
                </c:pt>
                <c:pt idx="713">
                  <c:v>45545</c:v>
                </c:pt>
                <c:pt idx="714">
                  <c:v>45546</c:v>
                </c:pt>
                <c:pt idx="715">
                  <c:v>45547</c:v>
                </c:pt>
                <c:pt idx="716">
                  <c:v>45548</c:v>
                </c:pt>
                <c:pt idx="717">
                  <c:v>45551</c:v>
                </c:pt>
                <c:pt idx="718">
                  <c:v>45552</c:v>
                </c:pt>
                <c:pt idx="719">
                  <c:v>45553</c:v>
                </c:pt>
                <c:pt idx="720">
                  <c:v>45554</c:v>
                </c:pt>
                <c:pt idx="721">
                  <c:v>45555</c:v>
                </c:pt>
                <c:pt idx="722">
                  <c:v>45558</c:v>
                </c:pt>
                <c:pt idx="723">
                  <c:v>45559</c:v>
                </c:pt>
                <c:pt idx="724">
                  <c:v>45560</c:v>
                </c:pt>
                <c:pt idx="725">
                  <c:v>45561</c:v>
                </c:pt>
                <c:pt idx="726">
                  <c:v>45562</c:v>
                </c:pt>
                <c:pt idx="727">
                  <c:v>45565</c:v>
                </c:pt>
                <c:pt idx="728">
                  <c:v>45566</c:v>
                </c:pt>
                <c:pt idx="729">
                  <c:v>45568</c:v>
                </c:pt>
                <c:pt idx="730">
                  <c:v>45569</c:v>
                </c:pt>
                <c:pt idx="731">
                  <c:v>45572</c:v>
                </c:pt>
                <c:pt idx="732">
                  <c:v>45573</c:v>
                </c:pt>
                <c:pt idx="733">
                  <c:v>45574</c:v>
                </c:pt>
                <c:pt idx="734">
                  <c:v>45575</c:v>
                </c:pt>
                <c:pt idx="735">
                  <c:v>45576</c:v>
                </c:pt>
                <c:pt idx="736">
                  <c:v>45579</c:v>
                </c:pt>
                <c:pt idx="737">
                  <c:v>45580</c:v>
                </c:pt>
                <c:pt idx="738">
                  <c:v>45581</c:v>
                </c:pt>
                <c:pt idx="739">
                  <c:v>45582</c:v>
                </c:pt>
                <c:pt idx="740">
                  <c:v>45583</c:v>
                </c:pt>
                <c:pt idx="741">
                  <c:v>45586</c:v>
                </c:pt>
                <c:pt idx="742">
                  <c:v>45587</c:v>
                </c:pt>
                <c:pt idx="743">
                  <c:v>45588</c:v>
                </c:pt>
                <c:pt idx="744">
                  <c:v>45589</c:v>
                </c:pt>
                <c:pt idx="745">
                  <c:v>45590</c:v>
                </c:pt>
                <c:pt idx="746">
                  <c:v>45593</c:v>
                </c:pt>
                <c:pt idx="747">
                  <c:v>45594</c:v>
                </c:pt>
                <c:pt idx="748">
                  <c:v>45595</c:v>
                </c:pt>
                <c:pt idx="749">
                  <c:v>45596</c:v>
                </c:pt>
                <c:pt idx="750">
                  <c:v>45597</c:v>
                </c:pt>
                <c:pt idx="751">
                  <c:v>45600</c:v>
                </c:pt>
                <c:pt idx="752">
                  <c:v>45601</c:v>
                </c:pt>
                <c:pt idx="753">
                  <c:v>45602</c:v>
                </c:pt>
                <c:pt idx="754">
                  <c:v>45603</c:v>
                </c:pt>
                <c:pt idx="755">
                  <c:v>45604</c:v>
                </c:pt>
                <c:pt idx="756">
                  <c:v>45607</c:v>
                </c:pt>
                <c:pt idx="757">
                  <c:v>45608</c:v>
                </c:pt>
                <c:pt idx="758">
                  <c:v>45609</c:v>
                </c:pt>
                <c:pt idx="759">
                  <c:v>45610</c:v>
                </c:pt>
                <c:pt idx="760">
                  <c:v>45614</c:v>
                </c:pt>
                <c:pt idx="761">
                  <c:v>45615</c:v>
                </c:pt>
                <c:pt idx="762">
                  <c:v>45617</c:v>
                </c:pt>
                <c:pt idx="763">
                  <c:v>45618</c:v>
                </c:pt>
                <c:pt idx="764">
                  <c:v>45621</c:v>
                </c:pt>
                <c:pt idx="765">
                  <c:v>45622</c:v>
                </c:pt>
                <c:pt idx="766">
                  <c:v>45623</c:v>
                </c:pt>
                <c:pt idx="767">
                  <c:v>45624</c:v>
                </c:pt>
                <c:pt idx="768">
                  <c:v>45625</c:v>
                </c:pt>
                <c:pt idx="769">
                  <c:v>45628</c:v>
                </c:pt>
                <c:pt idx="770">
                  <c:v>45629</c:v>
                </c:pt>
                <c:pt idx="771">
                  <c:v>45630</c:v>
                </c:pt>
                <c:pt idx="772">
                  <c:v>45631</c:v>
                </c:pt>
                <c:pt idx="773">
                  <c:v>45632</c:v>
                </c:pt>
                <c:pt idx="774">
                  <c:v>45635</c:v>
                </c:pt>
                <c:pt idx="775">
                  <c:v>45636</c:v>
                </c:pt>
                <c:pt idx="776">
                  <c:v>45637</c:v>
                </c:pt>
                <c:pt idx="777">
                  <c:v>45638</c:v>
                </c:pt>
                <c:pt idx="778">
                  <c:v>45639</c:v>
                </c:pt>
                <c:pt idx="779">
                  <c:v>45642</c:v>
                </c:pt>
                <c:pt idx="780">
                  <c:v>45643</c:v>
                </c:pt>
                <c:pt idx="781">
                  <c:v>45644</c:v>
                </c:pt>
                <c:pt idx="782">
                  <c:v>45645</c:v>
                </c:pt>
                <c:pt idx="783">
                  <c:v>45646</c:v>
                </c:pt>
                <c:pt idx="784">
                  <c:v>45649</c:v>
                </c:pt>
                <c:pt idx="785">
                  <c:v>45650</c:v>
                </c:pt>
                <c:pt idx="786">
                  <c:v>45652</c:v>
                </c:pt>
                <c:pt idx="787">
                  <c:v>45653</c:v>
                </c:pt>
                <c:pt idx="788">
                  <c:v>45656</c:v>
                </c:pt>
                <c:pt idx="789">
                  <c:v>45657</c:v>
                </c:pt>
                <c:pt idx="790">
                  <c:v>45658</c:v>
                </c:pt>
                <c:pt idx="791">
                  <c:v>45659</c:v>
                </c:pt>
                <c:pt idx="792">
                  <c:v>45660</c:v>
                </c:pt>
                <c:pt idx="793">
                  <c:v>45663</c:v>
                </c:pt>
                <c:pt idx="794">
                  <c:v>45664</c:v>
                </c:pt>
                <c:pt idx="795">
                  <c:v>45665</c:v>
                </c:pt>
                <c:pt idx="796">
                  <c:v>45666</c:v>
                </c:pt>
                <c:pt idx="797">
                  <c:v>45667</c:v>
                </c:pt>
                <c:pt idx="798">
                  <c:v>45670</c:v>
                </c:pt>
                <c:pt idx="799">
                  <c:v>45671</c:v>
                </c:pt>
                <c:pt idx="800">
                  <c:v>45672</c:v>
                </c:pt>
                <c:pt idx="801">
                  <c:v>45673</c:v>
                </c:pt>
                <c:pt idx="802">
                  <c:v>45674</c:v>
                </c:pt>
                <c:pt idx="803">
                  <c:v>45677</c:v>
                </c:pt>
                <c:pt idx="804">
                  <c:v>45678</c:v>
                </c:pt>
                <c:pt idx="805">
                  <c:v>45679</c:v>
                </c:pt>
                <c:pt idx="806">
                  <c:v>45680</c:v>
                </c:pt>
                <c:pt idx="807">
                  <c:v>45681</c:v>
                </c:pt>
                <c:pt idx="808">
                  <c:v>45684</c:v>
                </c:pt>
                <c:pt idx="809">
                  <c:v>45685</c:v>
                </c:pt>
                <c:pt idx="810">
                  <c:v>45686</c:v>
                </c:pt>
                <c:pt idx="811">
                  <c:v>45687</c:v>
                </c:pt>
                <c:pt idx="812">
                  <c:v>45688</c:v>
                </c:pt>
                <c:pt idx="813">
                  <c:v>45689</c:v>
                </c:pt>
                <c:pt idx="814">
                  <c:v>45691</c:v>
                </c:pt>
                <c:pt idx="815">
                  <c:v>45692</c:v>
                </c:pt>
                <c:pt idx="816">
                  <c:v>45693</c:v>
                </c:pt>
                <c:pt idx="817">
                  <c:v>45694</c:v>
                </c:pt>
                <c:pt idx="818">
                  <c:v>45695</c:v>
                </c:pt>
                <c:pt idx="819">
                  <c:v>45698</c:v>
                </c:pt>
                <c:pt idx="820">
                  <c:v>45699</c:v>
                </c:pt>
                <c:pt idx="821">
                  <c:v>45700</c:v>
                </c:pt>
                <c:pt idx="822">
                  <c:v>45701</c:v>
                </c:pt>
                <c:pt idx="823">
                  <c:v>45702</c:v>
                </c:pt>
                <c:pt idx="824">
                  <c:v>45705</c:v>
                </c:pt>
                <c:pt idx="825">
                  <c:v>45706</c:v>
                </c:pt>
                <c:pt idx="826">
                  <c:v>45707</c:v>
                </c:pt>
                <c:pt idx="827">
                  <c:v>45708</c:v>
                </c:pt>
                <c:pt idx="828">
                  <c:v>45709</c:v>
                </c:pt>
                <c:pt idx="829">
                  <c:v>45712</c:v>
                </c:pt>
                <c:pt idx="830">
                  <c:v>45713</c:v>
                </c:pt>
                <c:pt idx="831">
                  <c:v>45715</c:v>
                </c:pt>
                <c:pt idx="832">
                  <c:v>45716</c:v>
                </c:pt>
                <c:pt idx="833">
                  <c:v>45719</c:v>
                </c:pt>
                <c:pt idx="834">
                  <c:v>45720</c:v>
                </c:pt>
                <c:pt idx="835">
                  <c:v>45721</c:v>
                </c:pt>
                <c:pt idx="836">
                  <c:v>45722</c:v>
                </c:pt>
                <c:pt idx="837">
                  <c:v>45723</c:v>
                </c:pt>
                <c:pt idx="838">
                  <c:v>45726</c:v>
                </c:pt>
                <c:pt idx="839">
                  <c:v>45727</c:v>
                </c:pt>
                <c:pt idx="840">
                  <c:v>45728</c:v>
                </c:pt>
                <c:pt idx="841">
                  <c:v>45729</c:v>
                </c:pt>
                <c:pt idx="842">
                  <c:v>45733</c:v>
                </c:pt>
                <c:pt idx="843">
                  <c:v>45734</c:v>
                </c:pt>
                <c:pt idx="844">
                  <c:v>45735</c:v>
                </c:pt>
                <c:pt idx="845">
                  <c:v>45736</c:v>
                </c:pt>
                <c:pt idx="846">
                  <c:v>45737</c:v>
                </c:pt>
                <c:pt idx="847">
                  <c:v>45740</c:v>
                </c:pt>
                <c:pt idx="848">
                  <c:v>45741</c:v>
                </c:pt>
                <c:pt idx="849">
                  <c:v>45742</c:v>
                </c:pt>
                <c:pt idx="850">
                  <c:v>45743</c:v>
                </c:pt>
                <c:pt idx="851">
                  <c:v>45744</c:v>
                </c:pt>
                <c:pt idx="852">
                  <c:v>45748</c:v>
                </c:pt>
                <c:pt idx="853">
                  <c:v>45749</c:v>
                </c:pt>
                <c:pt idx="854">
                  <c:v>45750</c:v>
                </c:pt>
                <c:pt idx="855">
                  <c:v>45751</c:v>
                </c:pt>
                <c:pt idx="856">
                  <c:v>45754</c:v>
                </c:pt>
                <c:pt idx="857">
                  <c:v>45755</c:v>
                </c:pt>
                <c:pt idx="858">
                  <c:v>45756</c:v>
                </c:pt>
                <c:pt idx="859">
                  <c:v>45758</c:v>
                </c:pt>
                <c:pt idx="860">
                  <c:v>45762</c:v>
                </c:pt>
                <c:pt idx="861">
                  <c:v>45763</c:v>
                </c:pt>
                <c:pt idx="862">
                  <c:v>45764</c:v>
                </c:pt>
                <c:pt idx="863">
                  <c:v>45768</c:v>
                </c:pt>
                <c:pt idx="864">
                  <c:v>45769</c:v>
                </c:pt>
                <c:pt idx="865">
                  <c:v>45770</c:v>
                </c:pt>
                <c:pt idx="866">
                  <c:v>45771</c:v>
                </c:pt>
                <c:pt idx="867">
                  <c:v>45772</c:v>
                </c:pt>
                <c:pt idx="868">
                  <c:v>45775</c:v>
                </c:pt>
                <c:pt idx="869">
                  <c:v>45776</c:v>
                </c:pt>
                <c:pt idx="870">
                  <c:v>45777</c:v>
                </c:pt>
                <c:pt idx="871">
                  <c:v>45779</c:v>
                </c:pt>
                <c:pt idx="872">
                  <c:v>45782</c:v>
                </c:pt>
                <c:pt idx="873">
                  <c:v>45783</c:v>
                </c:pt>
                <c:pt idx="874">
                  <c:v>45784</c:v>
                </c:pt>
                <c:pt idx="875">
                  <c:v>45785</c:v>
                </c:pt>
                <c:pt idx="876">
                  <c:v>45786</c:v>
                </c:pt>
                <c:pt idx="877">
                  <c:v>45789</c:v>
                </c:pt>
                <c:pt idx="878">
                  <c:v>45790</c:v>
                </c:pt>
                <c:pt idx="879">
                  <c:v>45791</c:v>
                </c:pt>
                <c:pt idx="880">
                  <c:v>45792</c:v>
                </c:pt>
                <c:pt idx="881">
                  <c:v>45793</c:v>
                </c:pt>
                <c:pt idx="882">
                  <c:v>45796</c:v>
                </c:pt>
                <c:pt idx="883">
                  <c:v>45797</c:v>
                </c:pt>
                <c:pt idx="884">
                  <c:v>45798</c:v>
                </c:pt>
                <c:pt idx="885">
                  <c:v>45799</c:v>
                </c:pt>
                <c:pt idx="886">
                  <c:v>45800</c:v>
                </c:pt>
                <c:pt idx="887">
                  <c:v>45803</c:v>
                </c:pt>
                <c:pt idx="888">
                  <c:v>45804</c:v>
                </c:pt>
                <c:pt idx="889">
                  <c:v>45805</c:v>
                </c:pt>
                <c:pt idx="890">
                  <c:v>45806</c:v>
                </c:pt>
                <c:pt idx="891">
                  <c:v>45807</c:v>
                </c:pt>
                <c:pt idx="892">
                  <c:v>45810</c:v>
                </c:pt>
                <c:pt idx="893">
                  <c:v>45811</c:v>
                </c:pt>
                <c:pt idx="894">
                  <c:v>45812</c:v>
                </c:pt>
                <c:pt idx="895">
                  <c:v>45813</c:v>
                </c:pt>
                <c:pt idx="896">
                  <c:v>45814</c:v>
                </c:pt>
                <c:pt idx="897">
                  <c:v>45817</c:v>
                </c:pt>
                <c:pt idx="898">
                  <c:v>45818</c:v>
                </c:pt>
                <c:pt idx="899">
                  <c:v>45819</c:v>
                </c:pt>
                <c:pt idx="900">
                  <c:v>45820</c:v>
                </c:pt>
                <c:pt idx="901">
                  <c:v>45821</c:v>
                </c:pt>
                <c:pt idx="902">
                  <c:v>45824</c:v>
                </c:pt>
                <c:pt idx="903">
                  <c:v>45825</c:v>
                </c:pt>
                <c:pt idx="904">
                  <c:v>45826</c:v>
                </c:pt>
                <c:pt idx="905">
                  <c:v>45827</c:v>
                </c:pt>
                <c:pt idx="906">
                  <c:v>45828</c:v>
                </c:pt>
                <c:pt idx="907">
                  <c:v>45831</c:v>
                </c:pt>
                <c:pt idx="908">
                  <c:v>45832</c:v>
                </c:pt>
                <c:pt idx="909">
                  <c:v>45833</c:v>
                </c:pt>
                <c:pt idx="910">
                  <c:v>45834</c:v>
                </c:pt>
                <c:pt idx="911">
                  <c:v>45835</c:v>
                </c:pt>
                <c:pt idx="912">
                  <c:v>45838</c:v>
                </c:pt>
                <c:pt idx="913">
                  <c:v>45839</c:v>
                </c:pt>
                <c:pt idx="914">
                  <c:v>45840</c:v>
                </c:pt>
                <c:pt idx="915">
                  <c:v>45841</c:v>
                </c:pt>
                <c:pt idx="916">
                  <c:v>45842</c:v>
                </c:pt>
                <c:pt idx="917">
                  <c:v>45845</c:v>
                </c:pt>
                <c:pt idx="918">
                  <c:v>45846</c:v>
                </c:pt>
                <c:pt idx="919">
                  <c:v>45847</c:v>
                </c:pt>
                <c:pt idx="920">
                  <c:v>45848</c:v>
                </c:pt>
                <c:pt idx="921">
                  <c:v>45849</c:v>
                </c:pt>
                <c:pt idx="922">
                  <c:v>45852</c:v>
                </c:pt>
                <c:pt idx="923">
                  <c:v>45853</c:v>
                </c:pt>
                <c:pt idx="924">
                  <c:v>45854</c:v>
                </c:pt>
                <c:pt idx="925">
                  <c:v>45855</c:v>
                </c:pt>
                <c:pt idx="926">
                  <c:v>45856</c:v>
                </c:pt>
                <c:pt idx="927">
                  <c:v>45859</c:v>
                </c:pt>
                <c:pt idx="928">
                  <c:v>45860</c:v>
                </c:pt>
                <c:pt idx="929">
                  <c:v>45861</c:v>
                </c:pt>
                <c:pt idx="930">
                  <c:v>45862</c:v>
                </c:pt>
                <c:pt idx="931">
                  <c:v>45863</c:v>
                </c:pt>
                <c:pt idx="932">
                  <c:v>45866</c:v>
                </c:pt>
                <c:pt idx="933">
                  <c:v>45867</c:v>
                </c:pt>
                <c:pt idx="934">
                  <c:v>45868</c:v>
                </c:pt>
                <c:pt idx="935">
                  <c:v>45869</c:v>
                </c:pt>
                <c:pt idx="936">
                  <c:v>45870</c:v>
                </c:pt>
                <c:pt idx="937">
                  <c:v>45873</c:v>
                </c:pt>
                <c:pt idx="938">
                  <c:v>45874</c:v>
                </c:pt>
                <c:pt idx="939">
                  <c:v>45875</c:v>
                </c:pt>
                <c:pt idx="940">
                  <c:v>45876</c:v>
                </c:pt>
                <c:pt idx="941">
                  <c:v>45877</c:v>
                </c:pt>
                <c:pt idx="942">
                  <c:v>45880</c:v>
                </c:pt>
                <c:pt idx="943">
                  <c:v>45881</c:v>
                </c:pt>
                <c:pt idx="944">
                  <c:v>45882</c:v>
                </c:pt>
                <c:pt idx="945">
                  <c:v>45883</c:v>
                </c:pt>
                <c:pt idx="946">
                  <c:v>45887</c:v>
                </c:pt>
                <c:pt idx="947">
                  <c:v>45888</c:v>
                </c:pt>
                <c:pt idx="948">
                  <c:v>45889</c:v>
                </c:pt>
                <c:pt idx="949">
                  <c:v>45890</c:v>
                </c:pt>
                <c:pt idx="950">
                  <c:v>45891</c:v>
                </c:pt>
                <c:pt idx="951">
                  <c:v>45894</c:v>
                </c:pt>
                <c:pt idx="952">
                  <c:v>45895</c:v>
                </c:pt>
                <c:pt idx="953">
                  <c:v>45897</c:v>
                </c:pt>
                <c:pt idx="954">
                  <c:v>45898</c:v>
                </c:pt>
                <c:pt idx="955">
                  <c:v>45901</c:v>
                </c:pt>
                <c:pt idx="956">
                  <c:v>45902</c:v>
                </c:pt>
                <c:pt idx="957">
                  <c:v>45903</c:v>
                </c:pt>
                <c:pt idx="958">
                  <c:v>45904</c:v>
                </c:pt>
                <c:pt idx="959">
                  <c:v>45905</c:v>
                </c:pt>
                <c:pt idx="960">
                  <c:v>45908</c:v>
                </c:pt>
                <c:pt idx="961">
                  <c:v>45909</c:v>
                </c:pt>
                <c:pt idx="962">
                  <c:v>45910</c:v>
                </c:pt>
                <c:pt idx="963">
                  <c:v>45911</c:v>
                </c:pt>
                <c:pt idx="964">
                  <c:v>45912</c:v>
                </c:pt>
                <c:pt idx="965">
                  <c:v>45915</c:v>
                </c:pt>
                <c:pt idx="966">
                  <c:v>45916</c:v>
                </c:pt>
                <c:pt idx="967">
                  <c:v>45917</c:v>
                </c:pt>
                <c:pt idx="968">
                  <c:v>45918</c:v>
                </c:pt>
                <c:pt idx="969">
                  <c:v>45919</c:v>
                </c:pt>
                <c:pt idx="970">
                  <c:v>45922</c:v>
                </c:pt>
                <c:pt idx="971">
                  <c:v>45923</c:v>
                </c:pt>
                <c:pt idx="972">
                  <c:v>45924</c:v>
                </c:pt>
                <c:pt idx="973">
                  <c:v>45925</c:v>
                </c:pt>
                <c:pt idx="974">
                  <c:v>45926</c:v>
                </c:pt>
                <c:pt idx="975">
                  <c:v>45929</c:v>
                </c:pt>
                <c:pt idx="976">
                  <c:v>45930</c:v>
                </c:pt>
                <c:pt idx="977">
                  <c:v>45931</c:v>
                </c:pt>
                <c:pt idx="978">
                  <c:v>45933</c:v>
                </c:pt>
                <c:pt idx="979">
                  <c:v>45936</c:v>
                </c:pt>
                <c:pt idx="980">
                  <c:v>45937</c:v>
                </c:pt>
                <c:pt idx="981">
                  <c:v>45938</c:v>
                </c:pt>
                <c:pt idx="982">
                  <c:v>45939</c:v>
                </c:pt>
                <c:pt idx="983">
                  <c:v>45940</c:v>
                </c:pt>
                <c:pt idx="984">
                  <c:v>45943</c:v>
                </c:pt>
                <c:pt idx="985">
                  <c:v>45944</c:v>
                </c:pt>
                <c:pt idx="986">
                  <c:v>45945</c:v>
                </c:pt>
                <c:pt idx="987">
                  <c:v>45946</c:v>
                </c:pt>
                <c:pt idx="988">
                  <c:v>45947</c:v>
                </c:pt>
                <c:pt idx="989">
                  <c:v>45950</c:v>
                </c:pt>
                <c:pt idx="990">
                  <c:v>45951</c:v>
                </c:pt>
                <c:pt idx="991">
                  <c:v>45953</c:v>
                </c:pt>
                <c:pt idx="992">
                  <c:v>45954</c:v>
                </c:pt>
                <c:pt idx="993">
                  <c:v>45957</c:v>
                </c:pt>
                <c:pt idx="994">
                  <c:v>45958</c:v>
                </c:pt>
                <c:pt idx="995">
                  <c:v>45959</c:v>
                </c:pt>
                <c:pt idx="996">
                  <c:v>45960</c:v>
                </c:pt>
                <c:pt idx="997">
                  <c:v>45961</c:v>
                </c:pt>
                <c:pt idx="998">
                  <c:v>45964</c:v>
                </c:pt>
                <c:pt idx="999">
                  <c:v>45965</c:v>
                </c:pt>
                <c:pt idx="1000">
                  <c:v>45967</c:v>
                </c:pt>
                <c:pt idx="1001">
                  <c:v>45968</c:v>
                </c:pt>
                <c:pt idx="1002">
                  <c:v>45971</c:v>
                </c:pt>
                <c:pt idx="1003">
                  <c:v>45972</c:v>
                </c:pt>
                <c:pt idx="1004">
                  <c:v>45973</c:v>
                </c:pt>
                <c:pt idx="1005">
                  <c:v>45974</c:v>
                </c:pt>
                <c:pt idx="1006">
                  <c:v>45975</c:v>
                </c:pt>
                <c:pt idx="1007">
                  <c:v>45978</c:v>
                </c:pt>
                <c:pt idx="1008">
                  <c:v>45979</c:v>
                </c:pt>
                <c:pt idx="1009">
                  <c:v>45980</c:v>
                </c:pt>
                <c:pt idx="1010">
                  <c:v>45981</c:v>
                </c:pt>
                <c:pt idx="1011">
                  <c:v>45982</c:v>
                </c:pt>
                <c:pt idx="1012">
                  <c:v>45985</c:v>
                </c:pt>
                <c:pt idx="1013">
                  <c:v>45986</c:v>
                </c:pt>
                <c:pt idx="1014">
                  <c:v>45987</c:v>
                </c:pt>
                <c:pt idx="1015">
                  <c:v>45988</c:v>
                </c:pt>
                <c:pt idx="1016">
                  <c:v>45989</c:v>
                </c:pt>
                <c:pt idx="1017">
                  <c:v>45992</c:v>
                </c:pt>
                <c:pt idx="1018">
                  <c:v>45993</c:v>
                </c:pt>
                <c:pt idx="1019">
                  <c:v>45994</c:v>
                </c:pt>
                <c:pt idx="1020">
                  <c:v>45995</c:v>
                </c:pt>
                <c:pt idx="1021">
                  <c:v>45996</c:v>
                </c:pt>
                <c:pt idx="1022">
                  <c:v>45999</c:v>
                </c:pt>
                <c:pt idx="1023">
                  <c:v>46000</c:v>
                </c:pt>
                <c:pt idx="1024">
                  <c:v>46001</c:v>
                </c:pt>
                <c:pt idx="1025">
                  <c:v>46002</c:v>
                </c:pt>
                <c:pt idx="1026">
                  <c:v>46003</c:v>
                </c:pt>
                <c:pt idx="1027">
                  <c:v>46006</c:v>
                </c:pt>
                <c:pt idx="1028">
                  <c:v>46007</c:v>
                </c:pt>
                <c:pt idx="1029">
                  <c:v>46008</c:v>
                </c:pt>
                <c:pt idx="1030">
                  <c:v>46009</c:v>
                </c:pt>
                <c:pt idx="1031">
                  <c:v>46010</c:v>
                </c:pt>
                <c:pt idx="1032">
                  <c:v>46013</c:v>
                </c:pt>
                <c:pt idx="1033">
                  <c:v>46014</c:v>
                </c:pt>
                <c:pt idx="1034">
                  <c:v>46015</c:v>
                </c:pt>
                <c:pt idx="1035">
                  <c:v>46017</c:v>
                </c:pt>
                <c:pt idx="1036">
                  <c:v>46020</c:v>
                </c:pt>
                <c:pt idx="1037">
                  <c:v>46021</c:v>
                </c:pt>
                <c:pt idx="1038">
                  <c:v>46022</c:v>
                </c:pt>
              </c:numCache>
            </c:numRef>
          </c:cat>
          <c:val>
            <c:numRef>
              <c:f>'Price trend line table'!$B$202:$B$1241</c:f>
              <c:numCache>
                <c:formatCode>General</c:formatCode>
                <c:ptCount val="1040"/>
                <c:pt idx="0">
                  <c:v>18125.400000000001</c:v>
                </c:pt>
                <c:pt idx="1">
                  <c:v>18268.400000000001</c:v>
                </c:pt>
                <c:pt idx="2">
                  <c:v>18210.95</c:v>
                </c:pt>
                <c:pt idx="3">
                  <c:v>17857.25</c:v>
                </c:pt>
                <c:pt idx="4">
                  <c:v>17671.650000000001</c:v>
                </c:pt>
                <c:pt idx="5">
                  <c:v>17929.650000000001</c:v>
                </c:pt>
                <c:pt idx="6">
                  <c:v>17888.95</c:v>
                </c:pt>
                <c:pt idx="7">
                  <c:v>17829.2</c:v>
                </c:pt>
                <c:pt idx="8">
                  <c:v>17916.8</c:v>
                </c:pt>
                <c:pt idx="9">
                  <c:v>18068.55</c:v>
                </c:pt>
                <c:pt idx="10">
                  <c:v>18044.25</c:v>
                </c:pt>
                <c:pt idx="11">
                  <c:v>18017.2</c:v>
                </c:pt>
                <c:pt idx="12">
                  <c:v>17873.599999999999</c:v>
                </c:pt>
                <c:pt idx="13">
                  <c:v>18102.75</c:v>
                </c:pt>
                <c:pt idx="14">
                  <c:v>18109.45</c:v>
                </c:pt>
                <c:pt idx="15">
                  <c:v>17999.2</c:v>
                </c:pt>
                <c:pt idx="16">
                  <c:v>17898.650000000001</c:v>
                </c:pt>
                <c:pt idx="17">
                  <c:v>17764.8</c:v>
                </c:pt>
                <c:pt idx="18">
                  <c:v>17416.55</c:v>
                </c:pt>
                <c:pt idx="19">
                  <c:v>17503.349999999999</c:v>
                </c:pt>
                <c:pt idx="20">
                  <c:v>17415.05</c:v>
                </c:pt>
                <c:pt idx="21">
                  <c:v>17536.25</c:v>
                </c:pt>
                <c:pt idx="22">
                  <c:v>17026.45</c:v>
                </c:pt>
                <c:pt idx="23">
                  <c:v>17053.95</c:v>
                </c:pt>
                <c:pt idx="24">
                  <c:v>16983.2</c:v>
                </c:pt>
                <c:pt idx="25">
                  <c:v>17166.900000000001</c:v>
                </c:pt>
                <c:pt idx="26">
                  <c:v>17401.650000000001</c:v>
                </c:pt>
                <c:pt idx="27">
                  <c:v>17196.7</c:v>
                </c:pt>
                <c:pt idx="28">
                  <c:v>16912.25</c:v>
                </c:pt>
                <c:pt idx="29">
                  <c:v>17176.7</c:v>
                </c:pt>
                <c:pt idx="30">
                  <c:v>17469.75</c:v>
                </c:pt>
                <c:pt idx="31">
                  <c:v>17516.849999999999</c:v>
                </c:pt>
                <c:pt idx="32">
                  <c:v>17511.3</c:v>
                </c:pt>
                <c:pt idx="33">
                  <c:v>17368.25</c:v>
                </c:pt>
                <c:pt idx="34">
                  <c:v>17324.900000000001</c:v>
                </c:pt>
                <c:pt idx="35">
                  <c:v>17221.400000000001</c:v>
                </c:pt>
                <c:pt idx="36">
                  <c:v>17248.400000000001</c:v>
                </c:pt>
                <c:pt idx="37">
                  <c:v>16985.2</c:v>
                </c:pt>
                <c:pt idx="38">
                  <c:v>16614.2</c:v>
                </c:pt>
                <c:pt idx="39">
                  <c:v>16770.849999999999</c:v>
                </c:pt>
                <c:pt idx="40">
                  <c:v>16955.45</c:v>
                </c:pt>
                <c:pt idx="41">
                  <c:v>17072.599999999999</c:v>
                </c:pt>
                <c:pt idx="42">
                  <c:v>17003.75</c:v>
                </c:pt>
                <c:pt idx="43">
                  <c:v>17086.25</c:v>
                </c:pt>
                <c:pt idx="44">
                  <c:v>17233.25</c:v>
                </c:pt>
                <c:pt idx="45">
                  <c:v>17213.599999999999</c:v>
                </c:pt>
                <c:pt idx="46">
                  <c:v>17203.95</c:v>
                </c:pt>
                <c:pt idx="47">
                  <c:v>17354.05</c:v>
                </c:pt>
                <c:pt idx="48">
                  <c:v>17625.7</c:v>
                </c:pt>
                <c:pt idx="49">
                  <c:v>17805.25</c:v>
                </c:pt>
                <c:pt idx="50">
                  <c:v>17925.25</c:v>
                </c:pt>
                <c:pt idx="51">
                  <c:v>17745.900000000001</c:v>
                </c:pt>
                <c:pt idx="52">
                  <c:v>17812.7</c:v>
                </c:pt>
                <c:pt idx="53">
                  <c:v>18003.3</c:v>
                </c:pt>
                <c:pt idx="54">
                  <c:v>18055.75</c:v>
                </c:pt>
                <c:pt idx="55">
                  <c:v>18212.349999999999</c:v>
                </c:pt>
                <c:pt idx="56">
                  <c:v>18257.8</c:v>
                </c:pt>
                <c:pt idx="57">
                  <c:v>18255.75</c:v>
                </c:pt>
                <c:pt idx="58">
                  <c:v>18308.099999999999</c:v>
                </c:pt>
                <c:pt idx="59">
                  <c:v>18113.05</c:v>
                </c:pt>
                <c:pt idx="60">
                  <c:v>17938.400000000001</c:v>
                </c:pt>
                <c:pt idx="61">
                  <c:v>17757</c:v>
                </c:pt>
                <c:pt idx="62">
                  <c:v>17617.150000000001</c:v>
                </c:pt>
                <c:pt idx="63">
                  <c:v>17149.099999999999</c:v>
                </c:pt>
                <c:pt idx="64">
                  <c:v>17277.95</c:v>
                </c:pt>
                <c:pt idx="65">
                  <c:v>17110.150000000001</c:v>
                </c:pt>
                <c:pt idx="66">
                  <c:v>17101.95</c:v>
                </c:pt>
                <c:pt idx="67">
                  <c:v>17339.849999999999</c:v>
                </c:pt>
                <c:pt idx="68">
                  <c:v>17576.849999999999</c:v>
                </c:pt>
                <c:pt idx="69">
                  <c:v>17780</c:v>
                </c:pt>
                <c:pt idx="70">
                  <c:v>17560.2</c:v>
                </c:pt>
                <c:pt idx="71">
                  <c:v>17516.3</c:v>
                </c:pt>
                <c:pt idx="72">
                  <c:v>17213.599999999999</c:v>
                </c:pt>
                <c:pt idx="73">
                  <c:v>17266.75</c:v>
                </c:pt>
                <c:pt idx="74">
                  <c:v>17463.8</c:v>
                </c:pt>
                <c:pt idx="75">
                  <c:v>17605.849999999999</c:v>
                </c:pt>
                <c:pt idx="76">
                  <c:v>17374.75</c:v>
                </c:pt>
                <c:pt idx="77">
                  <c:v>16842.8</c:v>
                </c:pt>
                <c:pt idx="78">
                  <c:v>17352.45</c:v>
                </c:pt>
                <c:pt idx="79">
                  <c:v>17322.2</c:v>
                </c:pt>
                <c:pt idx="80">
                  <c:v>17304.599999999999</c:v>
                </c:pt>
                <c:pt idx="81">
                  <c:v>17276.3</c:v>
                </c:pt>
                <c:pt idx="82">
                  <c:v>17206.650000000001</c:v>
                </c:pt>
                <c:pt idx="83">
                  <c:v>17092.2</c:v>
                </c:pt>
                <c:pt idx="84">
                  <c:v>17063.25</c:v>
                </c:pt>
                <c:pt idx="85">
                  <c:v>16247.95</c:v>
                </c:pt>
                <c:pt idx="86">
                  <c:v>16658.400000000001</c:v>
                </c:pt>
                <c:pt idx="87">
                  <c:v>16793.900000000001</c:v>
                </c:pt>
                <c:pt idx="88">
                  <c:v>16605.95</c:v>
                </c:pt>
                <c:pt idx="89">
                  <c:v>16498.05</c:v>
                </c:pt>
                <c:pt idx="90">
                  <c:v>16245.35</c:v>
                </c:pt>
                <c:pt idx="91">
                  <c:v>15863.15</c:v>
                </c:pt>
                <c:pt idx="92">
                  <c:v>16013.45</c:v>
                </c:pt>
                <c:pt idx="93">
                  <c:v>16345.35</c:v>
                </c:pt>
                <c:pt idx="94">
                  <c:v>16594.900000000001</c:v>
                </c:pt>
                <c:pt idx="95">
                  <c:v>16630.45</c:v>
                </c:pt>
                <c:pt idx="96">
                  <c:v>16871.3</c:v>
                </c:pt>
                <c:pt idx="97">
                  <c:v>16663</c:v>
                </c:pt>
                <c:pt idx="98">
                  <c:v>16975.349999999999</c:v>
                </c:pt>
                <c:pt idx="99">
                  <c:v>17287.05</c:v>
                </c:pt>
                <c:pt idx="100">
                  <c:v>17117.599999999999</c:v>
                </c:pt>
                <c:pt idx="101">
                  <c:v>17315.5</c:v>
                </c:pt>
                <c:pt idx="102">
                  <c:v>17245.650000000001</c:v>
                </c:pt>
                <c:pt idx="103">
                  <c:v>17222.75</c:v>
                </c:pt>
                <c:pt idx="104">
                  <c:v>17153</c:v>
                </c:pt>
                <c:pt idx="105">
                  <c:v>17222</c:v>
                </c:pt>
                <c:pt idx="106">
                  <c:v>17325.3</c:v>
                </c:pt>
                <c:pt idx="107">
                  <c:v>17498.25</c:v>
                </c:pt>
                <c:pt idx="108">
                  <c:v>17464.75</c:v>
                </c:pt>
                <c:pt idx="109">
                  <c:v>17670.45</c:v>
                </c:pt>
                <c:pt idx="110">
                  <c:v>18053.400000000001</c:v>
                </c:pt>
                <c:pt idx="111">
                  <c:v>17957.400000000001</c:v>
                </c:pt>
                <c:pt idx="112">
                  <c:v>17807.650000000001</c:v>
                </c:pt>
                <c:pt idx="113">
                  <c:v>17639.55</c:v>
                </c:pt>
                <c:pt idx="114">
                  <c:v>17784.349999999999</c:v>
                </c:pt>
                <c:pt idx="115">
                  <c:v>17674.95</c:v>
                </c:pt>
                <c:pt idx="116">
                  <c:v>17530.3</c:v>
                </c:pt>
                <c:pt idx="117">
                  <c:v>17475.650000000001</c:v>
                </c:pt>
                <c:pt idx="118">
                  <c:v>17173.650000000001</c:v>
                </c:pt>
                <c:pt idx="119">
                  <c:v>16958.650000000001</c:v>
                </c:pt>
                <c:pt idx="120">
                  <c:v>17136.55</c:v>
                </c:pt>
                <c:pt idx="121">
                  <c:v>17392.599999999999</c:v>
                </c:pt>
                <c:pt idx="122">
                  <c:v>17171.95</c:v>
                </c:pt>
                <c:pt idx="123">
                  <c:v>16953.95</c:v>
                </c:pt>
                <c:pt idx="124">
                  <c:v>17200.8</c:v>
                </c:pt>
                <c:pt idx="125">
                  <c:v>17038.400000000001</c:v>
                </c:pt>
                <c:pt idx="126">
                  <c:v>17245.05</c:v>
                </c:pt>
                <c:pt idx="127">
                  <c:v>17102.55</c:v>
                </c:pt>
                <c:pt idx="128">
                  <c:v>17069.099999999999</c:v>
                </c:pt>
                <c:pt idx="129">
                  <c:v>16677.599999999999</c:v>
                </c:pt>
                <c:pt idx="130">
                  <c:v>16682.650000000001</c:v>
                </c:pt>
                <c:pt idx="131">
                  <c:v>16411.25</c:v>
                </c:pt>
                <c:pt idx="132">
                  <c:v>16301.85</c:v>
                </c:pt>
                <c:pt idx="133">
                  <c:v>16240.05</c:v>
                </c:pt>
                <c:pt idx="134">
                  <c:v>16167.1</c:v>
                </c:pt>
                <c:pt idx="135">
                  <c:v>15808</c:v>
                </c:pt>
                <c:pt idx="136">
                  <c:v>15782.15</c:v>
                </c:pt>
                <c:pt idx="137">
                  <c:v>15842.3</c:v>
                </c:pt>
                <c:pt idx="138">
                  <c:v>16259.3</c:v>
                </c:pt>
                <c:pt idx="139">
                  <c:v>16240.3</c:v>
                </c:pt>
                <c:pt idx="140">
                  <c:v>15809.4</c:v>
                </c:pt>
                <c:pt idx="141">
                  <c:v>16266.15</c:v>
                </c:pt>
                <c:pt idx="142">
                  <c:v>16214.7</c:v>
                </c:pt>
                <c:pt idx="143">
                  <c:v>16125.15</c:v>
                </c:pt>
                <c:pt idx="144">
                  <c:v>16025.8</c:v>
                </c:pt>
                <c:pt idx="145">
                  <c:v>16170.15</c:v>
                </c:pt>
                <c:pt idx="146">
                  <c:v>16352.45</c:v>
                </c:pt>
                <c:pt idx="147">
                  <c:v>16661.400000000001</c:v>
                </c:pt>
                <c:pt idx="148">
                  <c:v>16584.55</c:v>
                </c:pt>
                <c:pt idx="149">
                  <c:v>16522.75</c:v>
                </c:pt>
                <c:pt idx="150">
                  <c:v>16628</c:v>
                </c:pt>
                <c:pt idx="151">
                  <c:v>16584.3</c:v>
                </c:pt>
                <c:pt idx="152">
                  <c:v>16569.55</c:v>
                </c:pt>
                <c:pt idx="153">
                  <c:v>16416.349999999999</c:v>
                </c:pt>
                <c:pt idx="154">
                  <c:v>16356.25</c:v>
                </c:pt>
                <c:pt idx="155">
                  <c:v>16478.099999999999</c:v>
                </c:pt>
                <c:pt idx="156">
                  <c:v>16201.8</c:v>
                </c:pt>
                <c:pt idx="157">
                  <c:v>15774.4</c:v>
                </c:pt>
                <c:pt idx="158">
                  <c:v>15732.1</c:v>
                </c:pt>
                <c:pt idx="159">
                  <c:v>15692.15</c:v>
                </c:pt>
                <c:pt idx="160">
                  <c:v>15360.6</c:v>
                </c:pt>
                <c:pt idx="161">
                  <c:v>15293.5</c:v>
                </c:pt>
                <c:pt idx="162">
                  <c:v>15350.15</c:v>
                </c:pt>
                <c:pt idx="163">
                  <c:v>15638.8</c:v>
                </c:pt>
                <c:pt idx="164">
                  <c:v>15413.3</c:v>
                </c:pt>
                <c:pt idx="165">
                  <c:v>15556.65</c:v>
                </c:pt>
                <c:pt idx="166">
                  <c:v>15699.25</c:v>
                </c:pt>
                <c:pt idx="167">
                  <c:v>15832.05</c:v>
                </c:pt>
                <c:pt idx="168">
                  <c:v>15850.2</c:v>
                </c:pt>
                <c:pt idx="169">
                  <c:v>15799.1</c:v>
                </c:pt>
                <c:pt idx="170">
                  <c:v>15780.25</c:v>
                </c:pt>
                <c:pt idx="171">
                  <c:v>15752.05</c:v>
                </c:pt>
                <c:pt idx="172">
                  <c:v>15835.35</c:v>
                </c:pt>
                <c:pt idx="173">
                  <c:v>15810.85</c:v>
                </c:pt>
                <c:pt idx="174">
                  <c:v>15989.8</c:v>
                </c:pt>
                <c:pt idx="175">
                  <c:v>16132.9</c:v>
                </c:pt>
                <c:pt idx="176">
                  <c:v>16220.6</c:v>
                </c:pt>
                <c:pt idx="177">
                  <c:v>16216</c:v>
                </c:pt>
                <c:pt idx="178">
                  <c:v>16058.3</c:v>
                </c:pt>
                <c:pt idx="179">
                  <c:v>15966.65</c:v>
                </c:pt>
                <c:pt idx="180">
                  <c:v>15938.65</c:v>
                </c:pt>
                <c:pt idx="181">
                  <c:v>16049.2</c:v>
                </c:pt>
                <c:pt idx="182">
                  <c:v>16278.5</c:v>
                </c:pt>
                <c:pt idx="183">
                  <c:v>16340.55</c:v>
                </c:pt>
                <c:pt idx="184">
                  <c:v>16520.849999999999</c:v>
                </c:pt>
                <c:pt idx="185">
                  <c:v>16605.25</c:v>
                </c:pt>
                <c:pt idx="186">
                  <c:v>16719.45</c:v>
                </c:pt>
                <c:pt idx="187">
                  <c:v>16631</c:v>
                </c:pt>
                <c:pt idx="188">
                  <c:v>16483.849999999999</c:v>
                </c:pt>
                <c:pt idx="189">
                  <c:v>16641.8</c:v>
                </c:pt>
                <c:pt idx="190">
                  <c:v>16929.599999999999</c:v>
                </c:pt>
                <c:pt idx="191">
                  <c:v>17158.25</c:v>
                </c:pt>
                <c:pt idx="192">
                  <c:v>17340.05</c:v>
                </c:pt>
                <c:pt idx="193">
                  <c:v>17345.45</c:v>
                </c:pt>
                <c:pt idx="194">
                  <c:v>17388.150000000001</c:v>
                </c:pt>
                <c:pt idx="195">
                  <c:v>17382</c:v>
                </c:pt>
                <c:pt idx="196">
                  <c:v>17397.5</c:v>
                </c:pt>
                <c:pt idx="197">
                  <c:v>17525.099999999999</c:v>
                </c:pt>
                <c:pt idx="198">
                  <c:v>17534.75</c:v>
                </c:pt>
                <c:pt idx="199">
                  <c:v>17659</c:v>
                </c:pt>
                <c:pt idx="200">
                  <c:v>17698.150000000001</c:v>
                </c:pt>
                <c:pt idx="201">
                  <c:v>17825.25</c:v>
                </c:pt>
                <c:pt idx="202">
                  <c:v>17944.25</c:v>
                </c:pt>
                <c:pt idx="203">
                  <c:v>17956.5</c:v>
                </c:pt>
                <c:pt idx="204">
                  <c:v>17758.45</c:v>
                </c:pt>
                <c:pt idx="205">
                  <c:v>17490.7</c:v>
                </c:pt>
                <c:pt idx="206">
                  <c:v>17577.5</c:v>
                </c:pt>
                <c:pt idx="207">
                  <c:v>17604.95</c:v>
                </c:pt>
                <c:pt idx="208">
                  <c:v>17522.45</c:v>
                </c:pt>
                <c:pt idx="209">
                  <c:v>17558.900000000001</c:v>
                </c:pt>
                <c:pt idx="210">
                  <c:v>17312.900000000001</c:v>
                </c:pt>
                <c:pt idx="211">
                  <c:v>17759.3</c:v>
                </c:pt>
                <c:pt idx="212">
                  <c:v>17542.8</c:v>
                </c:pt>
                <c:pt idx="213">
                  <c:v>17539.45</c:v>
                </c:pt>
                <c:pt idx="214">
                  <c:v>17665.8</c:v>
                </c:pt>
                <c:pt idx="215">
                  <c:v>17655.599999999999</c:v>
                </c:pt>
                <c:pt idx="216">
                  <c:v>17624.400000000001</c:v>
                </c:pt>
                <c:pt idx="217">
                  <c:v>17798.75</c:v>
                </c:pt>
                <c:pt idx="218">
                  <c:v>17833.349999999999</c:v>
                </c:pt>
                <c:pt idx="219">
                  <c:v>17936.349999999999</c:v>
                </c:pt>
                <c:pt idx="220">
                  <c:v>18070.05</c:v>
                </c:pt>
                <c:pt idx="221">
                  <c:v>18003.75</c:v>
                </c:pt>
                <c:pt idx="222">
                  <c:v>17877.400000000001</c:v>
                </c:pt>
                <c:pt idx="223">
                  <c:v>17530.849999999999</c:v>
                </c:pt>
                <c:pt idx="224">
                  <c:v>17622.25</c:v>
                </c:pt>
                <c:pt idx="225">
                  <c:v>17816.25</c:v>
                </c:pt>
                <c:pt idx="226">
                  <c:v>17718.349999999999</c:v>
                </c:pt>
                <c:pt idx="227">
                  <c:v>17629.8</c:v>
                </c:pt>
                <c:pt idx="228">
                  <c:v>17327.349999999999</c:v>
                </c:pt>
                <c:pt idx="229">
                  <c:v>17016.3</c:v>
                </c:pt>
                <c:pt idx="230">
                  <c:v>17007.400000000001</c:v>
                </c:pt>
                <c:pt idx="231">
                  <c:v>16858.599999999999</c:v>
                </c:pt>
                <c:pt idx="232">
                  <c:v>16818.099999999999</c:v>
                </c:pt>
                <c:pt idx="233">
                  <c:v>17094.349999999999</c:v>
                </c:pt>
                <c:pt idx="234">
                  <c:v>16887.349999999999</c:v>
                </c:pt>
                <c:pt idx="235">
                  <c:v>17274.3</c:v>
                </c:pt>
                <c:pt idx="236">
                  <c:v>17331.8</c:v>
                </c:pt>
                <c:pt idx="237">
                  <c:v>17314.650000000001</c:v>
                </c:pt>
                <c:pt idx="238">
                  <c:v>17241</c:v>
                </c:pt>
                <c:pt idx="239">
                  <c:v>16983.55</c:v>
                </c:pt>
                <c:pt idx="240">
                  <c:v>17123.599999999999</c:v>
                </c:pt>
                <c:pt idx="241">
                  <c:v>17014.349999999999</c:v>
                </c:pt>
                <c:pt idx="242">
                  <c:v>17185.7</c:v>
                </c:pt>
                <c:pt idx="243">
                  <c:v>17311.8</c:v>
                </c:pt>
                <c:pt idx="244">
                  <c:v>17486.95</c:v>
                </c:pt>
                <c:pt idx="245">
                  <c:v>17512.25</c:v>
                </c:pt>
                <c:pt idx="246">
                  <c:v>17563.95</c:v>
                </c:pt>
                <c:pt idx="247">
                  <c:v>17576.3</c:v>
                </c:pt>
                <c:pt idx="248">
                  <c:v>17730.75</c:v>
                </c:pt>
                <c:pt idx="249">
                  <c:v>17656.349999999999</c:v>
                </c:pt>
                <c:pt idx="250">
                  <c:v>17736.95</c:v>
                </c:pt>
                <c:pt idx="251">
                  <c:v>17786.8</c:v>
                </c:pt>
                <c:pt idx="252">
                  <c:v>18012.2</c:v>
                </c:pt>
                <c:pt idx="253">
                  <c:v>18145.400000000001</c:v>
                </c:pt>
                <c:pt idx="254">
                  <c:v>18082.849999999999</c:v>
                </c:pt>
                <c:pt idx="255">
                  <c:v>18052.7</c:v>
                </c:pt>
                <c:pt idx="256">
                  <c:v>18117.150000000001</c:v>
                </c:pt>
                <c:pt idx="257">
                  <c:v>18202.8</c:v>
                </c:pt>
                <c:pt idx="258">
                  <c:v>18157</c:v>
                </c:pt>
                <c:pt idx="259">
                  <c:v>18028.2</c:v>
                </c:pt>
                <c:pt idx="260">
                  <c:v>18349.7</c:v>
                </c:pt>
                <c:pt idx="261">
                  <c:v>18329.150000000001</c:v>
                </c:pt>
                <c:pt idx="262">
                  <c:v>18403.400000000001</c:v>
                </c:pt>
                <c:pt idx="263">
                  <c:v>18409.650000000001</c:v>
                </c:pt>
                <c:pt idx="264">
                  <c:v>18343.900000000001</c:v>
                </c:pt>
                <c:pt idx="265">
                  <c:v>18307.650000000001</c:v>
                </c:pt>
                <c:pt idx="266">
                  <c:v>18159.95</c:v>
                </c:pt>
                <c:pt idx="267">
                  <c:v>18244.2</c:v>
                </c:pt>
                <c:pt idx="268">
                  <c:v>18267.25</c:v>
                </c:pt>
                <c:pt idx="269">
                  <c:v>18484.099999999999</c:v>
                </c:pt>
                <c:pt idx="270">
                  <c:v>18512.75</c:v>
                </c:pt>
                <c:pt idx="271">
                  <c:v>18562.75</c:v>
                </c:pt>
                <c:pt idx="272">
                  <c:v>18618.05</c:v>
                </c:pt>
                <c:pt idx="273">
                  <c:v>18758.349999999999</c:v>
                </c:pt>
                <c:pt idx="274">
                  <c:v>18812.5</c:v>
                </c:pt>
                <c:pt idx="275">
                  <c:v>18696.099999999999</c:v>
                </c:pt>
                <c:pt idx="276">
                  <c:v>18701.05</c:v>
                </c:pt>
                <c:pt idx="277">
                  <c:v>18642.75</c:v>
                </c:pt>
                <c:pt idx="278">
                  <c:v>18560.5</c:v>
                </c:pt>
                <c:pt idx="279">
                  <c:v>18609.349999999999</c:v>
                </c:pt>
                <c:pt idx="280">
                  <c:v>18496.599999999999</c:v>
                </c:pt>
                <c:pt idx="281">
                  <c:v>18497.150000000001</c:v>
                </c:pt>
                <c:pt idx="282">
                  <c:v>18608</c:v>
                </c:pt>
                <c:pt idx="283">
                  <c:v>18660.3</c:v>
                </c:pt>
                <c:pt idx="284">
                  <c:v>18414.900000000001</c:v>
                </c:pt>
                <c:pt idx="285">
                  <c:v>18269</c:v>
                </c:pt>
                <c:pt idx="286">
                  <c:v>18420.45</c:v>
                </c:pt>
                <c:pt idx="287">
                  <c:v>18385.3</c:v>
                </c:pt>
                <c:pt idx="288">
                  <c:v>18199.099999999999</c:v>
                </c:pt>
                <c:pt idx="289">
                  <c:v>18127.349999999999</c:v>
                </c:pt>
                <c:pt idx="290">
                  <c:v>17806.8</c:v>
                </c:pt>
                <c:pt idx="291">
                  <c:v>18014.599999999999</c:v>
                </c:pt>
                <c:pt idx="292">
                  <c:v>18132.3</c:v>
                </c:pt>
                <c:pt idx="293">
                  <c:v>18122.5</c:v>
                </c:pt>
                <c:pt idx="294">
                  <c:v>18191</c:v>
                </c:pt>
                <c:pt idx="295">
                  <c:v>18105.3</c:v>
                </c:pt>
                <c:pt idx="296">
                  <c:v>18197.45</c:v>
                </c:pt>
                <c:pt idx="297">
                  <c:v>18232.55</c:v>
                </c:pt>
                <c:pt idx="298">
                  <c:v>18042.95</c:v>
                </c:pt>
                <c:pt idx="299">
                  <c:v>17992.150000000001</c:v>
                </c:pt>
                <c:pt idx="300">
                  <c:v>17859.45</c:v>
                </c:pt>
                <c:pt idx="301">
                  <c:v>18101.2</c:v>
                </c:pt>
                <c:pt idx="302">
                  <c:v>17914.150000000001</c:v>
                </c:pt>
                <c:pt idx="303">
                  <c:v>17895.7</c:v>
                </c:pt>
                <c:pt idx="304">
                  <c:v>17858.2</c:v>
                </c:pt>
                <c:pt idx="305">
                  <c:v>17956.599999999999</c:v>
                </c:pt>
                <c:pt idx="306">
                  <c:v>17894.849999999999</c:v>
                </c:pt>
                <c:pt idx="307">
                  <c:v>18053.3</c:v>
                </c:pt>
                <c:pt idx="308">
                  <c:v>18165.349999999999</c:v>
                </c:pt>
                <c:pt idx="309">
                  <c:v>18107.849999999999</c:v>
                </c:pt>
                <c:pt idx="310">
                  <c:v>18027.650000000001</c:v>
                </c:pt>
                <c:pt idx="311">
                  <c:v>18118.55</c:v>
                </c:pt>
                <c:pt idx="312">
                  <c:v>18118.3</c:v>
                </c:pt>
                <c:pt idx="313">
                  <c:v>17891.95</c:v>
                </c:pt>
                <c:pt idx="314">
                  <c:v>17604.349999999999</c:v>
                </c:pt>
                <c:pt idx="315">
                  <c:v>17648.95</c:v>
                </c:pt>
                <c:pt idx="316">
                  <c:v>17662.150000000001</c:v>
                </c:pt>
                <c:pt idx="317">
                  <c:v>17616.3</c:v>
                </c:pt>
                <c:pt idx="318">
                  <c:v>17610.400000000001</c:v>
                </c:pt>
                <c:pt idx="319">
                  <c:v>17854.05</c:v>
                </c:pt>
                <c:pt idx="320">
                  <c:v>17764.599999999999</c:v>
                </c:pt>
                <c:pt idx="321">
                  <c:v>17721.5</c:v>
                </c:pt>
                <c:pt idx="322">
                  <c:v>17871.7</c:v>
                </c:pt>
                <c:pt idx="323">
                  <c:v>17893.45</c:v>
                </c:pt>
                <c:pt idx="324">
                  <c:v>17856.5</c:v>
                </c:pt>
                <c:pt idx="325">
                  <c:v>17770.900000000001</c:v>
                </c:pt>
                <c:pt idx="326">
                  <c:v>17929.849999999999</c:v>
                </c:pt>
                <c:pt idx="327">
                  <c:v>18015.849999999999</c:v>
                </c:pt>
                <c:pt idx="328">
                  <c:v>18035.849999999999</c:v>
                </c:pt>
                <c:pt idx="329">
                  <c:v>17944.2</c:v>
                </c:pt>
                <c:pt idx="330">
                  <c:v>17844.599999999999</c:v>
                </c:pt>
                <c:pt idx="331">
                  <c:v>17826.7</c:v>
                </c:pt>
                <c:pt idx="332">
                  <c:v>17554.3</c:v>
                </c:pt>
                <c:pt idx="333">
                  <c:v>17511.25</c:v>
                </c:pt>
                <c:pt idx="334">
                  <c:v>17465.8</c:v>
                </c:pt>
                <c:pt idx="335">
                  <c:v>17392.7</c:v>
                </c:pt>
                <c:pt idx="336">
                  <c:v>17303.95</c:v>
                </c:pt>
                <c:pt idx="337">
                  <c:v>17450.900000000001</c:v>
                </c:pt>
                <c:pt idx="338">
                  <c:v>17321.900000000001</c:v>
                </c:pt>
                <c:pt idx="339">
                  <c:v>17594.349999999999</c:v>
                </c:pt>
                <c:pt idx="340">
                  <c:v>17711.45</c:v>
                </c:pt>
                <c:pt idx="341">
                  <c:v>17754.400000000001</c:v>
                </c:pt>
                <c:pt idx="342">
                  <c:v>17589.599999999999</c:v>
                </c:pt>
                <c:pt idx="343">
                  <c:v>17412.900000000001</c:v>
                </c:pt>
                <c:pt idx="344">
                  <c:v>17154.3</c:v>
                </c:pt>
                <c:pt idx="345">
                  <c:v>17043.3</c:v>
                </c:pt>
                <c:pt idx="346">
                  <c:v>16972.150000000001</c:v>
                </c:pt>
                <c:pt idx="347">
                  <c:v>16985.599999999999</c:v>
                </c:pt>
                <c:pt idx="348">
                  <c:v>17100.05</c:v>
                </c:pt>
                <c:pt idx="349">
                  <c:v>16988.400000000001</c:v>
                </c:pt>
                <c:pt idx="350">
                  <c:v>17107.5</c:v>
                </c:pt>
                <c:pt idx="351">
                  <c:v>17151.900000000001</c:v>
                </c:pt>
                <c:pt idx="352">
                  <c:v>17076.900000000001</c:v>
                </c:pt>
                <c:pt idx="353">
                  <c:v>16945.05</c:v>
                </c:pt>
                <c:pt idx="354">
                  <c:v>16985.7</c:v>
                </c:pt>
                <c:pt idx="355">
                  <c:v>16951.7</c:v>
                </c:pt>
                <c:pt idx="356">
                  <c:v>17080.7</c:v>
                </c:pt>
                <c:pt idx="357">
                  <c:v>17359.75</c:v>
                </c:pt>
                <c:pt idx="358">
                  <c:v>17398.05</c:v>
                </c:pt>
                <c:pt idx="359">
                  <c:v>17557.05</c:v>
                </c:pt>
                <c:pt idx="360">
                  <c:v>17599.150000000001</c:v>
                </c:pt>
                <c:pt idx="361">
                  <c:v>17624.05</c:v>
                </c:pt>
                <c:pt idx="362">
                  <c:v>17722.3</c:v>
                </c:pt>
                <c:pt idx="363">
                  <c:v>17812.400000000001</c:v>
                </c:pt>
                <c:pt idx="364">
                  <c:v>17828</c:v>
                </c:pt>
                <c:pt idx="365">
                  <c:v>17706.849999999999</c:v>
                </c:pt>
                <c:pt idx="366">
                  <c:v>17660.150000000001</c:v>
                </c:pt>
                <c:pt idx="367">
                  <c:v>17618.75</c:v>
                </c:pt>
                <c:pt idx="368">
                  <c:v>17624.45</c:v>
                </c:pt>
                <c:pt idx="369">
                  <c:v>17624.05</c:v>
                </c:pt>
                <c:pt idx="370">
                  <c:v>17743.400000000001</c:v>
                </c:pt>
                <c:pt idx="371">
                  <c:v>17769.25</c:v>
                </c:pt>
                <c:pt idx="372">
                  <c:v>17813.599999999999</c:v>
                </c:pt>
                <c:pt idx="373">
                  <c:v>17915.05</c:v>
                </c:pt>
                <c:pt idx="374">
                  <c:v>18065</c:v>
                </c:pt>
                <c:pt idx="375">
                  <c:v>18147.650000000001</c:v>
                </c:pt>
                <c:pt idx="376">
                  <c:v>18089.849999999999</c:v>
                </c:pt>
                <c:pt idx="377">
                  <c:v>18255.8</c:v>
                </c:pt>
                <c:pt idx="378">
                  <c:v>18069</c:v>
                </c:pt>
                <c:pt idx="379">
                  <c:v>18264.400000000001</c:v>
                </c:pt>
                <c:pt idx="380">
                  <c:v>18265.95</c:v>
                </c:pt>
                <c:pt idx="381">
                  <c:v>18315.099999999999</c:v>
                </c:pt>
                <c:pt idx="382">
                  <c:v>18297</c:v>
                </c:pt>
                <c:pt idx="383">
                  <c:v>18314.8</c:v>
                </c:pt>
                <c:pt idx="384">
                  <c:v>18398.849999999999</c:v>
                </c:pt>
                <c:pt idx="385">
                  <c:v>18286.5</c:v>
                </c:pt>
                <c:pt idx="386">
                  <c:v>18181.75</c:v>
                </c:pt>
                <c:pt idx="387">
                  <c:v>18129.95</c:v>
                </c:pt>
                <c:pt idx="388">
                  <c:v>18203.400000000001</c:v>
                </c:pt>
                <c:pt idx="389">
                  <c:v>18314.400000000001</c:v>
                </c:pt>
                <c:pt idx="390">
                  <c:v>18348</c:v>
                </c:pt>
                <c:pt idx="391">
                  <c:v>18285.400000000001</c:v>
                </c:pt>
                <c:pt idx="392">
                  <c:v>18321.150000000001</c:v>
                </c:pt>
                <c:pt idx="393">
                  <c:v>18499.349999999999</c:v>
                </c:pt>
                <c:pt idx="394">
                  <c:v>18598.650000000001</c:v>
                </c:pt>
                <c:pt idx="395">
                  <c:v>18633.849999999999</c:v>
                </c:pt>
                <c:pt idx="396">
                  <c:v>18534.400000000001</c:v>
                </c:pt>
                <c:pt idx="397">
                  <c:v>18487.75</c:v>
                </c:pt>
                <c:pt idx="398">
                  <c:v>18534.099999999999</c:v>
                </c:pt>
                <c:pt idx="399">
                  <c:v>18593.849999999999</c:v>
                </c:pt>
                <c:pt idx="400">
                  <c:v>18599</c:v>
                </c:pt>
                <c:pt idx="401">
                  <c:v>18726.400000000001</c:v>
                </c:pt>
                <c:pt idx="402">
                  <c:v>18634.55</c:v>
                </c:pt>
                <c:pt idx="403">
                  <c:v>18563.400000000001</c:v>
                </c:pt>
                <c:pt idx="404">
                  <c:v>18601.5</c:v>
                </c:pt>
                <c:pt idx="405">
                  <c:v>18716.150000000001</c:v>
                </c:pt>
                <c:pt idx="406">
                  <c:v>18755.900000000001</c:v>
                </c:pt>
                <c:pt idx="407">
                  <c:v>18688.099999999999</c:v>
                </c:pt>
                <c:pt idx="408">
                  <c:v>18826</c:v>
                </c:pt>
                <c:pt idx="409">
                  <c:v>18755.45</c:v>
                </c:pt>
                <c:pt idx="410">
                  <c:v>18816.7</c:v>
                </c:pt>
                <c:pt idx="411">
                  <c:v>18856.849999999999</c:v>
                </c:pt>
                <c:pt idx="412">
                  <c:v>18771.25</c:v>
                </c:pt>
                <c:pt idx="413">
                  <c:v>18665.5</c:v>
                </c:pt>
                <c:pt idx="414">
                  <c:v>18691.2</c:v>
                </c:pt>
                <c:pt idx="415">
                  <c:v>18817.400000000001</c:v>
                </c:pt>
                <c:pt idx="416">
                  <c:v>18972.099999999999</c:v>
                </c:pt>
                <c:pt idx="417">
                  <c:v>19189.05</c:v>
                </c:pt>
                <c:pt idx="418">
                  <c:v>19322.55</c:v>
                </c:pt>
                <c:pt idx="419">
                  <c:v>19389</c:v>
                </c:pt>
                <c:pt idx="420">
                  <c:v>19398.5</c:v>
                </c:pt>
                <c:pt idx="421">
                  <c:v>19497.3</c:v>
                </c:pt>
                <c:pt idx="422">
                  <c:v>19331.8</c:v>
                </c:pt>
                <c:pt idx="423">
                  <c:v>19355.900000000001</c:v>
                </c:pt>
                <c:pt idx="424">
                  <c:v>19439.400000000001</c:v>
                </c:pt>
                <c:pt idx="425">
                  <c:v>19384.3</c:v>
                </c:pt>
                <c:pt idx="426">
                  <c:v>19413.75</c:v>
                </c:pt>
                <c:pt idx="427">
                  <c:v>19564.5</c:v>
                </c:pt>
                <c:pt idx="428">
                  <c:v>19711.45</c:v>
                </c:pt>
                <c:pt idx="429">
                  <c:v>19749.25</c:v>
                </c:pt>
                <c:pt idx="430">
                  <c:v>19833.150000000001</c:v>
                </c:pt>
                <c:pt idx="431">
                  <c:v>19979.150000000001</c:v>
                </c:pt>
                <c:pt idx="432">
                  <c:v>19745</c:v>
                </c:pt>
                <c:pt idx="433">
                  <c:v>19672.349999999999</c:v>
                </c:pt>
                <c:pt idx="434">
                  <c:v>19680.599999999999</c:v>
                </c:pt>
                <c:pt idx="435">
                  <c:v>19778.3</c:v>
                </c:pt>
                <c:pt idx="436">
                  <c:v>19659.900000000001</c:v>
                </c:pt>
                <c:pt idx="437">
                  <c:v>19646.05</c:v>
                </c:pt>
                <c:pt idx="438">
                  <c:v>19753.8</c:v>
                </c:pt>
                <c:pt idx="439">
                  <c:v>19733.55</c:v>
                </c:pt>
                <c:pt idx="440">
                  <c:v>19526.55</c:v>
                </c:pt>
                <c:pt idx="441">
                  <c:v>19381.650000000001</c:v>
                </c:pt>
                <c:pt idx="442">
                  <c:v>19517</c:v>
                </c:pt>
                <c:pt idx="443">
                  <c:v>19597.3</c:v>
                </c:pt>
                <c:pt idx="444">
                  <c:v>19570.849999999999</c:v>
                </c:pt>
                <c:pt idx="445">
                  <c:v>19632.55</c:v>
                </c:pt>
                <c:pt idx="446">
                  <c:v>19543.099999999999</c:v>
                </c:pt>
                <c:pt idx="447">
                  <c:v>19428.3</c:v>
                </c:pt>
                <c:pt idx="448">
                  <c:v>19434.55</c:v>
                </c:pt>
                <c:pt idx="449">
                  <c:v>19465</c:v>
                </c:pt>
                <c:pt idx="450">
                  <c:v>19365.25</c:v>
                </c:pt>
                <c:pt idx="451">
                  <c:v>19310.150000000001</c:v>
                </c:pt>
                <c:pt idx="452">
                  <c:v>19393.599999999999</c:v>
                </c:pt>
                <c:pt idx="453">
                  <c:v>19396.45</c:v>
                </c:pt>
                <c:pt idx="454">
                  <c:v>19444</c:v>
                </c:pt>
                <c:pt idx="455">
                  <c:v>19386.7</c:v>
                </c:pt>
                <c:pt idx="456">
                  <c:v>19265.8</c:v>
                </c:pt>
                <c:pt idx="457">
                  <c:v>19306.05</c:v>
                </c:pt>
                <c:pt idx="458">
                  <c:v>19342.650000000001</c:v>
                </c:pt>
                <c:pt idx="459">
                  <c:v>19347.45</c:v>
                </c:pt>
                <c:pt idx="460">
                  <c:v>19253.8</c:v>
                </c:pt>
                <c:pt idx="461">
                  <c:v>19435.3</c:v>
                </c:pt>
                <c:pt idx="462">
                  <c:v>19528.8</c:v>
                </c:pt>
                <c:pt idx="463">
                  <c:v>19574.900000000001</c:v>
                </c:pt>
                <c:pt idx="464">
                  <c:v>19611.05</c:v>
                </c:pt>
                <c:pt idx="465">
                  <c:v>19727.05</c:v>
                </c:pt>
                <c:pt idx="466">
                  <c:v>19819.95</c:v>
                </c:pt>
                <c:pt idx="467">
                  <c:v>19996.349999999999</c:v>
                </c:pt>
                <c:pt idx="468">
                  <c:v>19993.2</c:v>
                </c:pt>
                <c:pt idx="469">
                  <c:v>20070</c:v>
                </c:pt>
                <c:pt idx="470">
                  <c:v>20103.099999999999</c:v>
                </c:pt>
                <c:pt idx="471">
                  <c:v>20192.349999999999</c:v>
                </c:pt>
                <c:pt idx="472">
                  <c:v>20133.3</c:v>
                </c:pt>
                <c:pt idx="473">
                  <c:v>19901.400000000001</c:v>
                </c:pt>
                <c:pt idx="474">
                  <c:v>19742.349999999999</c:v>
                </c:pt>
                <c:pt idx="475">
                  <c:v>19674.25</c:v>
                </c:pt>
                <c:pt idx="476">
                  <c:v>19674.55</c:v>
                </c:pt>
                <c:pt idx="477">
                  <c:v>19664.7</c:v>
                </c:pt>
                <c:pt idx="478">
                  <c:v>19716.45</c:v>
                </c:pt>
                <c:pt idx="479">
                  <c:v>19523.55</c:v>
                </c:pt>
                <c:pt idx="480">
                  <c:v>19638.3</c:v>
                </c:pt>
                <c:pt idx="481">
                  <c:v>19528.75</c:v>
                </c:pt>
                <c:pt idx="482">
                  <c:v>19436.099999999999</c:v>
                </c:pt>
                <c:pt idx="483">
                  <c:v>19545.75</c:v>
                </c:pt>
                <c:pt idx="484">
                  <c:v>19653.5</c:v>
                </c:pt>
                <c:pt idx="485">
                  <c:v>19512.349999999999</c:v>
                </c:pt>
                <c:pt idx="486">
                  <c:v>19689.849999999999</c:v>
                </c:pt>
                <c:pt idx="487">
                  <c:v>19811.349999999999</c:v>
                </c:pt>
                <c:pt idx="488">
                  <c:v>19794</c:v>
                </c:pt>
                <c:pt idx="489">
                  <c:v>19751.05</c:v>
                </c:pt>
                <c:pt idx="490">
                  <c:v>19731.75</c:v>
                </c:pt>
                <c:pt idx="491">
                  <c:v>19811.5</c:v>
                </c:pt>
                <c:pt idx="492">
                  <c:v>19671.099999999999</c:v>
                </c:pt>
                <c:pt idx="493">
                  <c:v>19624.7</c:v>
                </c:pt>
                <c:pt idx="494">
                  <c:v>19542.650000000001</c:v>
                </c:pt>
                <c:pt idx="495">
                  <c:v>19281.75</c:v>
                </c:pt>
                <c:pt idx="496">
                  <c:v>19122.150000000001</c:v>
                </c:pt>
                <c:pt idx="497">
                  <c:v>18857.25</c:v>
                </c:pt>
                <c:pt idx="498">
                  <c:v>19047.25</c:v>
                </c:pt>
                <c:pt idx="499">
                  <c:v>19140.900000000001</c:v>
                </c:pt>
                <c:pt idx="500">
                  <c:v>19079.599999999999</c:v>
                </c:pt>
                <c:pt idx="501">
                  <c:v>18989.150000000001</c:v>
                </c:pt>
                <c:pt idx="502">
                  <c:v>19133.25</c:v>
                </c:pt>
                <c:pt idx="503">
                  <c:v>19230.599999999999</c:v>
                </c:pt>
                <c:pt idx="504">
                  <c:v>19411.75</c:v>
                </c:pt>
                <c:pt idx="505">
                  <c:v>19406.7</c:v>
                </c:pt>
                <c:pt idx="506">
                  <c:v>19443.5</c:v>
                </c:pt>
                <c:pt idx="507">
                  <c:v>19395.3</c:v>
                </c:pt>
                <c:pt idx="508">
                  <c:v>19425.349999999999</c:v>
                </c:pt>
                <c:pt idx="509">
                  <c:v>19525.55</c:v>
                </c:pt>
                <c:pt idx="510">
                  <c:v>19443.55</c:v>
                </c:pt>
                <c:pt idx="511">
                  <c:v>19675.45</c:v>
                </c:pt>
                <c:pt idx="512">
                  <c:v>19765.2</c:v>
                </c:pt>
                <c:pt idx="513">
                  <c:v>19731.8</c:v>
                </c:pt>
                <c:pt idx="514">
                  <c:v>19694</c:v>
                </c:pt>
                <c:pt idx="515">
                  <c:v>19783.400000000001</c:v>
                </c:pt>
                <c:pt idx="516">
                  <c:v>19811.849999999999</c:v>
                </c:pt>
                <c:pt idx="517">
                  <c:v>19802</c:v>
                </c:pt>
                <c:pt idx="518">
                  <c:v>19794.7</c:v>
                </c:pt>
                <c:pt idx="519">
                  <c:v>19889.7</c:v>
                </c:pt>
                <c:pt idx="520">
                  <c:v>20096.599999999999</c:v>
                </c:pt>
                <c:pt idx="521">
                  <c:v>20133.150000000001</c:v>
                </c:pt>
                <c:pt idx="522">
                  <c:v>20267.900000000001</c:v>
                </c:pt>
                <c:pt idx="523">
                  <c:v>20686.8</c:v>
                </c:pt>
                <c:pt idx="524">
                  <c:v>20855.099999999999</c:v>
                </c:pt>
                <c:pt idx="525">
                  <c:v>20937.7</c:v>
                </c:pt>
                <c:pt idx="526">
                  <c:v>20901.150000000001</c:v>
                </c:pt>
                <c:pt idx="527">
                  <c:v>20969.400000000001</c:v>
                </c:pt>
                <c:pt idx="528">
                  <c:v>20997.1</c:v>
                </c:pt>
                <c:pt idx="529">
                  <c:v>20906.400000000001</c:v>
                </c:pt>
                <c:pt idx="530">
                  <c:v>20926.349999999999</c:v>
                </c:pt>
                <c:pt idx="531">
                  <c:v>21182.7</c:v>
                </c:pt>
                <c:pt idx="532">
                  <c:v>21456.65</c:v>
                </c:pt>
                <c:pt idx="533">
                  <c:v>21418.65</c:v>
                </c:pt>
                <c:pt idx="534">
                  <c:v>21453.1</c:v>
                </c:pt>
                <c:pt idx="535">
                  <c:v>21150.15</c:v>
                </c:pt>
                <c:pt idx="536">
                  <c:v>21255.05</c:v>
                </c:pt>
                <c:pt idx="537">
                  <c:v>21349.4</c:v>
                </c:pt>
                <c:pt idx="538">
                  <c:v>21441.35</c:v>
                </c:pt>
                <c:pt idx="539">
                  <c:v>21654.75</c:v>
                </c:pt>
                <c:pt idx="540">
                  <c:v>21778.7</c:v>
                </c:pt>
                <c:pt idx="541">
                  <c:v>21731.4</c:v>
                </c:pt>
                <c:pt idx="542">
                  <c:v>21741.9</c:v>
                </c:pt>
                <c:pt idx="543">
                  <c:v>21665.8</c:v>
                </c:pt>
                <c:pt idx="544">
                  <c:v>21517.35</c:v>
                </c:pt>
                <c:pt idx="545">
                  <c:v>21658.6</c:v>
                </c:pt>
                <c:pt idx="546">
                  <c:v>21710.799999999999</c:v>
                </c:pt>
                <c:pt idx="547">
                  <c:v>21513</c:v>
                </c:pt>
                <c:pt idx="548">
                  <c:v>21544.85</c:v>
                </c:pt>
                <c:pt idx="549">
                  <c:v>21618.7</c:v>
                </c:pt>
                <c:pt idx="550">
                  <c:v>21647.200000000001</c:v>
                </c:pt>
                <c:pt idx="551">
                  <c:v>21894.55</c:v>
                </c:pt>
                <c:pt idx="552">
                  <c:v>22097.45</c:v>
                </c:pt>
                <c:pt idx="553">
                  <c:v>22032.3</c:v>
                </c:pt>
                <c:pt idx="554">
                  <c:v>21571.95</c:v>
                </c:pt>
                <c:pt idx="555">
                  <c:v>21462.25</c:v>
                </c:pt>
                <c:pt idx="556">
                  <c:v>21622.400000000001</c:v>
                </c:pt>
                <c:pt idx="557">
                  <c:v>21571.8</c:v>
                </c:pt>
                <c:pt idx="558">
                  <c:v>21238.799999999999</c:v>
                </c:pt>
                <c:pt idx="559">
                  <c:v>21453.95</c:v>
                </c:pt>
                <c:pt idx="560">
                  <c:v>21352.6</c:v>
                </c:pt>
                <c:pt idx="561">
                  <c:v>21737.599999999999</c:v>
                </c:pt>
                <c:pt idx="562">
                  <c:v>21522.1</c:v>
                </c:pt>
                <c:pt idx="563">
                  <c:v>21725.7</c:v>
                </c:pt>
                <c:pt idx="564">
                  <c:v>21697.45</c:v>
                </c:pt>
                <c:pt idx="565">
                  <c:v>21853.8</c:v>
                </c:pt>
                <c:pt idx="566">
                  <c:v>21771.7</c:v>
                </c:pt>
                <c:pt idx="567">
                  <c:v>21929.4</c:v>
                </c:pt>
                <c:pt idx="568">
                  <c:v>21930.5</c:v>
                </c:pt>
                <c:pt idx="569">
                  <c:v>21717.95</c:v>
                </c:pt>
                <c:pt idx="570">
                  <c:v>21782.5</c:v>
                </c:pt>
                <c:pt idx="571">
                  <c:v>21616.05</c:v>
                </c:pt>
                <c:pt idx="572">
                  <c:v>21743.25</c:v>
                </c:pt>
                <c:pt idx="573">
                  <c:v>21840.05</c:v>
                </c:pt>
                <c:pt idx="574">
                  <c:v>21910.75</c:v>
                </c:pt>
                <c:pt idx="575">
                  <c:v>22040.7</c:v>
                </c:pt>
                <c:pt idx="576">
                  <c:v>22122.25</c:v>
                </c:pt>
                <c:pt idx="577">
                  <c:v>22196.95</c:v>
                </c:pt>
                <c:pt idx="578">
                  <c:v>22055.05</c:v>
                </c:pt>
                <c:pt idx="579">
                  <c:v>22217.45</c:v>
                </c:pt>
                <c:pt idx="580">
                  <c:v>22212.7</c:v>
                </c:pt>
                <c:pt idx="581">
                  <c:v>22122.05</c:v>
                </c:pt>
                <c:pt idx="582">
                  <c:v>22198.35</c:v>
                </c:pt>
                <c:pt idx="583">
                  <c:v>21951.15</c:v>
                </c:pt>
                <c:pt idx="584">
                  <c:v>21982.799999999999</c:v>
                </c:pt>
                <c:pt idx="585">
                  <c:v>22338.75</c:v>
                </c:pt>
                <c:pt idx="586">
                  <c:v>22405.599999999999</c:v>
                </c:pt>
                <c:pt idx="587">
                  <c:v>22356.3</c:v>
                </c:pt>
                <c:pt idx="588">
                  <c:v>22474.05</c:v>
                </c:pt>
                <c:pt idx="589">
                  <c:v>22493.55</c:v>
                </c:pt>
                <c:pt idx="590">
                  <c:v>22332.65</c:v>
                </c:pt>
                <c:pt idx="591">
                  <c:v>22335.7</c:v>
                </c:pt>
                <c:pt idx="592">
                  <c:v>21997.7</c:v>
                </c:pt>
                <c:pt idx="593">
                  <c:v>22146.65</c:v>
                </c:pt>
                <c:pt idx="594">
                  <c:v>22023.35</c:v>
                </c:pt>
                <c:pt idx="595">
                  <c:v>22055.7</c:v>
                </c:pt>
                <c:pt idx="596">
                  <c:v>21817.45</c:v>
                </c:pt>
                <c:pt idx="597">
                  <c:v>21839.1</c:v>
                </c:pt>
                <c:pt idx="598">
                  <c:v>22011.95</c:v>
                </c:pt>
                <c:pt idx="599">
                  <c:v>22096.75</c:v>
                </c:pt>
                <c:pt idx="600">
                  <c:v>22004.7</c:v>
                </c:pt>
                <c:pt idx="601">
                  <c:v>22123.65</c:v>
                </c:pt>
                <c:pt idx="602">
                  <c:v>22326.9</c:v>
                </c:pt>
                <c:pt idx="603">
                  <c:v>22462</c:v>
                </c:pt>
                <c:pt idx="604">
                  <c:v>22453.3</c:v>
                </c:pt>
                <c:pt idx="605">
                  <c:v>22434.65</c:v>
                </c:pt>
                <c:pt idx="606">
                  <c:v>22514.65</c:v>
                </c:pt>
                <c:pt idx="607">
                  <c:v>22513.7</c:v>
                </c:pt>
                <c:pt idx="608">
                  <c:v>22666.3</c:v>
                </c:pt>
                <c:pt idx="609">
                  <c:v>22642.75</c:v>
                </c:pt>
                <c:pt idx="610">
                  <c:v>22753.8</c:v>
                </c:pt>
                <c:pt idx="611">
                  <c:v>22519.4</c:v>
                </c:pt>
                <c:pt idx="612">
                  <c:v>22272.5</c:v>
                </c:pt>
                <c:pt idx="613">
                  <c:v>22147.9</c:v>
                </c:pt>
                <c:pt idx="614">
                  <c:v>21995.85</c:v>
                </c:pt>
                <c:pt idx="615">
                  <c:v>22147</c:v>
                </c:pt>
                <c:pt idx="616">
                  <c:v>22336.400000000001</c:v>
                </c:pt>
                <c:pt idx="617">
                  <c:v>22368</c:v>
                </c:pt>
                <c:pt idx="618">
                  <c:v>22402.400000000001</c:v>
                </c:pt>
                <c:pt idx="619">
                  <c:v>22570.35</c:v>
                </c:pt>
                <c:pt idx="620">
                  <c:v>22419.95</c:v>
                </c:pt>
                <c:pt idx="621">
                  <c:v>22643.4</c:v>
                </c:pt>
                <c:pt idx="622">
                  <c:v>22604.85</c:v>
                </c:pt>
                <c:pt idx="623">
                  <c:v>22648.2</c:v>
                </c:pt>
                <c:pt idx="624">
                  <c:v>22475.85</c:v>
                </c:pt>
                <c:pt idx="625">
                  <c:v>22442.7</c:v>
                </c:pt>
                <c:pt idx="626">
                  <c:v>22302.5</c:v>
                </c:pt>
                <c:pt idx="627">
                  <c:v>22302.5</c:v>
                </c:pt>
                <c:pt idx="628">
                  <c:v>21957.5</c:v>
                </c:pt>
                <c:pt idx="629">
                  <c:v>22055.200000000001</c:v>
                </c:pt>
                <c:pt idx="630">
                  <c:v>22104.05</c:v>
                </c:pt>
                <c:pt idx="631">
                  <c:v>22217.85</c:v>
                </c:pt>
                <c:pt idx="632">
                  <c:v>22200.55</c:v>
                </c:pt>
                <c:pt idx="633">
                  <c:v>22403.85</c:v>
                </c:pt>
                <c:pt idx="634">
                  <c:v>22466.1</c:v>
                </c:pt>
                <c:pt idx="635">
                  <c:v>22502</c:v>
                </c:pt>
                <c:pt idx="636">
                  <c:v>22529.05</c:v>
                </c:pt>
                <c:pt idx="637">
                  <c:v>22597.8</c:v>
                </c:pt>
                <c:pt idx="638">
                  <c:v>22967.65</c:v>
                </c:pt>
                <c:pt idx="639">
                  <c:v>22957.1</c:v>
                </c:pt>
                <c:pt idx="640">
                  <c:v>22932.45</c:v>
                </c:pt>
                <c:pt idx="641">
                  <c:v>22888.15</c:v>
                </c:pt>
                <c:pt idx="642">
                  <c:v>22704.7</c:v>
                </c:pt>
                <c:pt idx="643">
                  <c:v>22488.65</c:v>
                </c:pt>
                <c:pt idx="644">
                  <c:v>22530.7</c:v>
                </c:pt>
                <c:pt idx="645">
                  <c:v>23263.9</c:v>
                </c:pt>
                <c:pt idx="646">
                  <c:v>21884.5</c:v>
                </c:pt>
                <c:pt idx="647">
                  <c:v>22620.35</c:v>
                </c:pt>
                <c:pt idx="648">
                  <c:v>22821.4</c:v>
                </c:pt>
                <c:pt idx="649">
                  <c:v>23290.15</c:v>
                </c:pt>
                <c:pt idx="650">
                  <c:v>23259.200000000001</c:v>
                </c:pt>
                <c:pt idx="651">
                  <c:v>23264.85</c:v>
                </c:pt>
                <c:pt idx="652">
                  <c:v>23322.95</c:v>
                </c:pt>
                <c:pt idx="653">
                  <c:v>23398.9</c:v>
                </c:pt>
                <c:pt idx="654">
                  <c:v>23465.599999999999</c:v>
                </c:pt>
                <c:pt idx="655">
                  <c:v>23557.9</c:v>
                </c:pt>
                <c:pt idx="656">
                  <c:v>23516</c:v>
                </c:pt>
                <c:pt idx="657">
                  <c:v>23567</c:v>
                </c:pt>
                <c:pt idx="658">
                  <c:v>23501.1</c:v>
                </c:pt>
                <c:pt idx="659">
                  <c:v>23537.85</c:v>
                </c:pt>
                <c:pt idx="660">
                  <c:v>23721.3</c:v>
                </c:pt>
                <c:pt idx="661">
                  <c:v>23868.799999999999</c:v>
                </c:pt>
                <c:pt idx="662">
                  <c:v>24044.5</c:v>
                </c:pt>
                <c:pt idx="663">
                  <c:v>24010.6</c:v>
                </c:pt>
                <c:pt idx="664">
                  <c:v>24141.95</c:v>
                </c:pt>
                <c:pt idx="665">
                  <c:v>24123.85</c:v>
                </c:pt>
                <c:pt idx="666">
                  <c:v>24286.5</c:v>
                </c:pt>
                <c:pt idx="667">
                  <c:v>24302.15</c:v>
                </c:pt>
                <c:pt idx="668">
                  <c:v>24323.85</c:v>
                </c:pt>
                <c:pt idx="669">
                  <c:v>24320.55</c:v>
                </c:pt>
                <c:pt idx="670">
                  <c:v>24433.200000000001</c:v>
                </c:pt>
                <c:pt idx="671">
                  <c:v>24324.45</c:v>
                </c:pt>
                <c:pt idx="672">
                  <c:v>24315.95</c:v>
                </c:pt>
                <c:pt idx="673">
                  <c:v>24502.15</c:v>
                </c:pt>
                <c:pt idx="674">
                  <c:v>24586.7</c:v>
                </c:pt>
                <c:pt idx="675">
                  <c:v>24613</c:v>
                </c:pt>
                <c:pt idx="676">
                  <c:v>24800.85</c:v>
                </c:pt>
                <c:pt idx="677">
                  <c:v>24530.9</c:v>
                </c:pt>
                <c:pt idx="678">
                  <c:v>24509.25</c:v>
                </c:pt>
                <c:pt idx="679">
                  <c:v>24479.05</c:v>
                </c:pt>
                <c:pt idx="680">
                  <c:v>24413.5</c:v>
                </c:pt>
                <c:pt idx="681">
                  <c:v>24406.1</c:v>
                </c:pt>
                <c:pt idx="682">
                  <c:v>24834.85</c:v>
                </c:pt>
                <c:pt idx="683">
                  <c:v>24836.1</c:v>
                </c:pt>
                <c:pt idx="684">
                  <c:v>24857.3</c:v>
                </c:pt>
                <c:pt idx="685">
                  <c:v>24951.15</c:v>
                </c:pt>
                <c:pt idx="686">
                  <c:v>25010.9</c:v>
                </c:pt>
                <c:pt idx="687">
                  <c:v>24717.7</c:v>
                </c:pt>
                <c:pt idx="688">
                  <c:v>24055.599999999999</c:v>
                </c:pt>
                <c:pt idx="689">
                  <c:v>23992.55</c:v>
                </c:pt>
                <c:pt idx="690">
                  <c:v>24297.5</c:v>
                </c:pt>
                <c:pt idx="691">
                  <c:v>24117</c:v>
                </c:pt>
                <c:pt idx="692">
                  <c:v>24367.5</c:v>
                </c:pt>
                <c:pt idx="693">
                  <c:v>24347</c:v>
                </c:pt>
                <c:pt idx="694">
                  <c:v>24139</c:v>
                </c:pt>
                <c:pt idx="695">
                  <c:v>24143.75</c:v>
                </c:pt>
                <c:pt idx="696">
                  <c:v>24541.15</c:v>
                </c:pt>
                <c:pt idx="697">
                  <c:v>24572.65</c:v>
                </c:pt>
                <c:pt idx="698">
                  <c:v>24698.85</c:v>
                </c:pt>
                <c:pt idx="699">
                  <c:v>24770.2</c:v>
                </c:pt>
                <c:pt idx="700">
                  <c:v>24811.5</c:v>
                </c:pt>
                <c:pt idx="701">
                  <c:v>24823.15</c:v>
                </c:pt>
                <c:pt idx="702">
                  <c:v>25010.6</c:v>
                </c:pt>
                <c:pt idx="703">
                  <c:v>25017.75</c:v>
                </c:pt>
                <c:pt idx="704">
                  <c:v>25052.35</c:v>
                </c:pt>
                <c:pt idx="705">
                  <c:v>25151.95</c:v>
                </c:pt>
                <c:pt idx="706">
                  <c:v>25235.9</c:v>
                </c:pt>
                <c:pt idx="707">
                  <c:v>25278.7</c:v>
                </c:pt>
                <c:pt idx="708">
                  <c:v>25279.85</c:v>
                </c:pt>
                <c:pt idx="709">
                  <c:v>25198.7</c:v>
                </c:pt>
                <c:pt idx="710">
                  <c:v>25145.1</c:v>
                </c:pt>
                <c:pt idx="711">
                  <c:v>24852.15</c:v>
                </c:pt>
                <c:pt idx="712">
                  <c:v>24936.400000000001</c:v>
                </c:pt>
                <c:pt idx="713">
                  <c:v>25041.1</c:v>
                </c:pt>
                <c:pt idx="714">
                  <c:v>24918.45</c:v>
                </c:pt>
                <c:pt idx="715">
                  <c:v>25388.9</c:v>
                </c:pt>
                <c:pt idx="716">
                  <c:v>25356.5</c:v>
                </c:pt>
                <c:pt idx="717">
                  <c:v>25383.75</c:v>
                </c:pt>
                <c:pt idx="718">
                  <c:v>25418.55</c:v>
                </c:pt>
                <c:pt idx="719">
                  <c:v>25377.55</c:v>
                </c:pt>
                <c:pt idx="720">
                  <c:v>25415.8</c:v>
                </c:pt>
                <c:pt idx="721">
                  <c:v>25790.95</c:v>
                </c:pt>
                <c:pt idx="722">
                  <c:v>25939.05</c:v>
                </c:pt>
                <c:pt idx="723">
                  <c:v>25940.400000000001</c:v>
                </c:pt>
                <c:pt idx="724">
                  <c:v>26004.15</c:v>
                </c:pt>
                <c:pt idx="725">
                  <c:v>26216.05</c:v>
                </c:pt>
                <c:pt idx="726">
                  <c:v>26178.95</c:v>
                </c:pt>
                <c:pt idx="727">
                  <c:v>25810.85</c:v>
                </c:pt>
                <c:pt idx="728">
                  <c:v>25796.9</c:v>
                </c:pt>
                <c:pt idx="729">
                  <c:v>25250.1</c:v>
                </c:pt>
                <c:pt idx="730">
                  <c:v>25014.6</c:v>
                </c:pt>
                <c:pt idx="731">
                  <c:v>24795.75</c:v>
                </c:pt>
                <c:pt idx="732">
                  <c:v>25013.15</c:v>
                </c:pt>
                <c:pt idx="733">
                  <c:v>24981.95</c:v>
                </c:pt>
                <c:pt idx="734">
                  <c:v>24998.45</c:v>
                </c:pt>
                <c:pt idx="735">
                  <c:v>24964.25</c:v>
                </c:pt>
                <c:pt idx="736">
                  <c:v>25127.95</c:v>
                </c:pt>
                <c:pt idx="737">
                  <c:v>25057.35</c:v>
                </c:pt>
                <c:pt idx="738">
                  <c:v>24971.3</c:v>
                </c:pt>
                <c:pt idx="739">
                  <c:v>24749.85</c:v>
                </c:pt>
                <c:pt idx="740">
                  <c:v>24854.05</c:v>
                </c:pt>
                <c:pt idx="741">
                  <c:v>24781.1</c:v>
                </c:pt>
                <c:pt idx="742">
                  <c:v>24472.1</c:v>
                </c:pt>
                <c:pt idx="743">
                  <c:v>24435.5</c:v>
                </c:pt>
                <c:pt idx="744">
                  <c:v>24399.4</c:v>
                </c:pt>
                <c:pt idx="745">
                  <c:v>24180.799999999999</c:v>
                </c:pt>
                <c:pt idx="746">
                  <c:v>24339.15</c:v>
                </c:pt>
                <c:pt idx="747">
                  <c:v>24466.85</c:v>
                </c:pt>
                <c:pt idx="748">
                  <c:v>24340.85</c:v>
                </c:pt>
                <c:pt idx="749">
                  <c:v>24205.35</c:v>
                </c:pt>
                <c:pt idx="750">
                  <c:v>24304.35</c:v>
                </c:pt>
                <c:pt idx="751">
                  <c:v>23995.35</c:v>
                </c:pt>
                <c:pt idx="752">
                  <c:v>24213.3</c:v>
                </c:pt>
                <c:pt idx="753">
                  <c:v>24484.05</c:v>
                </c:pt>
                <c:pt idx="754">
                  <c:v>24199.35</c:v>
                </c:pt>
                <c:pt idx="755">
                  <c:v>24148.2</c:v>
                </c:pt>
                <c:pt idx="756">
                  <c:v>24141.3</c:v>
                </c:pt>
                <c:pt idx="757">
                  <c:v>23883.45</c:v>
                </c:pt>
                <c:pt idx="758">
                  <c:v>23559.05</c:v>
                </c:pt>
                <c:pt idx="759">
                  <c:v>23532.7</c:v>
                </c:pt>
                <c:pt idx="760">
                  <c:v>23453.8</c:v>
                </c:pt>
                <c:pt idx="761">
                  <c:v>23518.5</c:v>
                </c:pt>
                <c:pt idx="762">
                  <c:v>23349.9</c:v>
                </c:pt>
                <c:pt idx="763">
                  <c:v>23907.25</c:v>
                </c:pt>
                <c:pt idx="764">
                  <c:v>24221.9</c:v>
                </c:pt>
                <c:pt idx="765">
                  <c:v>24194.5</c:v>
                </c:pt>
                <c:pt idx="766">
                  <c:v>24274.9</c:v>
                </c:pt>
                <c:pt idx="767">
                  <c:v>23914.15</c:v>
                </c:pt>
                <c:pt idx="768">
                  <c:v>24131.1</c:v>
                </c:pt>
                <c:pt idx="769">
                  <c:v>24276.05</c:v>
                </c:pt>
                <c:pt idx="770">
                  <c:v>24457.15</c:v>
                </c:pt>
                <c:pt idx="771">
                  <c:v>24467.45</c:v>
                </c:pt>
                <c:pt idx="772">
                  <c:v>24708.400000000001</c:v>
                </c:pt>
                <c:pt idx="773">
                  <c:v>24677.8</c:v>
                </c:pt>
                <c:pt idx="774">
                  <c:v>24619</c:v>
                </c:pt>
                <c:pt idx="775">
                  <c:v>24610.05</c:v>
                </c:pt>
                <c:pt idx="776">
                  <c:v>24641.8</c:v>
                </c:pt>
                <c:pt idx="777">
                  <c:v>24548.7</c:v>
                </c:pt>
                <c:pt idx="778">
                  <c:v>24768.3</c:v>
                </c:pt>
                <c:pt idx="779">
                  <c:v>24668.25</c:v>
                </c:pt>
                <c:pt idx="780">
                  <c:v>24336</c:v>
                </c:pt>
                <c:pt idx="781">
                  <c:v>24198.85</c:v>
                </c:pt>
                <c:pt idx="782">
                  <c:v>23951.7</c:v>
                </c:pt>
                <c:pt idx="783">
                  <c:v>23587.5</c:v>
                </c:pt>
                <c:pt idx="784">
                  <c:v>23753.45</c:v>
                </c:pt>
                <c:pt idx="785">
                  <c:v>23727.65</c:v>
                </c:pt>
                <c:pt idx="786">
                  <c:v>23750.2</c:v>
                </c:pt>
                <c:pt idx="787">
                  <c:v>23813.4</c:v>
                </c:pt>
                <c:pt idx="788">
                  <c:v>23644.9</c:v>
                </c:pt>
                <c:pt idx="789">
                  <c:v>23644.799999999999</c:v>
                </c:pt>
                <c:pt idx="790">
                  <c:v>23742.9</c:v>
                </c:pt>
                <c:pt idx="791">
                  <c:v>24188.65</c:v>
                </c:pt>
                <c:pt idx="792">
                  <c:v>24004.75</c:v>
                </c:pt>
                <c:pt idx="793">
                  <c:v>23616.05</c:v>
                </c:pt>
                <c:pt idx="794">
                  <c:v>23707.9</c:v>
                </c:pt>
                <c:pt idx="795">
                  <c:v>23688.95</c:v>
                </c:pt>
                <c:pt idx="796">
                  <c:v>23526.5</c:v>
                </c:pt>
                <c:pt idx="797">
                  <c:v>23431.5</c:v>
                </c:pt>
                <c:pt idx="798">
                  <c:v>23085.95</c:v>
                </c:pt>
                <c:pt idx="799">
                  <c:v>23176.05</c:v>
                </c:pt>
                <c:pt idx="800">
                  <c:v>23213.200000000001</c:v>
                </c:pt>
                <c:pt idx="801">
                  <c:v>23311.8</c:v>
                </c:pt>
                <c:pt idx="802">
                  <c:v>23203.200000000001</c:v>
                </c:pt>
                <c:pt idx="803">
                  <c:v>23344.75</c:v>
                </c:pt>
                <c:pt idx="804">
                  <c:v>23024.65</c:v>
                </c:pt>
                <c:pt idx="805">
                  <c:v>23155.35</c:v>
                </c:pt>
                <c:pt idx="806">
                  <c:v>23205.35</c:v>
                </c:pt>
                <c:pt idx="807">
                  <c:v>23092.2</c:v>
                </c:pt>
                <c:pt idx="808">
                  <c:v>22829.15</c:v>
                </c:pt>
                <c:pt idx="809">
                  <c:v>22957.25</c:v>
                </c:pt>
                <c:pt idx="810">
                  <c:v>23163.1</c:v>
                </c:pt>
                <c:pt idx="811">
                  <c:v>23249.5</c:v>
                </c:pt>
                <c:pt idx="812">
                  <c:v>23508.400000000001</c:v>
                </c:pt>
                <c:pt idx="813">
                  <c:v>23482.15</c:v>
                </c:pt>
                <c:pt idx="814">
                  <c:v>23361.05</c:v>
                </c:pt>
                <c:pt idx="815">
                  <c:v>23739.25</c:v>
                </c:pt>
                <c:pt idx="816">
                  <c:v>23696.3</c:v>
                </c:pt>
                <c:pt idx="817">
                  <c:v>23603.35</c:v>
                </c:pt>
                <c:pt idx="818">
                  <c:v>23559.95</c:v>
                </c:pt>
                <c:pt idx="819">
                  <c:v>23381.599999999999</c:v>
                </c:pt>
                <c:pt idx="820">
                  <c:v>23071.8</c:v>
                </c:pt>
                <c:pt idx="821">
                  <c:v>23045.25</c:v>
                </c:pt>
                <c:pt idx="822">
                  <c:v>23031.4</c:v>
                </c:pt>
                <c:pt idx="823">
                  <c:v>22929.25</c:v>
                </c:pt>
                <c:pt idx="824">
                  <c:v>22959.5</c:v>
                </c:pt>
                <c:pt idx="825">
                  <c:v>22945.3</c:v>
                </c:pt>
                <c:pt idx="826">
                  <c:v>22932.9</c:v>
                </c:pt>
                <c:pt idx="827">
                  <c:v>22913.15</c:v>
                </c:pt>
                <c:pt idx="828">
                  <c:v>22795.9</c:v>
                </c:pt>
                <c:pt idx="829">
                  <c:v>22553.35</c:v>
                </c:pt>
                <c:pt idx="830">
                  <c:v>22547.55</c:v>
                </c:pt>
                <c:pt idx="831">
                  <c:v>22545.05</c:v>
                </c:pt>
                <c:pt idx="832">
                  <c:v>22124.7</c:v>
                </c:pt>
                <c:pt idx="833">
                  <c:v>22119.3</c:v>
                </c:pt>
                <c:pt idx="834">
                  <c:v>22082.65</c:v>
                </c:pt>
                <c:pt idx="835">
                  <c:v>22337.3</c:v>
                </c:pt>
                <c:pt idx="836">
                  <c:v>22544.7</c:v>
                </c:pt>
                <c:pt idx="837">
                  <c:v>22552.5</c:v>
                </c:pt>
                <c:pt idx="838">
                  <c:v>22460.3</c:v>
                </c:pt>
                <c:pt idx="839">
                  <c:v>22497.9</c:v>
                </c:pt>
                <c:pt idx="840">
                  <c:v>22470.5</c:v>
                </c:pt>
                <c:pt idx="841">
                  <c:v>22397.200000000001</c:v>
                </c:pt>
                <c:pt idx="842">
                  <c:v>22508.75</c:v>
                </c:pt>
                <c:pt idx="843">
                  <c:v>22834.3</c:v>
                </c:pt>
                <c:pt idx="844">
                  <c:v>22907.599999999999</c:v>
                </c:pt>
                <c:pt idx="845">
                  <c:v>23190.65</c:v>
                </c:pt>
                <c:pt idx="846">
                  <c:v>23350.400000000001</c:v>
                </c:pt>
                <c:pt idx="847">
                  <c:v>23658.35</c:v>
                </c:pt>
                <c:pt idx="848">
                  <c:v>23668.65</c:v>
                </c:pt>
                <c:pt idx="849">
                  <c:v>23486.85</c:v>
                </c:pt>
                <c:pt idx="850">
                  <c:v>23591.95</c:v>
                </c:pt>
                <c:pt idx="851">
                  <c:v>23519.35</c:v>
                </c:pt>
                <c:pt idx="852">
                  <c:v>23165.7</c:v>
                </c:pt>
                <c:pt idx="853">
                  <c:v>23332.35</c:v>
                </c:pt>
                <c:pt idx="854">
                  <c:v>23250.1</c:v>
                </c:pt>
                <c:pt idx="855">
                  <c:v>22904.45</c:v>
                </c:pt>
                <c:pt idx="856">
                  <c:v>22161.599999999999</c:v>
                </c:pt>
                <c:pt idx="857">
                  <c:v>22535.85</c:v>
                </c:pt>
                <c:pt idx="858">
                  <c:v>22399.15</c:v>
                </c:pt>
                <c:pt idx="859">
                  <c:v>22828.55</c:v>
                </c:pt>
                <c:pt idx="860">
                  <c:v>23328.55</c:v>
                </c:pt>
                <c:pt idx="861">
                  <c:v>23437.200000000001</c:v>
                </c:pt>
                <c:pt idx="862">
                  <c:v>23851.65</c:v>
                </c:pt>
                <c:pt idx="863">
                  <c:v>24125.55</c:v>
                </c:pt>
                <c:pt idx="864">
                  <c:v>24167.25</c:v>
                </c:pt>
                <c:pt idx="865">
                  <c:v>24328.95</c:v>
                </c:pt>
                <c:pt idx="866">
                  <c:v>24246.7</c:v>
                </c:pt>
                <c:pt idx="867">
                  <c:v>24039.35</c:v>
                </c:pt>
                <c:pt idx="868">
                  <c:v>24328.5</c:v>
                </c:pt>
                <c:pt idx="869">
                  <c:v>24335.95</c:v>
                </c:pt>
                <c:pt idx="870">
                  <c:v>24334.2</c:v>
                </c:pt>
                <c:pt idx="871">
                  <c:v>24346.7</c:v>
                </c:pt>
                <c:pt idx="872">
                  <c:v>24461.15</c:v>
                </c:pt>
                <c:pt idx="873">
                  <c:v>24379.599999999999</c:v>
                </c:pt>
                <c:pt idx="874">
                  <c:v>24414.400000000001</c:v>
                </c:pt>
                <c:pt idx="875">
                  <c:v>24273.8</c:v>
                </c:pt>
                <c:pt idx="876">
                  <c:v>24008</c:v>
                </c:pt>
                <c:pt idx="877">
                  <c:v>24924.7</c:v>
                </c:pt>
                <c:pt idx="878">
                  <c:v>24578.35</c:v>
                </c:pt>
                <c:pt idx="879">
                  <c:v>24666.9</c:v>
                </c:pt>
                <c:pt idx="880">
                  <c:v>25062.1</c:v>
                </c:pt>
                <c:pt idx="881">
                  <c:v>25019.8</c:v>
                </c:pt>
                <c:pt idx="882">
                  <c:v>24945.45</c:v>
                </c:pt>
                <c:pt idx="883">
                  <c:v>24683.9</c:v>
                </c:pt>
                <c:pt idx="884">
                  <c:v>24813.45</c:v>
                </c:pt>
                <c:pt idx="885">
                  <c:v>24609.7</c:v>
                </c:pt>
                <c:pt idx="886">
                  <c:v>24853.15</c:v>
                </c:pt>
                <c:pt idx="887">
                  <c:v>25001.15</c:v>
                </c:pt>
                <c:pt idx="888">
                  <c:v>24826.2</c:v>
                </c:pt>
                <c:pt idx="889">
                  <c:v>24752.45</c:v>
                </c:pt>
                <c:pt idx="890">
                  <c:v>24833.599999999999</c:v>
                </c:pt>
                <c:pt idx="891">
                  <c:v>24750.7</c:v>
                </c:pt>
                <c:pt idx="892">
                  <c:v>24716.6</c:v>
                </c:pt>
                <c:pt idx="893">
                  <c:v>24542.5</c:v>
                </c:pt>
                <c:pt idx="894">
                  <c:v>24620.2</c:v>
                </c:pt>
                <c:pt idx="895">
                  <c:v>24750.9</c:v>
                </c:pt>
                <c:pt idx="896">
                  <c:v>25003.05</c:v>
                </c:pt>
                <c:pt idx="897">
                  <c:v>25103.200000000001</c:v>
                </c:pt>
                <c:pt idx="898">
                  <c:v>25104.25</c:v>
                </c:pt>
                <c:pt idx="899">
                  <c:v>25141.4</c:v>
                </c:pt>
                <c:pt idx="900">
                  <c:v>24888.2</c:v>
                </c:pt>
                <c:pt idx="901">
                  <c:v>24718.6</c:v>
                </c:pt>
                <c:pt idx="902">
                  <c:v>24946.5</c:v>
                </c:pt>
                <c:pt idx="903">
                  <c:v>24853.4</c:v>
                </c:pt>
                <c:pt idx="904">
                  <c:v>24812.05</c:v>
                </c:pt>
                <c:pt idx="905">
                  <c:v>24793.25</c:v>
                </c:pt>
                <c:pt idx="906">
                  <c:v>25112.400000000001</c:v>
                </c:pt>
                <c:pt idx="907">
                  <c:v>24971.9</c:v>
                </c:pt>
                <c:pt idx="908">
                  <c:v>25044.35</c:v>
                </c:pt>
                <c:pt idx="909">
                  <c:v>25244.75</c:v>
                </c:pt>
                <c:pt idx="910">
                  <c:v>25549</c:v>
                </c:pt>
                <c:pt idx="911">
                  <c:v>25637.8</c:v>
                </c:pt>
                <c:pt idx="912">
                  <c:v>25517.05</c:v>
                </c:pt>
                <c:pt idx="913">
                  <c:v>25541.8</c:v>
                </c:pt>
                <c:pt idx="914">
                  <c:v>25453.4</c:v>
                </c:pt>
                <c:pt idx="915">
                  <c:v>25405.3</c:v>
                </c:pt>
                <c:pt idx="916">
                  <c:v>25461</c:v>
                </c:pt>
                <c:pt idx="917">
                  <c:v>25461.3</c:v>
                </c:pt>
                <c:pt idx="918">
                  <c:v>25522.5</c:v>
                </c:pt>
                <c:pt idx="919">
                  <c:v>25476.1</c:v>
                </c:pt>
                <c:pt idx="920">
                  <c:v>25355.25</c:v>
                </c:pt>
                <c:pt idx="921">
                  <c:v>25149.85</c:v>
                </c:pt>
                <c:pt idx="922">
                  <c:v>25082.3</c:v>
                </c:pt>
                <c:pt idx="923">
                  <c:v>25195.8</c:v>
                </c:pt>
                <c:pt idx="924">
                  <c:v>25212.05</c:v>
                </c:pt>
                <c:pt idx="925">
                  <c:v>25111.45</c:v>
                </c:pt>
                <c:pt idx="926">
                  <c:v>24968.400000000001</c:v>
                </c:pt>
                <c:pt idx="927">
                  <c:v>25090.7</c:v>
                </c:pt>
                <c:pt idx="928">
                  <c:v>25060.9</c:v>
                </c:pt>
                <c:pt idx="929">
                  <c:v>25219.9</c:v>
                </c:pt>
                <c:pt idx="930">
                  <c:v>25062.1</c:v>
                </c:pt>
                <c:pt idx="931">
                  <c:v>24837</c:v>
                </c:pt>
                <c:pt idx="932">
                  <c:v>24680.9</c:v>
                </c:pt>
                <c:pt idx="933">
                  <c:v>24821.1</c:v>
                </c:pt>
                <c:pt idx="934">
                  <c:v>24855.05</c:v>
                </c:pt>
                <c:pt idx="935">
                  <c:v>24768.35</c:v>
                </c:pt>
                <c:pt idx="936">
                  <c:v>24565.35</c:v>
                </c:pt>
                <c:pt idx="937">
                  <c:v>24722.75</c:v>
                </c:pt>
                <c:pt idx="938">
                  <c:v>24649.55</c:v>
                </c:pt>
                <c:pt idx="939">
                  <c:v>24574.2</c:v>
                </c:pt>
                <c:pt idx="940">
                  <c:v>24596.15</c:v>
                </c:pt>
                <c:pt idx="941">
                  <c:v>24363.3</c:v>
                </c:pt>
                <c:pt idx="942">
                  <c:v>24585.05</c:v>
                </c:pt>
                <c:pt idx="943">
                  <c:v>24487.4</c:v>
                </c:pt>
                <c:pt idx="944">
                  <c:v>24619.35</c:v>
                </c:pt>
                <c:pt idx="945">
                  <c:v>24631.3</c:v>
                </c:pt>
                <c:pt idx="946">
                  <c:v>24876.95</c:v>
                </c:pt>
                <c:pt idx="947">
                  <c:v>24980.65</c:v>
                </c:pt>
                <c:pt idx="948">
                  <c:v>25050.55</c:v>
                </c:pt>
                <c:pt idx="949">
                  <c:v>25083.75</c:v>
                </c:pt>
                <c:pt idx="950">
                  <c:v>24870.1</c:v>
                </c:pt>
                <c:pt idx="951">
                  <c:v>24967.75</c:v>
                </c:pt>
                <c:pt idx="952">
                  <c:v>24712.05</c:v>
                </c:pt>
                <c:pt idx="953">
                  <c:v>24500.9</c:v>
                </c:pt>
                <c:pt idx="954">
                  <c:v>24426.85</c:v>
                </c:pt>
                <c:pt idx="955">
                  <c:v>24625.05</c:v>
                </c:pt>
                <c:pt idx="956">
                  <c:v>24579.599999999999</c:v>
                </c:pt>
                <c:pt idx="957">
                  <c:v>24715.05</c:v>
                </c:pt>
                <c:pt idx="958">
                  <c:v>24734.3</c:v>
                </c:pt>
                <c:pt idx="959">
                  <c:v>24741</c:v>
                </c:pt>
                <c:pt idx="960">
                  <c:v>24773.15</c:v>
                </c:pt>
                <c:pt idx="961">
                  <c:v>24868.6</c:v>
                </c:pt>
                <c:pt idx="962">
                  <c:v>24973.1</c:v>
                </c:pt>
                <c:pt idx="963">
                  <c:v>25005.5</c:v>
                </c:pt>
                <c:pt idx="964">
                  <c:v>25114</c:v>
                </c:pt>
                <c:pt idx="965">
                  <c:v>25069.200000000001</c:v>
                </c:pt>
                <c:pt idx="966">
                  <c:v>25239.1</c:v>
                </c:pt>
                <c:pt idx="967">
                  <c:v>25330.25</c:v>
                </c:pt>
                <c:pt idx="968">
                  <c:v>25423.599999999999</c:v>
                </c:pt>
                <c:pt idx="969">
                  <c:v>25327.05</c:v>
                </c:pt>
                <c:pt idx="970">
                  <c:v>25202.35</c:v>
                </c:pt>
                <c:pt idx="971">
                  <c:v>25169.5</c:v>
                </c:pt>
                <c:pt idx="972">
                  <c:v>25056.9</c:v>
                </c:pt>
                <c:pt idx="973">
                  <c:v>24890.85</c:v>
                </c:pt>
                <c:pt idx="974">
                  <c:v>24654.7</c:v>
                </c:pt>
                <c:pt idx="975">
                  <c:v>24634.9</c:v>
                </c:pt>
                <c:pt idx="976">
                  <c:v>24611.1</c:v>
                </c:pt>
                <c:pt idx="977">
                  <c:v>24836.3</c:v>
                </c:pt>
                <c:pt idx="978">
                  <c:v>24894.25</c:v>
                </c:pt>
                <c:pt idx="979">
                  <c:v>25077.65</c:v>
                </c:pt>
                <c:pt idx="980">
                  <c:v>25108.3</c:v>
                </c:pt>
                <c:pt idx="981">
                  <c:v>25046.15</c:v>
                </c:pt>
                <c:pt idx="982">
                  <c:v>25181.8</c:v>
                </c:pt>
                <c:pt idx="983">
                  <c:v>25285.35</c:v>
                </c:pt>
                <c:pt idx="984">
                  <c:v>25227.35</c:v>
                </c:pt>
                <c:pt idx="985">
                  <c:v>25145.5</c:v>
                </c:pt>
                <c:pt idx="986">
                  <c:v>25323.55</c:v>
                </c:pt>
                <c:pt idx="987">
                  <c:v>25585.3</c:v>
                </c:pt>
                <c:pt idx="988">
                  <c:v>25709.85</c:v>
                </c:pt>
                <c:pt idx="989">
                  <c:v>25843.15</c:v>
                </c:pt>
                <c:pt idx="990">
                  <c:v>25868.6</c:v>
                </c:pt>
                <c:pt idx="991">
                  <c:v>25891.4</c:v>
                </c:pt>
                <c:pt idx="992">
                  <c:v>25795.15</c:v>
                </c:pt>
                <c:pt idx="993">
                  <c:v>25966.05</c:v>
                </c:pt>
                <c:pt idx="994">
                  <c:v>25936.2</c:v>
                </c:pt>
                <c:pt idx="995">
                  <c:v>26053.9</c:v>
                </c:pt>
                <c:pt idx="996">
                  <c:v>25877.85</c:v>
                </c:pt>
                <c:pt idx="997">
                  <c:v>25722.1</c:v>
                </c:pt>
                <c:pt idx="998">
                  <c:v>25763.35</c:v>
                </c:pt>
                <c:pt idx="999">
                  <c:v>25597.65</c:v>
                </c:pt>
                <c:pt idx="1000">
                  <c:v>25509.7</c:v>
                </c:pt>
                <c:pt idx="1001">
                  <c:v>25492.3</c:v>
                </c:pt>
                <c:pt idx="1002">
                  <c:v>25574.35</c:v>
                </c:pt>
                <c:pt idx="1003">
                  <c:v>25694.95</c:v>
                </c:pt>
                <c:pt idx="1004">
                  <c:v>25875.8</c:v>
                </c:pt>
                <c:pt idx="1005">
                  <c:v>25879.15</c:v>
                </c:pt>
                <c:pt idx="1006">
                  <c:v>25910.05</c:v>
                </c:pt>
                <c:pt idx="1007">
                  <c:v>26013.45</c:v>
                </c:pt>
                <c:pt idx="1008">
                  <c:v>25910.05</c:v>
                </c:pt>
                <c:pt idx="1009">
                  <c:v>26052.65</c:v>
                </c:pt>
                <c:pt idx="1010">
                  <c:v>26192.15</c:v>
                </c:pt>
                <c:pt idx="1011">
                  <c:v>26068.15</c:v>
                </c:pt>
                <c:pt idx="1012">
                  <c:v>25959.5</c:v>
                </c:pt>
                <c:pt idx="1013">
                  <c:v>25884.799999999999</c:v>
                </c:pt>
                <c:pt idx="1014">
                  <c:v>26205.3</c:v>
                </c:pt>
                <c:pt idx="1015">
                  <c:v>26215.55</c:v>
                </c:pt>
                <c:pt idx="1016">
                  <c:v>26202.95</c:v>
                </c:pt>
                <c:pt idx="1017">
                  <c:v>26175.75</c:v>
                </c:pt>
                <c:pt idx="1018">
                  <c:v>26032.2</c:v>
                </c:pt>
                <c:pt idx="1019">
                  <c:v>25986</c:v>
                </c:pt>
                <c:pt idx="1020">
                  <c:v>26033.75</c:v>
                </c:pt>
                <c:pt idx="1021">
                  <c:v>26186.45</c:v>
                </c:pt>
                <c:pt idx="1022">
                  <c:v>25960.55</c:v>
                </c:pt>
                <c:pt idx="1023">
                  <c:v>25839.65</c:v>
                </c:pt>
                <c:pt idx="1024">
                  <c:v>25758</c:v>
                </c:pt>
                <c:pt idx="1025">
                  <c:v>25898.55</c:v>
                </c:pt>
                <c:pt idx="1026">
                  <c:v>26046.95</c:v>
                </c:pt>
                <c:pt idx="1027">
                  <c:v>26027.3</c:v>
                </c:pt>
                <c:pt idx="1028">
                  <c:v>25860.1</c:v>
                </c:pt>
                <c:pt idx="1029">
                  <c:v>25818.55</c:v>
                </c:pt>
                <c:pt idx="1030">
                  <c:v>25815.55</c:v>
                </c:pt>
                <c:pt idx="1031">
                  <c:v>25966.400000000001</c:v>
                </c:pt>
                <c:pt idx="1032">
                  <c:v>26172.400000000001</c:v>
                </c:pt>
                <c:pt idx="1033">
                  <c:v>26177.15</c:v>
                </c:pt>
                <c:pt idx="1034">
                  <c:v>26142.1</c:v>
                </c:pt>
                <c:pt idx="1035">
                  <c:v>26042.3</c:v>
                </c:pt>
                <c:pt idx="1036">
                  <c:v>25942.1</c:v>
                </c:pt>
                <c:pt idx="1037">
                  <c:v>25938.85</c:v>
                </c:pt>
                <c:pt idx="1038">
                  <c:v>26129.599999999999</c:v>
                </c:pt>
              </c:numCache>
            </c:numRef>
          </c:val>
          <c:smooth val="0"/>
          <c:extLst>
            <c:ext xmlns:c16="http://schemas.microsoft.com/office/drawing/2014/chart" uri="{C3380CC4-5D6E-409C-BE32-E72D297353CC}">
              <c16:uniqueId val="{00000000-697A-4147-A8FB-8E511A7D16A1}"/>
            </c:ext>
          </c:extLst>
        </c:ser>
        <c:ser>
          <c:idx val="1"/>
          <c:order val="1"/>
          <c:tx>
            <c:strRef>
              <c:f>'Price trend line table'!$C$1:$C$201</c:f>
              <c:strCache>
                <c:ptCount val="201"/>
                <c:pt idx="0">
                  <c:v>20 Day moving average</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14284.6025</c:v>
                </c:pt>
                <c:pt idx="22">
                  <c:v>14297.7375</c:v>
                </c:pt>
                <c:pt idx="23">
                  <c:v>14323.485</c:v>
                </c:pt>
                <c:pt idx="24">
                  <c:v>14353.0075</c:v>
                </c:pt>
                <c:pt idx="25">
                  <c:v>14390.4775</c:v>
                </c:pt>
                <c:pt idx="26">
                  <c:v>14429.8225</c:v>
                </c:pt>
                <c:pt idx="27">
                  <c:v>14468.25</c:v>
                </c:pt>
                <c:pt idx="28">
                  <c:v>14499.4775</c:v>
                </c:pt>
                <c:pt idx="29">
                  <c:v>14526.63</c:v>
                </c:pt>
                <c:pt idx="30">
                  <c:v>14557.0525</c:v>
                </c:pt>
                <c:pt idx="31">
                  <c:v>14585.4375</c:v>
                </c:pt>
                <c:pt idx="32">
                  <c:v>14629.4875</c:v>
                </c:pt>
                <c:pt idx="33">
                  <c:v>14681.095</c:v>
                </c:pt>
                <c:pt idx="34">
                  <c:v>14715.4825</c:v>
                </c:pt>
                <c:pt idx="35">
                  <c:v>14739.195</c:v>
                </c:pt>
                <c:pt idx="36">
                  <c:v>14758.765</c:v>
                </c:pt>
                <c:pt idx="37">
                  <c:v>14773.955</c:v>
                </c:pt>
                <c:pt idx="38">
                  <c:v>14797.4</c:v>
                </c:pt>
                <c:pt idx="39">
                  <c:v>14848.125</c:v>
                </c:pt>
                <c:pt idx="40">
                  <c:v>14912.115</c:v>
                </c:pt>
                <c:pt idx="41">
                  <c:v>14956.8425</c:v>
                </c:pt>
                <c:pt idx="42">
                  <c:v>14980.86</c:v>
                </c:pt>
                <c:pt idx="43">
                  <c:v>14994.4225</c:v>
                </c:pt>
                <c:pt idx="44">
                  <c:v>15017.205</c:v>
                </c:pt>
                <c:pt idx="45">
                  <c:v>15026.46</c:v>
                </c:pt>
                <c:pt idx="46">
                  <c:v>15027.1525</c:v>
                </c:pt>
                <c:pt idx="47">
                  <c:v>15019.1725</c:v>
                </c:pt>
                <c:pt idx="48">
                  <c:v>15018.6275</c:v>
                </c:pt>
                <c:pt idx="49">
                  <c:v>15022.0425</c:v>
                </c:pt>
                <c:pt idx="50">
                  <c:v>15014.925</c:v>
                </c:pt>
                <c:pt idx="51">
                  <c:v>15003.235</c:v>
                </c:pt>
                <c:pt idx="52">
                  <c:v>14983.0225</c:v>
                </c:pt>
                <c:pt idx="53">
                  <c:v>14953.415</c:v>
                </c:pt>
                <c:pt idx="54">
                  <c:v>14920.8625</c:v>
                </c:pt>
                <c:pt idx="55">
                  <c:v>14902.115</c:v>
                </c:pt>
                <c:pt idx="56">
                  <c:v>14889.8475</c:v>
                </c:pt>
                <c:pt idx="57">
                  <c:v>14896.8</c:v>
                </c:pt>
                <c:pt idx="58">
                  <c:v>14888.88</c:v>
                </c:pt>
                <c:pt idx="59">
                  <c:v>14856.025</c:v>
                </c:pt>
                <c:pt idx="60">
                  <c:v>14826.5225</c:v>
                </c:pt>
                <c:pt idx="61">
                  <c:v>14842.32</c:v>
                </c:pt>
                <c:pt idx="62">
                  <c:v>14838.7775</c:v>
                </c:pt>
                <c:pt idx="63">
                  <c:v>14836.19</c:v>
                </c:pt>
                <c:pt idx="64">
                  <c:v>14805.8</c:v>
                </c:pt>
                <c:pt idx="65">
                  <c:v>14785.9375</c:v>
                </c:pt>
                <c:pt idx="66">
                  <c:v>14779.985</c:v>
                </c:pt>
                <c:pt idx="67">
                  <c:v>14775.865</c:v>
                </c:pt>
                <c:pt idx="68">
                  <c:v>14762.6875</c:v>
                </c:pt>
                <c:pt idx="69">
                  <c:v>14719.4875</c:v>
                </c:pt>
                <c:pt idx="70">
                  <c:v>14693.18</c:v>
                </c:pt>
                <c:pt idx="71">
                  <c:v>14675.7775</c:v>
                </c:pt>
                <c:pt idx="72">
                  <c:v>14661.1475</c:v>
                </c:pt>
                <c:pt idx="73">
                  <c:v>14643.055</c:v>
                </c:pt>
                <c:pt idx="74">
                  <c:v>14629.9825</c:v>
                </c:pt>
                <c:pt idx="75">
                  <c:v>14613.09</c:v>
                </c:pt>
                <c:pt idx="76">
                  <c:v>14593.3375</c:v>
                </c:pt>
                <c:pt idx="77">
                  <c:v>14576.85</c:v>
                </c:pt>
                <c:pt idx="78">
                  <c:v>14582.0325</c:v>
                </c:pt>
                <c:pt idx="79">
                  <c:v>14609.015</c:v>
                </c:pt>
                <c:pt idx="80">
                  <c:v>14628.395</c:v>
                </c:pt>
                <c:pt idx="81">
                  <c:v>14617.695</c:v>
                </c:pt>
                <c:pt idx="82">
                  <c:v>14614.8675</c:v>
                </c:pt>
                <c:pt idx="83">
                  <c:v>14596.325</c:v>
                </c:pt>
                <c:pt idx="84">
                  <c:v>14595.3275</c:v>
                </c:pt>
                <c:pt idx="85">
                  <c:v>14597.3925</c:v>
                </c:pt>
                <c:pt idx="86">
                  <c:v>14597.5975</c:v>
                </c:pt>
                <c:pt idx="87">
                  <c:v>14601.025</c:v>
                </c:pt>
                <c:pt idx="88">
                  <c:v>14601.82</c:v>
                </c:pt>
                <c:pt idx="89">
                  <c:v>14621.105</c:v>
                </c:pt>
                <c:pt idx="90">
                  <c:v>14629.755</c:v>
                </c:pt>
                <c:pt idx="91">
                  <c:v>14646.84</c:v>
                </c:pt>
                <c:pt idx="92">
                  <c:v>14671.3525</c:v>
                </c:pt>
                <c:pt idx="93">
                  <c:v>14704.8875</c:v>
                </c:pt>
                <c:pt idx="94">
                  <c:v>14735.37</c:v>
                </c:pt>
                <c:pt idx="95">
                  <c:v>14773.8275</c:v>
                </c:pt>
                <c:pt idx="96">
                  <c:v>14816.645</c:v>
                </c:pt>
                <c:pt idx="97">
                  <c:v>14852.8175</c:v>
                </c:pt>
                <c:pt idx="98">
                  <c:v>14885.2375</c:v>
                </c:pt>
                <c:pt idx="99">
                  <c:v>14908.9025</c:v>
                </c:pt>
                <c:pt idx="100">
                  <c:v>14935.94</c:v>
                </c:pt>
                <c:pt idx="101">
                  <c:v>14983.525</c:v>
                </c:pt>
                <c:pt idx="102">
                  <c:v>15030.56</c:v>
                </c:pt>
                <c:pt idx="103">
                  <c:v>15084.545</c:v>
                </c:pt>
                <c:pt idx="104">
                  <c:v>15138.17</c:v>
                </c:pt>
                <c:pt idx="105">
                  <c:v>15185.4425</c:v>
                </c:pt>
                <c:pt idx="106">
                  <c:v>15231.8675</c:v>
                </c:pt>
                <c:pt idx="107">
                  <c:v>15271.755</c:v>
                </c:pt>
                <c:pt idx="108">
                  <c:v>15310.985</c:v>
                </c:pt>
                <c:pt idx="109">
                  <c:v>15363.0475</c:v>
                </c:pt>
                <c:pt idx="110">
                  <c:v>15419.125</c:v>
                </c:pt>
                <c:pt idx="111">
                  <c:v>15463.56</c:v>
                </c:pt>
                <c:pt idx="112">
                  <c:v>15501.6175</c:v>
                </c:pt>
                <c:pt idx="113">
                  <c:v>15538.4875</c:v>
                </c:pt>
                <c:pt idx="114">
                  <c:v>15577.755</c:v>
                </c:pt>
                <c:pt idx="115">
                  <c:v>15603.1575</c:v>
                </c:pt>
                <c:pt idx="116">
                  <c:v>15630.5975</c:v>
                </c:pt>
                <c:pt idx="117">
                  <c:v>15658.8125</c:v>
                </c:pt>
                <c:pt idx="118">
                  <c:v>15678.0875</c:v>
                </c:pt>
                <c:pt idx="119">
                  <c:v>15700.7175</c:v>
                </c:pt>
                <c:pt idx="120">
                  <c:v>15721.9525</c:v>
                </c:pt>
                <c:pt idx="121">
                  <c:v>15733.5475</c:v>
                </c:pt>
                <c:pt idx="122">
                  <c:v>15742.2275</c:v>
                </c:pt>
                <c:pt idx="123">
                  <c:v>15749.4925</c:v>
                </c:pt>
                <c:pt idx="124">
                  <c:v>15748.975</c:v>
                </c:pt>
                <c:pt idx="125">
                  <c:v>15751.5725</c:v>
                </c:pt>
                <c:pt idx="126">
                  <c:v>15755.7075</c:v>
                </c:pt>
                <c:pt idx="127">
                  <c:v>15759.615</c:v>
                </c:pt>
                <c:pt idx="128">
                  <c:v>15771.83</c:v>
                </c:pt>
                <c:pt idx="129">
                  <c:v>15771.3375</c:v>
                </c:pt>
                <c:pt idx="130">
                  <c:v>15765.86</c:v>
                </c:pt>
                <c:pt idx="131">
                  <c:v>15759.8975</c:v>
                </c:pt>
                <c:pt idx="132">
                  <c:v>15757.0525</c:v>
                </c:pt>
                <c:pt idx="133">
                  <c:v>15761.3725</c:v>
                </c:pt>
                <c:pt idx="134">
                  <c:v>15773.0125</c:v>
                </c:pt>
                <c:pt idx="135">
                  <c:v>15785.015</c:v>
                </c:pt>
                <c:pt idx="136">
                  <c:v>15785.31</c:v>
                </c:pt>
                <c:pt idx="137">
                  <c:v>15778.2775</c:v>
                </c:pt>
                <c:pt idx="138">
                  <c:v>15785.1325</c:v>
                </c:pt>
                <c:pt idx="139">
                  <c:v>15788.4125</c:v>
                </c:pt>
                <c:pt idx="140">
                  <c:v>15786.6175</c:v>
                </c:pt>
                <c:pt idx="141">
                  <c:v>15783.205</c:v>
                </c:pt>
                <c:pt idx="142">
                  <c:v>15781.2525</c:v>
                </c:pt>
                <c:pt idx="143">
                  <c:v>15784.1</c:v>
                </c:pt>
                <c:pt idx="144">
                  <c:v>15788.2525</c:v>
                </c:pt>
                <c:pt idx="145">
                  <c:v>15796.4</c:v>
                </c:pt>
                <c:pt idx="146">
                  <c:v>15811.22</c:v>
                </c:pt>
                <c:pt idx="147">
                  <c:v>15833.2475</c:v>
                </c:pt>
                <c:pt idx="148">
                  <c:v>15853.995</c:v>
                </c:pt>
                <c:pt idx="149">
                  <c:v>15879.51</c:v>
                </c:pt>
                <c:pt idx="150">
                  <c:v>15907.9325</c:v>
                </c:pt>
                <c:pt idx="151">
                  <c:v>15937.3075</c:v>
                </c:pt>
                <c:pt idx="152">
                  <c:v>15960.8025</c:v>
                </c:pt>
                <c:pt idx="153">
                  <c:v>15986.325</c:v>
                </c:pt>
                <c:pt idx="154">
                  <c:v>16016.57</c:v>
                </c:pt>
                <c:pt idx="155">
                  <c:v>16048.5525</c:v>
                </c:pt>
                <c:pt idx="156">
                  <c:v>16091.6625</c:v>
                </c:pt>
                <c:pt idx="157">
                  <c:v>16138.5</c:v>
                </c:pt>
                <c:pt idx="158">
                  <c:v>16169.8225</c:v>
                </c:pt>
                <c:pt idx="159">
                  <c:v>16201.8425</c:v>
                </c:pt>
                <c:pt idx="160">
                  <c:v>16241.85</c:v>
                </c:pt>
                <c:pt idx="161">
                  <c:v>16286.26</c:v>
                </c:pt>
                <c:pt idx="162">
                  <c:v>16332.635</c:v>
                </c:pt>
                <c:pt idx="163">
                  <c:v>16378.9725</c:v>
                </c:pt>
                <c:pt idx="164">
                  <c:v>16437.3725</c:v>
                </c:pt>
                <c:pt idx="165">
                  <c:v>16499.725</c:v>
                </c:pt>
                <c:pt idx="166">
                  <c:v>16547</c:v>
                </c:pt>
                <c:pt idx="167">
                  <c:v>16595.7675</c:v>
                </c:pt>
                <c:pt idx="168">
                  <c:v>16647.2175</c:v>
                </c:pt>
                <c:pt idx="169">
                  <c:v>16704.1975</c:v>
                </c:pt>
                <c:pt idx="170">
                  <c:v>16759.39</c:v>
                </c:pt>
                <c:pt idx="171">
                  <c:v>16813.06</c:v>
                </c:pt>
                <c:pt idx="172">
                  <c:v>16867.41</c:v>
                </c:pt>
                <c:pt idx="173">
                  <c:v>16916.955</c:v>
                </c:pt>
                <c:pt idx="174">
                  <c:v>16959.5</c:v>
                </c:pt>
                <c:pt idx="175">
                  <c:v>17007.32</c:v>
                </c:pt>
                <c:pt idx="176">
                  <c:v>17058.065</c:v>
                </c:pt>
                <c:pt idx="177">
                  <c:v>17108.88</c:v>
                </c:pt>
                <c:pt idx="178">
                  <c:v>17156.2</c:v>
                </c:pt>
                <c:pt idx="179">
                  <c:v>17209.4775</c:v>
                </c:pt>
                <c:pt idx="180">
                  <c:v>17255.58</c:v>
                </c:pt>
                <c:pt idx="181">
                  <c:v>17314.995</c:v>
                </c:pt>
                <c:pt idx="182">
                  <c:v>17375.81</c:v>
                </c:pt>
                <c:pt idx="183">
                  <c:v>17433.305</c:v>
                </c:pt>
                <c:pt idx="184">
                  <c:v>17474.1825</c:v>
                </c:pt>
                <c:pt idx="185">
                  <c:v>17503.1375</c:v>
                </c:pt>
                <c:pt idx="186">
                  <c:v>17530.2325</c:v>
                </c:pt>
                <c:pt idx="187">
                  <c:v>17545.1275</c:v>
                </c:pt>
                <c:pt idx="188">
                  <c:v>17563.51</c:v>
                </c:pt>
                <c:pt idx="189">
                  <c:v>17585.735</c:v>
                </c:pt>
                <c:pt idx="190">
                  <c:v>17599.93</c:v>
                </c:pt>
                <c:pt idx="191">
                  <c:v>17621.7725</c:v>
                </c:pt>
                <c:pt idx="192">
                  <c:v>17648.07</c:v>
                </c:pt>
                <c:pt idx="193">
                  <c:v>17677.6025</c:v>
                </c:pt>
                <c:pt idx="194">
                  <c:v>17708.2</c:v>
                </c:pt>
                <c:pt idx="195">
                  <c:v>17740.315</c:v>
                </c:pt>
                <c:pt idx="196">
                  <c:v>17775.7675</c:v>
                </c:pt>
                <c:pt idx="197">
                  <c:v>17820.3625</c:v>
                </c:pt>
                <c:pt idx="198">
                  <c:v>17871.455</c:v>
                </c:pt>
                <c:pt idx="199">
                  <c:v>17906.685</c:v>
                </c:pt>
                <c:pt idx="200">
                  <c:v>17938.2575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'Price trend line table'!$A$202:$A$1241</c:f>
              <c:numCache>
                <c:formatCode>d\-mmm\-yy</c:formatCode>
                <c:ptCount val="1040"/>
                <c:pt idx="0">
                  <c:v>44494</c:v>
                </c:pt>
                <c:pt idx="1">
                  <c:v>44495</c:v>
                </c:pt>
                <c:pt idx="2">
                  <c:v>44496</c:v>
                </c:pt>
                <c:pt idx="3">
                  <c:v>44497</c:v>
                </c:pt>
                <c:pt idx="4">
                  <c:v>44498</c:v>
                </c:pt>
                <c:pt idx="5">
                  <c:v>44501</c:v>
                </c:pt>
                <c:pt idx="6">
                  <c:v>44502</c:v>
                </c:pt>
                <c:pt idx="7">
                  <c:v>44503</c:v>
                </c:pt>
                <c:pt idx="8">
                  <c:v>44504</c:v>
                </c:pt>
                <c:pt idx="9">
                  <c:v>44508</c:v>
                </c:pt>
                <c:pt idx="10">
                  <c:v>44509</c:v>
                </c:pt>
                <c:pt idx="11">
                  <c:v>44510</c:v>
                </c:pt>
                <c:pt idx="12">
                  <c:v>44511</c:v>
                </c:pt>
                <c:pt idx="13">
                  <c:v>44512</c:v>
                </c:pt>
                <c:pt idx="14">
                  <c:v>44515</c:v>
                </c:pt>
                <c:pt idx="15">
                  <c:v>44516</c:v>
                </c:pt>
                <c:pt idx="16">
                  <c:v>44517</c:v>
                </c:pt>
                <c:pt idx="17">
                  <c:v>44518</c:v>
                </c:pt>
                <c:pt idx="18">
                  <c:v>44522</c:v>
                </c:pt>
                <c:pt idx="19">
                  <c:v>44523</c:v>
                </c:pt>
                <c:pt idx="20">
                  <c:v>44524</c:v>
                </c:pt>
                <c:pt idx="21">
                  <c:v>44525</c:v>
                </c:pt>
                <c:pt idx="22">
                  <c:v>44526</c:v>
                </c:pt>
                <c:pt idx="23">
                  <c:v>44529</c:v>
                </c:pt>
                <c:pt idx="24">
                  <c:v>44530</c:v>
                </c:pt>
                <c:pt idx="25">
                  <c:v>44531</c:v>
                </c:pt>
                <c:pt idx="26">
                  <c:v>44532</c:v>
                </c:pt>
                <c:pt idx="27">
                  <c:v>44533</c:v>
                </c:pt>
                <c:pt idx="28">
                  <c:v>44536</c:v>
                </c:pt>
                <c:pt idx="29">
                  <c:v>44537</c:v>
                </c:pt>
                <c:pt idx="30">
                  <c:v>44538</c:v>
                </c:pt>
                <c:pt idx="31">
                  <c:v>44539</c:v>
                </c:pt>
                <c:pt idx="32">
                  <c:v>44540</c:v>
                </c:pt>
                <c:pt idx="33">
                  <c:v>44543</c:v>
                </c:pt>
                <c:pt idx="34">
                  <c:v>44544</c:v>
                </c:pt>
                <c:pt idx="35">
                  <c:v>44545</c:v>
                </c:pt>
                <c:pt idx="36">
                  <c:v>44546</c:v>
                </c:pt>
                <c:pt idx="37">
                  <c:v>44547</c:v>
                </c:pt>
                <c:pt idx="38">
                  <c:v>44550</c:v>
                </c:pt>
                <c:pt idx="39">
                  <c:v>44551</c:v>
                </c:pt>
                <c:pt idx="40">
                  <c:v>44552</c:v>
                </c:pt>
                <c:pt idx="41">
                  <c:v>44553</c:v>
                </c:pt>
                <c:pt idx="42">
                  <c:v>44554</c:v>
                </c:pt>
                <c:pt idx="43">
                  <c:v>44557</c:v>
                </c:pt>
                <c:pt idx="44">
                  <c:v>44558</c:v>
                </c:pt>
                <c:pt idx="45">
                  <c:v>44559</c:v>
                </c:pt>
                <c:pt idx="46">
                  <c:v>44560</c:v>
                </c:pt>
                <c:pt idx="47">
                  <c:v>44561</c:v>
                </c:pt>
                <c:pt idx="48">
                  <c:v>44564</c:v>
                </c:pt>
                <c:pt idx="49">
                  <c:v>44565</c:v>
                </c:pt>
                <c:pt idx="50">
                  <c:v>44566</c:v>
                </c:pt>
                <c:pt idx="51">
                  <c:v>44567</c:v>
                </c:pt>
                <c:pt idx="52">
                  <c:v>44568</c:v>
                </c:pt>
                <c:pt idx="53">
                  <c:v>44571</c:v>
                </c:pt>
                <c:pt idx="54">
                  <c:v>44572</c:v>
                </c:pt>
                <c:pt idx="55">
                  <c:v>44573</c:v>
                </c:pt>
                <c:pt idx="56">
                  <c:v>44574</c:v>
                </c:pt>
                <c:pt idx="57">
                  <c:v>44575</c:v>
                </c:pt>
                <c:pt idx="58">
                  <c:v>44578</c:v>
                </c:pt>
                <c:pt idx="59">
                  <c:v>44579</c:v>
                </c:pt>
                <c:pt idx="60">
                  <c:v>44580</c:v>
                </c:pt>
                <c:pt idx="61">
                  <c:v>44581</c:v>
                </c:pt>
                <c:pt idx="62">
                  <c:v>44582</c:v>
                </c:pt>
                <c:pt idx="63">
                  <c:v>44585</c:v>
                </c:pt>
                <c:pt idx="64">
                  <c:v>44586</c:v>
                </c:pt>
                <c:pt idx="65">
                  <c:v>44588</c:v>
                </c:pt>
                <c:pt idx="66">
                  <c:v>44589</c:v>
                </c:pt>
                <c:pt idx="67">
                  <c:v>44592</c:v>
                </c:pt>
                <c:pt idx="68">
                  <c:v>44593</c:v>
                </c:pt>
                <c:pt idx="69">
                  <c:v>44594</c:v>
                </c:pt>
                <c:pt idx="70">
                  <c:v>44595</c:v>
                </c:pt>
                <c:pt idx="71">
                  <c:v>44596</c:v>
                </c:pt>
                <c:pt idx="72">
                  <c:v>44599</c:v>
                </c:pt>
                <c:pt idx="73">
                  <c:v>44600</c:v>
                </c:pt>
                <c:pt idx="74">
                  <c:v>44601</c:v>
                </c:pt>
                <c:pt idx="75">
                  <c:v>44602</c:v>
                </c:pt>
                <c:pt idx="76">
                  <c:v>44603</c:v>
                </c:pt>
                <c:pt idx="77">
                  <c:v>44606</c:v>
                </c:pt>
                <c:pt idx="78">
                  <c:v>44607</c:v>
                </c:pt>
                <c:pt idx="79">
                  <c:v>44608</c:v>
                </c:pt>
                <c:pt idx="80">
                  <c:v>44609</c:v>
                </c:pt>
                <c:pt idx="81">
                  <c:v>44610</c:v>
                </c:pt>
                <c:pt idx="82">
                  <c:v>44613</c:v>
                </c:pt>
                <c:pt idx="83">
                  <c:v>44614</c:v>
                </c:pt>
                <c:pt idx="84">
                  <c:v>44615</c:v>
                </c:pt>
                <c:pt idx="85">
                  <c:v>44616</c:v>
                </c:pt>
                <c:pt idx="86">
                  <c:v>44617</c:v>
                </c:pt>
                <c:pt idx="87">
                  <c:v>44620</c:v>
                </c:pt>
                <c:pt idx="88">
                  <c:v>44622</c:v>
                </c:pt>
                <c:pt idx="89">
                  <c:v>44623</c:v>
                </c:pt>
                <c:pt idx="90">
                  <c:v>44624</c:v>
                </c:pt>
                <c:pt idx="91">
                  <c:v>44627</c:v>
                </c:pt>
                <c:pt idx="92">
                  <c:v>44628</c:v>
                </c:pt>
                <c:pt idx="93">
                  <c:v>44629</c:v>
                </c:pt>
                <c:pt idx="94">
                  <c:v>44630</c:v>
                </c:pt>
                <c:pt idx="95">
                  <c:v>44631</c:v>
                </c:pt>
                <c:pt idx="96">
                  <c:v>44634</c:v>
                </c:pt>
                <c:pt idx="97">
                  <c:v>44635</c:v>
                </c:pt>
                <c:pt idx="98">
                  <c:v>44636</c:v>
                </c:pt>
                <c:pt idx="99">
                  <c:v>44637</c:v>
                </c:pt>
                <c:pt idx="100">
                  <c:v>44641</c:v>
                </c:pt>
                <c:pt idx="101">
                  <c:v>44642</c:v>
                </c:pt>
                <c:pt idx="102">
                  <c:v>44643</c:v>
                </c:pt>
                <c:pt idx="103">
                  <c:v>44644</c:v>
                </c:pt>
                <c:pt idx="104">
                  <c:v>44645</c:v>
                </c:pt>
                <c:pt idx="105">
                  <c:v>44648</c:v>
                </c:pt>
                <c:pt idx="106">
                  <c:v>44649</c:v>
                </c:pt>
                <c:pt idx="107">
                  <c:v>44650</c:v>
                </c:pt>
                <c:pt idx="108">
                  <c:v>44651</c:v>
                </c:pt>
                <c:pt idx="109">
                  <c:v>44652</c:v>
                </c:pt>
                <c:pt idx="110">
                  <c:v>44655</c:v>
                </c:pt>
                <c:pt idx="111">
                  <c:v>44656</c:v>
                </c:pt>
                <c:pt idx="112">
                  <c:v>44657</c:v>
                </c:pt>
                <c:pt idx="113">
                  <c:v>44658</c:v>
                </c:pt>
                <c:pt idx="114">
                  <c:v>44659</c:v>
                </c:pt>
                <c:pt idx="115">
                  <c:v>44662</c:v>
                </c:pt>
                <c:pt idx="116">
                  <c:v>44663</c:v>
                </c:pt>
                <c:pt idx="117">
                  <c:v>44664</c:v>
                </c:pt>
                <c:pt idx="118">
                  <c:v>44669</c:v>
                </c:pt>
                <c:pt idx="119">
                  <c:v>44670</c:v>
                </c:pt>
                <c:pt idx="120">
                  <c:v>44671</c:v>
                </c:pt>
                <c:pt idx="121">
                  <c:v>44672</c:v>
                </c:pt>
                <c:pt idx="122">
                  <c:v>44673</c:v>
                </c:pt>
                <c:pt idx="123">
                  <c:v>44676</c:v>
                </c:pt>
                <c:pt idx="124">
                  <c:v>44677</c:v>
                </c:pt>
                <c:pt idx="125">
                  <c:v>44678</c:v>
                </c:pt>
                <c:pt idx="126">
                  <c:v>44679</c:v>
                </c:pt>
                <c:pt idx="127">
                  <c:v>44680</c:v>
                </c:pt>
                <c:pt idx="128">
                  <c:v>44683</c:v>
                </c:pt>
                <c:pt idx="129">
                  <c:v>44685</c:v>
                </c:pt>
                <c:pt idx="130">
                  <c:v>44686</c:v>
                </c:pt>
                <c:pt idx="131">
                  <c:v>44687</c:v>
                </c:pt>
                <c:pt idx="132">
                  <c:v>44690</c:v>
                </c:pt>
                <c:pt idx="133">
                  <c:v>44691</c:v>
                </c:pt>
                <c:pt idx="134">
                  <c:v>44692</c:v>
                </c:pt>
                <c:pt idx="135">
                  <c:v>44693</c:v>
                </c:pt>
                <c:pt idx="136">
                  <c:v>44694</c:v>
                </c:pt>
                <c:pt idx="137">
                  <c:v>44697</c:v>
                </c:pt>
                <c:pt idx="138">
                  <c:v>44698</c:v>
                </c:pt>
                <c:pt idx="139">
                  <c:v>44699</c:v>
                </c:pt>
                <c:pt idx="140">
                  <c:v>44700</c:v>
                </c:pt>
                <c:pt idx="141">
                  <c:v>44701</c:v>
                </c:pt>
                <c:pt idx="142">
                  <c:v>44704</c:v>
                </c:pt>
                <c:pt idx="143">
                  <c:v>44705</c:v>
                </c:pt>
                <c:pt idx="144">
                  <c:v>44706</c:v>
                </c:pt>
                <c:pt idx="145">
                  <c:v>44707</c:v>
                </c:pt>
                <c:pt idx="146">
                  <c:v>44708</c:v>
                </c:pt>
                <c:pt idx="147">
                  <c:v>44711</c:v>
                </c:pt>
                <c:pt idx="148">
                  <c:v>44712</c:v>
                </c:pt>
                <c:pt idx="149">
                  <c:v>44713</c:v>
                </c:pt>
                <c:pt idx="150">
                  <c:v>44714</c:v>
                </c:pt>
                <c:pt idx="151">
                  <c:v>44715</c:v>
                </c:pt>
                <c:pt idx="152">
                  <c:v>44718</c:v>
                </c:pt>
                <c:pt idx="153">
                  <c:v>44719</c:v>
                </c:pt>
                <c:pt idx="154">
                  <c:v>44720</c:v>
                </c:pt>
                <c:pt idx="155">
                  <c:v>44721</c:v>
                </c:pt>
                <c:pt idx="156">
                  <c:v>44722</c:v>
                </c:pt>
                <c:pt idx="157">
                  <c:v>44725</c:v>
                </c:pt>
                <c:pt idx="158">
                  <c:v>44726</c:v>
                </c:pt>
                <c:pt idx="159">
                  <c:v>44727</c:v>
                </c:pt>
                <c:pt idx="160">
                  <c:v>44728</c:v>
                </c:pt>
                <c:pt idx="161">
                  <c:v>44729</c:v>
                </c:pt>
                <c:pt idx="162">
                  <c:v>44732</c:v>
                </c:pt>
                <c:pt idx="163">
                  <c:v>44733</c:v>
                </c:pt>
                <c:pt idx="164">
                  <c:v>44734</c:v>
                </c:pt>
                <c:pt idx="165">
                  <c:v>44735</c:v>
                </c:pt>
                <c:pt idx="166">
                  <c:v>44736</c:v>
                </c:pt>
                <c:pt idx="167">
                  <c:v>44739</c:v>
                </c:pt>
                <c:pt idx="168">
                  <c:v>44740</c:v>
                </c:pt>
                <c:pt idx="169">
                  <c:v>44741</c:v>
                </c:pt>
                <c:pt idx="170">
                  <c:v>44742</c:v>
                </c:pt>
                <c:pt idx="171">
                  <c:v>44743</c:v>
                </c:pt>
                <c:pt idx="172">
                  <c:v>44746</c:v>
                </c:pt>
                <c:pt idx="173">
                  <c:v>44747</c:v>
                </c:pt>
                <c:pt idx="174">
                  <c:v>44748</c:v>
                </c:pt>
                <c:pt idx="175">
                  <c:v>44749</c:v>
                </c:pt>
                <c:pt idx="176">
                  <c:v>44750</c:v>
                </c:pt>
                <c:pt idx="177">
                  <c:v>44753</c:v>
                </c:pt>
                <c:pt idx="178">
                  <c:v>44754</c:v>
                </c:pt>
                <c:pt idx="179">
                  <c:v>44755</c:v>
                </c:pt>
                <c:pt idx="180">
                  <c:v>44756</c:v>
                </c:pt>
                <c:pt idx="181">
                  <c:v>44757</c:v>
                </c:pt>
                <c:pt idx="182">
                  <c:v>44760</c:v>
                </c:pt>
                <c:pt idx="183">
                  <c:v>44761</c:v>
                </c:pt>
                <c:pt idx="184">
                  <c:v>44762</c:v>
                </c:pt>
                <c:pt idx="185">
                  <c:v>44763</c:v>
                </c:pt>
                <c:pt idx="186">
                  <c:v>44764</c:v>
                </c:pt>
                <c:pt idx="187">
                  <c:v>44767</c:v>
                </c:pt>
                <c:pt idx="188">
                  <c:v>44768</c:v>
                </c:pt>
                <c:pt idx="189">
                  <c:v>44769</c:v>
                </c:pt>
                <c:pt idx="190">
                  <c:v>44770</c:v>
                </c:pt>
                <c:pt idx="191">
                  <c:v>44771</c:v>
                </c:pt>
                <c:pt idx="192">
                  <c:v>44774</c:v>
                </c:pt>
                <c:pt idx="193">
                  <c:v>44775</c:v>
                </c:pt>
                <c:pt idx="194">
                  <c:v>44776</c:v>
                </c:pt>
                <c:pt idx="195">
                  <c:v>44777</c:v>
                </c:pt>
                <c:pt idx="196">
                  <c:v>44778</c:v>
                </c:pt>
                <c:pt idx="197">
                  <c:v>44781</c:v>
                </c:pt>
                <c:pt idx="198">
                  <c:v>44783</c:v>
                </c:pt>
                <c:pt idx="199">
                  <c:v>44784</c:v>
                </c:pt>
                <c:pt idx="200">
                  <c:v>44785</c:v>
                </c:pt>
                <c:pt idx="201">
                  <c:v>44789</c:v>
                </c:pt>
                <c:pt idx="202">
                  <c:v>44790</c:v>
                </c:pt>
                <c:pt idx="203">
                  <c:v>44791</c:v>
                </c:pt>
                <c:pt idx="204">
                  <c:v>44792</c:v>
                </c:pt>
                <c:pt idx="205">
                  <c:v>44795</c:v>
                </c:pt>
                <c:pt idx="206">
                  <c:v>44796</c:v>
                </c:pt>
                <c:pt idx="207">
                  <c:v>44797</c:v>
                </c:pt>
                <c:pt idx="208">
                  <c:v>44798</c:v>
                </c:pt>
                <c:pt idx="209">
                  <c:v>44799</c:v>
                </c:pt>
                <c:pt idx="210">
                  <c:v>44802</c:v>
                </c:pt>
                <c:pt idx="211">
                  <c:v>44803</c:v>
                </c:pt>
                <c:pt idx="212">
                  <c:v>44805</c:v>
                </c:pt>
                <c:pt idx="213">
                  <c:v>44806</c:v>
                </c:pt>
                <c:pt idx="214">
                  <c:v>44809</c:v>
                </c:pt>
                <c:pt idx="215">
                  <c:v>44810</c:v>
                </c:pt>
                <c:pt idx="216">
                  <c:v>44811</c:v>
                </c:pt>
                <c:pt idx="217">
                  <c:v>44812</c:v>
                </c:pt>
                <c:pt idx="218">
                  <c:v>44813</c:v>
                </c:pt>
                <c:pt idx="219">
                  <c:v>44816</c:v>
                </c:pt>
                <c:pt idx="220">
                  <c:v>44817</c:v>
                </c:pt>
                <c:pt idx="221">
                  <c:v>44818</c:v>
                </c:pt>
                <c:pt idx="222">
                  <c:v>44819</c:v>
                </c:pt>
                <c:pt idx="223">
                  <c:v>44820</c:v>
                </c:pt>
                <c:pt idx="224">
                  <c:v>44823</c:v>
                </c:pt>
                <c:pt idx="225">
                  <c:v>44824</c:v>
                </c:pt>
                <c:pt idx="226">
                  <c:v>44825</c:v>
                </c:pt>
                <c:pt idx="227">
                  <c:v>44826</c:v>
                </c:pt>
                <c:pt idx="228">
                  <c:v>44827</c:v>
                </c:pt>
                <c:pt idx="229">
                  <c:v>44830</c:v>
                </c:pt>
                <c:pt idx="230">
                  <c:v>44831</c:v>
                </c:pt>
                <c:pt idx="231">
                  <c:v>44832</c:v>
                </c:pt>
                <c:pt idx="232">
                  <c:v>44833</c:v>
                </c:pt>
                <c:pt idx="233">
                  <c:v>44834</c:v>
                </c:pt>
                <c:pt idx="234">
                  <c:v>44837</c:v>
                </c:pt>
                <c:pt idx="235">
                  <c:v>44838</c:v>
                </c:pt>
                <c:pt idx="236">
                  <c:v>44840</c:v>
                </c:pt>
                <c:pt idx="237">
                  <c:v>44841</c:v>
                </c:pt>
                <c:pt idx="238">
                  <c:v>44844</c:v>
                </c:pt>
                <c:pt idx="239">
                  <c:v>44845</c:v>
                </c:pt>
                <c:pt idx="240">
                  <c:v>44846</c:v>
                </c:pt>
                <c:pt idx="241">
                  <c:v>44847</c:v>
                </c:pt>
                <c:pt idx="242">
                  <c:v>44848</c:v>
                </c:pt>
                <c:pt idx="243">
                  <c:v>44851</c:v>
                </c:pt>
                <c:pt idx="244">
                  <c:v>44852</c:v>
                </c:pt>
                <c:pt idx="245">
                  <c:v>44853</c:v>
                </c:pt>
                <c:pt idx="246">
                  <c:v>44854</c:v>
                </c:pt>
                <c:pt idx="247">
                  <c:v>44855</c:v>
                </c:pt>
                <c:pt idx="248">
                  <c:v>44858</c:v>
                </c:pt>
                <c:pt idx="249">
                  <c:v>44859</c:v>
                </c:pt>
                <c:pt idx="250">
                  <c:v>44861</c:v>
                </c:pt>
                <c:pt idx="251">
                  <c:v>44862</c:v>
                </c:pt>
                <c:pt idx="252">
                  <c:v>44865</c:v>
                </c:pt>
                <c:pt idx="253">
                  <c:v>44866</c:v>
                </c:pt>
                <c:pt idx="254">
                  <c:v>44867</c:v>
                </c:pt>
                <c:pt idx="255">
                  <c:v>44868</c:v>
                </c:pt>
                <c:pt idx="256">
                  <c:v>44869</c:v>
                </c:pt>
                <c:pt idx="257">
                  <c:v>44872</c:v>
                </c:pt>
                <c:pt idx="258">
                  <c:v>44874</c:v>
                </c:pt>
                <c:pt idx="259">
                  <c:v>44875</c:v>
                </c:pt>
                <c:pt idx="260">
                  <c:v>44876</c:v>
                </c:pt>
                <c:pt idx="261">
                  <c:v>44879</c:v>
                </c:pt>
                <c:pt idx="262">
                  <c:v>44880</c:v>
                </c:pt>
                <c:pt idx="263">
                  <c:v>44881</c:v>
                </c:pt>
                <c:pt idx="264">
                  <c:v>44882</c:v>
                </c:pt>
                <c:pt idx="265">
                  <c:v>44883</c:v>
                </c:pt>
                <c:pt idx="266">
                  <c:v>44886</c:v>
                </c:pt>
                <c:pt idx="267">
                  <c:v>44887</c:v>
                </c:pt>
                <c:pt idx="268">
                  <c:v>44888</c:v>
                </c:pt>
                <c:pt idx="269">
                  <c:v>44889</c:v>
                </c:pt>
                <c:pt idx="270">
                  <c:v>44890</c:v>
                </c:pt>
                <c:pt idx="271">
                  <c:v>44893</c:v>
                </c:pt>
                <c:pt idx="272">
                  <c:v>44894</c:v>
                </c:pt>
                <c:pt idx="273">
                  <c:v>44895</c:v>
                </c:pt>
                <c:pt idx="274">
                  <c:v>44896</c:v>
                </c:pt>
                <c:pt idx="275">
                  <c:v>44897</c:v>
                </c:pt>
                <c:pt idx="276">
                  <c:v>44900</c:v>
                </c:pt>
                <c:pt idx="277">
                  <c:v>44901</c:v>
                </c:pt>
                <c:pt idx="278">
                  <c:v>44902</c:v>
                </c:pt>
                <c:pt idx="279">
                  <c:v>44903</c:v>
                </c:pt>
                <c:pt idx="280">
                  <c:v>44904</c:v>
                </c:pt>
                <c:pt idx="281">
                  <c:v>44907</c:v>
                </c:pt>
                <c:pt idx="282">
                  <c:v>44908</c:v>
                </c:pt>
                <c:pt idx="283">
                  <c:v>44909</c:v>
                </c:pt>
                <c:pt idx="284">
                  <c:v>44910</c:v>
                </c:pt>
                <c:pt idx="285">
                  <c:v>44911</c:v>
                </c:pt>
                <c:pt idx="286">
                  <c:v>44914</c:v>
                </c:pt>
                <c:pt idx="287">
                  <c:v>44915</c:v>
                </c:pt>
                <c:pt idx="288">
                  <c:v>44916</c:v>
                </c:pt>
                <c:pt idx="289">
                  <c:v>44917</c:v>
                </c:pt>
                <c:pt idx="290">
                  <c:v>44918</c:v>
                </c:pt>
                <c:pt idx="291">
                  <c:v>44921</c:v>
                </c:pt>
                <c:pt idx="292">
                  <c:v>44922</c:v>
                </c:pt>
                <c:pt idx="293">
                  <c:v>44923</c:v>
                </c:pt>
                <c:pt idx="294">
                  <c:v>44924</c:v>
                </c:pt>
                <c:pt idx="295">
                  <c:v>44925</c:v>
                </c:pt>
                <c:pt idx="296">
                  <c:v>44928</c:v>
                </c:pt>
                <c:pt idx="297">
                  <c:v>44929</c:v>
                </c:pt>
                <c:pt idx="298">
                  <c:v>44930</c:v>
                </c:pt>
                <c:pt idx="299">
                  <c:v>44931</c:v>
                </c:pt>
                <c:pt idx="300">
                  <c:v>44932</c:v>
                </c:pt>
                <c:pt idx="301">
                  <c:v>44935</c:v>
                </c:pt>
                <c:pt idx="302">
                  <c:v>44936</c:v>
                </c:pt>
                <c:pt idx="303">
                  <c:v>44937</c:v>
                </c:pt>
                <c:pt idx="304">
                  <c:v>44938</c:v>
                </c:pt>
                <c:pt idx="305">
                  <c:v>44939</c:v>
                </c:pt>
                <c:pt idx="306">
                  <c:v>44942</c:v>
                </c:pt>
                <c:pt idx="307">
                  <c:v>44943</c:v>
                </c:pt>
                <c:pt idx="308">
                  <c:v>44944</c:v>
                </c:pt>
                <c:pt idx="309">
                  <c:v>44945</c:v>
                </c:pt>
                <c:pt idx="310">
                  <c:v>44946</c:v>
                </c:pt>
                <c:pt idx="311">
                  <c:v>44949</c:v>
                </c:pt>
                <c:pt idx="312">
                  <c:v>44950</c:v>
                </c:pt>
                <c:pt idx="313">
                  <c:v>44951</c:v>
                </c:pt>
                <c:pt idx="314">
                  <c:v>44953</c:v>
                </c:pt>
                <c:pt idx="315">
                  <c:v>44956</c:v>
                </c:pt>
                <c:pt idx="316">
                  <c:v>44957</c:v>
                </c:pt>
                <c:pt idx="317">
                  <c:v>44958</c:v>
                </c:pt>
                <c:pt idx="318">
                  <c:v>44959</c:v>
                </c:pt>
                <c:pt idx="319">
                  <c:v>44960</c:v>
                </c:pt>
                <c:pt idx="320">
                  <c:v>44963</c:v>
                </c:pt>
                <c:pt idx="321">
                  <c:v>44964</c:v>
                </c:pt>
                <c:pt idx="322">
                  <c:v>44965</c:v>
                </c:pt>
                <c:pt idx="323">
                  <c:v>44966</c:v>
                </c:pt>
                <c:pt idx="324">
                  <c:v>44967</c:v>
                </c:pt>
                <c:pt idx="325">
                  <c:v>44970</c:v>
                </c:pt>
                <c:pt idx="326">
                  <c:v>44971</c:v>
                </c:pt>
                <c:pt idx="327">
                  <c:v>44972</c:v>
                </c:pt>
                <c:pt idx="328">
                  <c:v>44973</c:v>
                </c:pt>
                <c:pt idx="329">
                  <c:v>44974</c:v>
                </c:pt>
                <c:pt idx="330">
                  <c:v>44977</c:v>
                </c:pt>
                <c:pt idx="331">
                  <c:v>44978</c:v>
                </c:pt>
                <c:pt idx="332">
                  <c:v>44979</c:v>
                </c:pt>
                <c:pt idx="333">
                  <c:v>44980</c:v>
                </c:pt>
                <c:pt idx="334">
                  <c:v>44981</c:v>
                </c:pt>
                <c:pt idx="335">
                  <c:v>44984</c:v>
                </c:pt>
                <c:pt idx="336">
                  <c:v>44985</c:v>
                </c:pt>
                <c:pt idx="337">
                  <c:v>44986</c:v>
                </c:pt>
                <c:pt idx="338">
                  <c:v>44987</c:v>
                </c:pt>
                <c:pt idx="339">
                  <c:v>44988</c:v>
                </c:pt>
                <c:pt idx="340">
                  <c:v>44991</c:v>
                </c:pt>
                <c:pt idx="341">
                  <c:v>44993</c:v>
                </c:pt>
                <c:pt idx="342">
                  <c:v>44994</c:v>
                </c:pt>
                <c:pt idx="343">
                  <c:v>44995</c:v>
                </c:pt>
                <c:pt idx="344">
                  <c:v>44998</c:v>
                </c:pt>
                <c:pt idx="345">
                  <c:v>44999</c:v>
                </c:pt>
                <c:pt idx="346">
                  <c:v>45000</c:v>
                </c:pt>
                <c:pt idx="347">
                  <c:v>45001</c:v>
                </c:pt>
                <c:pt idx="348">
                  <c:v>45002</c:v>
                </c:pt>
                <c:pt idx="349">
                  <c:v>45005</c:v>
                </c:pt>
                <c:pt idx="350">
                  <c:v>45006</c:v>
                </c:pt>
                <c:pt idx="351">
                  <c:v>45007</c:v>
                </c:pt>
                <c:pt idx="352">
                  <c:v>45008</c:v>
                </c:pt>
                <c:pt idx="353">
                  <c:v>45009</c:v>
                </c:pt>
                <c:pt idx="354">
                  <c:v>45012</c:v>
                </c:pt>
                <c:pt idx="355">
                  <c:v>45013</c:v>
                </c:pt>
                <c:pt idx="356">
                  <c:v>45014</c:v>
                </c:pt>
                <c:pt idx="357">
                  <c:v>45016</c:v>
                </c:pt>
                <c:pt idx="358">
                  <c:v>45019</c:v>
                </c:pt>
                <c:pt idx="359">
                  <c:v>45021</c:v>
                </c:pt>
                <c:pt idx="360">
                  <c:v>45022</c:v>
                </c:pt>
                <c:pt idx="361">
                  <c:v>45026</c:v>
                </c:pt>
                <c:pt idx="362">
                  <c:v>45027</c:v>
                </c:pt>
                <c:pt idx="363">
                  <c:v>45028</c:v>
                </c:pt>
                <c:pt idx="364">
                  <c:v>45029</c:v>
                </c:pt>
                <c:pt idx="365">
                  <c:v>45033</c:v>
                </c:pt>
                <c:pt idx="366">
                  <c:v>45034</c:v>
                </c:pt>
                <c:pt idx="367">
                  <c:v>45035</c:v>
                </c:pt>
                <c:pt idx="368">
                  <c:v>45036</c:v>
                </c:pt>
                <c:pt idx="369">
                  <c:v>45037</c:v>
                </c:pt>
                <c:pt idx="370">
                  <c:v>45040</c:v>
                </c:pt>
                <c:pt idx="371">
                  <c:v>45041</c:v>
                </c:pt>
                <c:pt idx="372">
                  <c:v>45042</c:v>
                </c:pt>
                <c:pt idx="373">
                  <c:v>45043</c:v>
                </c:pt>
                <c:pt idx="374">
                  <c:v>45044</c:v>
                </c:pt>
                <c:pt idx="375">
                  <c:v>45048</c:v>
                </c:pt>
                <c:pt idx="376">
                  <c:v>45049</c:v>
                </c:pt>
                <c:pt idx="377">
                  <c:v>45050</c:v>
                </c:pt>
                <c:pt idx="378">
                  <c:v>45051</c:v>
                </c:pt>
                <c:pt idx="379">
                  <c:v>45054</c:v>
                </c:pt>
                <c:pt idx="380">
                  <c:v>45055</c:v>
                </c:pt>
                <c:pt idx="381">
                  <c:v>45056</c:v>
                </c:pt>
                <c:pt idx="382">
                  <c:v>45057</c:v>
                </c:pt>
                <c:pt idx="383">
                  <c:v>45058</c:v>
                </c:pt>
                <c:pt idx="384">
                  <c:v>45061</c:v>
                </c:pt>
                <c:pt idx="385">
                  <c:v>45062</c:v>
                </c:pt>
                <c:pt idx="386">
                  <c:v>45063</c:v>
                </c:pt>
                <c:pt idx="387">
                  <c:v>45064</c:v>
                </c:pt>
                <c:pt idx="388">
                  <c:v>45065</c:v>
                </c:pt>
                <c:pt idx="389">
                  <c:v>45068</c:v>
                </c:pt>
                <c:pt idx="390">
                  <c:v>45069</c:v>
                </c:pt>
                <c:pt idx="391">
                  <c:v>45070</c:v>
                </c:pt>
                <c:pt idx="392">
                  <c:v>45071</c:v>
                </c:pt>
                <c:pt idx="393">
                  <c:v>45072</c:v>
                </c:pt>
                <c:pt idx="394">
                  <c:v>45075</c:v>
                </c:pt>
                <c:pt idx="395">
                  <c:v>45076</c:v>
                </c:pt>
                <c:pt idx="396">
                  <c:v>45077</c:v>
                </c:pt>
                <c:pt idx="397">
                  <c:v>45078</c:v>
                </c:pt>
                <c:pt idx="398">
                  <c:v>45079</c:v>
                </c:pt>
                <c:pt idx="399">
                  <c:v>45082</c:v>
                </c:pt>
                <c:pt idx="400">
                  <c:v>45083</c:v>
                </c:pt>
                <c:pt idx="401">
                  <c:v>45084</c:v>
                </c:pt>
                <c:pt idx="402">
                  <c:v>45085</c:v>
                </c:pt>
                <c:pt idx="403">
                  <c:v>45086</c:v>
                </c:pt>
                <c:pt idx="404">
                  <c:v>45089</c:v>
                </c:pt>
                <c:pt idx="405">
                  <c:v>45090</c:v>
                </c:pt>
                <c:pt idx="406">
                  <c:v>45091</c:v>
                </c:pt>
                <c:pt idx="407">
                  <c:v>45092</c:v>
                </c:pt>
                <c:pt idx="408">
                  <c:v>45093</c:v>
                </c:pt>
                <c:pt idx="409">
                  <c:v>45096</c:v>
                </c:pt>
                <c:pt idx="410">
                  <c:v>45097</c:v>
                </c:pt>
                <c:pt idx="411">
                  <c:v>45098</c:v>
                </c:pt>
                <c:pt idx="412">
                  <c:v>45099</c:v>
                </c:pt>
                <c:pt idx="413">
                  <c:v>45100</c:v>
                </c:pt>
                <c:pt idx="414">
                  <c:v>45103</c:v>
                </c:pt>
                <c:pt idx="415">
                  <c:v>45104</c:v>
                </c:pt>
                <c:pt idx="416">
                  <c:v>45105</c:v>
                </c:pt>
                <c:pt idx="417">
                  <c:v>45107</c:v>
                </c:pt>
                <c:pt idx="418">
                  <c:v>45110</c:v>
                </c:pt>
                <c:pt idx="419">
                  <c:v>45111</c:v>
                </c:pt>
                <c:pt idx="420">
                  <c:v>45112</c:v>
                </c:pt>
                <c:pt idx="421">
                  <c:v>45113</c:v>
                </c:pt>
                <c:pt idx="422">
                  <c:v>45114</c:v>
                </c:pt>
                <c:pt idx="423">
                  <c:v>45117</c:v>
                </c:pt>
                <c:pt idx="424">
                  <c:v>45118</c:v>
                </c:pt>
                <c:pt idx="425">
                  <c:v>45119</c:v>
                </c:pt>
                <c:pt idx="426">
                  <c:v>45120</c:v>
                </c:pt>
                <c:pt idx="427">
                  <c:v>45121</c:v>
                </c:pt>
                <c:pt idx="428">
                  <c:v>45124</c:v>
                </c:pt>
                <c:pt idx="429">
                  <c:v>45125</c:v>
                </c:pt>
                <c:pt idx="430">
                  <c:v>45126</c:v>
                </c:pt>
                <c:pt idx="431">
                  <c:v>45127</c:v>
                </c:pt>
                <c:pt idx="432">
                  <c:v>45128</c:v>
                </c:pt>
                <c:pt idx="433">
                  <c:v>45131</c:v>
                </c:pt>
                <c:pt idx="434">
                  <c:v>45132</c:v>
                </c:pt>
                <c:pt idx="435">
                  <c:v>45133</c:v>
                </c:pt>
                <c:pt idx="436">
                  <c:v>45134</c:v>
                </c:pt>
                <c:pt idx="437">
                  <c:v>45135</c:v>
                </c:pt>
                <c:pt idx="438">
                  <c:v>45138</c:v>
                </c:pt>
                <c:pt idx="439">
                  <c:v>45139</c:v>
                </c:pt>
                <c:pt idx="440">
                  <c:v>45140</c:v>
                </c:pt>
                <c:pt idx="441">
                  <c:v>45141</c:v>
                </c:pt>
                <c:pt idx="442">
                  <c:v>45142</c:v>
                </c:pt>
                <c:pt idx="443">
                  <c:v>45145</c:v>
                </c:pt>
                <c:pt idx="444">
                  <c:v>45146</c:v>
                </c:pt>
                <c:pt idx="445">
                  <c:v>45147</c:v>
                </c:pt>
                <c:pt idx="446">
                  <c:v>45148</c:v>
                </c:pt>
                <c:pt idx="447">
                  <c:v>45149</c:v>
                </c:pt>
                <c:pt idx="448">
                  <c:v>45152</c:v>
                </c:pt>
                <c:pt idx="449">
                  <c:v>45154</c:v>
                </c:pt>
                <c:pt idx="450">
                  <c:v>45155</c:v>
                </c:pt>
                <c:pt idx="451">
                  <c:v>45156</c:v>
                </c:pt>
                <c:pt idx="452">
                  <c:v>45159</c:v>
                </c:pt>
                <c:pt idx="453">
                  <c:v>45160</c:v>
                </c:pt>
                <c:pt idx="454">
                  <c:v>45161</c:v>
                </c:pt>
                <c:pt idx="455">
                  <c:v>45162</c:v>
                </c:pt>
                <c:pt idx="456">
                  <c:v>45163</c:v>
                </c:pt>
                <c:pt idx="457">
                  <c:v>45166</c:v>
                </c:pt>
                <c:pt idx="458">
                  <c:v>45167</c:v>
                </c:pt>
                <c:pt idx="459">
                  <c:v>45168</c:v>
                </c:pt>
                <c:pt idx="460">
                  <c:v>45169</c:v>
                </c:pt>
                <c:pt idx="461">
                  <c:v>45170</c:v>
                </c:pt>
                <c:pt idx="462">
                  <c:v>45173</c:v>
                </c:pt>
                <c:pt idx="463">
                  <c:v>45174</c:v>
                </c:pt>
                <c:pt idx="464">
                  <c:v>45175</c:v>
                </c:pt>
                <c:pt idx="465">
                  <c:v>45176</c:v>
                </c:pt>
                <c:pt idx="466">
                  <c:v>45177</c:v>
                </c:pt>
                <c:pt idx="467">
                  <c:v>45180</c:v>
                </c:pt>
                <c:pt idx="468">
                  <c:v>45181</c:v>
                </c:pt>
                <c:pt idx="469">
                  <c:v>45182</c:v>
                </c:pt>
                <c:pt idx="470">
                  <c:v>45183</c:v>
                </c:pt>
                <c:pt idx="471">
                  <c:v>45184</c:v>
                </c:pt>
                <c:pt idx="472">
                  <c:v>45187</c:v>
                </c:pt>
                <c:pt idx="473">
                  <c:v>45189</c:v>
                </c:pt>
                <c:pt idx="474">
                  <c:v>45190</c:v>
                </c:pt>
                <c:pt idx="475">
                  <c:v>45191</c:v>
                </c:pt>
                <c:pt idx="476">
                  <c:v>45194</c:v>
                </c:pt>
                <c:pt idx="477">
                  <c:v>45195</c:v>
                </c:pt>
                <c:pt idx="478">
                  <c:v>45196</c:v>
                </c:pt>
                <c:pt idx="479">
                  <c:v>45197</c:v>
                </c:pt>
                <c:pt idx="480">
                  <c:v>45198</c:v>
                </c:pt>
                <c:pt idx="481">
                  <c:v>45202</c:v>
                </c:pt>
                <c:pt idx="482">
                  <c:v>45203</c:v>
                </c:pt>
                <c:pt idx="483">
                  <c:v>45204</c:v>
                </c:pt>
                <c:pt idx="484">
                  <c:v>45205</c:v>
                </c:pt>
                <c:pt idx="485">
                  <c:v>45208</c:v>
                </c:pt>
                <c:pt idx="486">
                  <c:v>45209</c:v>
                </c:pt>
                <c:pt idx="487">
                  <c:v>45210</c:v>
                </c:pt>
                <c:pt idx="488">
                  <c:v>45211</c:v>
                </c:pt>
                <c:pt idx="489">
                  <c:v>45212</c:v>
                </c:pt>
                <c:pt idx="490">
                  <c:v>45215</c:v>
                </c:pt>
                <c:pt idx="491">
                  <c:v>45216</c:v>
                </c:pt>
                <c:pt idx="492">
                  <c:v>45217</c:v>
                </c:pt>
                <c:pt idx="493">
                  <c:v>45218</c:v>
                </c:pt>
                <c:pt idx="494">
                  <c:v>45219</c:v>
                </c:pt>
                <c:pt idx="495">
                  <c:v>45222</c:v>
                </c:pt>
                <c:pt idx="496">
                  <c:v>45224</c:v>
                </c:pt>
                <c:pt idx="497">
                  <c:v>45225</c:v>
                </c:pt>
                <c:pt idx="498">
                  <c:v>45226</c:v>
                </c:pt>
                <c:pt idx="499">
                  <c:v>45229</c:v>
                </c:pt>
                <c:pt idx="500">
                  <c:v>45230</c:v>
                </c:pt>
                <c:pt idx="501">
                  <c:v>45231</c:v>
                </c:pt>
                <c:pt idx="502">
                  <c:v>45232</c:v>
                </c:pt>
                <c:pt idx="503">
                  <c:v>45233</c:v>
                </c:pt>
                <c:pt idx="504">
                  <c:v>45236</c:v>
                </c:pt>
                <c:pt idx="505">
                  <c:v>45237</c:v>
                </c:pt>
                <c:pt idx="506">
                  <c:v>45238</c:v>
                </c:pt>
                <c:pt idx="507">
                  <c:v>45239</c:v>
                </c:pt>
                <c:pt idx="508">
                  <c:v>45240</c:v>
                </c:pt>
                <c:pt idx="509">
                  <c:v>45242</c:v>
                </c:pt>
                <c:pt idx="510">
                  <c:v>45243</c:v>
                </c:pt>
                <c:pt idx="511">
                  <c:v>45245</c:v>
                </c:pt>
                <c:pt idx="512">
                  <c:v>45246</c:v>
                </c:pt>
                <c:pt idx="513">
                  <c:v>45247</c:v>
                </c:pt>
                <c:pt idx="514">
                  <c:v>45250</c:v>
                </c:pt>
                <c:pt idx="515">
                  <c:v>45251</c:v>
                </c:pt>
                <c:pt idx="516">
                  <c:v>45252</c:v>
                </c:pt>
                <c:pt idx="517">
                  <c:v>45253</c:v>
                </c:pt>
                <c:pt idx="518">
                  <c:v>45254</c:v>
                </c:pt>
                <c:pt idx="519">
                  <c:v>45258</c:v>
                </c:pt>
                <c:pt idx="520">
                  <c:v>45259</c:v>
                </c:pt>
                <c:pt idx="521">
                  <c:v>45260</c:v>
                </c:pt>
                <c:pt idx="522">
                  <c:v>45261</c:v>
                </c:pt>
                <c:pt idx="523">
                  <c:v>45264</c:v>
                </c:pt>
                <c:pt idx="524">
                  <c:v>45265</c:v>
                </c:pt>
                <c:pt idx="525">
                  <c:v>45266</c:v>
                </c:pt>
                <c:pt idx="526">
                  <c:v>45267</c:v>
                </c:pt>
                <c:pt idx="527">
                  <c:v>45268</c:v>
                </c:pt>
                <c:pt idx="528">
                  <c:v>45271</c:v>
                </c:pt>
                <c:pt idx="529">
                  <c:v>45272</c:v>
                </c:pt>
                <c:pt idx="530">
                  <c:v>45273</c:v>
                </c:pt>
                <c:pt idx="531">
                  <c:v>45274</c:v>
                </c:pt>
                <c:pt idx="532">
                  <c:v>45275</c:v>
                </c:pt>
                <c:pt idx="533">
                  <c:v>45278</c:v>
                </c:pt>
                <c:pt idx="534">
                  <c:v>45279</c:v>
                </c:pt>
                <c:pt idx="535">
                  <c:v>45280</c:v>
                </c:pt>
                <c:pt idx="536">
                  <c:v>45281</c:v>
                </c:pt>
                <c:pt idx="537">
                  <c:v>45282</c:v>
                </c:pt>
                <c:pt idx="538">
                  <c:v>45286</c:v>
                </c:pt>
                <c:pt idx="539">
                  <c:v>45287</c:v>
                </c:pt>
                <c:pt idx="540">
                  <c:v>45288</c:v>
                </c:pt>
                <c:pt idx="541">
                  <c:v>45289</c:v>
                </c:pt>
                <c:pt idx="542">
                  <c:v>45292</c:v>
                </c:pt>
                <c:pt idx="543">
                  <c:v>45293</c:v>
                </c:pt>
                <c:pt idx="544">
                  <c:v>45294</c:v>
                </c:pt>
                <c:pt idx="545">
                  <c:v>45295</c:v>
                </c:pt>
                <c:pt idx="546">
                  <c:v>45296</c:v>
                </c:pt>
                <c:pt idx="547">
                  <c:v>45299</c:v>
                </c:pt>
                <c:pt idx="548">
                  <c:v>45300</c:v>
                </c:pt>
                <c:pt idx="549">
                  <c:v>45301</c:v>
                </c:pt>
                <c:pt idx="550">
                  <c:v>45302</c:v>
                </c:pt>
                <c:pt idx="551">
                  <c:v>45303</c:v>
                </c:pt>
                <c:pt idx="552">
                  <c:v>45306</c:v>
                </c:pt>
                <c:pt idx="553">
                  <c:v>45307</c:v>
                </c:pt>
                <c:pt idx="554">
                  <c:v>45308</c:v>
                </c:pt>
                <c:pt idx="555">
                  <c:v>45309</c:v>
                </c:pt>
                <c:pt idx="556">
                  <c:v>45310</c:v>
                </c:pt>
                <c:pt idx="557">
                  <c:v>45311</c:v>
                </c:pt>
                <c:pt idx="558">
                  <c:v>45314</c:v>
                </c:pt>
                <c:pt idx="559">
                  <c:v>45315</c:v>
                </c:pt>
                <c:pt idx="560">
                  <c:v>45316</c:v>
                </c:pt>
                <c:pt idx="561">
                  <c:v>45320</c:v>
                </c:pt>
                <c:pt idx="562">
                  <c:v>45321</c:v>
                </c:pt>
                <c:pt idx="563">
                  <c:v>45322</c:v>
                </c:pt>
                <c:pt idx="564">
                  <c:v>45323</c:v>
                </c:pt>
                <c:pt idx="565">
                  <c:v>45324</c:v>
                </c:pt>
                <c:pt idx="566">
                  <c:v>45327</c:v>
                </c:pt>
                <c:pt idx="567">
                  <c:v>45328</c:v>
                </c:pt>
                <c:pt idx="568">
                  <c:v>45329</c:v>
                </c:pt>
                <c:pt idx="569">
                  <c:v>45330</c:v>
                </c:pt>
                <c:pt idx="570">
                  <c:v>45331</c:v>
                </c:pt>
                <c:pt idx="571">
                  <c:v>45334</c:v>
                </c:pt>
                <c:pt idx="572">
                  <c:v>45335</c:v>
                </c:pt>
                <c:pt idx="573">
                  <c:v>45336</c:v>
                </c:pt>
                <c:pt idx="574">
                  <c:v>45337</c:v>
                </c:pt>
                <c:pt idx="575">
                  <c:v>45338</c:v>
                </c:pt>
                <c:pt idx="576">
                  <c:v>45341</c:v>
                </c:pt>
                <c:pt idx="577">
                  <c:v>45342</c:v>
                </c:pt>
                <c:pt idx="578">
                  <c:v>45343</c:v>
                </c:pt>
                <c:pt idx="579">
                  <c:v>45344</c:v>
                </c:pt>
                <c:pt idx="580">
                  <c:v>45345</c:v>
                </c:pt>
                <c:pt idx="581">
                  <c:v>45348</c:v>
                </c:pt>
                <c:pt idx="582">
                  <c:v>45349</c:v>
                </c:pt>
                <c:pt idx="583">
                  <c:v>45350</c:v>
                </c:pt>
                <c:pt idx="584">
                  <c:v>45351</c:v>
                </c:pt>
                <c:pt idx="585">
                  <c:v>45352</c:v>
                </c:pt>
                <c:pt idx="586">
                  <c:v>45355</c:v>
                </c:pt>
                <c:pt idx="587">
                  <c:v>45356</c:v>
                </c:pt>
                <c:pt idx="588">
                  <c:v>45357</c:v>
                </c:pt>
                <c:pt idx="589">
                  <c:v>45358</c:v>
                </c:pt>
                <c:pt idx="590">
                  <c:v>45362</c:v>
                </c:pt>
                <c:pt idx="591">
                  <c:v>45363</c:v>
                </c:pt>
                <c:pt idx="592">
                  <c:v>45364</c:v>
                </c:pt>
                <c:pt idx="593">
                  <c:v>45365</c:v>
                </c:pt>
                <c:pt idx="594">
                  <c:v>45366</c:v>
                </c:pt>
                <c:pt idx="595">
                  <c:v>45369</c:v>
                </c:pt>
                <c:pt idx="596">
                  <c:v>45370</c:v>
                </c:pt>
                <c:pt idx="597">
                  <c:v>45371</c:v>
                </c:pt>
                <c:pt idx="598">
                  <c:v>45372</c:v>
                </c:pt>
                <c:pt idx="599">
                  <c:v>45373</c:v>
                </c:pt>
                <c:pt idx="600">
                  <c:v>45377</c:v>
                </c:pt>
                <c:pt idx="601">
                  <c:v>45378</c:v>
                </c:pt>
                <c:pt idx="602">
                  <c:v>45379</c:v>
                </c:pt>
                <c:pt idx="603">
                  <c:v>45383</c:v>
                </c:pt>
                <c:pt idx="604">
                  <c:v>45384</c:v>
                </c:pt>
                <c:pt idx="605">
                  <c:v>45385</c:v>
                </c:pt>
                <c:pt idx="606">
                  <c:v>45386</c:v>
                </c:pt>
                <c:pt idx="607">
                  <c:v>45387</c:v>
                </c:pt>
                <c:pt idx="608">
                  <c:v>45390</c:v>
                </c:pt>
                <c:pt idx="609">
                  <c:v>45391</c:v>
                </c:pt>
                <c:pt idx="610">
                  <c:v>45392</c:v>
                </c:pt>
                <c:pt idx="611">
                  <c:v>45394</c:v>
                </c:pt>
                <c:pt idx="612">
                  <c:v>45397</c:v>
                </c:pt>
                <c:pt idx="613">
                  <c:v>45398</c:v>
                </c:pt>
                <c:pt idx="614">
                  <c:v>45400</c:v>
                </c:pt>
                <c:pt idx="615">
                  <c:v>45401</c:v>
                </c:pt>
                <c:pt idx="616">
                  <c:v>45404</c:v>
                </c:pt>
                <c:pt idx="617">
                  <c:v>45405</c:v>
                </c:pt>
                <c:pt idx="618">
                  <c:v>45406</c:v>
                </c:pt>
                <c:pt idx="619">
                  <c:v>45407</c:v>
                </c:pt>
                <c:pt idx="620">
                  <c:v>45408</c:v>
                </c:pt>
                <c:pt idx="621">
                  <c:v>45411</c:v>
                </c:pt>
                <c:pt idx="622">
                  <c:v>45412</c:v>
                </c:pt>
                <c:pt idx="623">
                  <c:v>45414</c:v>
                </c:pt>
                <c:pt idx="624">
                  <c:v>45415</c:v>
                </c:pt>
                <c:pt idx="625">
                  <c:v>45418</c:v>
                </c:pt>
                <c:pt idx="626">
                  <c:v>45419</c:v>
                </c:pt>
                <c:pt idx="627">
                  <c:v>45420</c:v>
                </c:pt>
                <c:pt idx="628">
                  <c:v>45421</c:v>
                </c:pt>
                <c:pt idx="629">
                  <c:v>45422</c:v>
                </c:pt>
                <c:pt idx="630">
                  <c:v>45425</c:v>
                </c:pt>
                <c:pt idx="631">
                  <c:v>45426</c:v>
                </c:pt>
                <c:pt idx="632">
                  <c:v>45427</c:v>
                </c:pt>
                <c:pt idx="633">
                  <c:v>45428</c:v>
                </c:pt>
                <c:pt idx="634">
                  <c:v>45429</c:v>
                </c:pt>
                <c:pt idx="635">
                  <c:v>45430</c:v>
                </c:pt>
                <c:pt idx="636">
                  <c:v>45433</c:v>
                </c:pt>
                <c:pt idx="637">
                  <c:v>45434</c:v>
                </c:pt>
                <c:pt idx="638">
                  <c:v>45435</c:v>
                </c:pt>
                <c:pt idx="639">
                  <c:v>45436</c:v>
                </c:pt>
                <c:pt idx="640">
                  <c:v>45439</c:v>
                </c:pt>
                <c:pt idx="641">
                  <c:v>45440</c:v>
                </c:pt>
                <c:pt idx="642">
                  <c:v>45441</c:v>
                </c:pt>
                <c:pt idx="643">
                  <c:v>45442</c:v>
                </c:pt>
                <c:pt idx="644">
                  <c:v>45443</c:v>
                </c:pt>
                <c:pt idx="645">
                  <c:v>45446</c:v>
                </c:pt>
                <c:pt idx="646">
                  <c:v>45447</c:v>
                </c:pt>
                <c:pt idx="647">
                  <c:v>45448</c:v>
                </c:pt>
                <c:pt idx="648">
                  <c:v>45449</c:v>
                </c:pt>
                <c:pt idx="649">
                  <c:v>45450</c:v>
                </c:pt>
                <c:pt idx="650">
                  <c:v>45453</c:v>
                </c:pt>
                <c:pt idx="651">
                  <c:v>45454</c:v>
                </c:pt>
                <c:pt idx="652">
                  <c:v>45455</c:v>
                </c:pt>
                <c:pt idx="653">
                  <c:v>45456</c:v>
                </c:pt>
                <c:pt idx="654">
                  <c:v>45457</c:v>
                </c:pt>
                <c:pt idx="655">
                  <c:v>45461</c:v>
                </c:pt>
                <c:pt idx="656">
                  <c:v>45462</c:v>
                </c:pt>
                <c:pt idx="657">
                  <c:v>45463</c:v>
                </c:pt>
                <c:pt idx="658">
                  <c:v>45464</c:v>
                </c:pt>
                <c:pt idx="659">
                  <c:v>45467</c:v>
                </c:pt>
                <c:pt idx="660">
                  <c:v>45468</c:v>
                </c:pt>
                <c:pt idx="661">
                  <c:v>45469</c:v>
                </c:pt>
                <c:pt idx="662">
                  <c:v>45470</c:v>
                </c:pt>
                <c:pt idx="663">
                  <c:v>45471</c:v>
                </c:pt>
                <c:pt idx="664">
                  <c:v>45474</c:v>
                </c:pt>
                <c:pt idx="665">
                  <c:v>45475</c:v>
                </c:pt>
                <c:pt idx="666">
                  <c:v>45476</c:v>
                </c:pt>
                <c:pt idx="667">
                  <c:v>45477</c:v>
                </c:pt>
                <c:pt idx="668">
                  <c:v>45478</c:v>
                </c:pt>
                <c:pt idx="669">
                  <c:v>45481</c:v>
                </c:pt>
                <c:pt idx="670">
                  <c:v>45482</c:v>
                </c:pt>
                <c:pt idx="671">
                  <c:v>45483</c:v>
                </c:pt>
                <c:pt idx="672">
                  <c:v>45484</c:v>
                </c:pt>
                <c:pt idx="673">
                  <c:v>45485</c:v>
                </c:pt>
                <c:pt idx="674">
                  <c:v>45488</c:v>
                </c:pt>
                <c:pt idx="675">
                  <c:v>45489</c:v>
                </c:pt>
                <c:pt idx="676">
                  <c:v>45491</c:v>
                </c:pt>
                <c:pt idx="677">
                  <c:v>45492</c:v>
                </c:pt>
                <c:pt idx="678">
                  <c:v>45495</c:v>
                </c:pt>
                <c:pt idx="679">
                  <c:v>45496</c:v>
                </c:pt>
                <c:pt idx="680">
                  <c:v>45497</c:v>
                </c:pt>
                <c:pt idx="681">
                  <c:v>45498</c:v>
                </c:pt>
                <c:pt idx="682">
                  <c:v>45499</c:v>
                </c:pt>
                <c:pt idx="683">
                  <c:v>45502</c:v>
                </c:pt>
                <c:pt idx="684">
                  <c:v>45503</c:v>
                </c:pt>
                <c:pt idx="685">
                  <c:v>45504</c:v>
                </c:pt>
                <c:pt idx="686">
                  <c:v>45505</c:v>
                </c:pt>
                <c:pt idx="687">
                  <c:v>45506</c:v>
                </c:pt>
                <c:pt idx="688">
                  <c:v>45509</c:v>
                </c:pt>
                <c:pt idx="689">
                  <c:v>45510</c:v>
                </c:pt>
                <c:pt idx="690">
                  <c:v>45511</c:v>
                </c:pt>
                <c:pt idx="691">
                  <c:v>45512</c:v>
                </c:pt>
                <c:pt idx="692">
                  <c:v>45513</c:v>
                </c:pt>
                <c:pt idx="693">
                  <c:v>45516</c:v>
                </c:pt>
                <c:pt idx="694">
                  <c:v>45517</c:v>
                </c:pt>
                <c:pt idx="695">
                  <c:v>45518</c:v>
                </c:pt>
                <c:pt idx="696">
                  <c:v>45520</c:v>
                </c:pt>
                <c:pt idx="697">
                  <c:v>45523</c:v>
                </c:pt>
                <c:pt idx="698">
                  <c:v>45524</c:v>
                </c:pt>
                <c:pt idx="699">
                  <c:v>45525</c:v>
                </c:pt>
                <c:pt idx="700">
                  <c:v>45526</c:v>
                </c:pt>
                <c:pt idx="701">
                  <c:v>45527</c:v>
                </c:pt>
                <c:pt idx="702">
                  <c:v>45530</c:v>
                </c:pt>
                <c:pt idx="703">
                  <c:v>45531</c:v>
                </c:pt>
                <c:pt idx="704">
                  <c:v>45532</c:v>
                </c:pt>
                <c:pt idx="705">
                  <c:v>45533</c:v>
                </c:pt>
                <c:pt idx="706">
                  <c:v>45534</c:v>
                </c:pt>
                <c:pt idx="707">
                  <c:v>45537</c:v>
                </c:pt>
                <c:pt idx="708">
                  <c:v>45538</c:v>
                </c:pt>
                <c:pt idx="709">
                  <c:v>45539</c:v>
                </c:pt>
                <c:pt idx="710">
                  <c:v>45540</c:v>
                </c:pt>
                <c:pt idx="711">
                  <c:v>45541</c:v>
                </c:pt>
                <c:pt idx="712">
                  <c:v>45544</c:v>
                </c:pt>
                <c:pt idx="713">
                  <c:v>45545</c:v>
                </c:pt>
                <c:pt idx="714">
                  <c:v>45546</c:v>
                </c:pt>
                <c:pt idx="715">
                  <c:v>45547</c:v>
                </c:pt>
                <c:pt idx="716">
                  <c:v>45548</c:v>
                </c:pt>
                <c:pt idx="717">
                  <c:v>45551</c:v>
                </c:pt>
                <c:pt idx="718">
                  <c:v>45552</c:v>
                </c:pt>
                <c:pt idx="719">
                  <c:v>45553</c:v>
                </c:pt>
                <c:pt idx="720">
                  <c:v>45554</c:v>
                </c:pt>
                <c:pt idx="721">
                  <c:v>45555</c:v>
                </c:pt>
                <c:pt idx="722">
                  <c:v>45558</c:v>
                </c:pt>
                <c:pt idx="723">
                  <c:v>45559</c:v>
                </c:pt>
                <c:pt idx="724">
                  <c:v>45560</c:v>
                </c:pt>
                <c:pt idx="725">
                  <c:v>45561</c:v>
                </c:pt>
                <c:pt idx="726">
                  <c:v>45562</c:v>
                </c:pt>
                <c:pt idx="727">
                  <c:v>45565</c:v>
                </c:pt>
                <c:pt idx="728">
                  <c:v>45566</c:v>
                </c:pt>
                <c:pt idx="729">
                  <c:v>45568</c:v>
                </c:pt>
                <c:pt idx="730">
                  <c:v>45569</c:v>
                </c:pt>
                <c:pt idx="731">
                  <c:v>45572</c:v>
                </c:pt>
                <c:pt idx="732">
                  <c:v>45573</c:v>
                </c:pt>
                <c:pt idx="733">
                  <c:v>45574</c:v>
                </c:pt>
                <c:pt idx="734">
                  <c:v>45575</c:v>
                </c:pt>
                <c:pt idx="735">
                  <c:v>45576</c:v>
                </c:pt>
                <c:pt idx="736">
                  <c:v>45579</c:v>
                </c:pt>
                <c:pt idx="737">
                  <c:v>45580</c:v>
                </c:pt>
                <c:pt idx="738">
                  <c:v>45581</c:v>
                </c:pt>
                <c:pt idx="739">
                  <c:v>45582</c:v>
                </c:pt>
                <c:pt idx="740">
                  <c:v>45583</c:v>
                </c:pt>
                <c:pt idx="741">
                  <c:v>45586</c:v>
                </c:pt>
                <c:pt idx="742">
                  <c:v>45587</c:v>
                </c:pt>
                <c:pt idx="743">
                  <c:v>45588</c:v>
                </c:pt>
                <c:pt idx="744">
                  <c:v>45589</c:v>
                </c:pt>
                <c:pt idx="745">
                  <c:v>45590</c:v>
                </c:pt>
                <c:pt idx="746">
                  <c:v>45593</c:v>
                </c:pt>
                <c:pt idx="747">
                  <c:v>45594</c:v>
                </c:pt>
                <c:pt idx="748">
                  <c:v>45595</c:v>
                </c:pt>
                <c:pt idx="749">
                  <c:v>45596</c:v>
                </c:pt>
                <c:pt idx="750">
                  <c:v>45597</c:v>
                </c:pt>
                <c:pt idx="751">
                  <c:v>45600</c:v>
                </c:pt>
                <c:pt idx="752">
                  <c:v>45601</c:v>
                </c:pt>
                <c:pt idx="753">
                  <c:v>45602</c:v>
                </c:pt>
                <c:pt idx="754">
                  <c:v>45603</c:v>
                </c:pt>
                <c:pt idx="755">
                  <c:v>45604</c:v>
                </c:pt>
                <c:pt idx="756">
                  <c:v>45607</c:v>
                </c:pt>
                <c:pt idx="757">
                  <c:v>45608</c:v>
                </c:pt>
                <c:pt idx="758">
                  <c:v>45609</c:v>
                </c:pt>
                <c:pt idx="759">
                  <c:v>45610</c:v>
                </c:pt>
                <c:pt idx="760">
                  <c:v>45614</c:v>
                </c:pt>
                <c:pt idx="761">
                  <c:v>45615</c:v>
                </c:pt>
                <c:pt idx="762">
                  <c:v>45617</c:v>
                </c:pt>
                <c:pt idx="763">
                  <c:v>45618</c:v>
                </c:pt>
                <c:pt idx="764">
                  <c:v>45621</c:v>
                </c:pt>
                <c:pt idx="765">
                  <c:v>45622</c:v>
                </c:pt>
                <c:pt idx="766">
                  <c:v>45623</c:v>
                </c:pt>
                <c:pt idx="767">
                  <c:v>45624</c:v>
                </c:pt>
                <c:pt idx="768">
                  <c:v>45625</c:v>
                </c:pt>
                <c:pt idx="769">
                  <c:v>45628</c:v>
                </c:pt>
                <c:pt idx="770">
                  <c:v>45629</c:v>
                </c:pt>
                <c:pt idx="771">
                  <c:v>45630</c:v>
                </c:pt>
                <c:pt idx="772">
                  <c:v>45631</c:v>
                </c:pt>
                <c:pt idx="773">
                  <c:v>45632</c:v>
                </c:pt>
                <c:pt idx="774">
                  <c:v>45635</c:v>
                </c:pt>
                <c:pt idx="775">
                  <c:v>45636</c:v>
                </c:pt>
                <c:pt idx="776">
                  <c:v>45637</c:v>
                </c:pt>
                <c:pt idx="777">
                  <c:v>45638</c:v>
                </c:pt>
                <c:pt idx="778">
                  <c:v>45639</c:v>
                </c:pt>
                <c:pt idx="779">
                  <c:v>45642</c:v>
                </c:pt>
                <c:pt idx="780">
                  <c:v>45643</c:v>
                </c:pt>
                <c:pt idx="781">
                  <c:v>45644</c:v>
                </c:pt>
                <c:pt idx="782">
                  <c:v>45645</c:v>
                </c:pt>
                <c:pt idx="783">
                  <c:v>45646</c:v>
                </c:pt>
                <c:pt idx="784">
                  <c:v>45649</c:v>
                </c:pt>
                <c:pt idx="785">
                  <c:v>45650</c:v>
                </c:pt>
                <c:pt idx="786">
                  <c:v>45652</c:v>
                </c:pt>
                <c:pt idx="787">
                  <c:v>45653</c:v>
                </c:pt>
                <c:pt idx="788">
                  <c:v>45656</c:v>
                </c:pt>
                <c:pt idx="789">
                  <c:v>45657</c:v>
                </c:pt>
                <c:pt idx="790">
                  <c:v>45658</c:v>
                </c:pt>
                <c:pt idx="791">
                  <c:v>45659</c:v>
                </c:pt>
                <c:pt idx="792">
                  <c:v>45660</c:v>
                </c:pt>
                <c:pt idx="793">
                  <c:v>45663</c:v>
                </c:pt>
                <c:pt idx="794">
                  <c:v>45664</c:v>
                </c:pt>
                <c:pt idx="795">
                  <c:v>45665</c:v>
                </c:pt>
                <c:pt idx="796">
                  <c:v>45666</c:v>
                </c:pt>
                <c:pt idx="797">
                  <c:v>45667</c:v>
                </c:pt>
                <c:pt idx="798">
                  <c:v>45670</c:v>
                </c:pt>
                <c:pt idx="799">
                  <c:v>45671</c:v>
                </c:pt>
                <c:pt idx="800">
                  <c:v>45672</c:v>
                </c:pt>
                <c:pt idx="801">
                  <c:v>45673</c:v>
                </c:pt>
                <c:pt idx="802">
                  <c:v>45674</c:v>
                </c:pt>
                <c:pt idx="803">
                  <c:v>45677</c:v>
                </c:pt>
                <c:pt idx="804">
                  <c:v>45678</c:v>
                </c:pt>
                <c:pt idx="805">
                  <c:v>45679</c:v>
                </c:pt>
                <c:pt idx="806">
                  <c:v>45680</c:v>
                </c:pt>
                <c:pt idx="807">
                  <c:v>45681</c:v>
                </c:pt>
                <c:pt idx="808">
                  <c:v>45684</c:v>
                </c:pt>
                <c:pt idx="809">
                  <c:v>45685</c:v>
                </c:pt>
                <c:pt idx="810">
                  <c:v>45686</c:v>
                </c:pt>
                <c:pt idx="811">
                  <c:v>45687</c:v>
                </c:pt>
                <c:pt idx="812">
                  <c:v>45688</c:v>
                </c:pt>
                <c:pt idx="813">
                  <c:v>45689</c:v>
                </c:pt>
                <c:pt idx="814">
                  <c:v>45691</c:v>
                </c:pt>
                <c:pt idx="815">
                  <c:v>45692</c:v>
                </c:pt>
                <c:pt idx="816">
                  <c:v>45693</c:v>
                </c:pt>
                <c:pt idx="817">
                  <c:v>45694</c:v>
                </c:pt>
                <c:pt idx="818">
                  <c:v>45695</c:v>
                </c:pt>
                <c:pt idx="819">
                  <c:v>45698</c:v>
                </c:pt>
                <c:pt idx="820">
                  <c:v>45699</c:v>
                </c:pt>
                <c:pt idx="821">
                  <c:v>45700</c:v>
                </c:pt>
                <c:pt idx="822">
                  <c:v>45701</c:v>
                </c:pt>
                <c:pt idx="823">
                  <c:v>45702</c:v>
                </c:pt>
                <c:pt idx="824">
                  <c:v>45705</c:v>
                </c:pt>
                <c:pt idx="825">
                  <c:v>45706</c:v>
                </c:pt>
                <c:pt idx="826">
                  <c:v>45707</c:v>
                </c:pt>
                <c:pt idx="827">
                  <c:v>45708</c:v>
                </c:pt>
                <c:pt idx="828">
                  <c:v>45709</c:v>
                </c:pt>
                <c:pt idx="829">
                  <c:v>45712</c:v>
                </c:pt>
                <c:pt idx="830">
                  <c:v>45713</c:v>
                </c:pt>
                <c:pt idx="831">
                  <c:v>45715</c:v>
                </c:pt>
                <c:pt idx="832">
                  <c:v>45716</c:v>
                </c:pt>
                <c:pt idx="833">
                  <c:v>45719</c:v>
                </c:pt>
                <c:pt idx="834">
                  <c:v>45720</c:v>
                </c:pt>
                <c:pt idx="835">
                  <c:v>45721</c:v>
                </c:pt>
                <c:pt idx="836">
                  <c:v>45722</c:v>
                </c:pt>
                <c:pt idx="837">
                  <c:v>45723</c:v>
                </c:pt>
                <c:pt idx="838">
                  <c:v>45726</c:v>
                </c:pt>
                <c:pt idx="839">
                  <c:v>45727</c:v>
                </c:pt>
                <c:pt idx="840">
                  <c:v>45728</c:v>
                </c:pt>
                <c:pt idx="841">
                  <c:v>45729</c:v>
                </c:pt>
                <c:pt idx="842">
                  <c:v>45733</c:v>
                </c:pt>
                <c:pt idx="843">
                  <c:v>45734</c:v>
                </c:pt>
                <c:pt idx="844">
                  <c:v>45735</c:v>
                </c:pt>
                <c:pt idx="845">
                  <c:v>45736</c:v>
                </c:pt>
                <c:pt idx="846">
                  <c:v>45737</c:v>
                </c:pt>
                <c:pt idx="847">
                  <c:v>45740</c:v>
                </c:pt>
                <c:pt idx="848">
                  <c:v>45741</c:v>
                </c:pt>
                <c:pt idx="849">
                  <c:v>45742</c:v>
                </c:pt>
                <c:pt idx="850">
                  <c:v>45743</c:v>
                </c:pt>
                <c:pt idx="851">
                  <c:v>45744</c:v>
                </c:pt>
                <c:pt idx="852">
                  <c:v>45748</c:v>
                </c:pt>
                <c:pt idx="853">
                  <c:v>45749</c:v>
                </c:pt>
                <c:pt idx="854">
                  <c:v>45750</c:v>
                </c:pt>
                <c:pt idx="855">
                  <c:v>45751</c:v>
                </c:pt>
                <c:pt idx="856">
                  <c:v>45754</c:v>
                </c:pt>
                <c:pt idx="857">
                  <c:v>45755</c:v>
                </c:pt>
                <c:pt idx="858">
                  <c:v>45756</c:v>
                </c:pt>
                <c:pt idx="859">
                  <c:v>45758</c:v>
                </c:pt>
                <c:pt idx="860">
                  <c:v>45762</c:v>
                </c:pt>
                <c:pt idx="861">
                  <c:v>45763</c:v>
                </c:pt>
                <c:pt idx="862">
                  <c:v>45764</c:v>
                </c:pt>
                <c:pt idx="863">
                  <c:v>45768</c:v>
                </c:pt>
                <c:pt idx="864">
                  <c:v>45769</c:v>
                </c:pt>
                <c:pt idx="865">
                  <c:v>45770</c:v>
                </c:pt>
                <c:pt idx="866">
                  <c:v>45771</c:v>
                </c:pt>
                <c:pt idx="867">
                  <c:v>45772</c:v>
                </c:pt>
                <c:pt idx="868">
                  <c:v>45775</c:v>
                </c:pt>
                <c:pt idx="869">
                  <c:v>45776</c:v>
                </c:pt>
                <c:pt idx="870">
                  <c:v>45777</c:v>
                </c:pt>
                <c:pt idx="871">
                  <c:v>45779</c:v>
                </c:pt>
                <c:pt idx="872">
                  <c:v>45782</c:v>
                </c:pt>
                <c:pt idx="873">
                  <c:v>45783</c:v>
                </c:pt>
                <c:pt idx="874">
                  <c:v>45784</c:v>
                </c:pt>
                <c:pt idx="875">
                  <c:v>45785</c:v>
                </c:pt>
                <c:pt idx="876">
                  <c:v>45786</c:v>
                </c:pt>
                <c:pt idx="877">
                  <c:v>45789</c:v>
                </c:pt>
                <c:pt idx="878">
                  <c:v>45790</c:v>
                </c:pt>
                <c:pt idx="879">
                  <c:v>45791</c:v>
                </c:pt>
                <c:pt idx="880">
                  <c:v>45792</c:v>
                </c:pt>
                <c:pt idx="881">
                  <c:v>45793</c:v>
                </c:pt>
                <c:pt idx="882">
                  <c:v>45796</c:v>
                </c:pt>
                <c:pt idx="883">
                  <c:v>45797</c:v>
                </c:pt>
                <c:pt idx="884">
                  <c:v>45798</c:v>
                </c:pt>
                <c:pt idx="885">
                  <c:v>45799</c:v>
                </c:pt>
                <c:pt idx="886">
                  <c:v>45800</c:v>
                </c:pt>
                <c:pt idx="887">
                  <c:v>45803</c:v>
                </c:pt>
                <c:pt idx="888">
                  <c:v>45804</c:v>
                </c:pt>
                <c:pt idx="889">
                  <c:v>45805</c:v>
                </c:pt>
                <c:pt idx="890">
                  <c:v>45806</c:v>
                </c:pt>
                <c:pt idx="891">
                  <c:v>45807</c:v>
                </c:pt>
                <c:pt idx="892">
                  <c:v>45810</c:v>
                </c:pt>
                <c:pt idx="893">
                  <c:v>45811</c:v>
                </c:pt>
                <c:pt idx="894">
                  <c:v>45812</c:v>
                </c:pt>
                <c:pt idx="895">
                  <c:v>45813</c:v>
                </c:pt>
                <c:pt idx="896">
                  <c:v>45814</c:v>
                </c:pt>
                <c:pt idx="897">
                  <c:v>45817</c:v>
                </c:pt>
                <c:pt idx="898">
                  <c:v>45818</c:v>
                </c:pt>
                <c:pt idx="899">
                  <c:v>45819</c:v>
                </c:pt>
                <c:pt idx="900">
                  <c:v>45820</c:v>
                </c:pt>
                <c:pt idx="901">
                  <c:v>45821</c:v>
                </c:pt>
                <c:pt idx="902">
                  <c:v>45824</c:v>
                </c:pt>
                <c:pt idx="903">
                  <c:v>45825</c:v>
                </c:pt>
                <c:pt idx="904">
                  <c:v>45826</c:v>
                </c:pt>
                <c:pt idx="905">
                  <c:v>45827</c:v>
                </c:pt>
                <c:pt idx="906">
                  <c:v>45828</c:v>
                </c:pt>
                <c:pt idx="907">
                  <c:v>45831</c:v>
                </c:pt>
                <c:pt idx="908">
                  <c:v>45832</c:v>
                </c:pt>
                <c:pt idx="909">
                  <c:v>45833</c:v>
                </c:pt>
                <c:pt idx="910">
                  <c:v>45834</c:v>
                </c:pt>
                <c:pt idx="911">
                  <c:v>45835</c:v>
                </c:pt>
                <c:pt idx="912">
                  <c:v>45838</c:v>
                </c:pt>
                <c:pt idx="913">
                  <c:v>45839</c:v>
                </c:pt>
                <c:pt idx="914">
                  <c:v>45840</c:v>
                </c:pt>
                <c:pt idx="915">
                  <c:v>45841</c:v>
                </c:pt>
                <c:pt idx="916">
                  <c:v>45842</c:v>
                </c:pt>
                <c:pt idx="917">
                  <c:v>45845</c:v>
                </c:pt>
                <c:pt idx="918">
                  <c:v>45846</c:v>
                </c:pt>
                <c:pt idx="919">
                  <c:v>45847</c:v>
                </c:pt>
                <c:pt idx="920">
                  <c:v>45848</c:v>
                </c:pt>
                <c:pt idx="921">
                  <c:v>45849</c:v>
                </c:pt>
                <c:pt idx="922">
                  <c:v>45852</c:v>
                </c:pt>
                <c:pt idx="923">
                  <c:v>45853</c:v>
                </c:pt>
                <c:pt idx="924">
                  <c:v>45854</c:v>
                </c:pt>
                <c:pt idx="925">
                  <c:v>45855</c:v>
                </c:pt>
                <c:pt idx="926">
                  <c:v>45856</c:v>
                </c:pt>
                <c:pt idx="927">
                  <c:v>45859</c:v>
                </c:pt>
                <c:pt idx="928">
                  <c:v>45860</c:v>
                </c:pt>
                <c:pt idx="929">
                  <c:v>45861</c:v>
                </c:pt>
                <c:pt idx="930">
                  <c:v>45862</c:v>
                </c:pt>
                <c:pt idx="931">
                  <c:v>45863</c:v>
                </c:pt>
                <c:pt idx="932">
                  <c:v>45866</c:v>
                </c:pt>
                <c:pt idx="933">
                  <c:v>45867</c:v>
                </c:pt>
                <c:pt idx="934">
                  <c:v>45868</c:v>
                </c:pt>
                <c:pt idx="935">
                  <c:v>45869</c:v>
                </c:pt>
                <c:pt idx="936">
                  <c:v>45870</c:v>
                </c:pt>
                <c:pt idx="937">
                  <c:v>45873</c:v>
                </c:pt>
                <c:pt idx="938">
                  <c:v>45874</c:v>
                </c:pt>
                <c:pt idx="939">
                  <c:v>45875</c:v>
                </c:pt>
                <c:pt idx="940">
                  <c:v>45876</c:v>
                </c:pt>
                <c:pt idx="941">
                  <c:v>45877</c:v>
                </c:pt>
                <c:pt idx="942">
                  <c:v>45880</c:v>
                </c:pt>
                <c:pt idx="943">
                  <c:v>45881</c:v>
                </c:pt>
                <c:pt idx="944">
                  <c:v>45882</c:v>
                </c:pt>
                <c:pt idx="945">
                  <c:v>45883</c:v>
                </c:pt>
                <c:pt idx="946">
                  <c:v>45887</c:v>
                </c:pt>
                <c:pt idx="947">
                  <c:v>45888</c:v>
                </c:pt>
                <c:pt idx="948">
                  <c:v>45889</c:v>
                </c:pt>
                <c:pt idx="949">
                  <c:v>45890</c:v>
                </c:pt>
                <c:pt idx="950">
                  <c:v>45891</c:v>
                </c:pt>
                <c:pt idx="951">
                  <c:v>45894</c:v>
                </c:pt>
                <c:pt idx="952">
                  <c:v>45895</c:v>
                </c:pt>
                <c:pt idx="953">
                  <c:v>45897</c:v>
                </c:pt>
                <c:pt idx="954">
                  <c:v>45898</c:v>
                </c:pt>
                <c:pt idx="955">
                  <c:v>45901</c:v>
                </c:pt>
                <c:pt idx="956">
                  <c:v>45902</c:v>
                </c:pt>
                <c:pt idx="957">
                  <c:v>45903</c:v>
                </c:pt>
                <c:pt idx="958">
                  <c:v>45904</c:v>
                </c:pt>
                <c:pt idx="959">
                  <c:v>45905</c:v>
                </c:pt>
                <c:pt idx="960">
                  <c:v>45908</c:v>
                </c:pt>
                <c:pt idx="961">
                  <c:v>45909</c:v>
                </c:pt>
                <c:pt idx="962">
                  <c:v>45910</c:v>
                </c:pt>
                <c:pt idx="963">
                  <c:v>45911</c:v>
                </c:pt>
                <c:pt idx="964">
                  <c:v>45912</c:v>
                </c:pt>
                <c:pt idx="965">
                  <c:v>45915</c:v>
                </c:pt>
                <c:pt idx="966">
                  <c:v>45916</c:v>
                </c:pt>
                <c:pt idx="967">
                  <c:v>45917</c:v>
                </c:pt>
                <c:pt idx="968">
                  <c:v>45918</c:v>
                </c:pt>
                <c:pt idx="969">
                  <c:v>45919</c:v>
                </c:pt>
                <c:pt idx="970">
                  <c:v>45922</c:v>
                </c:pt>
                <c:pt idx="971">
                  <c:v>45923</c:v>
                </c:pt>
                <c:pt idx="972">
                  <c:v>45924</c:v>
                </c:pt>
                <c:pt idx="973">
                  <c:v>45925</c:v>
                </c:pt>
                <c:pt idx="974">
                  <c:v>45926</c:v>
                </c:pt>
                <c:pt idx="975">
                  <c:v>45929</c:v>
                </c:pt>
                <c:pt idx="976">
                  <c:v>45930</c:v>
                </c:pt>
                <c:pt idx="977">
                  <c:v>45931</c:v>
                </c:pt>
                <c:pt idx="978">
                  <c:v>45933</c:v>
                </c:pt>
                <c:pt idx="979">
                  <c:v>45936</c:v>
                </c:pt>
                <c:pt idx="980">
                  <c:v>45937</c:v>
                </c:pt>
                <c:pt idx="981">
                  <c:v>45938</c:v>
                </c:pt>
                <c:pt idx="982">
                  <c:v>45939</c:v>
                </c:pt>
                <c:pt idx="983">
                  <c:v>45940</c:v>
                </c:pt>
                <c:pt idx="984">
                  <c:v>45943</c:v>
                </c:pt>
                <c:pt idx="985">
                  <c:v>45944</c:v>
                </c:pt>
                <c:pt idx="986">
                  <c:v>45945</c:v>
                </c:pt>
                <c:pt idx="987">
                  <c:v>45946</c:v>
                </c:pt>
                <c:pt idx="988">
                  <c:v>45947</c:v>
                </c:pt>
                <c:pt idx="989">
                  <c:v>45950</c:v>
                </c:pt>
                <c:pt idx="990">
                  <c:v>45951</c:v>
                </c:pt>
                <c:pt idx="991">
                  <c:v>45953</c:v>
                </c:pt>
                <c:pt idx="992">
                  <c:v>45954</c:v>
                </c:pt>
                <c:pt idx="993">
                  <c:v>45957</c:v>
                </c:pt>
                <c:pt idx="994">
                  <c:v>45958</c:v>
                </c:pt>
                <c:pt idx="995">
                  <c:v>45959</c:v>
                </c:pt>
                <c:pt idx="996">
                  <c:v>45960</c:v>
                </c:pt>
                <c:pt idx="997">
                  <c:v>45961</c:v>
                </c:pt>
                <c:pt idx="998">
                  <c:v>45964</c:v>
                </c:pt>
                <c:pt idx="999">
                  <c:v>45965</c:v>
                </c:pt>
                <c:pt idx="1000">
                  <c:v>45967</c:v>
                </c:pt>
                <c:pt idx="1001">
                  <c:v>45968</c:v>
                </c:pt>
                <c:pt idx="1002">
                  <c:v>45971</c:v>
                </c:pt>
                <c:pt idx="1003">
                  <c:v>45972</c:v>
                </c:pt>
                <c:pt idx="1004">
                  <c:v>45973</c:v>
                </c:pt>
                <c:pt idx="1005">
                  <c:v>45974</c:v>
                </c:pt>
                <c:pt idx="1006">
                  <c:v>45975</c:v>
                </c:pt>
                <c:pt idx="1007">
                  <c:v>45978</c:v>
                </c:pt>
                <c:pt idx="1008">
                  <c:v>45979</c:v>
                </c:pt>
                <c:pt idx="1009">
                  <c:v>45980</c:v>
                </c:pt>
                <c:pt idx="1010">
                  <c:v>45981</c:v>
                </c:pt>
                <c:pt idx="1011">
                  <c:v>45982</c:v>
                </c:pt>
                <c:pt idx="1012">
                  <c:v>45985</c:v>
                </c:pt>
                <c:pt idx="1013">
                  <c:v>45986</c:v>
                </c:pt>
                <c:pt idx="1014">
                  <c:v>45987</c:v>
                </c:pt>
                <c:pt idx="1015">
                  <c:v>45988</c:v>
                </c:pt>
                <c:pt idx="1016">
                  <c:v>45989</c:v>
                </c:pt>
                <c:pt idx="1017">
                  <c:v>45992</c:v>
                </c:pt>
                <c:pt idx="1018">
                  <c:v>45993</c:v>
                </c:pt>
                <c:pt idx="1019">
                  <c:v>45994</c:v>
                </c:pt>
                <c:pt idx="1020">
                  <c:v>45995</c:v>
                </c:pt>
                <c:pt idx="1021">
                  <c:v>45996</c:v>
                </c:pt>
                <c:pt idx="1022">
                  <c:v>45999</c:v>
                </c:pt>
                <c:pt idx="1023">
                  <c:v>46000</c:v>
                </c:pt>
                <c:pt idx="1024">
                  <c:v>46001</c:v>
                </c:pt>
                <c:pt idx="1025">
                  <c:v>46002</c:v>
                </c:pt>
                <c:pt idx="1026">
                  <c:v>46003</c:v>
                </c:pt>
                <c:pt idx="1027">
                  <c:v>46006</c:v>
                </c:pt>
                <c:pt idx="1028">
                  <c:v>46007</c:v>
                </c:pt>
                <c:pt idx="1029">
                  <c:v>46008</c:v>
                </c:pt>
                <c:pt idx="1030">
                  <c:v>46009</c:v>
                </c:pt>
                <c:pt idx="1031">
                  <c:v>46010</c:v>
                </c:pt>
                <c:pt idx="1032">
                  <c:v>46013</c:v>
                </c:pt>
                <c:pt idx="1033">
                  <c:v>46014</c:v>
                </c:pt>
                <c:pt idx="1034">
                  <c:v>46015</c:v>
                </c:pt>
                <c:pt idx="1035">
                  <c:v>46017</c:v>
                </c:pt>
                <c:pt idx="1036">
                  <c:v>46020</c:v>
                </c:pt>
                <c:pt idx="1037">
                  <c:v>46021</c:v>
                </c:pt>
                <c:pt idx="1038">
                  <c:v>46022</c:v>
                </c:pt>
              </c:numCache>
            </c:numRef>
          </c:cat>
          <c:val>
            <c:numRef>
              <c:f>'Price trend line table'!$C$202:$C$1241</c:f>
              <c:numCache>
                <c:formatCode>General</c:formatCode>
                <c:ptCount val="1040"/>
                <c:pt idx="0">
                  <c:v>17952.855000000003</c:v>
                </c:pt>
                <c:pt idx="1">
                  <c:v>17966.465000000004</c:v>
                </c:pt>
                <c:pt idx="2">
                  <c:v>17987.13</c:v>
                </c:pt>
                <c:pt idx="3">
                  <c:v>18010.247500000005</c:v>
                </c:pt>
                <c:pt idx="4">
                  <c:v>18017.545000000006</c:v>
                </c:pt>
                <c:pt idx="5">
                  <c:v>18020.220000000005</c:v>
                </c:pt>
                <c:pt idx="6">
                  <c:v>18040.100000000002</c:v>
                </c:pt>
                <c:pt idx="7">
                  <c:v>18049.985000000004</c:v>
                </c:pt>
                <c:pt idx="8">
                  <c:v>18050.330000000002</c:v>
                </c:pt>
                <c:pt idx="9">
                  <c:v>18063.870000000003</c:v>
                </c:pt>
                <c:pt idx="10">
                  <c:v>18077.780000000002</c:v>
                </c:pt>
                <c:pt idx="11">
                  <c:v>18085.232500000002</c:v>
                </c:pt>
                <c:pt idx="12">
                  <c:v>18088.794999999998</c:v>
                </c:pt>
                <c:pt idx="13">
                  <c:v>18082.877499999999</c:v>
                </c:pt>
                <c:pt idx="14">
                  <c:v>18079.927499999998</c:v>
                </c:pt>
                <c:pt idx="15">
                  <c:v>18068.4725</c:v>
                </c:pt>
                <c:pt idx="16">
                  <c:v>18044.579999999998</c:v>
                </c:pt>
                <c:pt idx="17">
                  <c:v>18018.575000000001</c:v>
                </c:pt>
                <c:pt idx="18">
                  <c:v>17993.485000000001</c:v>
                </c:pt>
                <c:pt idx="19">
                  <c:v>17955.407500000001</c:v>
                </c:pt>
                <c:pt idx="20">
                  <c:v>17924.829999999998</c:v>
                </c:pt>
                <c:pt idx="21">
                  <c:v>17889.312499999996</c:v>
                </c:pt>
                <c:pt idx="22">
                  <c:v>17852.704999999998</c:v>
                </c:pt>
                <c:pt idx="23">
                  <c:v>17793.48</c:v>
                </c:pt>
                <c:pt idx="24">
                  <c:v>17753.314999999999</c:v>
                </c:pt>
                <c:pt idx="25">
                  <c:v>17718.892500000002</c:v>
                </c:pt>
                <c:pt idx="26">
                  <c:v>17680.755000000001</c:v>
                </c:pt>
                <c:pt idx="27">
                  <c:v>17656.390000000007</c:v>
                </c:pt>
                <c:pt idx="28">
                  <c:v>17624.765000000003</c:v>
                </c:pt>
                <c:pt idx="29">
                  <c:v>17574.537500000002</c:v>
                </c:pt>
                <c:pt idx="30">
                  <c:v>17529.945</c:v>
                </c:pt>
                <c:pt idx="31">
                  <c:v>17501.220000000005</c:v>
                </c:pt>
                <c:pt idx="32">
                  <c:v>17476.202500000003</c:v>
                </c:pt>
                <c:pt idx="33">
                  <c:v>17458.087500000001</c:v>
                </c:pt>
                <c:pt idx="34">
                  <c:v>17421.362499999999</c:v>
                </c:pt>
                <c:pt idx="35">
                  <c:v>17382.135000000002</c:v>
                </c:pt>
                <c:pt idx="36">
                  <c:v>17343.245000000003</c:v>
                </c:pt>
                <c:pt idx="37">
                  <c:v>17310.732500000006</c:v>
                </c:pt>
                <c:pt idx="38">
                  <c:v>17271.752500000006</c:v>
                </c:pt>
                <c:pt idx="39">
                  <c:v>17231.635000000002</c:v>
                </c:pt>
                <c:pt idx="40">
                  <c:v>17195.010000000002</c:v>
                </c:pt>
                <c:pt idx="41">
                  <c:v>17172.03</c:v>
                </c:pt>
                <c:pt idx="42">
                  <c:v>17148.847499999996</c:v>
                </c:pt>
                <c:pt idx="43">
                  <c:v>17147.712499999998</c:v>
                </c:pt>
                <c:pt idx="44">
                  <c:v>17149.327499999999</c:v>
                </c:pt>
                <c:pt idx="45">
                  <c:v>17161.829999999998</c:v>
                </c:pt>
                <c:pt idx="46">
                  <c:v>17164.165000000001</c:v>
                </c:pt>
                <c:pt idx="47">
                  <c:v>17154.280000000002</c:v>
                </c:pt>
                <c:pt idx="48">
                  <c:v>17162.147499999999</c:v>
                </c:pt>
                <c:pt idx="49">
                  <c:v>17197.82</c:v>
                </c:pt>
                <c:pt idx="50">
                  <c:v>17229.247500000001</c:v>
                </c:pt>
                <c:pt idx="51">
                  <c:v>17252.022499999999</c:v>
                </c:pt>
                <c:pt idx="52">
                  <c:v>17263.475000000002</c:v>
                </c:pt>
                <c:pt idx="53">
                  <c:v>17278.545000000006</c:v>
                </c:pt>
                <c:pt idx="54">
                  <c:v>17310.297500000004</c:v>
                </c:pt>
                <c:pt idx="55">
                  <c:v>17346.840000000004</c:v>
                </c:pt>
                <c:pt idx="56">
                  <c:v>17396.387500000001</c:v>
                </c:pt>
                <c:pt idx="57">
                  <c:v>17446.857499999998</c:v>
                </c:pt>
                <c:pt idx="58">
                  <c:v>17510.385000000002</c:v>
                </c:pt>
                <c:pt idx="59">
                  <c:v>17595.079999999994</c:v>
                </c:pt>
                <c:pt idx="60">
                  <c:v>17662.189999999995</c:v>
                </c:pt>
                <c:pt idx="61">
                  <c:v>17711.337500000001</c:v>
                </c:pt>
                <c:pt idx="62">
                  <c:v>17745.557499999999</c:v>
                </c:pt>
                <c:pt idx="63">
                  <c:v>17776.227500000001</c:v>
                </c:pt>
                <c:pt idx="64">
                  <c:v>17779.370000000003</c:v>
                </c:pt>
                <c:pt idx="65">
                  <c:v>17781.605000000003</c:v>
                </c:pt>
                <c:pt idx="66">
                  <c:v>17776.432500000003</c:v>
                </c:pt>
                <c:pt idx="67">
                  <c:v>17771.3325</c:v>
                </c:pt>
                <c:pt idx="68">
                  <c:v>17770.622500000001</c:v>
                </c:pt>
                <c:pt idx="69">
                  <c:v>17768.18</c:v>
                </c:pt>
                <c:pt idx="70">
                  <c:v>17766.9175</c:v>
                </c:pt>
                <c:pt idx="71">
                  <c:v>17748.665000000001</c:v>
                </c:pt>
                <c:pt idx="72">
                  <c:v>17737.184999999998</c:v>
                </c:pt>
                <c:pt idx="73">
                  <c:v>17707.23</c:v>
                </c:pt>
                <c:pt idx="74">
                  <c:v>17670.4025</c:v>
                </c:pt>
                <c:pt idx="75">
                  <c:v>17640.805</c:v>
                </c:pt>
                <c:pt idx="76">
                  <c:v>17610.48</c:v>
                </c:pt>
                <c:pt idx="77">
                  <c:v>17566.327499999999</c:v>
                </c:pt>
                <c:pt idx="78">
                  <c:v>17495.68</c:v>
                </c:pt>
                <c:pt idx="79">
                  <c:v>17447.897499999999</c:v>
                </c:pt>
                <c:pt idx="80">
                  <c:v>17408.355</c:v>
                </c:pt>
                <c:pt idx="81">
                  <c:v>17376.665000000001</c:v>
                </c:pt>
                <c:pt idx="82">
                  <c:v>17352.629999999997</c:v>
                </c:pt>
                <c:pt idx="83">
                  <c:v>17332.105</c:v>
                </c:pt>
                <c:pt idx="84">
                  <c:v>17329.260000000002</c:v>
                </c:pt>
                <c:pt idx="85">
                  <c:v>17318.525000000001</c:v>
                </c:pt>
                <c:pt idx="86">
                  <c:v>17275.415000000001</c:v>
                </c:pt>
                <c:pt idx="87">
                  <c:v>17253.237500000003</c:v>
                </c:pt>
                <c:pt idx="88">
                  <c:v>17225.940000000002</c:v>
                </c:pt>
                <c:pt idx="89">
                  <c:v>17177.395000000004</c:v>
                </c:pt>
                <c:pt idx="90">
                  <c:v>17113.297500000004</c:v>
                </c:pt>
                <c:pt idx="91">
                  <c:v>17047.555</c:v>
                </c:pt>
                <c:pt idx="92">
                  <c:v>16964.897499999999</c:v>
                </c:pt>
                <c:pt idx="93">
                  <c:v>16904.89</c:v>
                </c:pt>
                <c:pt idx="94">
                  <c:v>16858.82</c:v>
                </c:pt>
                <c:pt idx="95">
                  <c:v>16815.375000000004</c:v>
                </c:pt>
                <c:pt idx="96">
                  <c:v>16766.605000000003</c:v>
                </c:pt>
                <c:pt idx="97">
                  <c:v>16741.432500000003</c:v>
                </c:pt>
                <c:pt idx="98">
                  <c:v>16732.442500000001</c:v>
                </c:pt>
                <c:pt idx="99">
                  <c:v>16713.587500000001</c:v>
                </c:pt>
                <c:pt idx="100">
                  <c:v>16711.829999999998</c:v>
                </c:pt>
                <c:pt idx="101">
                  <c:v>16702.48</c:v>
                </c:pt>
                <c:pt idx="102">
                  <c:v>16704.439999999999</c:v>
                </c:pt>
                <c:pt idx="103">
                  <c:v>16706.39</c:v>
                </c:pt>
                <c:pt idx="104">
                  <c:v>16712.917500000003</c:v>
                </c:pt>
                <c:pt idx="105">
                  <c:v>16717.405000000002</c:v>
                </c:pt>
                <c:pt idx="106">
                  <c:v>16766.107500000002</c:v>
                </c:pt>
                <c:pt idx="107">
                  <c:v>16799.452499999999</c:v>
                </c:pt>
                <c:pt idx="108">
                  <c:v>16834.669999999998</c:v>
                </c:pt>
                <c:pt idx="109">
                  <c:v>16877.61</c:v>
                </c:pt>
                <c:pt idx="110">
                  <c:v>16936.23</c:v>
                </c:pt>
                <c:pt idx="111">
                  <c:v>17026.6325</c:v>
                </c:pt>
                <c:pt idx="112">
                  <c:v>17131.345000000005</c:v>
                </c:pt>
                <c:pt idx="113">
                  <c:v>17221.055</c:v>
                </c:pt>
                <c:pt idx="114">
                  <c:v>17285.765000000003</c:v>
                </c:pt>
                <c:pt idx="115">
                  <c:v>17345.237499999999</c:v>
                </c:pt>
                <c:pt idx="116">
                  <c:v>17397.462500000001</c:v>
                </c:pt>
                <c:pt idx="117">
                  <c:v>17430.412499999999</c:v>
                </c:pt>
                <c:pt idx="118">
                  <c:v>17471.044999999998</c:v>
                </c:pt>
                <c:pt idx="119">
                  <c:v>17480.96</c:v>
                </c:pt>
                <c:pt idx="120">
                  <c:v>17464.54</c:v>
                </c:pt>
                <c:pt idx="121">
                  <c:v>17465.487500000003</c:v>
                </c:pt>
                <c:pt idx="122">
                  <c:v>17469.342500000002</c:v>
                </c:pt>
                <c:pt idx="123">
                  <c:v>17465.657500000001</c:v>
                </c:pt>
                <c:pt idx="124">
                  <c:v>17452.217499999999</c:v>
                </c:pt>
                <c:pt idx="125">
                  <c:v>17454.607499999998</c:v>
                </c:pt>
                <c:pt idx="126">
                  <c:v>17445.427499999998</c:v>
                </c:pt>
                <c:pt idx="127">
                  <c:v>17441.415000000001</c:v>
                </c:pt>
                <c:pt idx="128">
                  <c:v>17421.629999999997</c:v>
                </c:pt>
                <c:pt idx="129">
                  <c:v>17401.847499999996</c:v>
                </c:pt>
                <c:pt idx="130">
                  <c:v>17352.204999999994</c:v>
                </c:pt>
                <c:pt idx="131">
                  <c:v>17283.6675</c:v>
                </c:pt>
                <c:pt idx="132">
                  <c:v>17206.359999999997</c:v>
                </c:pt>
                <c:pt idx="133">
                  <c:v>17131.069999999996</c:v>
                </c:pt>
                <c:pt idx="134">
                  <c:v>17061.094999999998</c:v>
                </c:pt>
                <c:pt idx="135">
                  <c:v>16980.232499999998</c:v>
                </c:pt>
                <c:pt idx="136">
                  <c:v>16886.884999999995</c:v>
                </c:pt>
                <c:pt idx="137">
                  <c:v>16799.477499999997</c:v>
                </c:pt>
                <c:pt idx="138">
                  <c:v>16717.810000000001</c:v>
                </c:pt>
                <c:pt idx="139">
                  <c:v>16672.092499999999</c:v>
                </c:pt>
                <c:pt idx="140">
                  <c:v>16636.174999999999</c:v>
                </c:pt>
                <c:pt idx="141">
                  <c:v>16569.817500000001</c:v>
                </c:pt>
                <c:pt idx="142">
                  <c:v>16513.495000000003</c:v>
                </c:pt>
                <c:pt idx="143">
                  <c:v>16465.6325</c:v>
                </c:pt>
                <c:pt idx="144">
                  <c:v>16424.192500000001</c:v>
                </c:pt>
                <c:pt idx="145">
                  <c:v>16365.442500000001</c:v>
                </c:pt>
                <c:pt idx="146">
                  <c:v>16322.029999999999</c:v>
                </c:pt>
                <c:pt idx="147">
                  <c:v>16277.4</c:v>
                </c:pt>
                <c:pt idx="148">
                  <c:v>16255.342500000002</c:v>
                </c:pt>
                <c:pt idx="149">
                  <c:v>16231.115</c:v>
                </c:pt>
                <c:pt idx="150">
                  <c:v>16223.372499999998</c:v>
                </c:pt>
                <c:pt idx="151">
                  <c:v>16220.64</c:v>
                </c:pt>
                <c:pt idx="152">
                  <c:v>16229.2925</c:v>
                </c:pt>
                <c:pt idx="153">
                  <c:v>16242.677499999996</c:v>
                </c:pt>
                <c:pt idx="154">
                  <c:v>16251.492499999997</c:v>
                </c:pt>
                <c:pt idx="155">
                  <c:v>16260.949999999997</c:v>
                </c:pt>
                <c:pt idx="156">
                  <c:v>16294.454999999996</c:v>
                </c:pt>
                <c:pt idx="157">
                  <c:v>16315.437499999996</c:v>
                </c:pt>
                <c:pt idx="158">
                  <c:v>16312.042499999996</c:v>
                </c:pt>
                <c:pt idx="159">
                  <c:v>16285.682499999999</c:v>
                </c:pt>
                <c:pt idx="160">
                  <c:v>16258.275</c:v>
                </c:pt>
                <c:pt idx="161">
                  <c:v>16235.834999999997</c:v>
                </c:pt>
                <c:pt idx="162">
                  <c:v>16187.202499999999</c:v>
                </c:pt>
                <c:pt idx="163">
                  <c:v>16143.975</c:v>
                </c:pt>
                <c:pt idx="164">
                  <c:v>16119.657499999998</c:v>
                </c:pt>
                <c:pt idx="165">
                  <c:v>16089.032500000001</c:v>
                </c:pt>
                <c:pt idx="166">
                  <c:v>16058.357500000002</c:v>
                </c:pt>
                <c:pt idx="167">
                  <c:v>16025.6975</c:v>
                </c:pt>
                <c:pt idx="168">
                  <c:v>15984.23</c:v>
                </c:pt>
                <c:pt idx="169">
                  <c:v>15947.512500000001</c:v>
                </c:pt>
                <c:pt idx="170">
                  <c:v>15911.329999999998</c:v>
                </c:pt>
                <c:pt idx="171">
                  <c:v>15868.942499999999</c:v>
                </c:pt>
                <c:pt idx="172">
                  <c:v>15827.329999999996</c:v>
                </c:pt>
                <c:pt idx="173">
                  <c:v>15790.619999999995</c:v>
                </c:pt>
                <c:pt idx="174">
                  <c:v>15760.344999999996</c:v>
                </c:pt>
                <c:pt idx="175">
                  <c:v>15742.022499999995</c:v>
                </c:pt>
                <c:pt idx="176">
                  <c:v>15724.762499999997</c:v>
                </c:pt>
                <c:pt idx="177">
                  <c:v>15725.702499999999</c:v>
                </c:pt>
                <c:pt idx="178">
                  <c:v>15747.782500000001</c:v>
                </c:pt>
                <c:pt idx="179">
                  <c:v>15764.092499999999</c:v>
                </c:pt>
                <c:pt idx="180">
                  <c:v>15777.817499999999</c:v>
                </c:pt>
                <c:pt idx="181">
                  <c:v>15806.720000000001</c:v>
                </c:pt>
                <c:pt idx="182">
                  <c:v>15844.505000000001</c:v>
                </c:pt>
                <c:pt idx="183">
                  <c:v>15890.922500000001</c:v>
                </c:pt>
                <c:pt idx="184">
                  <c:v>15926.01</c:v>
                </c:pt>
                <c:pt idx="185">
                  <c:v>15981.387499999997</c:v>
                </c:pt>
                <c:pt idx="186">
                  <c:v>16033.817499999999</c:v>
                </c:pt>
                <c:pt idx="187">
                  <c:v>16084.827499999999</c:v>
                </c:pt>
                <c:pt idx="188">
                  <c:v>16124.775</c:v>
                </c:pt>
                <c:pt idx="189">
                  <c:v>16156.457499999999</c:v>
                </c:pt>
                <c:pt idx="190">
                  <c:v>16198.592499999999</c:v>
                </c:pt>
                <c:pt idx="191">
                  <c:v>16256.059999999998</c:v>
                </c:pt>
                <c:pt idx="192">
                  <c:v>16326.369999999999</c:v>
                </c:pt>
                <c:pt idx="193">
                  <c:v>16401.605</c:v>
                </c:pt>
                <c:pt idx="194">
                  <c:v>16478.334999999999</c:v>
                </c:pt>
                <c:pt idx="195">
                  <c:v>16548.252500000002</c:v>
                </c:pt>
                <c:pt idx="196">
                  <c:v>16610.7075</c:v>
                </c:pt>
                <c:pt idx="197">
                  <c:v>16669.552500000002</c:v>
                </c:pt>
                <c:pt idx="198">
                  <c:v>16735.0075</c:v>
                </c:pt>
                <c:pt idx="199">
                  <c:v>16808.829999999998</c:v>
                </c:pt>
                <c:pt idx="200">
                  <c:v>16893.447499999998</c:v>
                </c:pt>
                <c:pt idx="201">
                  <c:v>16981.422499999997</c:v>
                </c:pt>
                <c:pt idx="202">
                  <c:v>17070.224999999999</c:v>
                </c:pt>
                <c:pt idx="203">
                  <c:v>17153.512500000001</c:v>
                </c:pt>
                <c:pt idx="204">
                  <c:v>17234.310000000001</c:v>
                </c:pt>
                <c:pt idx="205">
                  <c:v>17296.189999999999</c:v>
                </c:pt>
                <c:pt idx="206">
                  <c:v>17340.462500000001</c:v>
                </c:pt>
                <c:pt idx="207">
                  <c:v>17383.365000000002</c:v>
                </c:pt>
                <c:pt idx="208">
                  <c:v>17432.062500000004</c:v>
                </c:pt>
                <c:pt idx="209">
                  <c:v>17483.9925</c:v>
                </c:pt>
                <c:pt idx="210">
                  <c:v>17529.847500000003</c:v>
                </c:pt>
                <c:pt idx="211">
                  <c:v>17549.012500000004</c:v>
                </c:pt>
                <c:pt idx="212">
                  <c:v>17579.065000000006</c:v>
                </c:pt>
                <c:pt idx="213">
                  <c:v>17589.202500000003</c:v>
                </c:pt>
                <c:pt idx="214">
                  <c:v>17598.902500000004</c:v>
                </c:pt>
                <c:pt idx="215">
                  <c:v>17612.785000000003</c:v>
                </c:pt>
                <c:pt idx="216">
                  <c:v>17626.465</c:v>
                </c:pt>
                <c:pt idx="217">
                  <c:v>17637.810000000001</c:v>
                </c:pt>
                <c:pt idx="218">
                  <c:v>17651.4925</c:v>
                </c:pt>
                <c:pt idx="219">
                  <c:v>17666.422499999997</c:v>
                </c:pt>
                <c:pt idx="220">
                  <c:v>17680.289999999997</c:v>
                </c:pt>
                <c:pt idx="221">
                  <c:v>17698.884999999995</c:v>
                </c:pt>
                <c:pt idx="222">
                  <c:v>17707.809999999994</c:v>
                </c:pt>
                <c:pt idx="223">
                  <c:v>17704.467499999995</c:v>
                </c:pt>
                <c:pt idx="224">
                  <c:v>17683.184999999998</c:v>
                </c:pt>
                <c:pt idx="225">
                  <c:v>17676.375</c:v>
                </c:pt>
                <c:pt idx="226">
                  <c:v>17692.6525</c:v>
                </c:pt>
                <c:pt idx="227">
                  <c:v>17699.695</c:v>
                </c:pt>
                <c:pt idx="228">
                  <c:v>17700.937499999996</c:v>
                </c:pt>
                <c:pt idx="229">
                  <c:v>17691.182499999995</c:v>
                </c:pt>
                <c:pt idx="230">
                  <c:v>17664.052499999998</c:v>
                </c:pt>
                <c:pt idx="231">
                  <c:v>17648.777499999997</c:v>
                </c:pt>
                <c:pt idx="232">
                  <c:v>17603.742499999997</c:v>
                </c:pt>
                <c:pt idx="233">
                  <c:v>17567.5075</c:v>
                </c:pt>
                <c:pt idx="234">
                  <c:v>17545.252499999995</c:v>
                </c:pt>
                <c:pt idx="235">
                  <c:v>17506.329999999998</c:v>
                </c:pt>
                <c:pt idx="236">
                  <c:v>17487.264999999996</c:v>
                </c:pt>
                <c:pt idx="237">
                  <c:v>17472.634999999995</c:v>
                </c:pt>
                <c:pt idx="238">
                  <c:v>17448.429999999997</c:v>
                </c:pt>
                <c:pt idx="239">
                  <c:v>17418.812499999996</c:v>
                </c:pt>
                <c:pt idx="240">
                  <c:v>17371.172500000001</c:v>
                </c:pt>
                <c:pt idx="241">
                  <c:v>17323.849999999999</c:v>
                </c:pt>
                <c:pt idx="242">
                  <c:v>17274.379999999997</c:v>
                </c:pt>
                <c:pt idx="243">
                  <c:v>17239.794999999998</c:v>
                </c:pt>
                <c:pt idx="244">
                  <c:v>17228.842499999999</c:v>
                </c:pt>
                <c:pt idx="245">
                  <c:v>17222.077499999999</c:v>
                </c:pt>
                <c:pt idx="246">
                  <c:v>17206.877499999999</c:v>
                </c:pt>
                <c:pt idx="247">
                  <c:v>17199.157500000001</c:v>
                </c:pt>
                <c:pt idx="248">
                  <c:v>17196.482500000002</c:v>
                </c:pt>
                <c:pt idx="249">
                  <c:v>17216.6525</c:v>
                </c:pt>
                <c:pt idx="250">
                  <c:v>17248.654999999999</c:v>
                </c:pt>
                <c:pt idx="251">
                  <c:v>17285.1325</c:v>
                </c:pt>
                <c:pt idx="252">
                  <c:v>17331.5425</c:v>
                </c:pt>
                <c:pt idx="253">
                  <c:v>17391.247500000001</c:v>
                </c:pt>
                <c:pt idx="254">
                  <c:v>17443.800000000003</c:v>
                </c:pt>
                <c:pt idx="255">
                  <c:v>17503.575000000001</c:v>
                </c:pt>
                <c:pt idx="256">
                  <c:v>17542.495000000003</c:v>
                </c:pt>
                <c:pt idx="257">
                  <c:v>17581.762500000004</c:v>
                </c:pt>
                <c:pt idx="258">
                  <c:v>17626.170000000002</c:v>
                </c:pt>
                <c:pt idx="259">
                  <c:v>17671.97</c:v>
                </c:pt>
                <c:pt idx="260">
                  <c:v>17724.202500000003</c:v>
                </c:pt>
                <c:pt idx="261">
                  <c:v>17785.5075</c:v>
                </c:pt>
                <c:pt idx="262">
                  <c:v>17851.247500000005</c:v>
                </c:pt>
                <c:pt idx="263">
                  <c:v>17912.132500000003</c:v>
                </c:pt>
                <c:pt idx="264">
                  <c:v>17967.025000000005</c:v>
                </c:pt>
                <c:pt idx="265">
                  <c:v>18009.872500000005</c:v>
                </c:pt>
                <c:pt idx="266">
                  <c:v>18049.642500000009</c:v>
                </c:pt>
                <c:pt idx="267">
                  <c:v>18079.442500000008</c:v>
                </c:pt>
                <c:pt idx="268">
                  <c:v>18112.837500000005</c:v>
                </c:pt>
                <c:pt idx="269">
                  <c:v>18139.662500000006</c:v>
                </c:pt>
                <c:pt idx="270">
                  <c:v>18181.050000000003</c:v>
                </c:pt>
                <c:pt idx="271">
                  <c:v>18219.840000000004</c:v>
                </c:pt>
                <c:pt idx="272">
                  <c:v>18258.637500000001</c:v>
                </c:pt>
                <c:pt idx="273">
                  <c:v>18288.93</c:v>
                </c:pt>
                <c:pt idx="274">
                  <c:v>18319.577499999996</c:v>
                </c:pt>
                <c:pt idx="275">
                  <c:v>18356.059999999998</c:v>
                </c:pt>
                <c:pt idx="276">
                  <c:v>18388.229999999996</c:v>
                </c:pt>
                <c:pt idx="277">
                  <c:v>18417.424999999996</c:v>
                </c:pt>
                <c:pt idx="278">
                  <c:v>18439.422499999997</c:v>
                </c:pt>
                <c:pt idx="279">
                  <c:v>18459.597499999996</c:v>
                </c:pt>
                <c:pt idx="280">
                  <c:v>18488.654999999995</c:v>
                </c:pt>
                <c:pt idx="281">
                  <c:v>18495.999999999996</c:v>
                </c:pt>
                <c:pt idx="282">
                  <c:v>18504.400000000001</c:v>
                </c:pt>
                <c:pt idx="283">
                  <c:v>18514.629999999997</c:v>
                </c:pt>
                <c:pt idx="284">
                  <c:v>18527.162499999999</c:v>
                </c:pt>
                <c:pt idx="285">
                  <c:v>18530.712500000001</c:v>
                </c:pt>
                <c:pt idx="286">
                  <c:v>18528.780000000002</c:v>
                </c:pt>
                <c:pt idx="287">
                  <c:v>18541.805</c:v>
                </c:pt>
                <c:pt idx="288">
                  <c:v>18548.86</c:v>
                </c:pt>
                <c:pt idx="289">
                  <c:v>18545.452499999999</c:v>
                </c:pt>
                <c:pt idx="290">
                  <c:v>18527.614999999998</c:v>
                </c:pt>
                <c:pt idx="291">
                  <c:v>18492.317499999997</c:v>
                </c:pt>
                <c:pt idx="292">
                  <c:v>18464.909999999996</c:v>
                </c:pt>
                <c:pt idx="293">
                  <c:v>18440.622499999994</c:v>
                </c:pt>
                <c:pt idx="294">
                  <c:v>18408.829999999994</c:v>
                </c:pt>
                <c:pt idx="295">
                  <c:v>18377.754999999997</c:v>
                </c:pt>
                <c:pt idx="296">
                  <c:v>18348.214999999997</c:v>
                </c:pt>
                <c:pt idx="297">
                  <c:v>18323.035</c:v>
                </c:pt>
                <c:pt idx="298">
                  <c:v>18302.525000000001</c:v>
                </c:pt>
                <c:pt idx="299">
                  <c:v>18276.647499999999</c:v>
                </c:pt>
                <c:pt idx="300">
                  <c:v>18245.787499999999</c:v>
                </c:pt>
                <c:pt idx="301">
                  <c:v>18213.93</c:v>
                </c:pt>
                <c:pt idx="302">
                  <c:v>18194.1325</c:v>
                </c:pt>
                <c:pt idx="303">
                  <c:v>18159.440000000002</c:v>
                </c:pt>
                <c:pt idx="304">
                  <c:v>18121.210000000003</c:v>
                </c:pt>
                <c:pt idx="305">
                  <c:v>18093.375000000004</c:v>
                </c:pt>
                <c:pt idx="306">
                  <c:v>18077.755000000001</c:v>
                </c:pt>
                <c:pt idx="307">
                  <c:v>18051.474999999999</c:v>
                </c:pt>
                <c:pt idx="308">
                  <c:v>18034.875</c:v>
                </c:pt>
                <c:pt idx="309">
                  <c:v>18033.187499999996</c:v>
                </c:pt>
                <c:pt idx="310">
                  <c:v>18032.212499999998</c:v>
                </c:pt>
                <c:pt idx="311">
                  <c:v>18043.254999999997</c:v>
                </c:pt>
                <c:pt idx="312">
                  <c:v>18048.452499999999</c:v>
                </c:pt>
                <c:pt idx="313">
                  <c:v>18047.752499999999</c:v>
                </c:pt>
                <c:pt idx="314">
                  <c:v>18036.224999999999</c:v>
                </c:pt>
                <c:pt idx="315">
                  <c:v>18006.892499999998</c:v>
                </c:pt>
                <c:pt idx="316">
                  <c:v>17984.075000000001</c:v>
                </c:pt>
                <c:pt idx="317">
                  <c:v>17957.310000000001</c:v>
                </c:pt>
                <c:pt idx="318">
                  <c:v>17926.497500000001</c:v>
                </c:pt>
                <c:pt idx="319">
                  <c:v>17904.870000000003</c:v>
                </c:pt>
                <c:pt idx="320">
                  <c:v>17897.965</c:v>
                </c:pt>
                <c:pt idx="321">
                  <c:v>17893.2225</c:v>
                </c:pt>
                <c:pt idx="322">
                  <c:v>17874.237499999999</c:v>
                </c:pt>
                <c:pt idx="323">
                  <c:v>17872.114999999998</c:v>
                </c:pt>
                <c:pt idx="324">
                  <c:v>17872.002499999999</c:v>
                </c:pt>
                <c:pt idx="325">
                  <c:v>17871.917500000003</c:v>
                </c:pt>
                <c:pt idx="326">
                  <c:v>17862.6325</c:v>
                </c:pt>
                <c:pt idx="327">
                  <c:v>17864.3825</c:v>
                </c:pt>
                <c:pt idx="328">
                  <c:v>17862.509999999998</c:v>
                </c:pt>
                <c:pt idx="329">
                  <c:v>17856.034999999996</c:v>
                </c:pt>
                <c:pt idx="330">
                  <c:v>17847.852500000001</c:v>
                </c:pt>
                <c:pt idx="331">
                  <c:v>17838.699999999997</c:v>
                </c:pt>
                <c:pt idx="332">
                  <c:v>17824.107499999998</c:v>
                </c:pt>
                <c:pt idx="333">
                  <c:v>17795.907499999998</c:v>
                </c:pt>
                <c:pt idx="334">
                  <c:v>17776.872500000001</c:v>
                </c:pt>
                <c:pt idx="335">
                  <c:v>17769.945</c:v>
                </c:pt>
                <c:pt idx="336">
                  <c:v>17757.1325</c:v>
                </c:pt>
                <c:pt idx="337">
                  <c:v>17739.2225</c:v>
                </c:pt>
                <c:pt idx="338">
                  <c:v>17730.952500000003</c:v>
                </c:pt>
                <c:pt idx="339">
                  <c:v>17716.527500000004</c:v>
                </c:pt>
                <c:pt idx="340">
                  <c:v>17703.542500000003</c:v>
                </c:pt>
                <c:pt idx="341">
                  <c:v>17700.885000000002</c:v>
                </c:pt>
                <c:pt idx="342">
                  <c:v>17702.530000000006</c:v>
                </c:pt>
                <c:pt idx="343">
                  <c:v>17688.424999999999</c:v>
                </c:pt>
                <c:pt idx="344">
                  <c:v>17664.397499999999</c:v>
                </c:pt>
                <c:pt idx="345">
                  <c:v>17629.287499999999</c:v>
                </c:pt>
                <c:pt idx="346">
                  <c:v>17592.907500000001</c:v>
                </c:pt>
                <c:pt idx="347">
                  <c:v>17545.022499999999</c:v>
                </c:pt>
                <c:pt idx="348">
                  <c:v>17493.510000000002</c:v>
                </c:pt>
                <c:pt idx="349">
                  <c:v>17446.719999999998</c:v>
                </c:pt>
                <c:pt idx="350">
                  <c:v>17398.93</c:v>
                </c:pt>
                <c:pt idx="351">
                  <c:v>17362.075000000001</c:v>
                </c:pt>
                <c:pt idx="352">
                  <c:v>17328.334999999999</c:v>
                </c:pt>
                <c:pt idx="353">
                  <c:v>17304.465000000004</c:v>
                </c:pt>
                <c:pt idx="354">
                  <c:v>17276.155000000002</c:v>
                </c:pt>
                <c:pt idx="355">
                  <c:v>17252.150000000001</c:v>
                </c:pt>
                <c:pt idx="356">
                  <c:v>17230.099999999999</c:v>
                </c:pt>
                <c:pt idx="357">
                  <c:v>17218.9375</c:v>
                </c:pt>
                <c:pt idx="358">
                  <c:v>17214.38</c:v>
                </c:pt>
                <c:pt idx="359">
                  <c:v>17218.1875</c:v>
                </c:pt>
                <c:pt idx="360">
                  <c:v>17216.322499999998</c:v>
                </c:pt>
                <c:pt idx="361">
                  <c:v>17210.707499999997</c:v>
                </c:pt>
                <c:pt idx="362">
                  <c:v>17204.189999999999</c:v>
                </c:pt>
                <c:pt idx="363">
                  <c:v>17210.825000000001</c:v>
                </c:pt>
                <c:pt idx="364">
                  <c:v>17230.800000000003</c:v>
                </c:pt>
                <c:pt idx="365">
                  <c:v>17264.485000000001</c:v>
                </c:pt>
                <c:pt idx="366">
                  <c:v>17297.662499999999</c:v>
                </c:pt>
                <c:pt idx="367">
                  <c:v>17332.0625</c:v>
                </c:pt>
                <c:pt idx="368">
                  <c:v>17363.719999999998</c:v>
                </c:pt>
                <c:pt idx="369">
                  <c:v>17389.939999999999</c:v>
                </c:pt>
                <c:pt idx="370">
                  <c:v>17421.722499999996</c:v>
                </c:pt>
                <c:pt idx="371">
                  <c:v>17453.517499999998</c:v>
                </c:pt>
                <c:pt idx="372">
                  <c:v>17484.384999999998</c:v>
                </c:pt>
                <c:pt idx="373">
                  <c:v>17521.219999999998</c:v>
                </c:pt>
                <c:pt idx="374">
                  <c:v>17569.719999999998</c:v>
                </c:pt>
                <c:pt idx="375">
                  <c:v>17623.685000000001</c:v>
                </c:pt>
                <c:pt idx="376">
                  <c:v>17683.482500000002</c:v>
                </c:pt>
                <c:pt idx="377">
                  <c:v>17733.939999999999</c:v>
                </c:pt>
                <c:pt idx="378">
                  <c:v>17778.7425</c:v>
                </c:pt>
                <c:pt idx="379">
                  <c:v>17812.29</c:v>
                </c:pt>
                <c:pt idx="380">
                  <c:v>17847.657499999998</c:v>
                </c:pt>
                <c:pt idx="381">
                  <c:v>17880.997500000001</c:v>
                </c:pt>
                <c:pt idx="382">
                  <c:v>17915.549999999996</c:v>
                </c:pt>
                <c:pt idx="383">
                  <c:v>17944.285</c:v>
                </c:pt>
                <c:pt idx="384">
                  <c:v>17969.404999999999</c:v>
                </c:pt>
                <c:pt idx="385">
                  <c:v>17997.947499999998</c:v>
                </c:pt>
                <c:pt idx="386">
                  <c:v>18026.929999999997</c:v>
                </c:pt>
                <c:pt idx="387">
                  <c:v>18053.009999999998</c:v>
                </c:pt>
                <c:pt idx="388">
                  <c:v>18078.57</c:v>
                </c:pt>
                <c:pt idx="389">
                  <c:v>18107.517500000002</c:v>
                </c:pt>
                <c:pt idx="390">
                  <c:v>18142.035000000003</c:v>
                </c:pt>
                <c:pt idx="391">
                  <c:v>18172.265000000007</c:v>
                </c:pt>
                <c:pt idx="392">
                  <c:v>18198.072500000006</c:v>
                </c:pt>
                <c:pt idx="393">
                  <c:v>18223.450000000004</c:v>
                </c:pt>
                <c:pt idx="394">
                  <c:v>18252.665000000001</c:v>
                </c:pt>
                <c:pt idx="395">
                  <c:v>18279.347500000003</c:v>
                </c:pt>
                <c:pt idx="396">
                  <c:v>18303.657500000001</c:v>
                </c:pt>
                <c:pt idx="397">
                  <c:v>18325.885000000002</c:v>
                </c:pt>
                <c:pt idx="398">
                  <c:v>18337.482500000002</c:v>
                </c:pt>
                <c:pt idx="399">
                  <c:v>18360.737499999999</c:v>
                </c:pt>
                <c:pt idx="400">
                  <c:v>18377.21</c:v>
                </c:pt>
                <c:pt idx="401">
                  <c:v>18393.862499999996</c:v>
                </c:pt>
                <c:pt idx="402">
                  <c:v>18414.427499999998</c:v>
                </c:pt>
                <c:pt idx="403">
                  <c:v>18431.304999999997</c:v>
                </c:pt>
                <c:pt idx="404">
                  <c:v>18443.735000000001</c:v>
                </c:pt>
                <c:pt idx="405">
                  <c:v>18453.8675</c:v>
                </c:pt>
                <c:pt idx="406">
                  <c:v>18475.350000000002</c:v>
                </c:pt>
                <c:pt idx="407">
                  <c:v>18504.057500000003</c:v>
                </c:pt>
                <c:pt idx="408">
                  <c:v>18531.965000000004</c:v>
                </c:pt>
                <c:pt idx="409">
                  <c:v>18563.095000000001</c:v>
                </c:pt>
                <c:pt idx="410">
                  <c:v>18585.147499999999</c:v>
                </c:pt>
                <c:pt idx="411">
                  <c:v>18608.5825</c:v>
                </c:pt>
                <c:pt idx="412">
                  <c:v>18637.154999999999</c:v>
                </c:pt>
                <c:pt idx="413">
                  <c:v>18659.659999999996</c:v>
                </c:pt>
                <c:pt idx="414">
                  <c:v>18667.967499999999</c:v>
                </c:pt>
                <c:pt idx="415">
                  <c:v>18672.594999999998</c:v>
                </c:pt>
                <c:pt idx="416">
                  <c:v>18681.772499999999</c:v>
                </c:pt>
                <c:pt idx="417">
                  <c:v>18703.657500000001</c:v>
                </c:pt>
                <c:pt idx="418">
                  <c:v>18738.722500000003</c:v>
                </c:pt>
                <c:pt idx="419">
                  <c:v>18778.145</c:v>
                </c:pt>
                <c:pt idx="420">
                  <c:v>18817.9025</c:v>
                </c:pt>
                <c:pt idx="421">
                  <c:v>18857.877499999999</c:v>
                </c:pt>
                <c:pt idx="422">
                  <c:v>18896.422500000001</c:v>
                </c:pt>
                <c:pt idx="423">
                  <c:v>18931.284999999996</c:v>
                </c:pt>
                <c:pt idx="424">
                  <c:v>18970.91</c:v>
                </c:pt>
                <c:pt idx="425">
                  <c:v>19012.805</c:v>
                </c:pt>
                <c:pt idx="426">
                  <c:v>19046.212500000001</c:v>
                </c:pt>
                <c:pt idx="427">
                  <c:v>19079.105000000003</c:v>
                </c:pt>
                <c:pt idx="428">
                  <c:v>19122.924999999999</c:v>
                </c:pt>
                <c:pt idx="429">
                  <c:v>19167.197500000002</c:v>
                </c:pt>
                <c:pt idx="430">
                  <c:v>19216.887500000001</c:v>
                </c:pt>
                <c:pt idx="431">
                  <c:v>19267.71</c:v>
                </c:pt>
                <c:pt idx="432">
                  <c:v>19323.825000000004</c:v>
                </c:pt>
                <c:pt idx="433">
                  <c:v>19372.512500000001</c:v>
                </c:pt>
                <c:pt idx="434">
                  <c:v>19422.855</c:v>
                </c:pt>
                <c:pt idx="435">
                  <c:v>19472.324999999997</c:v>
                </c:pt>
                <c:pt idx="436">
                  <c:v>19520.37</c:v>
                </c:pt>
                <c:pt idx="437">
                  <c:v>19554.760000000002</c:v>
                </c:pt>
                <c:pt idx="438">
                  <c:v>19577.609999999997</c:v>
                </c:pt>
                <c:pt idx="439">
                  <c:v>19599.172499999993</c:v>
                </c:pt>
                <c:pt idx="440">
                  <c:v>19616.399999999998</c:v>
                </c:pt>
                <c:pt idx="441">
                  <c:v>19622.802499999998</c:v>
                </c:pt>
                <c:pt idx="442">
                  <c:v>19617.02</c:v>
                </c:pt>
                <c:pt idx="443">
                  <c:v>19626.28</c:v>
                </c:pt>
                <c:pt idx="444">
                  <c:v>19638.349999999999</c:v>
                </c:pt>
                <c:pt idx="445">
                  <c:v>19644.922499999997</c:v>
                </c:pt>
                <c:pt idx="446">
                  <c:v>19657.334999999999</c:v>
                </c:pt>
                <c:pt idx="447">
                  <c:v>19663.802499999998</c:v>
                </c:pt>
                <c:pt idx="448">
                  <c:v>19656.992499999993</c:v>
                </c:pt>
                <c:pt idx="449">
                  <c:v>19643.147499999992</c:v>
                </c:pt>
                <c:pt idx="450">
                  <c:v>19628.934999999994</c:v>
                </c:pt>
                <c:pt idx="451">
                  <c:v>19605.539999999994</c:v>
                </c:pt>
                <c:pt idx="452">
                  <c:v>19572.089999999997</c:v>
                </c:pt>
                <c:pt idx="453">
                  <c:v>19554.519999999997</c:v>
                </c:pt>
                <c:pt idx="454">
                  <c:v>19540.724999999999</c:v>
                </c:pt>
                <c:pt idx="455">
                  <c:v>19528.895</c:v>
                </c:pt>
                <c:pt idx="456">
                  <c:v>19509.314999999999</c:v>
                </c:pt>
                <c:pt idx="457">
                  <c:v>19489.61</c:v>
                </c:pt>
                <c:pt idx="458">
                  <c:v>19472.609999999997</c:v>
                </c:pt>
                <c:pt idx="459">
                  <c:v>19452.052499999998</c:v>
                </c:pt>
                <c:pt idx="460">
                  <c:v>19432.747500000001</c:v>
                </c:pt>
                <c:pt idx="461">
                  <c:v>19419.11</c:v>
                </c:pt>
                <c:pt idx="462">
                  <c:v>19421.7925</c:v>
                </c:pt>
                <c:pt idx="463">
                  <c:v>19422.3825</c:v>
                </c:pt>
                <c:pt idx="464">
                  <c:v>19421.262500000001</c:v>
                </c:pt>
                <c:pt idx="465">
                  <c:v>19423.272499999999</c:v>
                </c:pt>
                <c:pt idx="466">
                  <c:v>19427.997499999998</c:v>
                </c:pt>
                <c:pt idx="467">
                  <c:v>19441.84</c:v>
                </c:pt>
                <c:pt idx="468">
                  <c:v>19470.2425</c:v>
                </c:pt>
                <c:pt idx="469">
                  <c:v>19498.174999999996</c:v>
                </c:pt>
                <c:pt idx="470">
                  <c:v>19528.424999999996</c:v>
                </c:pt>
                <c:pt idx="471">
                  <c:v>19565.317499999997</c:v>
                </c:pt>
                <c:pt idx="472">
                  <c:v>19609.427499999998</c:v>
                </c:pt>
                <c:pt idx="473">
                  <c:v>19646.412499999995</c:v>
                </c:pt>
                <c:pt idx="474">
                  <c:v>19671.659999999996</c:v>
                </c:pt>
                <c:pt idx="475">
                  <c:v>19686.577499999996</c:v>
                </c:pt>
                <c:pt idx="476">
                  <c:v>19700.954999999994</c:v>
                </c:pt>
                <c:pt idx="477">
                  <c:v>19721.392499999998</c:v>
                </c:pt>
                <c:pt idx="478">
                  <c:v>19739.325000000001</c:v>
                </c:pt>
                <c:pt idx="479">
                  <c:v>19758.015000000003</c:v>
                </c:pt>
                <c:pt idx="480">
                  <c:v>19766.82</c:v>
                </c:pt>
                <c:pt idx="481">
                  <c:v>19786.044999999998</c:v>
                </c:pt>
                <c:pt idx="482">
                  <c:v>19790.717500000002</c:v>
                </c:pt>
                <c:pt idx="483">
                  <c:v>19786.082499999997</c:v>
                </c:pt>
                <c:pt idx="484">
                  <c:v>19784.624999999996</c:v>
                </c:pt>
                <c:pt idx="485">
                  <c:v>19786.747499999998</c:v>
                </c:pt>
                <c:pt idx="486">
                  <c:v>19776.012499999997</c:v>
                </c:pt>
                <c:pt idx="487">
                  <c:v>19769.5075</c:v>
                </c:pt>
                <c:pt idx="488">
                  <c:v>19760.257499999996</c:v>
                </c:pt>
                <c:pt idx="489">
                  <c:v>19750.297499999993</c:v>
                </c:pt>
                <c:pt idx="490">
                  <c:v>19734.349999999999</c:v>
                </c:pt>
                <c:pt idx="491">
                  <c:v>19715.782499999994</c:v>
                </c:pt>
                <c:pt idx="492">
                  <c:v>19696.739999999998</c:v>
                </c:pt>
                <c:pt idx="493">
                  <c:v>19673.629999999997</c:v>
                </c:pt>
                <c:pt idx="494">
                  <c:v>19659.794999999998</c:v>
                </c:pt>
                <c:pt idx="495">
                  <c:v>19649.810000000001</c:v>
                </c:pt>
                <c:pt idx="496">
                  <c:v>19630.185000000001</c:v>
                </c:pt>
                <c:pt idx="497">
                  <c:v>19602.565000000002</c:v>
                </c:pt>
                <c:pt idx="498">
                  <c:v>19562.192500000001</c:v>
                </c:pt>
                <c:pt idx="499">
                  <c:v>19528.732500000002</c:v>
                </c:pt>
                <c:pt idx="500">
                  <c:v>19509.600000000002</c:v>
                </c:pt>
                <c:pt idx="501">
                  <c:v>19481.665000000001</c:v>
                </c:pt>
                <c:pt idx="502">
                  <c:v>19454.685000000005</c:v>
                </c:pt>
                <c:pt idx="503">
                  <c:v>19439.542500000003</c:v>
                </c:pt>
                <c:pt idx="504">
                  <c:v>19423.784999999996</c:v>
                </c:pt>
                <c:pt idx="505">
                  <c:v>19411.697499999998</c:v>
                </c:pt>
                <c:pt idx="506">
                  <c:v>19406.415000000001</c:v>
                </c:pt>
                <c:pt idx="507">
                  <c:v>19394.0975</c:v>
                </c:pt>
                <c:pt idx="508">
                  <c:v>19373.294999999998</c:v>
                </c:pt>
                <c:pt idx="509">
                  <c:v>19354.862499999996</c:v>
                </c:pt>
                <c:pt idx="510">
                  <c:v>19343.587499999998</c:v>
                </c:pt>
                <c:pt idx="511">
                  <c:v>19329.177499999998</c:v>
                </c:pt>
                <c:pt idx="512">
                  <c:v>19322.374999999996</c:v>
                </c:pt>
                <c:pt idx="513">
                  <c:v>19327.079999999998</c:v>
                </c:pt>
                <c:pt idx="514">
                  <c:v>19332.435000000001</c:v>
                </c:pt>
                <c:pt idx="515">
                  <c:v>19340.002499999999</c:v>
                </c:pt>
                <c:pt idx="516">
                  <c:v>19365.084999999999</c:v>
                </c:pt>
                <c:pt idx="517">
                  <c:v>19399.57</c:v>
                </c:pt>
                <c:pt idx="518">
                  <c:v>19446.807499999999</c:v>
                </c:pt>
                <c:pt idx="519">
                  <c:v>19484.18</c:v>
                </c:pt>
                <c:pt idx="520">
                  <c:v>19521.620000000003</c:v>
                </c:pt>
                <c:pt idx="521">
                  <c:v>19572.47</c:v>
                </c:pt>
                <c:pt idx="522">
                  <c:v>19629.670000000002</c:v>
                </c:pt>
                <c:pt idx="523">
                  <c:v>19686.402500000004</c:v>
                </c:pt>
                <c:pt idx="524">
                  <c:v>19759.212500000001</c:v>
                </c:pt>
                <c:pt idx="525">
                  <c:v>19831.38</c:v>
                </c:pt>
                <c:pt idx="526">
                  <c:v>19907.93</c:v>
                </c:pt>
                <c:pt idx="527">
                  <c:v>19980.812500000004</c:v>
                </c:pt>
                <c:pt idx="528">
                  <c:v>20059.517500000005</c:v>
                </c:pt>
                <c:pt idx="529">
                  <c:v>20138.105000000003</c:v>
                </c:pt>
                <c:pt idx="530">
                  <c:v>20207.147500000003</c:v>
                </c:pt>
                <c:pt idx="531">
                  <c:v>20281.287500000002</c:v>
                </c:pt>
                <c:pt idx="532">
                  <c:v>20356.650000000001</c:v>
                </c:pt>
                <c:pt idx="533">
                  <c:v>20441.222500000003</c:v>
                </c:pt>
                <c:pt idx="534">
                  <c:v>20525.565000000002</c:v>
                </c:pt>
                <c:pt idx="535">
                  <c:v>20613.52</c:v>
                </c:pt>
                <c:pt idx="536">
                  <c:v>20681.857500000002</c:v>
                </c:pt>
                <c:pt idx="537">
                  <c:v>20754.017500000002</c:v>
                </c:pt>
                <c:pt idx="538">
                  <c:v>20831.387500000004</c:v>
                </c:pt>
                <c:pt idx="539">
                  <c:v>20913.72</c:v>
                </c:pt>
                <c:pt idx="540">
                  <c:v>21001.9725</c:v>
                </c:pt>
                <c:pt idx="541">
                  <c:v>21086.077500000003</c:v>
                </c:pt>
                <c:pt idx="542">
                  <c:v>21165.99</c:v>
                </c:pt>
                <c:pt idx="543">
                  <c:v>21239.690000000002</c:v>
                </c:pt>
                <c:pt idx="544">
                  <c:v>21288.640000000003</c:v>
                </c:pt>
                <c:pt idx="545">
                  <c:v>21321.752499999999</c:v>
                </c:pt>
                <c:pt idx="546">
                  <c:v>21357.797499999997</c:v>
                </c:pt>
                <c:pt idx="547">
                  <c:v>21398.28</c:v>
                </c:pt>
                <c:pt idx="548">
                  <c:v>21425.46</c:v>
                </c:pt>
                <c:pt idx="549">
                  <c:v>21452.847499999996</c:v>
                </c:pt>
                <c:pt idx="550">
                  <c:v>21488.462499999998</c:v>
                </c:pt>
                <c:pt idx="551">
                  <c:v>21524.504999999997</c:v>
                </c:pt>
                <c:pt idx="552">
                  <c:v>21560.097499999996</c:v>
                </c:pt>
                <c:pt idx="553">
                  <c:v>21592.137500000001</c:v>
                </c:pt>
                <c:pt idx="554">
                  <c:v>21622.82</c:v>
                </c:pt>
                <c:pt idx="555">
                  <c:v>21628.762500000001</c:v>
                </c:pt>
                <c:pt idx="556">
                  <c:v>21644.3675</c:v>
                </c:pt>
                <c:pt idx="557">
                  <c:v>21662.735000000001</c:v>
                </c:pt>
                <c:pt idx="558">
                  <c:v>21673.855000000003</c:v>
                </c:pt>
                <c:pt idx="559">
                  <c:v>21663.727500000001</c:v>
                </c:pt>
                <c:pt idx="560">
                  <c:v>21653.6875</c:v>
                </c:pt>
                <c:pt idx="561">
                  <c:v>21632.382500000003</c:v>
                </c:pt>
                <c:pt idx="562">
                  <c:v>21632.692499999997</c:v>
                </c:pt>
                <c:pt idx="563">
                  <c:v>21621.702499999999</c:v>
                </c:pt>
                <c:pt idx="564">
                  <c:v>21624.697499999998</c:v>
                </c:pt>
                <c:pt idx="565">
                  <c:v>21633.702499999996</c:v>
                </c:pt>
                <c:pt idx="566">
                  <c:v>21643.462499999998</c:v>
                </c:pt>
                <c:pt idx="567">
                  <c:v>21646.507499999996</c:v>
                </c:pt>
                <c:pt idx="568">
                  <c:v>21667.327499999999</c:v>
                </c:pt>
                <c:pt idx="569">
                  <c:v>21686.61</c:v>
                </c:pt>
                <c:pt idx="570">
                  <c:v>21691.572500000002</c:v>
                </c:pt>
                <c:pt idx="571">
                  <c:v>21698.337500000001</c:v>
                </c:pt>
                <c:pt idx="572">
                  <c:v>21684.412500000002</c:v>
                </c:pt>
                <c:pt idx="573">
                  <c:v>21666.702500000007</c:v>
                </c:pt>
                <c:pt idx="574">
                  <c:v>21657.090000000004</c:v>
                </c:pt>
                <c:pt idx="575">
                  <c:v>21674.030000000002</c:v>
                </c:pt>
                <c:pt idx="576">
                  <c:v>21702.952500000003</c:v>
                </c:pt>
                <c:pt idx="577">
                  <c:v>21727.945</c:v>
                </c:pt>
                <c:pt idx="578">
                  <c:v>21759.202499999999</c:v>
                </c:pt>
                <c:pt idx="579">
                  <c:v>21800.014999999999</c:v>
                </c:pt>
                <c:pt idx="580">
                  <c:v>21838.19</c:v>
                </c:pt>
                <c:pt idx="581">
                  <c:v>21881.195</c:v>
                </c:pt>
                <c:pt idx="582">
                  <c:v>21900.4175</c:v>
                </c:pt>
                <c:pt idx="583">
                  <c:v>21934.23</c:v>
                </c:pt>
                <c:pt idx="584">
                  <c:v>21945.502499999999</c:v>
                </c:pt>
                <c:pt idx="585">
                  <c:v>21959.77</c:v>
                </c:pt>
                <c:pt idx="586">
                  <c:v>21984.017499999998</c:v>
                </c:pt>
                <c:pt idx="587">
                  <c:v>22015.712500000001</c:v>
                </c:pt>
                <c:pt idx="588">
                  <c:v>22037.057499999999</c:v>
                </c:pt>
                <c:pt idx="589">
                  <c:v>22064.234999999997</c:v>
                </c:pt>
                <c:pt idx="590">
                  <c:v>22103.014999999996</c:v>
                </c:pt>
                <c:pt idx="591">
                  <c:v>22130.522499999999</c:v>
                </c:pt>
                <c:pt idx="592">
                  <c:v>22166.504999999997</c:v>
                </c:pt>
                <c:pt idx="593">
                  <c:v>22179.227500000001</c:v>
                </c:pt>
                <c:pt idx="594">
                  <c:v>22194.557499999999</c:v>
                </c:pt>
                <c:pt idx="595">
                  <c:v>22200.1875</c:v>
                </c:pt>
                <c:pt idx="596">
                  <c:v>22200.9375</c:v>
                </c:pt>
                <c:pt idx="597">
                  <c:v>22185.697500000002</c:v>
                </c:pt>
                <c:pt idx="598">
                  <c:v>22167.805</c:v>
                </c:pt>
                <c:pt idx="599">
                  <c:v>22165.65</c:v>
                </c:pt>
                <c:pt idx="600">
                  <c:v>22159.614999999998</c:v>
                </c:pt>
                <c:pt idx="601">
                  <c:v>22149.215</c:v>
                </c:pt>
                <c:pt idx="602">
                  <c:v>22149.295000000002</c:v>
                </c:pt>
                <c:pt idx="603">
                  <c:v>22155.722500000003</c:v>
                </c:pt>
                <c:pt idx="604">
                  <c:v>22181.265000000003</c:v>
                </c:pt>
                <c:pt idx="605">
                  <c:v>22204.79</c:v>
                </c:pt>
                <c:pt idx="606">
                  <c:v>22209.585000000006</c:v>
                </c:pt>
                <c:pt idx="607">
                  <c:v>22215.037500000006</c:v>
                </c:pt>
                <c:pt idx="608">
                  <c:v>22222.907500000008</c:v>
                </c:pt>
                <c:pt idx="609">
                  <c:v>22232.520000000008</c:v>
                </c:pt>
                <c:pt idx="610">
                  <c:v>22239.980000000007</c:v>
                </c:pt>
                <c:pt idx="611">
                  <c:v>22261.037500000002</c:v>
                </c:pt>
                <c:pt idx="612">
                  <c:v>22270.222500000003</c:v>
                </c:pt>
                <c:pt idx="613">
                  <c:v>22283.962500000001</c:v>
                </c:pt>
                <c:pt idx="614">
                  <c:v>22284.025000000001</c:v>
                </c:pt>
                <c:pt idx="615">
                  <c:v>22282.65</c:v>
                </c:pt>
                <c:pt idx="616">
                  <c:v>22287.215</c:v>
                </c:pt>
                <c:pt idx="617">
                  <c:v>22313.162499999999</c:v>
                </c:pt>
                <c:pt idx="618">
                  <c:v>22339.607499999998</c:v>
                </c:pt>
                <c:pt idx="619">
                  <c:v>22359.13</c:v>
                </c:pt>
                <c:pt idx="620">
                  <c:v>22382.81</c:v>
                </c:pt>
                <c:pt idx="621">
                  <c:v>22403.572500000002</c:v>
                </c:pt>
                <c:pt idx="622">
                  <c:v>22429.56</c:v>
                </c:pt>
                <c:pt idx="623">
                  <c:v>22443.4575</c:v>
                </c:pt>
                <c:pt idx="624">
                  <c:v>22452.767500000002</c:v>
                </c:pt>
                <c:pt idx="625">
                  <c:v>22453.895</c:v>
                </c:pt>
                <c:pt idx="626">
                  <c:v>22454.297500000001</c:v>
                </c:pt>
                <c:pt idx="627">
                  <c:v>22443.69</c:v>
                </c:pt>
                <c:pt idx="628">
                  <c:v>22433.129999999997</c:v>
                </c:pt>
                <c:pt idx="629">
                  <c:v>22397.69</c:v>
                </c:pt>
                <c:pt idx="630">
                  <c:v>22368.3125</c:v>
                </c:pt>
                <c:pt idx="631">
                  <c:v>22335.825000000001</c:v>
                </c:pt>
                <c:pt idx="632">
                  <c:v>22320.747499999998</c:v>
                </c:pt>
                <c:pt idx="633">
                  <c:v>22317.15</c:v>
                </c:pt>
                <c:pt idx="634">
                  <c:v>22329.947499999998</c:v>
                </c:pt>
                <c:pt idx="635">
                  <c:v>22353.46</c:v>
                </c:pt>
                <c:pt idx="636">
                  <c:v>22371.21</c:v>
                </c:pt>
                <c:pt idx="637">
                  <c:v>22380.842499999999</c:v>
                </c:pt>
                <c:pt idx="638">
                  <c:v>22392.332499999997</c:v>
                </c:pt>
                <c:pt idx="639">
                  <c:v>22420.594999999998</c:v>
                </c:pt>
                <c:pt idx="640">
                  <c:v>22439.932499999995</c:v>
                </c:pt>
                <c:pt idx="641">
                  <c:v>22465.557499999999</c:v>
                </c:pt>
                <c:pt idx="642">
                  <c:v>22477.794999999998</c:v>
                </c:pt>
                <c:pt idx="643">
                  <c:v>22482.787499999999</c:v>
                </c:pt>
                <c:pt idx="644">
                  <c:v>22474.810000000005</c:v>
                </c:pt>
                <c:pt idx="645">
                  <c:v>22477.552500000002</c:v>
                </c:pt>
                <c:pt idx="646">
                  <c:v>22518.612500000007</c:v>
                </c:pt>
                <c:pt idx="647">
                  <c:v>22497.712500000001</c:v>
                </c:pt>
                <c:pt idx="648">
                  <c:v>22513.605000000003</c:v>
                </c:pt>
                <c:pt idx="649">
                  <c:v>22556.800000000003</c:v>
                </c:pt>
                <c:pt idx="650">
                  <c:v>22618.547500000004</c:v>
                </c:pt>
                <c:pt idx="651">
                  <c:v>22676.305000000004</c:v>
                </c:pt>
                <c:pt idx="652">
                  <c:v>22728.655000000006</c:v>
                </c:pt>
                <c:pt idx="653">
                  <c:v>22784.775000000001</c:v>
                </c:pt>
                <c:pt idx="654">
                  <c:v>22834.527500000004</c:v>
                </c:pt>
                <c:pt idx="655">
                  <c:v>22884.502500000002</c:v>
                </c:pt>
                <c:pt idx="656">
                  <c:v>22937.297500000004</c:v>
                </c:pt>
                <c:pt idx="657">
                  <c:v>22986.645000000004</c:v>
                </c:pt>
                <c:pt idx="658">
                  <c:v>23035.105000000003</c:v>
                </c:pt>
                <c:pt idx="659">
                  <c:v>23061.7775</c:v>
                </c:pt>
                <c:pt idx="660">
                  <c:v>23090.814999999999</c:v>
                </c:pt>
                <c:pt idx="661">
                  <c:v>23130.2575</c:v>
                </c:pt>
                <c:pt idx="662">
                  <c:v>23179.29</c:v>
                </c:pt>
                <c:pt idx="663">
                  <c:v>23246.28</c:v>
                </c:pt>
                <c:pt idx="664">
                  <c:v>23322.377499999995</c:v>
                </c:pt>
                <c:pt idx="665">
                  <c:v>23402.939999999995</c:v>
                </c:pt>
                <c:pt idx="666">
                  <c:v>23445.937499999993</c:v>
                </c:pt>
                <c:pt idx="667">
                  <c:v>23566.037499999995</c:v>
                </c:pt>
                <c:pt idx="668">
                  <c:v>23650.127499999999</c:v>
                </c:pt>
                <c:pt idx="669">
                  <c:v>23725.25</c:v>
                </c:pt>
                <c:pt idx="670">
                  <c:v>23776.769999999997</c:v>
                </c:pt>
                <c:pt idx="671">
                  <c:v>23835.469999999998</c:v>
                </c:pt>
                <c:pt idx="672">
                  <c:v>23888.45</c:v>
                </c:pt>
                <c:pt idx="673">
                  <c:v>23938.1</c:v>
                </c:pt>
                <c:pt idx="674">
                  <c:v>23993.262500000004</c:v>
                </c:pt>
                <c:pt idx="675">
                  <c:v>24049.317500000001</c:v>
                </c:pt>
                <c:pt idx="676">
                  <c:v>24102.072500000006</c:v>
                </c:pt>
                <c:pt idx="677">
                  <c:v>24166.315000000002</c:v>
                </c:pt>
                <c:pt idx="678">
                  <c:v>24214.510000000002</c:v>
                </c:pt>
                <c:pt idx="679">
                  <c:v>24264.917500000003</c:v>
                </c:pt>
                <c:pt idx="680">
                  <c:v>24311.977500000001</c:v>
                </c:pt>
                <c:pt idx="681">
                  <c:v>24346.587500000001</c:v>
                </c:pt>
                <c:pt idx="682">
                  <c:v>24373.452499999999</c:v>
                </c:pt>
                <c:pt idx="683">
                  <c:v>24412.969999999998</c:v>
                </c:pt>
                <c:pt idx="684">
                  <c:v>24454.244999999999</c:v>
                </c:pt>
                <c:pt idx="685">
                  <c:v>24490.012499999997</c:v>
                </c:pt>
                <c:pt idx="686">
                  <c:v>24531.377499999999</c:v>
                </c:pt>
                <c:pt idx="687">
                  <c:v>24567.597499999996</c:v>
                </c:pt>
                <c:pt idx="688">
                  <c:v>24588.374999999996</c:v>
                </c:pt>
                <c:pt idx="689">
                  <c:v>24574.962499999998</c:v>
                </c:pt>
                <c:pt idx="690">
                  <c:v>24558.562499999996</c:v>
                </c:pt>
                <c:pt idx="691">
                  <c:v>24551.777499999997</c:v>
                </c:pt>
                <c:pt idx="692">
                  <c:v>24541.404999999999</c:v>
                </c:pt>
                <c:pt idx="693">
                  <c:v>24543.982500000002</c:v>
                </c:pt>
                <c:pt idx="694">
                  <c:v>24536.224999999999</c:v>
                </c:pt>
                <c:pt idx="695">
                  <c:v>24513.84</c:v>
                </c:pt>
                <c:pt idx="696">
                  <c:v>24490.377499999999</c:v>
                </c:pt>
                <c:pt idx="697">
                  <c:v>24477.392499999998</c:v>
                </c:pt>
                <c:pt idx="698">
                  <c:v>24479.480000000003</c:v>
                </c:pt>
                <c:pt idx="699">
                  <c:v>24488.959999999999</c:v>
                </c:pt>
                <c:pt idx="700">
                  <c:v>24503.517500000002</c:v>
                </c:pt>
                <c:pt idx="701">
                  <c:v>24523.417500000003</c:v>
                </c:pt>
                <c:pt idx="702">
                  <c:v>24544.270000000004</c:v>
                </c:pt>
                <c:pt idx="703">
                  <c:v>24553.057499999999</c:v>
                </c:pt>
                <c:pt idx="704">
                  <c:v>24562.14</c:v>
                </c:pt>
                <c:pt idx="705">
                  <c:v>24571.892500000002</c:v>
                </c:pt>
                <c:pt idx="706">
                  <c:v>24581.932500000003</c:v>
                </c:pt>
                <c:pt idx="707">
                  <c:v>24593.182500000003</c:v>
                </c:pt>
                <c:pt idx="708">
                  <c:v>24621.232500000002</c:v>
                </c:pt>
                <c:pt idx="709">
                  <c:v>24682.445</c:v>
                </c:pt>
                <c:pt idx="710">
                  <c:v>24742.752499999999</c:v>
                </c:pt>
                <c:pt idx="711">
                  <c:v>24785.1325</c:v>
                </c:pt>
                <c:pt idx="712">
                  <c:v>24821.89</c:v>
                </c:pt>
                <c:pt idx="713">
                  <c:v>24850.334999999999</c:v>
                </c:pt>
                <c:pt idx="714">
                  <c:v>24885.040000000001</c:v>
                </c:pt>
                <c:pt idx="715">
                  <c:v>24924.012500000001</c:v>
                </c:pt>
                <c:pt idx="716">
                  <c:v>24986.270000000004</c:v>
                </c:pt>
                <c:pt idx="717">
                  <c:v>25027.037500000002</c:v>
                </c:pt>
                <c:pt idx="718">
                  <c:v>25067.592500000006</c:v>
                </c:pt>
                <c:pt idx="719">
                  <c:v>25103.577500000003</c:v>
                </c:pt>
                <c:pt idx="720">
                  <c:v>25133.945000000003</c:v>
                </c:pt>
                <c:pt idx="721">
                  <c:v>25164.160000000003</c:v>
                </c:pt>
                <c:pt idx="722">
                  <c:v>25212.55</c:v>
                </c:pt>
                <c:pt idx="723">
                  <c:v>25258.9725</c:v>
                </c:pt>
                <c:pt idx="724">
                  <c:v>25305.105000000003</c:v>
                </c:pt>
                <c:pt idx="725">
                  <c:v>25352.695</c:v>
                </c:pt>
                <c:pt idx="726">
                  <c:v>25405.9</c:v>
                </c:pt>
                <c:pt idx="727">
                  <c:v>25453.052499999998</c:v>
                </c:pt>
                <c:pt idx="728">
                  <c:v>25479.66</c:v>
                </c:pt>
                <c:pt idx="729">
                  <c:v>25505.512500000004</c:v>
                </c:pt>
                <c:pt idx="730">
                  <c:v>25508.0825</c:v>
                </c:pt>
                <c:pt idx="731">
                  <c:v>25501.557499999999</c:v>
                </c:pt>
                <c:pt idx="732">
                  <c:v>25498.737499999999</c:v>
                </c:pt>
                <c:pt idx="733">
                  <c:v>25502.575000000001</c:v>
                </c:pt>
                <c:pt idx="734">
                  <c:v>25499.6175</c:v>
                </c:pt>
                <c:pt idx="735">
                  <c:v>25503.6175</c:v>
                </c:pt>
                <c:pt idx="736">
                  <c:v>25482.384999999998</c:v>
                </c:pt>
                <c:pt idx="737">
                  <c:v>25470.9575</c:v>
                </c:pt>
                <c:pt idx="738">
                  <c:v>25454.637500000001</c:v>
                </c:pt>
                <c:pt idx="739">
                  <c:v>25432.275000000001</c:v>
                </c:pt>
                <c:pt idx="740">
                  <c:v>25400.89</c:v>
                </c:pt>
                <c:pt idx="741">
                  <c:v>25372.802499999998</c:v>
                </c:pt>
                <c:pt idx="742">
                  <c:v>25322.309999999998</c:v>
                </c:pt>
                <c:pt idx="743">
                  <c:v>25248.962499999994</c:v>
                </c:pt>
                <c:pt idx="744">
                  <c:v>25173.717499999995</c:v>
                </c:pt>
                <c:pt idx="745">
                  <c:v>25093.479999999996</c:v>
                </c:pt>
                <c:pt idx="746">
                  <c:v>24991.717499999995</c:v>
                </c:pt>
                <c:pt idx="747">
                  <c:v>24899.727500000001</c:v>
                </c:pt>
                <c:pt idx="748">
                  <c:v>24832.5275</c:v>
                </c:pt>
                <c:pt idx="749">
                  <c:v>24759.724999999999</c:v>
                </c:pt>
                <c:pt idx="750">
                  <c:v>24707.487499999996</c:v>
                </c:pt>
                <c:pt idx="751">
                  <c:v>24671.974999999995</c:v>
                </c:pt>
                <c:pt idx="752">
                  <c:v>24631.954999999994</c:v>
                </c:pt>
                <c:pt idx="753">
                  <c:v>24591.962499999994</c:v>
                </c:pt>
                <c:pt idx="754">
                  <c:v>24567.067499999994</c:v>
                </c:pt>
                <c:pt idx="755">
                  <c:v>24527.112499999992</c:v>
                </c:pt>
                <c:pt idx="756">
                  <c:v>24486.30999999999</c:v>
                </c:pt>
                <c:pt idx="757">
                  <c:v>24436.97749999999</c:v>
                </c:pt>
                <c:pt idx="758">
                  <c:v>24378.282499999994</c:v>
                </c:pt>
                <c:pt idx="759">
                  <c:v>24307.669999999995</c:v>
                </c:pt>
                <c:pt idx="760">
                  <c:v>24246.812499999996</c:v>
                </c:pt>
                <c:pt idx="761">
                  <c:v>24176.799999999999</c:v>
                </c:pt>
                <c:pt idx="762">
                  <c:v>24113.670000000002</c:v>
                </c:pt>
                <c:pt idx="763">
                  <c:v>24057.56</c:v>
                </c:pt>
                <c:pt idx="764">
                  <c:v>24031.147499999999</c:v>
                </c:pt>
                <c:pt idx="765">
                  <c:v>24022.272499999999</c:v>
                </c:pt>
                <c:pt idx="766">
                  <c:v>24022.957500000004</c:v>
                </c:pt>
                <c:pt idx="767">
                  <c:v>24019.745000000003</c:v>
                </c:pt>
                <c:pt idx="768">
                  <c:v>23992.110000000008</c:v>
                </c:pt>
                <c:pt idx="769">
                  <c:v>23981.622500000005</c:v>
                </c:pt>
                <c:pt idx="770">
                  <c:v>23985.157500000005</c:v>
                </c:pt>
                <c:pt idx="771">
                  <c:v>23992.797500000004</c:v>
                </c:pt>
                <c:pt idx="772">
                  <c:v>24016.402500000004</c:v>
                </c:pt>
                <c:pt idx="773">
                  <c:v>24041.157500000005</c:v>
                </c:pt>
                <c:pt idx="774">
                  <c:v>24050.845000000005</c:v>
                </c:pt>
                <c:pt idx="775">
                  <c:v>24071.827500000003</c:v>
                </c:pt>
                <c:pt idx="776">
                  <c:v>24094.92</c:v>
                </c:pt>
                <c:pt idx="777">
                  <c:v>24119.945</c:v>
                </c:pt>
                <c:pt idx="778">
                  <c:v>24153.2075</c:v>
                </c:pt>
                <c:pt idx="779">
                  <c:v>24213.670000000002</c:v>
                </c:pt>
                <c:pt idx="780">
                  <c:v>24270.447500000002</c:v>
                </c:pt>
                <c:pt idx="781">
                  <c:v>24314.557499999999</c:v>
                </c:pt>
                <c:pt idx="782">
                  <c:v>24348.574999999997</c:v>
                </c:pt>
                <c:pt idx="783">
                  <c:v>24378.664999999997</c:v>
                </c:pt>
                <c:pt idx="784">
                  <c:v>24362.677499999998</c:v>
                </c:pt>
                <c:pt idx="785">
                  <c:v>24339.254999999997</c:v>
                </c:pt>
                <c:pt idx="786">
                  <c:v>24315.912499999999</c:v>
                </c:pt>
                <c:pt idx="787">
                  <c:v>24289.677499999998</c:v>
                </c:pt>
                <c:pt idx="788">
                  <c:v>24284.640000000003</c:v>
                </c:pt>
                <c:pt idx="789">
                  <c:v>24260.33</c:v>
                </c:pt>
                <c:pt idx="790">
                  <c:v>24228.767500000005</c:v>
                </c:pt>
                <c:pt idx="791">
                  <c:v>24193.055000000004</c:v>
                </c:pt>
                <c:pt idx="792">
                  <c:v>24179.115000000005</c:v>
                </c:pt>
                <c:pt idx="793">
                  <c:v>24143.932500000006</c:v>
                </c:pt>
                <c:pt idx="794">
                  <c:v>24090.845000000008</c:v>
                </c:pt>
                <c:pt idx="795">
                  <c:v>24045.290000000008</c:v>
                </c:pt>
                <c:pt idx="796">
                  <c:v>23999.235000000008</c:v>
                </c:pt>
                <c:pt idx="797">
                  <c:v>23943.470000000008</c:v>
                </c:pt>
                <c:pt idx="798">
                  <c:v>23887.610000000004</c:v>
                </c:pt>
                <c:pt idx="799">
                  <c:v>23803.492500000004</c:v>
                </c:pt>
                <c:pt idx="800">
                  <c:v>23728.8825</c:v>
                </c:pt>
                <c:pt idx="801">
                  <c:v>23672.7425</c:v>
                </c:pt>
                <c:pt idx="802">
                  <c:v>23628.39</c:v>
                </c:pt>
                <c:pt idx="803">
                  <c:v>23590.965</c:v>
                </c:pt>
                <c:pt idx="804">
                  <c:v>23578.827499999999</c:v>
                </c:pt>
                <c:pt idx="805">
                  <c:v>23542.387500000004</c:v>
                </c:pt>
                <c:pt idx="806">
                  <c:v>23513.772499999999</c:v>
                </c:pt>
                <c:pt idx="807">
                  <c:v>23486.53</c:v>
                </c:pt>
                <c:pt idx="808">
                  <c:v>23450.47</c:v>
                </c:pt>
                <c:pt idx="809">
                  <c:v>23409.682500000003</c:v>
                </c:pt>
                <c:pt idx="810">
                  <c:v>23375.305</c:v>
                </c:pt>
                <c:pt idx="811">
                  <c:v>23346.314999999999</c:v>
                </c:pt>
                <c:pt idx="812">
                  <c:v>23299.357500000002</c:v>
                </c:pt>
                <c:pt idx="813">
                  <c:v>23274.54</c:v>
                </c:pt>
                <c:pt idx="814">
                  <c:v>23267.845000000001</c:v>
                </c:pt>
                <c:pt idx="815">
                  <c:v>23250.502500000002</c:v>
                </c:pt>
                <c:pt idx="816">
                  <c:v>23253.017500000002</c:v>
                </c:pt>
                <c:pt idx="817">
                  <c:v>23261.5075</c:v>
                </c:pt>
                <c:pt idx="818">
                  <c:v>23270.1</c:v>
                </c:pt>
                <c:pt idx="819">
                  <c:v>23293.8</c:v>
                </c:pt>
                <c:pt idx="820">
                  <c:v>23304.077499999999</c:v>
                </c:pt>
                <c:pt idx="821">
                  <c:v>23297.0075</c:v>
                </c:pt>
                <c:pt idx="822">
                  <c:v>23283.68</c:v>
                </c:pt>
                <c:pt idx="823">
                  <c:v>23275.09</c:v>
                </c:pt>
                <c:pt idx="824">
                  <c:v>23254.314999999999</c:v>
                </c:pt>
                <c:pt idx="825">
                  <c:v>23251.057499999999</c:v>
                </c:pt>
                <c:pt idx="826">
                  <c:v>23240.555</c:v>
                </c:pt>
                <c:pt idx="827">
                  <c:v>23226.932499999999</c:v>
                </c:pt>
                <c:pt idx="828">
                  <c:v>23217.980000000003</c:v>
                </c:pt>
                <c:pt idx="829">
                  <c:v>23216.317500000005</c:v>
                </c:pt>
                <c:pt idx="830">
                  <c:v>23196.122500000005</c:v>
                </c:pt>
                <c:pt idx="831">
                  <c:v>23165.345000000001</c:v>
                </c:pt>
                <c:pt idx="832">
                  <c:v>23130.122500000001</c:v>
                </c:pt>
                <c:pt idx="833">
                  <c:v>23060.9375</c:v>
                </c:pt>
                <c:pt idx="834">
                  <c:v>22992.795000000002</c:v>
                </c:pt>
                <c:pt idx="835">
                  <c:v>22928.875</c:v>
                </c:pt>
                <c:pt idx="836">
                  <c:v>22858.7775</c:v>
                </c:pt>
                <c:pt idx="837">
                  <c:v>22801.197499999998</c:v>
                </c:pt>
                <c:pt idx="838">
                  <c:v>22748.654999999999</c:v>
                </c:pt>
                <c:pt idx="839">
                  <c:v>22693.672499999997</c:v>
                </c:pt>
                <c:pt idx="840">
                  <c:v>22649.487499999999</c:v>
                </c:pt>
                <c:pt idx="841">
                  <c:v>22619.422500000001</c:v>
                </c:pt>
                <c:pt idx="842">
                  <c:v>22587.02</c:v>
                </c:pt>
                <c:pt idx="843">
                  <c:v>22560.887500000001</c:v>
                </c:pt>
                <c:pt idx="844">
                  <c:v>22556.14</c:v>
                </c:pt>
                <c:pt idx="845">
                  <c:v>22553.544999999998</c:v>
                </c:pt>
                <c:pt idx="846">
                  <c:v>22565.812500000004</c:v>
                </c:pt>
                <c:pt idx="847">
                  <c:v>22586.687500000004</c:v>
                </c:pt>
                <c:pt idx="848">
                  <c:v>22623.947500000002</c:v>
                </c:pt>
                <c:pt idx="849">
                  <c:v>22667.584999999999</c:v>
                </c:pt>
                <c:pt idx="850">
                  <c:v>22714.26</c:v>
                </c:pt>
                <c:pt idx="851">
                  <c:v>22766.48</c:v>
                </c:pt>
                <c:pt idx="852">
                  <c:v>22815.195</c:v>
                </c:pt>
                <c:pt idx="853">
                  <c:v>22867.245000000003</c:v>
                </c:pt>
                <c:pt idx="854">
                  <c:v>22927.897499999999</c:v>
                </c:pt>
                <c:pt idx="855">
                  <c:v>22986.269999999997</c:v>
                </c:pt>
                <c:pt idx="856">
                  <c:v>23014.627499999995</c:v>
                </c:pt>
                <c:pt idx="857">
                  <c:v>22995.472499999996</c:v>
                </c:pt>
                <c:pt idx="858">
                  <c:v>22994.639999999992</c:v>
                </c:pt>
                <c:pt idx="859">
                  <c:v>22991.582499999997</c:v>
                </c:pt>
                <c:pt idx="860">
                  <c:v>23008.114999999998</c:v>
                </c:pt>
                <c:pt idx="861">
                  <c:v>23051.017499999994</c:v>
                </c:pt>
                <c:pt idx="862">
                  <c:v>23103.017499999998</c:v>
                </c:pt>
                <c:pt idx="863">
                  <c:v>23170.162499999999</c:v>
                </c:pt>
                <c:pt idx="864">
                  <c:v>23234.724999999999</c:v>
                </c:pt>
                <c:pt idx="865">
                  <c:v>23297.7075</c:v>
                </c:pt>
                <c:pt idx="866">
                  <c:v>23354.622500000005</c:v>
                </c:pt>
                <c:pt idx="867">
                  <c:v>23399.437500000004</c:v>
                </c:pt>
                <c:pt idx="868">
                  <c:v>23418.487499999999</c:v>
                </c:pt>
                <c:pt idx="869">
                  <c:v>23451.480000000003</c:v>
                </c:pt>
                <c:pt idx="870">
                  <c:v>23493.935000000001</c:v>
                </c:pt>
                <c:pt idx="871">
                  <c:v>23531.047500000001</c:v>
                </c:pt>
                <c:pt idx="872">
                  <c:v>23572.415000000001</c:v>
                </c:pt>
                <c:pt idx="873">
                  <c:v>23637.187500000004</c:v>
                </c:pt>
                <c:pt idx="874">
                  <c:v>23689.55</c:v>
                </c:pt>
                <c:pt idx="875">
                  <c:v>23747.765000000003</c:v>
                </c:pt>
                <c:pt idx="876">
                  <c:v>23816.232500000006</c:v>
                </c:pt>
                <c:pt idx="877">
                  <c:v>23908.552500000002</c:v>
                </c:pt>
                <c:pt idx="878">
                  <c:v>24027.995000000003</c:v>
                </c:pt>
                <c:pt idx="879">
                  <c:v>24136.955000000002</c:v>
                </c:pt>
                <c:pt idx="880">
                  <c:v>24228.872500000005</c:v>
                </c:pt>
                <c:pt idx="881">
                  <c:v>24315.550000000003</c:v>
                </c:pt>
                <c:pt idx="882">
                  <c:v>24394.68</c:v>
                </c:pt>
                <c:pt idx="883">
                  <c:v>24449.370000000003</c:v>
                </c:pt>
                <c:pt idx="884">
                  <c:v>24477.287500000002</c:v>
                </c:pt>
                <c:pt idx="885">
                  <c:v>24509.5975</c:v>
                </c:pt>
                <c:pt idx="886">
                  <c:v>24523.635000000002</c:v>
                </c:pt>
                <c:pt idx="887">
                  <c:v>24553.9575</c:v>
                </c:pt>
                <c:pt idx="888">
                  <c:v>24602.047500000004</c:v>
                </c:pt>
                <c:pt idx="889">
                  <c:v>24626.932500000003</c:v>
                </c:pt>
                <c:pt idx="890">
                  <c:v>24647.757500000003</c:v>
                </c:pt>
                <c:pt idx="891">
                  <c:v>24672.727500000008</c:v>
                </c:pt>
                <c:pt idx="892">
                  <c:v>24692.927500000005</c:v>
                </c:pt>
                <c:pt idx="893">
                  <c:v>24705.700000000004</c:v>
                </c:pt>
                <c:pt idx="894">
                  <c:v>24713.845000000001</c:v>
                </c:pt>
                <c:pt idx="895">
                  <c:v>24724.135000000002</c:v>
                </c:pt>
                <c:pt idx="896">
                  <c:v>24747.99</c:v>
                </c:pt>
                <c:pt idx="897">
                  <c:v>24797.7425</c:v>
                </c:pt>
                <c:pt idx="898">
                  <c:v>24806.667500000003</c:v>
                </c:pt>
                <c:pt idx="899">
                  <c:v>24832.962500000001</c:v>
                </c:pt>
                <c:pt idx="900">
                  <c:v>24856.687500000004</c:v>
                </c:pt>
                <c:pt idx="901">
                  <c:v>24847.9925</c:v>
                </c:pt>
                <c:pt idx="902">
                  <c:v>24832.932500000003</c:v>
                </c:pt>
                <c:pt idx="903">
                  <c:v>24832.985000000004</c:v>
                </c:pt>
                <c:pt idx="904">
                  <c:v>24841.460000000003</c:v>
                </c:pt>
                <c:pt idx="905">
                  <c:v>24841.390000000003</c:v>
                </c:pt>
                <c:pt idx="906">
                  <c:v>24850.567500000001</c:v>
                </c:pt>
                <c:pt idx="907">
                  <c:v>24863.530000000002</c:v>
                </c:pt>
                <c:pt idx="908">
                  <c:v>24862.067500000005</c:v>
                </c:pt>
                <c:pt idx="909">
                  <c:v>24872.975000000002</c:v>
                </c:pt>
                <c:pt idx="910">
                  <c:v>24897.59</c:v>
                </c:pt>
                <c:pt idx="911">
                  <c:v>24933.360000000001</c:v>
                </c:pt>
                <c:pt idx="912">
                  <c:v>24977.715000000004</c:v>
                </c:pt>
                <c:pt idx="913">
                  <c:v>25017.737499999999</c:v>
                </c:pt>
                <c:pt idx="914">
                  <c:v>25067.702499999999</c:v>
                </c:pt>
                <c:pt idx="915">
                  <c:v>25109.362499999999</c:v>
                </c:pt>
                <c:pt idx="916">
                  <c:v>25142.082499999997</c:v>
                </c:pt>
                <c:pt idx="917">
                  <c:v>25164.979999999996</c:v>
                </c:pt>
                <c:pt idx="918">
                  <c:v>25182.884999999998</c:v>
                </c:pt>
                <c:pt idx="919">
                  <c:v>25203.797499999997</c:v>
                </c:pt>
                <c:pt idx="920">
                  <c:v>25220.532499999998</c:v>
                </c:pt>
                <c:pt idx="921">
                  <c:v>25243.884999999998</c:v>
                </c:pt>
                <c:pt idx="922">
                  <c:v>25265.447499999998</c:v>
                </c:pt>
                <c:pt idx="923">
                  <c:v>25272.237499999996</c:v>
                </c:pt>
                <c:pt idx="924">
                  <c:v>25289.357499999995</c:v>
                </c:pt>
                <c:pt idx="925">
                  <c:v>25309.357499999991</c:v>
                </c:pt>
                <c:pt idx="926">
                  <c:v>25325.267499999994</c:v>
                </c:pt>
                <c:pt idx="927">
                  <c:v>25318.067499999997</c:v>
                </c:pt>
                <c:pt idx="928">
                  <c:v>25324.0075</c:v>
                </c:pt>
                <c:pt idx="929">
                  <c:v>25324.834999999999</c:v>
                </c:pt>
                <c:pt idx="930">
                  <c:v>25323.592500000002</c:v>
                </c:pt>
                <c:pt idx="931">
                  <c:v>25299.247500000001</c:v>
                </c:pt>
                <c:pt idx="932">
                  <c:v>25259.207500000004</c:v>
                </c:pt>
                <c:pt idx="933">
                  <c:v>25217.4</c:v>
                </c:pt>
                <c:pt idx="934">
                  <c:v>25181.365000000002</c:v>
                </c:pt>
                <c:pt idx="935">
                  <c:v>25151.447500000002</c:v>
                </c:pt>
                <c:pt idx="936">
                  <c:v>25119.599999999999</c:v>
                </c:pt>
                <c:pt idx="937">
                  <c:v>25074.817499999997</c:v>
                </c:pt>
                <c:pt idx="938">
                  <c:v>25037.89</c:v>
                </c:pt>
                <c:pt idx="939">
                  <c:v>24994.242499999997</c:v>
                </c:pt>
                <c:pt idx="940">
                  <c:v>24949.147499999999</c:v>
                </c:pt>
                <c:pt idx="941">
                  <c:v>24911.192499999997</c:v>
                </c:pt>
                <c:pt idx="942">
                  <c:v>24871.864999999998</c:v>
                </c:pt>
                <c:pt idx="943">
                  <c:v>24847.002499999995</c:v>
                </c:pt>
                <c:pt idx="944">
                  <c:v>24811.582499999997</c:v>
                </c:pt>
                <c:pt idx="945">
                  <c:v>24781.947499999998</c:v>
                </c:pt>
                <c:pt idx="946">
                  <c:v>24757.94</c:v>
                </c:pt>
                <c:pt idx="947">
                  <c:v>24753.3675</c:v>
                </c:pt>
                <c:pt idx="948">
                  <c:v>24747.865000000002</c:v>
                </c:pt>
                <c:pt idx="949">
                  <c:v>24747.3475</c:v>
                </c:pt>
                <c:pt idx="950">
                  <c:v>24740.54</c:v>
                </c:pt>
                <c:pt idx="951">
                  <c:v>24730.94</c:v>
                </c:pt>
                <c:pt idx="952">
                  <c:v>24737.477500000001</c:v>
                </c:pt>
                <c:pt idx="953">
                  <c:v>24739.034999999996</c:v>
                </c:pt>
                <c:pt idx="954">
                  <c:v>24723.024999999998</c:v>
                </c:pt>
                <c:pt idx="955">
                  <c:v>24701.614999999998</c:v>
                </c:pt>
                <c:pt idx="956">
                  <c:v>24694.449999999997</c:v>
                </c:pt>
                <c:pt idx="957">
                  <c:v>24695.162499999999</c:v>
                </c:pt>
                <c:pt idx="958">
                  <c:v>24694.777499999997</c:v>
                </c:pt>
                <c:pt idx="959">
                  <c:v>24699.014999999996</c:v>
                </c:pt>
                <c:pt idx="960">
                  <c:v>24707.354999999996</c:v>
                </c:pt>
                <c:pt idx="961">
                  <c:v>24716.204999999998</c:v>
                </c:pt>
                <c:pt idx="962">
                  <c:v>24741.469999999994</c:v>
                </c:pt>
                <c:pt idx="963">
                  <c:v>24760.872499999994</c:v>
                </c:pt>
                <c:pt idx="964">
                  <c:v>24786.777499999993</c:v>
                </c:pt>
                <c:pt idx="965">
                  <c:v>24811.509999999995</c:v>
                </c:pt>
                <c:pt idx="966">
                  <c:v>24833.404999999995</c:v>
                </c:pt>
                <c:pt idx="967">
                  <c:v>24851.512499999997</c:v>
                </c:pt>
                <c:pt idx="968">
                  <c:v>24868.9925</c:v>
                </c:pt>
                <c:pt idx="969">
                  <c:v>24887.644999999997</c:v>
                </c:pt>
                <c:pt idx="970">
                  <c:v>24899.809999999994</c:v>
                </c:pt>
                <c:pt idx="971">
                  <c:v>24916.422499999993</c:v>
                </c:pt>
                <c:pt idx="972">
                  <c:v>24926.509999999995</c:v>
                </c:pt>
                <c:pt idx="973">
                  <c:v>24943.752499999995</c:v>
                </c:pt>
                <c:pt idx="974">
                  <c:v>24963.249999999996</c:v>
                </c:pt>
                <c:pt idx="975">
                  <c:v>24974.642499999994</c:v>
                </c:pt>
                <c:pt idx="976">
                  <c:v>24975.135000000002</c:v>
                </c:pt>
                <c:pt idx="977">
                  <c:v>24976.71</c:v>
                </c:pt>
                <c:pt idx="978">
                  <c:v>24982.772499999999</c:v>
                </c:pt>
                <c:pt idx="979">
                  <c:v>24990.77</c:v>
                </c:pt>
                <c:pt idx="980">
                  <c:v>25007.602500000001</c:v>
                </c:pt>
                <c:pt idx="981">
                  <c:v>25024.36</c:v>
                </c:pt>
                <c:pt idx="982">
                  <c:v>25033.237499999999</c:v>
                </c:pt>
                <c:pt idx="983">
                  <c:v>25043.672500000001</c:v>
                </c:pt>
                <c:pt idx="984">
                  <c:v>25057.665000000001</c:v>
                </c:pt>
                <c:pt idx="985">
                  <c:v>25063.332499999997</c:v>
                </c:pt>
                <c:pt idx="986">
                  <c:v>25067.147499999999</c:v>
                </c:pt>
                <c:pt idx="987">
                  <c:v>25071.37</c:v>
                </c:pt>
                <c:pt idx="988">
                  <c:v>25084.122499999998</c:v>
                </c:pt>
                <c:pt idx="989">
                  <c:v>25098.434999999994</c:v>
                </c:pt>
                <c:pt idx="990">
                  <c:v>25124.239999999998</c:v>
                </c:pt>
                <c:pt idx="991">
                  <c:v>25157.552499999994</c:v>
                </c:pt>
                <c:pt idx="992">
                  <c:v>25193.647499999995</c:v>
                </c:pt>
                <c:pt idx="993">
                  <c:v>25230.559999999998</c:v>
                </c:pt>
                <c:pt idx="994">
                  <c:v>25284.32</c:v>
                </c:pt>
                <c:pt idx="995">
                  <c:v>25348.395</c:v>
                </c:pt>
                <c:pt idx="996">
                  <c:v>25419.345000000001</c:v>
                </c:pt>
                <c:pt idx="997">
                  <c:v>25482.682500000003</c:v>
                </c:pt>
                <c:pt idx="998">
                  <c:v>25526.9725</c:v>
                </c:pt>
                <c:pt idx="999">
                  <c:v>25570.427499999998</c:v>
                </c:pt>
                <c:pt idx="1000">
                  <c:v>25596.427499999998</c:v>
                </c:pt>
                <c:pt idx="1001">
                  <c:v>25616.497500000001</c:v>
                </c:pt>
                <c:pt idx="1002">
                  <c:v>25638.805</c:v>
                </c:pt>
                <c:pt idx="1003">
                  <c:v>25658.432499999999</c:v>
                </c:pt>
                <c:pt idx="1004">
                  <c:v>25678.912499999999</c:v>
                </c:pt>
                <c:pt idx="1005">
                  <c:v>25711.334999999999</c:v>
                </c:pt>
                <c:pt idx="1006">
                  <c:v>25748.017499999998</c:v>
                </c:pt>
                <c:pt idx="1007">
                  <c:v>25777.342499999999</c:v>
                </c:pt>
                <c:pt idx="1008">
                  <c:v>25798.75</c:v>
                </c:pt>
                <c:pt idx="1009">
                  <c:v>25808.760000000002</c:v>
                </c:pt>
                <c:pt idx="1010">
                  <c:v>25819.235000000001</c:v>
                </c:pt>
                <c:pt idx="1011">
                  <c:v>25835.412500000002</c:v>
                </c:pt>
                <c:pt idx="1012">
                  <c:v>25844.250000000004</c:v>
                </c:pt>
                <c:pt idx="1013">
                  <c:v>25852.467500000006</c:v>
                </c:pt>
                <c:pt idx="1014">
                  <c:v>25848.405000000006</c:v>
                </c:pt>
                <c:pt idx="1015">
                  <c:v>25861.860000000004</c:v>
                </c:pt>
                <c:pt idx="1016">
                  <c:v>25869.942500000001</c:v>
                </c:pt>
                <c:pt idx="1017">
                  <c:v>25886.197500000002</c:v>
                </c:pt>
                <c:pt idx="1018">
                  <c:v>25908.880000000001</c:v>
                </c:pt>
                <c:pt idx="1019">
                  <c:v>25922.322500000002</c:v>
                </c:pt>
                <c:pt idx="1020">
                  <c:v>25941.739999999998</c:v>
                </c:pt>
                <c:pt idx="1021">
                  <c:v>25967.942499999997</c:v>
                </c:pt>
                <c:pt idx="1022">
                  <c:v>26002.65</c:v>
                </c:pt>
                <c:pt idx="1023">
                  <c:v>26021.96</c:v>
                </c:pt>
                <c:pt idx="1024">
                  <c:v>26029.195</c:v>
                </c:pt>
                <c:pt idx="1025">
                  <c:v>26023.305</c:v>
                </c:pt>
                <c:pt idx="1026">
                  <c:v>26024.275000000001</c:v>
                </c:pt>
                <c:pt idx="1027">
                  <c:v>26031.119999999999</c:v>
                </c:pt>
                <c:pt idx="1028">
                  <c:v>26031.8125</c:v>
                </c:pt>
                <c:pt idx="1029">
                  <c:v>26029.314999999999</c:v>
                </c:pt>
                <c:pt idx="1030">
                  <c:v>26017.61</c:v>
                </c:pt>
                <c:pt idx="1031">
                  <c:v>25998.78</c:v>
                </c:pt>
                <c:pt idx="1032">
                  <c:v>25993.692500000001</c:v>
                </c:pt>
                <c:pt idx="1033">
                  <c:v>26004.337500000001</c:v>
                </c:pt>
                <c:pt idx="1034">
                  <c:v>26018.955000000002</c:v>
                </c:pt>
                <c:pt idx="1035">
                  <c:v>26015.795000000002</c:v>
                </c:pt>
                <c:pt idx="1036">
                  <c:v>26007.1325</c:v>
                </c:pt>
                <c:pt idx="1037">
                  <c:v>25994.089999999997</c:v>
                </c:pt>
                <c:pt idx="1038">
                  <c:v>25982.244999999999</c:v>
                </c:pt>
              </c:numCache>
            </c:numRef>
          </c:val>
          <c:smooth val="0"/>
          <c:extLst>
            <c:ext xmlns:c16="http://schemas.microsoft.com/office/drawing/2014/chart" uri="{C3380CC4-5D6E-409C-BE32-E72D297353CC}">
              <c16:uniqueId val="{00000001-697A-4147-A8FB-8E511A7D16A1}"/>
            </c:ext>
          </c:extLst>
        </c:ser>
        <c:ser>
          <c:idx val="2"/>
          <c:order val="2"/>
          <c:tx>
            <c:strRef>
              <c:f>'Price trend line table'!$D$1:$D$201</c:f>
              <c:strCache>
                <c:ptCount val="201"/>
                <c:pt idx="0">
                  <c:v>50 Day moving average</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pt idx="28">
                  <c:v>-</c:v>
                </c:pt>
                <c:pt idx="29">
                  <c:v>-</c:v>
                </c:pt>
                <c:pt idx="30">
                  <c:v>-</c:v>
                </c:pt>
                <c:pt idx="31">
                  <c:v>-</c:v>
                </c:pt>
                <c:pt idx="32">
                  <c:v>-</c:v>
                </c:pt>
                <c:pt idx="33">
                  <c:v>-</c:v>
                </c:pt>
                <c:pt idx="34">
                  <c:v>-</c:v>
                </c:pt>
                <c:pt idx="35">
                  <c:v>-</c:v>
                </c:pt>
                <c:pt idx="36">
                  <c:v>-</c:v>
                </c:pt>
                <c:pt idx="37">
                  <c:v>-</c:v>
                </c:pt>
                <c:pt idx="38">
                  <c:v>-</c:v>
                </c:pt>
                <c:pt idx="39">
                  <c:v>-</c:v>
                </c:pt>
                <c:pt idx="40">
                  <c:v>-</c:v>
                </c:pt>
                <c:pt idx="41">
                  <c:v>-</c:v>
                </c:pt>
                <c:pt idx="42">
                  <c:v>-</c:v>
                </c:pt>
                <c:pt idx="43">
                  <c:v>-</c:v>
                </c:pt>
                <c:pt idx="44">
                  <c:v>-</c:v>
                </c:pt>
                <c:pt idx="45">
                  <c:v>-</c:v>
                </c:pt>
                <c:pt idx="46">
                  <c:v>-</c:v>
                </c:pt>
                <c:pt idx="47">
                  <c:v>-</c:v>
                </c:pt>
                <c:pt idx="48">
                  <c:v>-</c:v>
                </c:pt>
                <c:pt idx="49">
                  <c:v>-</c:v>
                </c:pt>
                <c:pt idx="50">
                  <c:v>-</c:v>
                </c:pt>
                <c:pt idx="51">
                  <c:v>14699.277</c:v>
                </c:pt>
                <c:pt idx="52">
                  <c:v>14717.116</c:v>
                </c:pt>
                <c:pt idx="53">
                  <c:v>14728.884</c:v>
                </c:pt>
                <c:pt idx="54">
                  <c:v>14736.051</c:v>
                </c:pt>
                <c:pt idx="55">
                  <c:v>14748.006</c:v>
                </c:pt>
                <c:pt idx="56">
                  <c:v>14759.987</c:v>
                </c:pt>
                <c:pt idx="57">
                  <c:v>14769.337</c:v>
                </c:pt>
                <c:pt idx="58">
                  <c:v>14770.63</c:v>
                </c:pt>
                <c:pt idx="59">
                  <c:v>14765.859</c:v>
                </c:pt>
                <c:pt idx="60">
                  <c:v>14764.708</c:v>
                </c:pt>
                <c:pt idx="61">
                  <c:v>14769.698</c:v>
                </c:pt>
                <c:pt idx="62">
                  <c:v>14774.838</c:v>
                </c:pt>
                <c:pt idx="63">
                  <c:v>14786.559</c:v>
                </c:pt>
                <c:pt idx="64">
                  <c:v>14788.892</c:v>
                </c:pt>
                <c:pt idx="65">
                  <c:v>14789.668</c:v>
                </c:pt>
                <c:pt idx="66">
                  <c:v>14794.242</c:v>
                </c:pt>
                <c:pt idx="67">
                  <c:v>14804.28</c:v>
                </c:pt>
                <c:pt idx="68">
                  <c:v>14816.199</c:v>
                </c:pt>
                <c:pt idx="69">
                  <c:v>14823.065</c:v>
                </c:pt>
                <c:pt idx="70">
                  <c:v>14836.81</c:v>
                </c:pt>
                <c:pt idx="71">
                  <c:v>14855.747</c:v>
                </c:pt>
                <c:pt idx="72">
                  <c:v>14862.48</c:v>
                </c:pt>
                <c:pt idx="73">
                  <c:v>14856.712</c:v>
                </c:pt>
                <c:pt idx="74">
                  <c:v>14846.841</c:v>
                </c:pt>
                <c:pt idx="75">
                  <c:v>14837.051</c:v>
                </c:pt>
                <c:pt idx="76">
                  <c:v>14825.393</c:v>
                </c:pt>
                <c:pt idx="77">
                  <c:v>14812.777</c:v>
                </c:pt>
                <c:pt idx="78">
                  <c:v>14803.652</c:v>
                </c:pt>
                <c:pt idx="79">
                  <c:v>14798.813</c:v>
                </c:pt>
                <c:pt idx="80">
                  <c:v>14793.245</c:v>
                </c:pt>
                <c:pt idx="81">
                  <c:v>14782.601</c:v>
                </c:pt>
                <c:pt idx="82">
                  <c:v>14768.99</c:v>
                </c:pt>
                <c:pt idx="83">
                  <c:v>14752.651</c:v>
                </c:pt>
                <c:pt idx="84">
                  <c:v>14740.83</c:v>
                </c:pt>
                <c:pt idx="85">
                  <c:v>14732.947</c:v>
                </c:pt>
                <c:pt idx="86">
                  <c:v>14729.775</c:v>
                </c:pt>
                <c:pt idx="87">
                  <c:v>14735.108</c:v>
                </c:pt>
                <c:pt idx="88">
                  <c:v>14737.967</c:v>
                </c:pt>
                <c:pt idx="89">
                  <c:v>14732.257</c:v>
                </c:pt>
                <c:pt idx="90">
                  <c:v>14723.866</c:v>
                </c:pt>
                <c:pt idx="91">
                  <c:v>14731.746</c:v>
                </c:pt>
                <c:pt idx="92">
                  <c:v>14738.677</c:v>
                </c:pt>
                <c:pt idx="93">
                  <c:v>14740.898</c:v>
                </c:pt>
                <c:pt idx="94">
                  <c:v>14734.107</c:v>
                </c:pt>
                <c:pt idx="95">
                  <c:v>14735.998</c:v>
                </c:pt>
                <c:pt idx="96">
                  <c:v>14741.19</c:v>
                </c:pt>
                <c:pt idx="97">
                  <c:v>14746.235</c:v>
                </c:pt>
                <c:pt idx="98">
                  <c:v>14750.296</c:v>
                </c:pt>
                <c:pt idx="99">
                  <c:v>14753.557</c:v>
                </c:pt>
                <c:pt idx="100">
                  <c:v>14761.651</c:v>
                </c:pt>
                <c:pt idx="101">
                  <c:v>14774.717</c:v>
                </c:pt>
                <c:pt idx="102">
                  <c:v>14788.005</c:v>
                </c:pt>
                <c:pt idx="103">
                  <c:v>14805.103</c:v>
                </c:pt>
                <c:pt idx="104">
                  <c:v>14827.753</c:v>
                </c:pt>
                <c:pt idx="105">
                  <c:v>14846.278</c:v>
                </c:pt>
                <c:pt idx="106">
                  <c:v>14866.583</c:v>
                </c:pt>
                <c:pt idx="107">
                  <c:v>14885.09</c:v>
                </c:pt>
                <c:pt idx="108">
                  <c:v>14906.809</c:v>
                </c:pt>
                <c:pt idx="109">
                  <c:v>14935.066</c:v>
                </c:pt>
                <c:pt idx="110">
                  <c:v>14960.907</c:v>
                </c:pt>
                <c:pt idx="111">
                  <c:v>14980.242</c:v>
                </c:pt>
                <c:pt idx="112">
                  <c:v>15003.813</c:v>
                </c:pt>
                <c:pt idx="113">
                  <c:v>15021.817</c:v>
                </c:pt>
                <c:pt idx="114">
                  <c:v>15042.889</c:v>
                </c:pt>
                <c:pt idx="115">
                  <c:v>15062.886</c:v>
                </c:pt>
                <c:pt idx="116">
                  <c:v>15081.435</c:v>
                </c:pt>
                <c:pt idx="117">
                  <c:v>15099.414</c:v>
                </c:pt>
                <c:pt idx="118">
                  <c:v>15116.456</c:v>
                </c:pt>
                <c:pt idx="119">
                  <c:v>15146.049</c:v>
                </c:pt>
                <c:pt idx="120">
                  <c:v>15173.16</c:v>
                </c:pt>
                <c:pt idx="121">
                  <c:v>15197.825</c:v>
                </c:pt>
                <c:pt idx="122">
                  <c:v>15220.437</c:v>
                </c:pt>
                <c:pt idx="123">
                  <c:v>15247.678</c:v>
                </c:pt>
                <c:pt idx="124">
                  <c:v>15275.35</c:v>
                </c:pt>
                <c:pt idx="125">
                  <c:v>15301.671</c:v>
                </c:pt>
                <c:pt idx="126">
                  <c:v>15331.531</c:v>
                </c:pt>
                <c:pt idx="127">
                  <c:v>15358.196</c:v>
                </c:pt>
                <c:pt idx="128">
                  <c:v>15382.728</c:v>
                </c:pt>
                <c:pt idx="129">
                  <c:v>15399.995</c:v>
                </c:pt>
                <c:pt idx="130">
                  <c:v>15415.893</c:v>
                </c:pt>
                <c:pt idx="131">
                  <c:v>15437.123</c:v>
                </c:pt>
                <c:pt idx="132">
                  <c:v>15460.687</c:v>
                </c:pt>
                <c:pt idx="133">
                  <c:v>15487.836</c:v>
                </c:pt>
                <c:pt idx="134">
                  <c:v>15513.963</c:v>
                </c:pt>
                <c:pt idx="135">
                  <c:v>15537.935</c:v>
                </c:pt>
                <c:pt idx="136">
                  <c:v>15556.52</c:v>
                </c:pt>
                <c:pt idx="137">
                  <c:v>15570.315</c:v>
                </c:pt>
                <c:pt idx="138">
                  <c:v>15589.781</c:v>
                </c:pt>
                <c:pt idx="139">
                  <c:v>15612.972</c:v>
                </c:pt>
                <c:pt idx="140">
                  <c:v>15635.905</c:v>
                </c:pt>
                <c:pt idx="141">
                  <c:v>15652.371</c:v>
                </c:pt>
                <c:pt idx="142">
                  <c:v>15664.397</c:v>
                </c:pt>
                <c:pt idx="143">
                  <c:v>15679.363</c:v>
                </c:pt>
                <c:pt idx="144">
                  <c:v>15696.503</c:v>
                </c:pt>
                <c:pt idx="145">
                  <c:v>15710.7</c:v>
                </c:pt>
                <c:pt idx="146">
                  <c:v>15729.361</c:v>
                </c:pt>
                <c:pt idx="147">
                  <c:v>15750.368</c:v>
                </c:pt>
                <c:pt idx="148">
                  <c:v>15770.231</c:v>
                </c:pt>
                <c:pt idx="149">
                  <c:v>15788.238</c:v>
                </c:pt>
                <c:pt idx="150">
                  <c:v>15804.69</c:v>
                </c:pt>
                <c:pt idx="151">
                  <c:v>15818.636</c:v>
                </c:pt>
                <c:pt idx="152">
                  <c:v>15832.784</c:v>
                </c:pt>
                <c:pt idx="153">
                  <c:v>15848.548</c:v>
                </c:pt>
                <c:pt idx="154">
                  <c:v>15865.323</c:v>
                </c:pt>
                <c:pt idx="155">
                  <c:v>15883.179</c:v>
                </c:pt>
                <c:pt idx="156">
                  <c:v>15900.438</c:v>
                </c:pt>
                <c:pt idx="157">
                  <c:v>15917.013</c:v>
                </c:pt>
                <c:pt idx="158">
                  <c:v>15933.316</c:v>
                </c:pt>
                <c:pt idx="159">
                  <c:v>15948.49</c:v>
                </c:pt>
                <c:pt idx="160">
                  <c:v>15964.995</c:v>
                </c:pt>
                <c:pt idx="161">
                  <c:v>15981.451</c:v>
                </c:pt>
                <c:pt idx="162">
                  <c:v>15996.804</c:v>
                </c:pt>
                <c:pt idx="163">
                  <c:v>16015.557</c:v>
                </c:pt>
                <c:pt idx="164">
                  <c:v>16040.35</c:v>
                </c:pt>
                <c:pt idx="165">
                  <c:v>16069.327</c:v>
                </c:pt>
                <c:pt idx="166">
                  <c:v>16095.922</c:v>
                </c:pt>
                <c:pt idx="167">
                  <c:v>16125.15</c:v>
                </c:pt>
                <c:pt idx="168">
                  <c:v>16157.883</c:v>
                </c:pt>
                <c:pt idx="169">
                  <c:v>16189.63</c:v>
                </c:pt>
                <c:pt idx="170">
                  <c:v>16219.665</c:v>
                </c:pt>
                <c:pt idx="171">
                  <c:v>16250.441</c:v>
                </c:pt>
                <c:pt idx="172">
                  <c:v>16282.857</c:v>
                </c:pt>
                <c:pt idx="173">
                  <c:v>16315.533</c:v>
                </c:pt>
                <c:pt idx="174">
                  <c:v>16349.533</c:v>
                </c:pt>
                <c:pt idx="175">
                  <c:v>16385.478</c:v>
                </c:pt>
                <c:pt idx="176">
                  <c:v>16421.381</c:v>
                </c:pt>
                <c:pt idx="177">
                  <c:v>16456.719</c:v>
                </c:pt>
                <c:pt idx="178">
                  <c:v>16487.064</c:v>
                </c:pt>
                <c:pt idx="179">
                  <c:v>16523.746</c:v>
                </c:pt>
                <c:pt idx="180">
                  <c:v>16560.883</c:v>
                </c:pt>
                <c:pt idx="181">
                  <c:v>16603.49</c:v>
                </c:pt>
                <c:pt idx="182">
                  <c:v>16644.307</c:v>
                </c:pt>
                <c:pt idx="183">
                  <c:v>16684.33</c:v>
                </c:pt>
                <c:pt idx="184">
                  <c:v>16720.818</c:v>
                </c:pt>
                <c:pt idx="185">
                  <c:v>16756.576</c:v>
                </c:pt>
                <c:pt idx="186">
                  <c:v>16793.891</c:v>
                </c:pt>
                <c:pt idx="187">
                  <c:v>16831.89</c:v>
                </c:pt>
                <c:pt idx="188">
                  <c:v>16869.234</c:v>
                </c:pt>
                <c:pt idx="189">
                  <c:v>16908.559</c:v>
                </c:pt>
                <c:pt idx="190">
                  <c:v>16944.99</c:v>
                </c:pt>
                <c:pt idx="191">
                  <c:v>16985.868</c:v>
                </c:pt>
                <c:pt idx="192">
                  <c:v>17029.584</c:v>
                </c:pt>
                <c:pt idx="193">
                  <c:v>17072.934</c:v>
                </c:pt>
                <c:pt idx="194">
                  <c:v>17117.512</c:v>
                </c:pt>
                <c:pt idx="195">
                  <c:v>17163.044</c:v>
                </c:pt>
                <c:pt idx="196">
                  <c:v>17207.2</c:v>
                </c:pt>
                <c:pt idx="197">
                  <c:v>17251.565</c:v>
                </c:pt>
                <c:pt idx="198">
                  <c:v>17294.048</c:v>
                </c:pt>
                <c:pt idx="199">
                  <c:v>17334.616</c:v>
                </c:pt>
                <c:pt idx="200">
                  <c:v>17373.013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'Price trend line table'!$A$202:$A$1241</c:f>
              <c:numCache>
                <c:formatCode>d\-mmm\-yy</c:formatCode>
                <c:ptCount val="1040"/>
                <c:pt idx="0">
                  <c:v>44494</c:v>
                </c:pt>
                <c:pt idx="1">
                  <c:v>44495</c:v>
                </c:pt>
                <c:pt idx="2">
                  <c:v>44496</c:v>
                </c:pt>
                <c:pt idx="3">
                  <c:v>44497</c:v>
                </c:pt>
                <c:pt idx="4">
                  <c:v>44498</c:v>
                </c:pt>
                <c:pt idx="5">
                  <c:v>44501</c:v>
                </c:pt>
                <c:pt idx="6">
                  <c:v>44502</c:v>
                </c:pt>
                <c:pt idx="7">
                  <c:v>44503</c:v>
                </c:pt>
                <c:pt idx="8">
                  <c:v>44504</c:v>
                </c:pt>
                <c:pt idx="9">
                  <c:v>44508</c:v>
                </c:pt>
                <c:pt idx="10">
                  <c:v>44509</c:v>
                </c:pt>
                <c:pt idx="11">
                  <c:v>44510</c:v>
                </c:pt>
                <c:pt idx="12">
                  <c:v>44511</c:v>
                </c:pt>
                <c:pt idx="13">
                  <c:v>44512</c:v>
                </c:pt>
                <c:pt idx="14">
                  <c:v>44515</c:v>
                </c:pt>
                <c:pt idx="15">
                  <c:v>44516</c:v>
                </c:pt>
                <c:pt idx="16">
                  <c:v>44517</c:v>
                </c:pt>
                <c:pt idx="17">
                  <c:v>44518</c:v>
                </c:pt>
                <c:pt idx="18">
                  <c:v>44522</c:v>
                </c:pt>
                <c:pt idx="19">
                  <c:v>44523</c:v>
                </c:pt>
                <c:pt idx="20">
                  <c:v>44524</c:v>
                </c:pt>
                <c:pt idx="21">
                  <c:v>44525</c:v>
                </c:pt>
                <c:pt idx="22">
                  <c:v>44526</c:v>
                </c:pt>
                <c:pt idx="23">
                  <c:v>44529</c:v>
                </c:pt>
                <c:pt idx="24">
                  <c:v>44530</c:v>
                </c:pt>
                <c:pt idx="25">
                  <c:v>44531</c:v>
                </c:pt>
                <c:pt idx="26">
                  <c:v>44532</c:v>
                </c:pt>
                <c:pt idx="27">
                  <c:v>44533</c:v>
                </c:pt>
                <c:pt idx="28">
                  <c:v>44536</c:v>
                </c:pt>
                <c:pt idx="29">
                  <c:v>44537</c:v>
                </c:pt>
                <c:pt idx="30">
                  <c:v>44538</c:v>
                </c:pt>
                <c:pt idx="31">
                  <c:v>44539</c:v>
                </c:pt>
                <c:pt idx="32">
                  <c:v>44540</c:v>
                </c:pt>
                <c:pt idx="33">
                  <c:v>44543</c:v>
                </c:pt>
                <c:pt idx="34">
                  <c:v>44544</c:v>
                </c:pt>
                <c:pt idx="35">
                  <c:v>44545</c:v>
                </c:pt>
                <c:pt idx="36">
                  <c:v>44546</c:v>
                </c:pt>
                <c:pt idx="37">
                  <c:v>44547</c:v>
                </c:pt>
                <c:pt idx="38">
                  <c:v>44550</c:v>
                </c:pt>
                <c:pt idx="39">
                  <c:v>44551</c:v>
                </c:pt>
                <c:pt idx="40">
                  <c:v>44552</c:v>
                </c:pt>
                <c:pt idx="41">
                  <c:v>44553</c:v>
                </c:pt>
                <c:pt idx="42">
                  <c:v>44554</c:v>
                </c:pt>
                <c:pt idx="43">
                  <c:v>44557</c:v>
                </c:pt>
                <c:pt idx="44">
                  <c:v>44558</c:v>
                </c:pt>
                <c:pt idx="45">
                  <c:v>44559</c:v>
                </c:pt>
                <c:pt idx="46">
                  <c:v>44560</c:v>
                </c:pt>
                <c:pt idx="47">
                  <c:v>44561</c:v>
                </c:pt>
                <c:pt idx="48">
                  <c:v>44564</c:v>
                </c:pt>
                <c:pt idx="49">
                  <c:v>44565</c:v>
                </c:pt>
                <c:pt idx="50">
                  <c:v>44566</c:v>
                </c:pt>
                <c:pt idx="51">
                  <c:v>44567</c:v>
                </c:pt>
                <c:pt idx="52">
                  <c:v>44568</c:v>
                </c:pt>
                <c:pt idx="53">
                  <c:v>44571</c:v>
                </c:pt>
                <c:pt idx="54">
                  <c:v>44572</c:v>
                </c:pt>
                <c:pt idx="55">
                  <c:v>44573</c:v>
                </c:pt>
                <c:pt idx="56">
                  <c:v>44574</c:v>
                </c:pt>
                <c:pt idx="57">
                  <c:v>44575</c:v>
                </c:pt>
                <c:pt idx="58">
                  <c:v>44578</c:v>
                </c:pt>
                <c:pt idx="59">
                  <c:v>44579</c:v>
                </c:pt>
                <c:pt idx="60">
                  <c:v>44580</c:v>
                </c:pt>
                <c:pt idx="61">
                  <c:v>44581</c:v>
                </c:pt>
                <c:pt idx="62">
                  <c:v>44582</c:v>
                </c:pt>
                <c:pt idx="63">
                  <c:v>44585</c:v>
                </c:pt>
                <c:pt idx="64">
                  <c:v>44586</c:v>
                </c:pt>
                <c:pt idx="65">
                  <c:v>44588</c:v>
                </c:pt>
                <c:pt idx="66">
                  <c:v>44589</c:v>
                </c:pt>
                <c:pt idx="67">
                  <c:v>44592</c:v>
                </c:pt>
                <c:pt idx="68">
                  <c:v>44593</c:v>
                </c:pt>
                <c:pt idx="69">
                  <c:v>44594</c:v>
                </c:pt>
                <c:pt idx="70">
                  <c:v>44595</c:v>
                </c:pt>
                <c:pt idx="71">
                  <c:v>44596</c:v>
                </c:pt>
                <c:pt idx="72">
                  <c:v>44599</c:v>
                </c:pt>
                <c:pt idx="73">
                  <c:v>44600</c:v>
                </c:pt>
                <c:pt idx="74">
                  <c:v>44601</c:v>
                </c:pt>
                <c:pt idx="75">
                  <c:v>44602</c:v>
                </c:pt>
                <c:pt idx="76">
                  <c:v>44603</c:v>
                </c:pt>
                <c:pt idx="77">
                  <c:v>44606</c:v>
                </c:pt>
                <c:pt idx="78">
                  <c:v>44607</c:v>
                </c:pt>
                <c:pt idx="79">
                  <c:v>44608</c:v>
                </c:pt>
                <c:pt idx="80">
                  <c:v>44609</c:v>
                </c:pt>
                <c:pt idx="81">
                  <c:v>44610</c:v>
                </c:pt>
                <c:pt idx="82">
                  <c:v>44613</c:v>
                </c:pt>
                <c:pt idx="83">
                  <c:v>44614</c:v>
                </c:pt>
                <c:pt idx="84">
                  <c:v>44615</c:v>
                </c:pt>
                <c:pt idx="85">
                  <c:v>44616</c:v>
                </c:pt>
                <c:pt idx="86">
                  <c:v>44617</c:v>
                </c:pt>
                <c:pt idx="87">
                  <c:v>44620</c:v>
                </c:pt>
                <c:pt idx="88">
                  <c:v>44622</c:v>
                </c:pt>
                <c:pt idx="89">
                  <c:v>44623</c:v>
                </c:pt>
                <c:pt idx="90">
                  <c:v>44624</c:v>
                </c:pt>
                <c:pt idx="91">
                  <c:v>44627</c:v>
                </c:pt>
                <c:pt idx="92">
                  <c:v>44628</c:v>
                </c:pt>
                <c:pt idx="93">
                  <c:v>44629</c:v>
                </c:pt>
                <c:pt idx="94">
                  <c:v>44630</c:v>
                </c:pt>
                <c:pt idx="95">
                  <c:v>44631</c:v>
                </c:pt>
                <c:pt idx="96">
                  <c:v>44634</c:v>
                </c:pt>
                <c:pt idx="97">
                  <c:v>44635</c:v>
                </c:pt>
                <c:pt idx="98">
                  <c:v>44636</c:v>
                </c:pt>
                <c:pt idx="99">
                  <c:v>44637</c:v>
                </c:pt>
                <c:pt idx="100">
                  <c:v>44641</c:v>
                </c:pt>
                <c:pt idx="101">
                  <c:v>44642</c:v>
                </c:pt>
                <c:pt idx="102">
                  <c:v>44643</c:v>
                </c:pt>
                <c:pt idx="103">
                  <c:v>44644</c:v>
                </c:pt>
                <c:pt idx="104">
                  <c:v>44645</c:v>
                </c:pt>
                <c:pt idx="105">
                  <c:v>44648</c:v>
                </c:pt>
                <c:pt idx="106">
                  <c:v>44649</c:v>
                </c:pt>
                <c:pt idx="107">
                  <c:v>44650</c:v>
                </c:pt>
                <c:pt idx="108">
                  <c:v>44651</c:v>
                </c:pt>
                <c:pt idx="109">
                  <c:v>44652</c:v>
                </c:pt>
                <c:pt idx="110">
                  <c:v>44655</c:v>
                </c:pt>
                <c:pt idx="111">
                  <c:v>44656</c:v>
                </c:pt>
                <c:pt idx="112">
                  <c:v>44657</c:v>
                </c:pt>
                <c:pt idx="113">
                  <c:v>44658</c:v>
                </c:pt>
                <c:pt idx="114">
                  <c:v>44659</c:v>
                </c:pt>
                <c:pt idx="115">
                  <c:v>44662</c:v>
                </c:pt>
                <c:pt idx="116">
                  <c:v>44663</c:v>
                </c:pt>
                <c:pt idx="117">
                  <c:v>44664</c:v>
                </c:pt>
                <c:pt idx="118">
                  <c:v>44669</c:v>
                </c:pt>
                <c:pt idx="119">
                  <c:v>44670</c:v>
                </c:pt>
                <c:pt idx="120">
                  <c:v>44671</c:v>
                </c:pt>
                <c:pt idx="121">
                  <c:v>44672</c:v>
                </c:pt>
                <c:pt idx="122">
                  <c:v>44673</c:v>
                </c:pt>
                <c:pt idx="123">
                  <c:v>44676</c:v>
                </c:pt>
                <c:pt idx="124">
                  <c:v>44677</c:v>
                </c:pt>
                <c:pt idx="125">
                  <c:v>44678</c:v>
                </c:pt>
                <c:pt idx="126">
                  <c:v>44679</c:v>
                </c:pt>
                <c:pt idx="127">
                  <c:v>44680</c:v>
                </c:pt>
                <c:pt idx="128">
                  <c:v>44683</c:v>
                </c:pt>
                <c:pt idx="129">
                  <c:v>44685</c:v>
                </c:pt>
                <c:pt idx="130">
                  <c:v>44686</c:v>
                </c:pt>
                <c:pt idx="131">
                  <c:v>44687</c:v>
                </c:pt>
                <c:pt idx="132">
                  <c:v>44690</c:v>
                </c:pt>
                <c:pt idx="133">
                  <c:v>44691</c:v>
                </c:pt>
                <c:pt idx="134">
                  <c:v>44692</c:v>
                </c:pt>
                <c:pt idx="135">
                  <c:v>44693</c:v>
                </c:pt>
                <c:pt idx="136">
                  <c:v>44694</c:v>
                </c:pt>
                <c:pt idx="137">
                  <c:v>44697</c:v>
                </c:pt>
                <c:pt idx="138">
                  <c:v>44698</c:v>
                </c:pt>
                <c:pt idx="139">
                  <c:v>44699</c:v>
                </c:pt>
                <c:pt idx="140">
                  <c:v>44700</c:v>
                </c:pt>
                <c:pt idx="141">
                  <c:v>44701</c:v>
                </c:pt>
                <c:pt idx="142">
                  <c:v>44704</c:v>
                </c:pt>
                <c:pt idx="143">
                  <c:v>44705</c:v>
                </c:pt>
                <c:pt idx="144">
                  <c:v>44706</c:v>
                </c:pt>
                <c:pt idx="145">
                  <c:v>44707</c:v>
                </c:pt>
                <c:pt idx="146">
                  <c:v>44708</c:v>
                </c:pt>
                <c:pt idx="147">
                  <c:v>44711</c:v>
                </c:pt>
                <c:pt idx="148">
                  <c:v>44712</c:v>
                </c:pt>
                <c:pt idx="149">
                  <c:v>44713</c:v>
                </c:pt>
                <c:pt idx="150">
                  <c:v>44714</c:v>
                </c:pt>
                <c:pt idx="151">
                  <c:v>44715</c:v>
                </c:pt>
                <c:pt idx="152">
                  <c:v>44718</c:v>
                </c:pt>
                <c:pt idx="153">
                  <c:v>44719</c:v>
                </c:pt>
                <c:pt idx="154">
                  <c:v>44720</c:v>
                </c:pt>
                <c:pt idx="155">
                  <c:v>44721</c:v>
                </c:pt>
                <c:pt idx="156">
                  <c:v>44722</c:v>
                </c:pt>
                <c:pt idx="157">
                  <c:v>44725</c:v>
                </c:pt>
                <c:pt idx="158">
                  <c:v>44726</c:v>
                </c:pt>
                <c:pt idx="159">
                  <c:v>44727</c:v>
                </c:pt>
                <c:pt idx="160">
                  <c:v>44728</c:v>
                </c:pt>
                <c:pt idx="161">
                  <c:v>44729</c:v>
                </c:pt>
                <c:pt idx="162">
                  <c:v>44732</c:v>
                </c:pt>
                <c:pt idx="163">
                  <c:v>44733</c:v>
                </c:pt>
                <c:pt idx="164">
                  <c:v>44734</c:v>
                </c:pt>
                <c:pt idx="165">
                  <c:v>44735</c:v>
                </c:pt>
                <c:pt idx="166">
                  <c:v>44736</c:v>
                </c:pt>
                <c:pt idx="167">
                  <c:v>44739</c:v>
                </c:pt>
                <c:pt idx="168">
                  <c:v>44740</c:v>
                </c:pt>
                <c:pt idx="169">
                  <c:v>44741</c:v>
                </c:pt>
                <c:pt idx="170">
                  <c:v>44742</c:v>
                </c:pt>
                <c:pt idx="171">
                  <c:v>44743</c:v>
                </c:pt>
                <c:pt idx="172">
                  <c:v>44746</c:v>
                </c:pt>
                <c:pt idx="173">
                  <c:v>44747</c:v>
                </c:pt>
                <c:pt idx="174">
                  <c:v>44748</c:v>
                </c:pt>
                <c:pt idx="175">
                  <c:v>44749</c:v>
                </c:pt>
                <c:pt idx="176">
                  <c:v>44750</c:v>
                </c:pt>
                <c:pt idx="177">
                  <c:v>44753</c:v>
                </c:pt>
                <c:pt idx="178">
                  <c:v>44754</c:v>
                </c:pt>
                <c:pt idx="179">
                  <c:v>44755</c:v>
                </c:pt>
                <c:pt idx="180">
                  <c:v>44756</c:v>
                </c:pt>
                <c:pt idx="181">
                  <c:v>44757</c:v>
                </c:pt>
                <c:pt idx="182">
                  <c:v>44760</c:v>
                </c:pt>
                <c:pt idx="183">
                  <c:v>44761</c:v>
                </c:pt>
                <c:pt idx="184">
                  <c:v>44762</c:v>
                </c:pt>
                <c:pt idx="185">
                  <c:v>44763</c:v>
                </c:pt>
                <c:pt idx="186">
                  <c:v>44764</c:v>
                </c:pt>
                <c:pt idx="187">
                  <c:v>44767</c:v>
                </c:pt>
                <c:pt idx="188">
                  <c:v>44768</c:v>
                </c:pt>
                <c:pt idx="189">
                  <c:v>44769</c:v>
                </c:pt>
                <c:pt idx="190">
                  <c:v>44770</c:v>
                </c:pt>
                <c:pt idx="191">
                  <c:v>44771</c:v>
                </c:pt>
                <c:pt idx="192">
                  <c:v>44774</c:v>
                </c:pt>
                <c:pt idx="193">
                  <c:v>44775</c:v>
                </c:pt>
                <c:pt idx="194">
                  <c:v>44776</c:v>
                </c:pt>
                <c:pt idx="195">
                  <c:v>44777</c:v>
                </c:pt>
                <c:pt idx="196">
                  <c:v>44778</c:v>
                </c:pt>
                <c:pt idx="197">
                  <c:v>44781</c:v>
                </c:pt>
                <c:pt idx="198">
                  <c:v>44783</c:v>
                </c:pt>
                <c:pt idx="199">
                  <c:v>44784</c:v>
                </c:pt>
                <c:pt idx="200">
                  <c:v>44785</c:v>
                </c:pt>
                <c:pt idx="201">
                  <c:v>44789</c:v>
                </c:pt>
                <c:pt idx="202">
                  <c:v>44790</c:v>
                </c:pt>
                <c:pt idx="203">
                  <c:v>44791</c:v>
                </c:pt>
                <c:pt idx="204">
                  <c:v>44792</c:v>
                </c:pt>
                <c:pt idx="205">
                  <c:v>44795</c:v>
                </c:pt>
                <c:pt idx="206">
                  <c:v>44796</c:v>
                </c:pt>
                <c:pt idx="207">
                  <c:v>44797</c:v>
                </c:pt>
                <c:pt idx="208">
                  <c:v>44798</c:v>
                </c:pt>
                <c:pt idx="209">
                  <c:v>44799</c:v>
                </c:pt>
                <c:pt idx="210">
                  <c:v>44802</c:v>
                </c:pt>
                <c:pt idx="211">
                  <c:v>44803</c:v>
                </c:pt>
                <c:pt idx="212">
                  <c:v>44805</c:v>
                </c:pt>
                <c:pt idx="213">
                  <c:v>44806</c:v>
                </c:pt>
                <c:pt idx="214">
                  <c:v>44809</c:v>
                </c:pt>
                <c:pt idx="215">
                  <c:v>44810</c:v>
                </c:pt>
                <c:pt idx="216">
                  <c:v>44811</c:v>
                </c:pt>
                <c:pt idx="217">
                  <c:v>44812</c:v>
                </c:pt>
                <c:pt idx="218">
                  <c:v>44813</c:v>
                </c:pt>
                <c:pt idx="219">
                  <c:v>44816</c:v>
                </c:pt>
                <c:pt idx="220">
                  <c:v>44817</c:v>
                </c:pt>
                <c:pt idx="221">
                  <c:v>44818</c:v>
                </c:pt>
                <c:pt idx="222">
                  <c:v>44819</c:v>
                </c:pt>
                <c:pt idx="223">
                  <c:v>44820</c:v>
                </c:pt>
                <c:pt idx="224">
                  <c:v>44823</c:v>
                </c:pt>
                <c:pt idx="225">
                  <c:v>44824</c:v>
                </c:pt>
                <c:pt idx="226">
                  <c:v>44825</c:v>
                </c:pt>
                <c:pt idx="227">
                  <c:v>44826</c:v>
                </c:pt>
                <c:pt idx="228">
                  <c:v>44827</c:v>
                </c:pt>
                <c:pt idx="229">
                  <c:v>44830</c:v>
                </c:pt>
                <c:pt idx="230">
                  <c:v>44831</c:v>
                </c:pt>
                <c:pt idx="231">
                  <c:v>44832</c:v>
                </c:pt>
                <c:pt idx="232">
                  <c:v>44833</c:v>
                </c:pt>
                <c:pt idx="233">
                  <c:v>44834</c:v>
                </c:pt>
                <c:pt idx="234">
                  <c:v>44837</c:v>
                </c:pt>
                <c:pt idx="235">
                  <c:v>44838</c:v>
                </c:pt>
                <c:pt idx="236">
                  <c:v>44840</c:v>
                </c:pt>
                <c:pt idx="237">
                  <c:v>44841</c:v>
                </c:pt>
                <c:pt idx="238">
                  <c:v>44844</c:v>
                </c:pt>
                <c:pt idx="239">
                  <c:v>44845</c:v>
                </c:pt>
                <c:pt idx="240">
                  <c:v>44846</c:v>
                </c:pt>
                <c:pt idx="241">
                  <c:v>44847</c:v>
                </c:pt>
                <c:pt idx="242">
                  <c:v>44848</c:v>
                </c:pt>
                <c:pt idx="243">
                  <c:v>44851</c:v>
                </c:pt>
                <c:pt idx="244">
                  <c:v>44852</c:v>
                </c:pt>
                <c:pt idx="245">
                  <c:v>44853</c:v>
                </c:pt>
                <c:pt idx="246">
                  <c:v>44854</c:v>
                </c:pt>
                <c:pt idx="247">
                  <c:v>44855</c:v>
                </c:pt>
                <c:pt idx="248">
                  <c:v>44858</c:v>
                </c:pt>
                <c:pt idx="249">
                  <c:v>44859</c:v>
                </c:pt>
                <c:pt idx="250">
                  <c:v>44861</c:v>
                </c:pt>
                <c:pt idx="251">
                  <c:v>44862</c:v>
                </c:pt>
                <c:pt idx="252">
                  <c:v>44865</c:v>
                </c:pt>
                <c:pt idx="253">
                  <c:v>44866</c:v>
                </c:pt>
                <c:pt idx="254">
                  <c:v>44867</c:v>
                </c:pt>
                <c:pt idx="255">
                  <c:v>44868</c:v>
                </c:pt>
                <c:pt idx="256">
                  <c:v>44869</c:v>
                </c:pt>
                <c:pt idx="257">
                  <c:v>44872</c:v>
                </c:pt>
                <c:pt idx="258">
                  <c:v>44874</c:v>
                </c:pt>
                <c:pt idx="259">
                  <c:v>44875</c:v>
                </c:pt>
                <c:pt idx="260">
                  <c:v>44876</c:v>
                </c:pt>
                <c:pt idx="261">
                  <c:v>44879</c:v>
                </c:pt>
                <c:pt idx="262">
                  <c:v>44880</c:v>
                </c:pt>
                <c:pt idx="263">
                  <c:v>44881</c:v>
                </c:pt>
                <c:pt idx="264">
                  <c:v>44882</c:v>
                </c:pt>
                <c:pt idx="265">
                  <c:v>44883</c:v>
                </c:pt>
                <c:pt idx="266">
                  <c:v>44886</c:v>
                </c:pt>
                <c:pt idx="267">
                  <c:v>44887</c:v>
                </c:pt>
                <c:pt idx="268">
                  <c:v>44888</c:v>
                </c:pt>
                <c:pt idx="269">
                  <c:v>44889</c:v>
                </c:pt>
                <c:pt idx="270">
                  <c:v>44890</c:v>
                </c:pt>
                <c:pt idx="271">
                  <c:v>44893</c:v>
                </c:pt>
                <c:pt idx="272">
                  <c:v>44894</c:v>
                </c:pt>
                <c:pt idx="273">
                  <c:v>44895</c:v>
                </c:pt>
                <c:pt idx="274">
                  <c:v>44896</c:v>
                </c:pt>
                <c:pt idx="275">
                  <c:v>44897</c:v>
                </c:pt>
                <c:pt idx="276">
                  <c:v>44900</c:v>
                </c:pt>
                <c:pt idx="277">
                  <c:v>44901</c:v>
                </c:pt>
                <c:pt idx="278">
                  <c:v>44902</c:v>
                </c:pt>
                <c:pt idx="279">
                  <c:v>44903</c:v>
                </c:pt>
                <c:pt idx="280">
                  <c:v>44904</c:v>
                </c:pt>
                <c:pt idx="281">
                  <c:v>44907</c:v>
                </c:pt>
                <c:pt idx="282">
                  <c:v>44908</c:v>
                </c:pt>
                <c:pt idx="283">
                  <c:v>44909</c:v>
                </c:pt>
                <c:pt idx="284">
                  <c:v>44910</c:v>
                </c:pt>
                <c:pt idx="285">
                  <c:v>44911</c:v>
                </c:pt>
                <c:pt idx="286">
                  <c:v>44914</c:v>
                </c:pt>
                <c:pt idx="287">
                  <c:v>44915</c:v>
                </c:pt>
                <c:pt idx="288">
                  <c:v>44916</c:v>
                </c:pt>
                <c:pt idx="289">
                  <c:v>44917</c:v>
                </c:pt>
                <c:pt idx="290">
                  <c:v>44918</c:v>
                </c:pt>
                <c:pt idx="291">
                  <c:v>44921</c:v>
                </c:pt>
                <c:pt idx="292">
                  <c:v>44922</c:v>
                </c:pt>
                <c:pt idx="293">
                  <c:v>44923</c:v>
                </c:pt>
                <c:pt idx="294">
                  <c:v>44924</c:v>
                </c:pt>
                <c:pt idx="295">
                  <c:v>44925</c:v>
                </c:pt>
                <c:pt idx="296">
                  <c:v>44928</c:v>
                </c:pt>
                <c:pt idx="297">
                  <c:v>44929</c:v>
                </c:pt>
                <c:pt idx="298">
                  <c:v>44930</c:v>
                </c:pt>
                <c:pt idx="299">
                  <c:v>44931</c:v>
                </c:pt>
                <c:pt idx="300">
                  <c:v>44932</c:v>
                </c:pt>
                <c:pt idx="301">
                  <c:v>44935</c:v>
                </c:pt>
                <c:pt idx="302">
                  <c:v>44936</c:v>
                </c:pt>
                <c:pt idx="303">
                  <c:v>44937</c:v>
                </c:pt>
                <c:pt idx="304">
                  <c:v>44938</c:v>
                </c:pt>
                <c:pt idx="305">
                  <c:v>44939</c:v>
                </c:pt>
                <c:pt idx="306">
                  <c:v>44942</c:v>
                </c:pt>
                <c:pt idx="307">
                  <c:v>44943</c:v>
                </c:pt>
                <c:pt idx="308">
                  <c:v>44944</c:v>
                </c:pt>
                <c:pt idx="309">
                  <c:v>44945</c:v>
                </c:pt>
                <c:pt idx="310">
                  <c:v>44946</c:v>
                </c:pt>
                <c:pt idx="311">
                  <c:v>44949</c:v>
                </c:pt>
                <c:pt idx="312">
                  <c:v>44950</c:v>
                </c:pt>
                <c:pt idx="313">
                  <c:v>44951</c:v>
                </c:pt>
                <c:pt idx="314">
                  <c:v>44953</c:v>
                </c:pt>
                <c:pt idx="315">
                  <c:v>44956</c:v>
                </c:pt>
                <c:pt idx="316">
                  <c:v>44957</c:v>
                </c:pt>
                <c:pt idx="317">
                  <c:v>44958</c:v>
                </c:pt>
                <c:pt idx="318">
                  <c:v>44959</c:v>
                </c:pt>
                <c:pt idx="319">
                  <c:v>44960</c:v>
                </c:pt>
                <c:pt idx="320">
                  <c:v>44963</c:v>
                </c:pt>
                <c:pt idx="321">
                  <c:v>44964</c:v>
                </c:pt>
                <c:pt idx="322">
                  <c:v>44965</c:v>
                </c:pt>
                <c:pt idx="323">
                  <c:v>44966</c:v>
                </c:pt>
                <c:pt idx="324">
                  <c:v>44967</c:v>
                </c:pt>
                <c:pt idx="325">
                  <c:v>44970</c:v>
                </c:pt>
                <c:pt idx="326">
                  <c:v>44971</c:v>
                </c:pt>
                <c:pt idx="327">
                  <c:v>44972</c:v>
                </c:pt>
                <c:pt idx="328">
                  <c:v>44973</c:v>
                </c:pt>
                <c:pt idx="329">
                  <c:v>44974</c:v>
                </c:pt>
                <c:pt idx="330">
                  <c:v>44977</c:v>
                </c:pt>
                <c:pt idx="331">
                  <c:v>44978</c:v>
                </c:pt>
                <c:pt idx="332">
                  <c:v>44979</c:v>
                </c:pt>
                <c:pt idx="333">
                  <c:v>44980</c:v>
                </c:pt>
                <c:pt idx="334">
                  <c:v>44981</c:v>
                </c:pt>
                <c:pt idx="335">
                  <c:v>44984</c:v>
                </c:pt>
                <c:pt idx="336">
                  <c:v>44985</c:v>
                </c:pt>
                <c:pt idx="337">
                  <c:v>44986</c:v>
                </c:pt>
                <c:pt idx="338">
                  <c:v>44987</c:v>
                </c:pt>
                <c:pt idx="339">
                  <c:v>44988</c:v>
                </c:pt>
                <c:pt idx="340">
                  <c:v>44991</c:v>
                </c:pt>
                <c:pt idx="341">
                  <c:v>44993</c:v>
                </c:pt>
                <c:pt idx="342">
                  <c:v>44994</c:v>
                </c:pt>
                <c:pt idx="343">
                  <c:v>44995</c:v>
                </c:pt>
                <c:pt idx="344">
                  <c:v>44998</c:v>
                </c:pt>
                <c:pt idx="345">
                  <c:v>44999</c:v>
                </c:pt>
                <c:pt idx="346">
                  <c:v>45000</c:v>
                </c:pt>
                <c:pt idx="347">
                  <c:v>45001</c:v>
                </c:pt>
                <c:pt idx="348">
                  <c:v>45002</c:v>
                </c:pt>
                <c:pt idx="349">
                  <c:v>45005</c:v>
                </c:pt>
                <c:pt idx="350">
                  <c:v>45006</c:v>
                </c:pt>
                <c:pt idx="351">
                  <c:v>45007</c:v>
                </c:pt>
                <c:pt idx="352">
                  <c:v>45008</c:v>
                </c:pt>
                <c:pt idx="353">
                  <c:v>45009</c:v>
                </c:pt>
                <c:pt idx="354">
                  <c:v>45012</c:v>
                </c:pt>
                <c:pt idx="355">
                  <c:v>45013</c:v>
                </c:pt>
                <c:pt idx="356">
                  <c:v>45014</c:v>
                </c:pt>
                <c:pt idx="357">
                  <c:v>45016</c:v>
                </c:pt>
                <c:pt idx="358">
                  <c:v>45019</c:v>
                </c:pt>
                <c:pt idx="359">
                  <c:v>45021</c:v>
                </c:pt>
                <c:pt idx="360">
                  <c:v>45022</c:v>
                </c:pt>
                <c:pt idx="361">
                  <c:v>45026</c:v>
                </c:pt>
                <c:pt idx="362">
                  <c:v>45027</c:v>
                </c:pt>
                <c:pt idx="363">
                  <c:v>45028</c:v>
                </c:pt>
                <c:pt idx="364">
                  <c:v>45029</c:v>
                </c:pt>
                <c:pt idx="365">
                  <c:v>45033</c:v>
                </c:pt>
                <c:pt idx="366">
                  <c:v>45034</c:v>
                </c:pt>
                <c:pt idx="367">
                  <c:v>45035</c:v>
                </c:pt>
                <c:pt idx="368">
                  <c:v>45036</c:v>
                </c:pt>
                <c:pt idx="369">
                  <c:v>45037</c:v>
                </c:pt>
                <c:pt idx="370">
                  <c:v>45040</c:v>
                </c:pt>
                <c:pt idx="371">
                  <c:v>45041</c:v>
                </c:pt>
                <c:pt idx="372">
                  <c:v>45042</c:v>
                </c:pt>
                <c:pt idx="373">
                  <c:v>45043</c:v>
                </c:pt>
                <c:pt idx="374">
                  <c:v>45044</c:v>
                </c:pt>
                <c:pt idx="375">
                  <c:v>45048</c:v>
                </c:pt>
                <c:pt idx="376">
                  <c:v>45049</c:v>
                </c:pt>
                <c:pt idx="377">
                  <c:v>45050</c:v>
                </c:pt>
                <c:pt idx="378">
                  <c:v>45051</c:v>
                </c:pt>
                <c:pt idx="379">
                  <c:v>45054</c:v>
                </c:pt>
                <c:pt idx="380">
                  <c:v>45055</c:v>
                </c:pt>
                <c:pt idx="381">
                  <c:v>45056</c:v>
                </c:pt>
                <c:pt idx="382">
                  <c:v>45057</c:v>
                </c:pt>
                <c:pt idx="383">
                  <c:v>45058</c:v>
                </c:pt>
                <c:pt idx="384">
                  <c:v>45061</c:v>
                </c:pt>
                <c:pt idx="385">
                  <c:v>45062</c:v>
                </c:pt>
                <c:pt idx="386">
                  <c:v>45063</c:v>
                </c:pt>
                <c:pt idx="387">
                  <c:v>45064</c:v>
                </c:pt>
                <c:pt idx="388">
                  <c:v>45065</c:v>
                </c:pt>
                <c:pt idx="389">
                  <c:v>45068</c:v>
                </c:pt>
                <c:pt idx="390">
                  <c:v>45069</c:v>
                </c:pt>
                <c:pt idx="391">
                  <c:v>45070</c:v>
                </c:pt>
                <c:pt idx="392">
                  <c:v>45071</c:v>
                </c:pt>
                <c:pt idx="393">
                  <c:v>45072</c:v>
                </c:pt>
                <c:pt idx="394">
                  <c:v>45075</c:v>
                </c:pt>
                <c:pt idx="395">
                  <c:v>45076</c:v>
                </c:pt>
                <c:pt idx="396">
                  <c:v>45077</c:v>
                </c:pt>
                <c:pt idx="397">
                  <c:v>45078</c:v>
                </c:pt>
                <c:pt idx="398">
                  <c:v>45079</c:v>
                </c:pt>
                <c:pt idx="399">
                  <c:v>45082</c:v>
                </c:pt>
                <c:pt idx="400">
                  <c:v>45083</c:v>
                </c:pt>
                <c:pt idx="401">
                  <c:v>45084</c:v>
                </c:pt>
                <c:pt idx="402">
                  <c:v>45085</c:v>
                </c:pt>
                <c:pt idx="403">
                  <c:v>45086</c:v>
                </c:pt>
                <c:pt idx="404">
                  <c:v>45089</c:v>
                </c:pt>
                <c:pt idx="405">
                  <c:v>45090</c:v>
                </c:pt>
                <c:pt idx="406">
                  <c:v>45091</c:v>
                </c:pt>
                <c:pt idx="407">
                  <c:v>45092</c:v>
                </c:pt>
                <c:pt idx="408">
                  <c:v>45093</c:v>
                </c:pt>
                <c:pt idx="409">
                  <c:v>45096</c:v>
                </c:pt>
                <c:pt idx="410">
                  <c:v>45097</c:v>
                </c:pt>
                <c:pt idx="411">
                  <c:v>45098</c:v>
                </c:pt>
                <c:pt idx="412">
                  <c:v>45099</c:v>
                </c:pt>
                <c:pt idx="413">
                  <c:v>45100</c:v>
                </c:pt>
                <c:pt idx="414">
                  <c:v>45103</c:v>
                </c:pt>
                <c:pt idx="415">
                  <c:v>45104</c:v>
                </c:pt>
                <c:pt idx="416">
                  <c:v>45105</c:v>
                </c:pt>
                <c:pt idx="417">
                  <c:v>45107</c:v>
                </c:pt>
                <c:pt idx="418">
                  <c:v>45110</c:v>
                </c:pt>
                <c:pt idx="419">
                  <c:v>45111</c:v>
                </c:pt>
                <c:pt idx="420">
                  <c:v>45112</c:v>
                </c:pt>
                <c:pt idx="421">
                  <c:v>45113</c:v>
                </c:pt>
                <c:pt idx="422">
                  <c:v>45114</c:v>
                </c:pt>
                <c:pt idx="423">
                  <c:v>45117</c:v>
                </c:pt>
                <c:pt idx="424">
                  <c:v>45118</c:v>
                </c:pt>
                <c:pt idx="425">
                  <c:v>45119</c:v>
                </c:pt>
                <c:pt idx="426">
                  <c:v>45120</c:v>
                </c:pt>
                <c:pt idx="427">
                  <c:v>45121</c:v>
                </c:pt>
                <c:pt idx="428">
                  <c:v>45124</c:v>
                </c:pt>
                <c:pt idx="429">
                  <c:v>45125</c:v>
                </c:pt>
                <c:pt idx="430">
                  <c:v>45126</c:v>
                </c:pt>
                <c:pt idx="431">
                  <c:v>45127</c:v>
                </c:pt>
                <c:pt idx="432">
                  <c:v>45128</c:v>
                </c:pt>
                <c:pt idx="433">
                  <c:v>45131</c:v>
                </c:pt>
                <c:pt idx="434">
                  <c:v>45132</c:v>
                </c:pt>
                <c:pt idx="435">
                  <c:v>45133</c:v>
                </c:pt>
                <c:pt idx="436">
                  <c:v>45134</c:v>
                </c:pt>
                <c:pt idx="437">
                  <c:v>45135</c:v>
                </c:pt>
                <c:pt idx="438">
                  <c:v>45138</c:v>
                </c:pt>
                <c:pt idx="439">
                  <c:v>45139</c:v>
                </c:pt>
                <c:pt idx="440">
                  <c:v>45140</c:v>
                </c:pt>
                <c:pt idx="441">
                  <c:v>45141</c:v>
                </c:pt>
                <c:pt idx="442">
                  <c:v>45142</c:v>
                </c:pt>
                <c:pt idx="443">
                  <c:v>45145</c:v>
                </c:pt>
                <c:pt idx="444">
                  <c:v>45146</c:v>
                </c:pt>
                <c:pt idx="445">
                  <c:v>45147</c:v>
                </c:pt>
                <c:pt idx="446">
                  <c:v>45148</c:v>
                </c:pt>
                <c:pt idx="447">
                  <c:v>45149</c:v>
                </c:pt>
                <c:pt idx="448">
                  <c:v>45152</c:v>
                </c:pt>
                <c:pt idx="449">
                  <c:v>45154</c:v>
                </c:pt>
                <c:pt idx="450">
                  <c:v>45155</c:v>
                </c:pt>
                <c:pt idx="451">
                  <c:v>45156</c:v>
                </c:pt>
                <c:pt idx="452">
                  <c:v>45159</c:v>
                </c:pt>
                <c:pt idx="453">
                  <c:v>45160</c:v>
                </c:pt>
                <c:pt idx="454">
                  <c:v>45161</c:v>
                </c:pt>
                <c:pt idx="455">
                  <c:v>45162</c:v>
                </c:pt>
                <c:pt idx="456">
                  <c:v>45163</c:v>
                </c:pt>
                <c:pt idx="457">
                  <c:v>45166</c:v>
                </c:pt>
                <c:pt idx="458">
                  <c:v>45167</c:v>
                </c:pt>
                <c:pt idx="459">
                  <c:v>45168</c:v>
                </c:pt>
                <c:pt idx="460">
                  <c:v>45169</c:v>
                </c:pt>
                <c:pt idx="461">
                  <c:v>45170</c:v>
                </c:pt>
                <c:pt idx="462">
                  <c:v>45173</c:v>
                </c:pt>
                <c:pt idx="463">
                  <c:v>45174</c:v>
                </c:pt>
                <c:pt idx="464">
                  <c:v>45175</c:v>
                </c:pt>
                <c:pt idx="465">
                  <c:v>45176</c:v>
                </c:pt>
                <c:pt idx="466">
                  <c:v>45177</c:v>
                </c:pt>
                <c:pt idx="467">
                  <c:v>45180</c:v>
                </c:pt>
                <c:pt idx="468">
                  <c:v>45181</c:v>
                </c:pt>
                <c:pt idx="469">
                  <c:v>45182</c:v>
                </c:pt>
                <c:pt idx="470">
                  <c:v>45183</c:v>
                </c:pt>
                <c:pt idx="471">
                  <c:v>45184</c:v>
                </c:pt>
                <c:pt idx="472">
                  <c:v>45187</c:v>
                </c:pt>
                <c:pt idx="473">
                  <c:v>45189</c:v>
                </c:pt>
                <c:pt idx="474">
                  <c:v>45190</c:v>
                </c:pt>
                <c:pt idx="475">
                  <c:v>45191</c:v>
                </c:pt>
                <c:pt idx="476">
                  <c:v>45194</c:v>
                </c:pt>
                <c:pt idx="477">
                  <c:v>45195</c:v>
                </c:pt>
                <c:pt idx="478">
                  <c:v>45196</c:v>
                </c:pt>
                <c:pt idx="479">
                  <c:v>45197</c:v>
                </c:pt>
                <c:pt idx="480">
                  <c:v>45198</c:v>
                </c:pt>
                <c:pt idx="481">
                  <c:v>45202</c:v>
                </c:pt>
                <c:pt idx="482">
                  <c:v>45203</c:v>
                </c:pt>
                <c:pt idx="483">
                  <c:v>45204</c:v>
                </c:pt>
                <c:pt idx="484">
                  <c:v>45205</c:v>
                </c:pt>
                <c:pt idx="485">
                  <c:v>45208</c:v>
                </c:pt>
                <c:pt idx="486">
                  <c:v>45209</c:v>
                </c:pt>
                <c:pt idx="487">
                  <c:v>45210</c:v>
                </c:pt>
                <c:pt idx="488">
                  <c:v>45211</c:v>
                </c:pt>
                <c:pt idx="489">
                  <c:v>45212</c:v>
                </c:pt>
                <c:pt idx="490">
                  <c:v>45215</c:v>
                </c:pt>
                <c:pt idx="491">
                  <c:v>45216</c:v>
                </c:pt>
                <c:pt idx="492">
                  <c:v>45217</c:v>
                </c:pt>
                <c:pt idx="493">
                  <c:v>45218</c:v>
                </c:pt>
                <c:pt idx="494">
                  <c:v>45219</c:v>
                </c:pt>
                <c:pt idx="495">
                  <c:v>45222</c:v>
                </c:pt>
                <c:pt idx="496">
                  <c:v>45224</c:v>
                </c:pt>
                <c:pt idx="497">
                  <c:v>45225</c:v>
                </c:pt>
                <c:pt idx="498">
                  <c:v>45226</c:v>
                </c:pt>
                <c:pt idx="499">
                  <c:v>45229</c:v>
                </c:pt>
                <c:pt idx="500">
                  <c:v>45230</c:v>
                </c:pt>
                <c:pt idx="501">
                  <c:v>45231</c:v>
                </c:pt>
                <c:pt idx="502">
                  <c:v>45232</c:v>
                </c:pt>
                <c:pt idx="503">
                  <c:v>45233</c:v>
                </c:pt>
                <c:pt idx="504">
                  <c:v>45236</c:v>
                </c:pt>
                <c:pt idx="505">
                  <c:v>45237</c:v>
                </c:pt>
                <c:pt idx="506">
                  <c:v>45238</c:v>
                </c:pt>
                <c:pt idx="507">
                  <c:v>45239</c:v>
                </c:pt>
                <c:pt idx="508">
                  <c:v>45240</c:v>
                </c:pt>
                <c:pt idx="509">
                  <c:v>45242</c:v>
                </c:pt>
                <c:pt idx="510">
                  <c:v>45243</c:v>
                </c:pt>
                <c:pt idx="511">
                  <c:v>45245</c:v>
                </c:pt>
                <c:pt idx="512">
                  <c:v>45246</c:v>
                </c:pt>
                <c:pt idx="513">
                  <c:v>45247</c:v>
                </c:pt>
                <c:pt idx="514">
                  <c:v>45250</c:v>
                </c:pt>
                <c:pt idx="515">
                  <c:v>45251</c:v>
                </c:pt>
                <c:pt idx="516">
                  <c:v>45252</c:v>
                </c:pt>
                <c:pt idx="517">
                  <c:v>45253</c:v>
                </c:pt>
                <c:pt idx="518">
                  <c:v>45254</c:v>
                </c:pt>
                <c:pt idx="519">
                  <c:v>45258</c:v>
                </c:pt>
                <c:pt idx="520">
                  <c:v>45259</c:v>
                </c:pt>
                <c:pt idx="521">
                  <c:v>45260</c:v>
                </c:pt>
                <c:pt idx="522">
                  <c:v>45261</c:v>
                </c:pt>
                <c:pt idx="523">
                  <c:v>45264</c:v>
                </c:pt>
                <c:pt idx="524">
                  <c:v>45265</c:v>
                </c:pt>
                <c:pt idx="525">
                  <c:v>45266</c:v>
                </c:pt>
                <c:pt idx="526">
                  <c:v>45267</c:v>
                </c:pt>
                <c:pt idx="527">
                  <c:v>45268</c:v>
                </c:pt>
                <c:pt idx="528">
                  <c:v>45271</c:v>
                </c:pt>
                <c:pt idx="529">
                  <c:v>45272</c:v>
                </c:pt>
                <c:pt idx="530">
                  <c:v>45273</c:v>
                </c:pt>
                <c:pt idx="531">
                  <c:v>45274</c:v>
                </c:pt>
                <c:pt idx="532">
                  <c:v>45275</c:v>
                </c:pt>
                <c:pt idx="533">
                  <c:v>45278</c:v>
                </c:pt>
                <c:pt idx="534">
                  <c:v>45279</c:v>
                </c:pt>
                <c:pt idx="535">
                  <c:v>45280</c:v>
                </c:pt>
                <c:pt idx="536">
                  <c:v>45281</c:v>
                </c:pt>
                <c:pt idx="537">
                  <c:v>45282</c:v>
                </c:pt>
                <c:pt idx="538">
                  <c:v>45286</c:v>
                </c:pt>
                <c:pt idx="539">
                  <c:v>45287</c:v>
                </c:pt>
                <c:pt idx="540">
                  <c:v>45288</c:v>
                </c:pt>
                <c:pt idx="541">
                  <c:v>45289</c:v>
                </c:pt>
                <c:pt idx="542">
                  <c:v>45292</c:v>
                </c:pt>
                <c:pt idx="543">
                  <c:v>45293</c:v>
                </c:pt>
                <c:pt idx="544">
                  <c:v>45294</c:v>
                </c:pt>
                <c:pt idx="545">
                  <c:v>45295</c:v>
                </c:pt>
                <c:pt idx="546">
                  <c:v>45296</c:v>
                </c:pt>
                <c:pt idx="547">
                  <c:v>45299</c:v>
                </c:pt>
                <c:pt idx="548">
                  <c:v>45300</c:v>
                </c:pt>
                <c:pt idx="549">
                  <c:v>45301</c:v>
                </c:pt>
                <c:pt idx="550">
                  <c:v>45302</c:v>
                </c:pt>
                <c:pt idx="551">
                  <c:v>45303</c:v>
                </c:pt>
                <c:pt idx="552">
                  <c:v>45306</c:v>
                </c:pt>
                <c:pt idx="553">
                  <c:v>45307</c:v>
                </c:pt>
                <c:pt idx="554">
                  <c:v>45308</c:v>
                </c:pt>
                <c:pt idx="555">
                  <c:v>45309</c:v>
                </c:pt>
                <c:pt idx="556">
                  <c:v>45310</c:v>
                </c:pt>
                <c:pt idx="557">
                  <c:v>45311</c:v>
                </c:pt>
                <c:pt idx="558">
                  <c:v>45314</c:v>
                </c:pt>
                <c:pt idx="559">
                  <c:v>45315</c:v>
                </c:pt>
                <c:pt idx="560">
                  <c:v>45316</c:v>
                </c:pt>
                <c:pt idx="561">
                  <c:v>45320</c:v>
                </c:pt>
                <c:pt idx="562">
                  <c:v>45321</c:v>
                </c:pt>
                <c:pt idx="563">
                  <c:v>45322</c:v>
                </c:pt>
                <c:pt idx="564">
                  <c:v>45323</c:v>
                </c:pt>
                <c:pt idx="565">
                  <c:v>45324</c:v>
                </c:pt>
                <c:pt idx="566">
                  <c:v>45327</c:v>
                </c:pt>
                <c:pt idx="567">
                  <c:v>45328</c:v>
                </c:pt>
                <c:pt idx="568">
                  <c:v>45329</c:v>
                </c:pt>
                <c:pt idx="569">
                  <c:v>45330</c:v>
                </c:pt>
                <c:pt idx="570">
                  <c:v>45331</c:v>
                </c:pt>
                <c:pt idx="571">
                  <c:v>45334</c:v>
                </c:pt>
                <c:pt idx="572">
                  <c:v>45335</c:v>
                </c:pt>
                <c:pt idx="573">
                  <c:v>45336</c:v>
                </c:pt>
                <c:pt idx="574">
                  <c:v>45337</c:v>
                </c:pt>
                <c:pt idx="575">
                  <c:v>45338</c:v>
                </c:pt>
                <c:pt idx="576">
                  <c:v>45341</c:v>
                </c:pt>
                <c:pt idx="577">
                  <c:v>45342</c:v>
                </c:pt>
                <c:pt idx="578">
                  <c:v>45343</c:v>
                </c:pt>
                <c:pt idx="579">
                  <c:v>45344</c:v>
                </c:pt>
                <c:pt idx="580">
                  <c:v>45345</c:v>
                </c:pt>
                <c:pt idx="581">
                  <c:v>45348</c:v>
                </c:pt>
                <c:pt idx="582">
                  <c:v>45349</c:v>
                </c:pt>
                <c:pt idx="583">
                  <c:v>45350</c:v>
                </c:pt>
                <c:pt idx="584">
                  <c:v>45351</c:v>
                </c:pt>
                <c:pt idx="585">
                  <c:v>45352</c:v>
                </c:pt>
                <c:pt idx="586">
                  <c:v>45355</c:v>
                </c:pt>
                <c:pt idx="587">
                  <c:v>45356</c:v>
                </c:pt>
                <c:pt idx="588">
                  <c:v>45357</c:v>
                </c:pt>
                <c:pt idx="589">
                  <c:v>45358</c:v>
                </c:pt>
                <c:pt idx="590">
                  <c:v>45362</c:v>
                </c:pt>
                <c:pt idx="591">
                  <c:v>45363</c:v>
                </c:pt>
                <c:pt idx="592">
                  <c:v>45364</c:v>
                </c:pt>
                <c:pt idx="593">
                  <c:v>45365</c:v>
                </c:pt>
                <c:pt idx="594">
                  <c:v>45366</c:v>
                </c:pt>
                <c:pt idx="595">
                  <c:v>45369</c:v>
                </c:pt>
                <c:pt idx="596">
                  <c:v>45370</c:v>
                </c:pt>
                <c:pt idx="597">
                  <c:v>45371</c:v>
                </c:pt>
                <c:pt idx="598">
                  <c:v>45372</c:v>
                </c:pt>
                <c:pt idx="599">
                  <c:v>45373</c:v>
                </c:pt>
                <c:pt idx="600">
                  <c:v>45377</c:v>
                </c:pt>
                <c:pt idx="601">
                  <c:v>45378</c:v>
                </c:pt>
                <c:pt idx="602">
                  <c:v>45379</c:v>
                </c:pt>
                <c:pt idx="603">
                  <c:v>45383</c:v>
                </c:pt>
                <c:pt idx="604">
                  <c:v>45384</c:v>
                </c:pt>
                <c:pt idx="605">
                  <c:v>45385</c:v>
                </c:pt>
                <c:pt idx="606">
                  <c:v>45386</c:v>
                </c:pt>
                <c:pt idx="607">
                  <c:v>45387</c:v>
                </c:pt>
                <c:pt idx="608">
                  <c:v>45390</c:v>
                </c:pt>
                <c:pt idx="609">
                  <c:v>45391</c:v>
                </c:pt>
                <c:pt idx="610">
                  <c:v>45392</c:v>
                </c:pt>
                <c:pt idx="611">
                  <c:v>45394</c:v>
                </c:pt>
                <c:pt idx="612">
                  <c:v>45397</c:v>
                </c:pt>
                <c:pt idx="613">
                  <c:v>45398</c:v>
                </c:pt>
                <c:pt idx="614">
                  <c:v>45400</c:v>
                </c:pt>
                <c:pt idx="615">
                  <c:v>45401</c:v>
                </c:pt>
                <c:pt idx="616">
                  <c:v>45404</c:v>
                </c:pt>
                <c:pt idx="617">
                  <c:v>45405</c:v>
                </c:pt>
                <c:pt idx="618">
                  <c:v>45406</c:v>
                </c:pt>
                <c:pt idx="619">
                  <c:v>45407</c:v>
                </c:pt>
                <c:pt idx="620">
                  <c:v>45408</c:v>
                </c:pt>
                <c:pt idx="621">
                  <c:v>45411</c:v>
                </c:pt>
                <c:pt idx="622">
                  <c:v>45412</c:v>
                </c:pt>
                <c:pt idx="623">
                  <c:v>45414</c:v>
                </c:pt>
                <c:pt idx="624">
                  <c:v>45415</c:v>
                </c:pt>
                <c:pt idx="625">
                  <c:v>45418</c:v>
                </c:pt>
                <c:pt idx="626">
                  <c:v>45419</c:v>
                </c:pt>
                <c:pt idx="627">
                  <c:v>45420</c:v>
                </c:pt>
                <c:pt idx="628">
                  <c:v>45421</c:v>
                </c:pt>
                <c:pt idx="629">
                  <c:v>45422</c:v>
                </c:pt>
                <c:pt idx="630">
                  <c:v>45425</c:v>
                </c:pt>
                <c:pt idx="631">
                  <c:v>45426</c:v>
                </c:pt>
                <c:pt idx="632">
                  <c:v>45427</c:v>
                </c:pt>
                <c:pt idx="633">
                  <c:v>45428</c:v>
                </c:pt>
                <c:pt idx="634">
                  <c:v>45429</c:v>
                </c:pt>
                <c:pt idx="635">
                  <c:v>45430</c:v>
                </c:pt>
                <c:pt idx="636">
                  <c:v>45433</c:v>
                </c:pt>
                <c:pt idx="637">
                  <c:v>45434</c:v>
                </c:pt>
                <c:pt idx="638">
                  <c:v>45435</c:v>
                </c:pt>
                <c:pt idx="639">
                  <c:v>45436</c:v>
                </c:pt>
                <c:pt idx="640">
                  <c:v>45439</c:v>
                </c:pt>
                <c:pt idx="641">
                  <c:v>45440</c:v>
                </c:pt>
                <c:pt idx="642">
                  <c:v>45441</c:v>
                </c:pt>
                <c:pt idx="643">
                  <c:v>45442</c:v>
                </c:pt>
                <c:pt idx="644">
                  <c:v>45443</c:v>
                </c:pt>
                <c:pt idx="645">
                  <c:v>45446</c:v>
                </c:pt>
                <c:pt idx="646">
                  <c:v>45447</c:v>
                </c:pt>
                <c:pt idx="647">
                  <c:v>45448</c:v>
                </c:pt>
                <c:pt idx="648">
                  <c:v>45449</c:v>
                </c:pt>
                <c:pt idx="649">
                  <c:v>45450</c:v>
                </c:pt>
                <c:pt idx="650">
                  <c:v>45453</c:v>
                </c:pt>
                <c:pt idx="651">
                  <c:v>45454</c:v>
                </c:pt>
                <c:pt idx="652">
                  <c:v>45455</c:v>
                </c:pt>
                <c:pt idx="653">
                  <c:v>45456</c:v>
                </c:pt>
                <c:pt idx="654">
                  <c:v>45457</c:v>
                </c:pt>
                <c:pt idx="655">
                  <c:v>45461</c:v>
                </c:pt>
                <c:pt idx="656">
                  <c:v>45462</c:v>
                </c:pt>
                <c:pt idx="657">
                  <c:v>45463</c:v>
                </c:pt>
                <c:pt idx="658">
                  <c:v>45464</c:v>
                </c:pt>
                <c:pt idx="659">
                  <c:v>45467</c:v>
                </c:pt>
                <c:pt idx="660">
                  <c:v>45468</c:v>
                </c:pt>
                <c:pt idx="661">
                  <c:v>45469</c:v>
                </c:pt>
                <c:pt idx="662">
                  <c:v>45470</c:v>
                </c:pt>
                <c:pt idx="663">
                  <c:v>45471</c:v>
                </c:pt>
                <c:pt idx="664">
                  <c:v>45474</c:v>
                </c:pt>
                <c:pt idx="665">
                  <c:v>45475</c:v>
                </c:pt>
                <c:pt idx="666">
                  <c:v>45476</c:v>
                </c:pt>
                <c:pt idx="667">
                  <c:v>45477</c:v>
                </c:pt>
                <c:pt idx="668">
                  <c:v>45478</c:v>
                </c:pt>
                <c:pt idx="669">
                  <c:v>45481</c:v>
                </c:pt>
                <c:pt idx="670">
                  <c:v>45482</c:v>
                </c:pt>
                <c:pt idx="671">
                  <c:v>45483</c:v>
                </c:pt>
                <c:pt idx="672">
                  <c:v>45484</c:v>
                </c:pt>
                <c:pt idx="673">
                  <c:v>45485</c:v>
                </c:pt>
                <c:pt idx="674">
                  <c:v>45488</c:v>
                </c:pt>
                <c:pt idx="675">
                  <c:v>45489</c:v>
                </c:pt>
                <c:pt idx="676">
                  <c:v>45491</c:v>
                </c:pt>
                <c:pt idx="677">
                  <c:v>45492</c:v>
                </c:pt>
                <c:pt idx="678">
                  <c:v>45495</c:v>
                </c:pt>
                <c:pt idx="679">
                  <c:v>45496</c:v>
                </c:pt>
                <c:pt idx="680">
                  <c:v>45497</c:v>
                </c:pt>
                <c:pt idx="681">
                  <c:v>45498</c:v>
                </c:pt>
                <c:pt idx="682">
                  <c:v>45499</c:v>
                </c:pt>
                <c:pt idx="683">
                  <c:v>45502</c:v>
                </c:pt>
                <c:pt idx="684">
                  <c:v>45503</c:v>
                </c:pt>
                <c:pt idx="685">
                  <c:v>45504</c:v>
                </c:pt>
                <c:pt idx="686">
                  <c:v>45505</c:v>
                </c:pt>
                <c:pt idx="687">
                  <c:v>45506</c:v>
                </c:pt>
                <c:pt idx="688">
                  <c:v>45509</c:v>
                </c:pt>
                <c:pt idx="689">
                  <c:v>45510</c:v>
                </c:pt>
                <c:pt idx="690">
                  <c:v>45511</c:v>
                </c:pt>
                <c:pt idx="691">
                  <c:v>45512</c:v>
                </c:pt>
                <c:pt idx="692">
                  <c:v>45513</c:v>
                </c:pt>
                <c:pt idx="693">
                  <c:v>45516</c:v>
                </c:pt>
                <c:pt idx="694">
                  <c:v>45517</c:v>
                </c:pt>
                <c:pt idx="695">
                  <c:v>45518</c:v>
                </c:pt>
                <c:pt idx="696">
                  <c:v>45520</c:v>
                </c:pt>
                <c:pt idx="697">
                  <c:v>45523</c:v>
                </c:pt>
                <c:pt idx="698">
                  <c:v>45524</c:v>
                </c:pt>
                <c:pt idx="699">
                  <c:v>45525</c:v>
                </c:pt>
                <c:pt idx="700">
                  <c:v>45526</c:v>
                </c:pt>
                <c:pt idx="701">
                  <c:v>45527</c:v>
                </c:pt>
                <c:pt idx="702">
                  <c:v>45530</c:v>
                </c:pt>
                <c:pt idx="703">
                  <c:v>45531</c:v>
                </c:pt>
                <c:pt idx="704">
                  <c:v>45532</c:v>
                </c:pt>
                <c:pt idx="705">
                  <c:v>45533</c:v>
                </c:pt>
                <c:pt idx="706">
                  <c:v>45534</c:v>
                </c:pt>
                <c:pt idx="707">
                  <c:v>45537</c:v>
                </c:pt>
                <c:pt idx="708">
                  <c:v>45538</c:v>
                </c:pt>
                <c:pt idx="709">
                  <c:v>45539</c:v>
                </c:pt>
                <c:pt idx="710">
                  <c:v>45540</c:v>
                </c:pt>
                <c:pt idx="711">
                  <c:v>45541</c:v>
                </c:pt>
                <c:pt idx="712">
                  <c:v>45544</c:v>
                </c:pt>
                <c:pt idx="713">
                  <c:v>45545</c:v>
                </c:pt>
                <c:pt idx="714">
                  <c:v>45546</c:v>
                </c:pt>
                <c:pt idx="715">
                  <c:v>45547</c:v>
                </c:pt>
                <c:pt idx="716">
                  <c:v>45548</c:v>
                </c:pt>
                <c:pt idx="717">
                  <c:v>45551</c:v>
                </c:pt>
                <c:pt idx="718">
                  <c:v>45552</c:v>
                </c:pt>
                <c:pt idx="719">
                  <c:v>45553</c:v>
                </c:pt>
                <c:pt idx="720">
                  <c:v>45554</c:v>
                </c:pt>
                <c:pt idx="721">
                  <c:v>45555</c:v>
                </c:pt>
                <c:pt idx="722">
                  <c:v>45558</c:v>
                </c:pt>
                <c:pt idx="723">
                  <c:v>45559</c:v>
                </c:pt>
                <c:pt idx="724">
                  <c:v>45560</c:v>
                </c:pt>
                <c:pt idx="725">
                  <c:v>45561</c:v>
                </c:pt>
                <c:pt idx="726">
                  <c:v>45562</c:v>
                </c:pt>
                <c:pt idx="727">
                  <c:v>45565</c:v>
                </c:pt>
                <c:pt idx="728">
                  <c:v>45566</c:v>
                </c:pt>
                <c:pt idx="729">
                  <c:v>45568</c:v>
                </c:pt>
                <c:pt idx="730">
                  <c:v>45569</c:v>
                </c:pt>
                <c:pt idx="731">
                  <c:v>45572</c:v>
                </c:pt>
                <c:pt idx="732">
                  <c:v>45573</c:v>
                </c:pt>
                <c:pt idx="733">
                  <c:v>45574</c:v>
                </c:pt>
                <c:pt idx="734">
                  <c:v>45575</c:v>
                </c:pt>
                <c:pt idx="735">
                  <c:v>45576</c:v>
                </c:pt>
                <c:pt idx="736">
                  <c:v>45579</c:v>
                </c:pt>
                <c:pt idx="737">
                  <c:v>45580</c:v>
                </c:pt>
                <c:pt idx="738">
                  <c:v>45581</c:v>
                </c:pt>
                <c:pt idx="739">
                  <c:v>45582</c:v>
                </c:pt>
                <c:pt idx="740">
                  <c:v>45583</c:v>
                </c:pt>
                <c:pt idx="741">
                  <c:v>45586</c:v>
                </c:pt>
                <c:pt idx="742">
                  <c:v>45587</c:v>
                </c:pt>
                <c:pt idx="743">
                  <c:v>45588</c:v>
                </c:pt>
                <c:pt idx="744">
                  <c:v>45589</c:v>
                </c:pt>
                <c:pt idx="745">
                  <c:v>45590</c:v>
                </c:pt>
                <c:pt idx="746">
                  <c:v>45593</c:v>
                </c:pt>
                <c:pt idx="747">
                  <c:v>45594</c:v>
                </c:pt>
                <c:pt idx="748">
                  <c:v>45595</c:v>
                </c:pt>
                <c:pt idx="749">
                  <c:v>45596</c:v>
                </c:pt>
                <c:pt idx="750">
                  <c:v>45597</c:v>
                </c:pt>
                <c:pt idx="751">
                  <c:v>45600</c:v>
                </c:pt>
                <c:pt idx="752">
                  <c:v>45601</c:v>
                </c:pt>
                <c:pt idx="753">
                  <c:v>45602</c:v>
                </c:pt>
                <c:pt idx="754">
                  <c:v>45603</c:v>
                </c:pt>
                <c:pt idx="755">
                  <c:v>45604</c:v>
                </c:pt>
                <c:pt idx="756">
                  <c:v>45607</c:v>
                </c:pt>
                <c:pt idx="757">
                  <c:v>45608</c:v>
                </c:pt>
                <c:pt idx="758">
                  <c:v>45609</c:v>
                </c:pt>
                <c:pt idx="759">
                  <c:v>45610</c:v>
                </c:pt>
                <c:pt idx="760">
                  <c:v>45614</c:v>
                </c:pt>
                <c:pt idx="761">
                  <c:v>45615</c:v>
                </c:pt>
                <c:pt idx="762">
                  <c:v>45617</c:v>
                </c:pt>
                <c:pt idx="763">
                  <c:v>45618</c:v>
                </c:pt>
                <c:pt idx="764">
                  <c:v>45621</c:v>
                </c:pt>
                <c:pt idx="765">
                  <c:v>45622</c:v>
                </c:pt>
                <c:pt idx="766">
                  <c:v>45623</c:v>
                </c:pt>
                <c:pt idx="767">
                  <c:v>45624</c:v>
                </c:pt>
                <c:pt idx="768">
                  <c:v>45625</c:v>
                </c:pt>
                <c:pt idx="769">
                  <c:v>45628</c:v>
                </c:pt>
                <c:pt idx="770">
                  <c:v>45629</c:v>
                </c:pt>
                <c:pt idx="771">
                  <c:v>45630</c:v>
                </c:pt>
                <c:pt idx="772">
                  <c:v>45631</c:v>
                </c:pt>
                <c:pt idx="773">
                  <c:v>45632</c:v>
                </c:pt>
                <c:pt idx="774">
                  <c:v>45635</c:v>
                </c:pt>
                <c:pt idx="775">
                  <c:v>45636</c:v>
                </c:pt>
                <c:pt idx="776">
                  <c:v>45637</c:v>
                </c:pt>
                <c:pt idx="777">
                  <c:v>45638</c:v>
                </c:pt>
                <c:pt idx="778">
                  <c:v>45639</c:v>
                </c:pt>
                <c:pt idx="779">
                  <c:v>45642</c:v>
                </c:pt>
                <c:pt idx="780">
                  <c:v>45643</c:v>
                </c:pt>
                <c:pt idx="781">
                  <c:v>45644</c:v>
                </c:pt>
                <c:pt idx="782">
                  <c:v>45645</c:v>
                </c:pt>
                <c:pt idx="783">
                  <c:v>45646</c:v>
                </c:pt>
                <c:pt idx="784">
                  <c:v>45649</c:v>
                </c:pt>
                <c:pt idx="785">
                  <c:v>45650</c:v>
                </c:pt>
                <c:pt idx="786">
                  <c:v>45652</c:v>
                </c:pt>
                <c:pt idx="787">
                  <c:v>45653</c:v>
                </c:pt>
                <c:pt idx="788">
                  <c:v>45656</c:v>
                </c:pt>
                <c:pt idx="789">
                  <c:v>45657</c:v>
                </c:pt>
                <c:pt idx="790">
                  <c:v>45658</c:v>
                </c:pt>
                <c:pt idx="791">
                  <c:v>45659</c:v>
                </c:pt>
                <c:pt idx="792">
                  <c:v>45660</c:v>
                </c:pt>
                <c:pt idx="793">
                  <c:v>45663</c:v>
                </c:pt>
                <c:pt idx="794">
                  <c:v>45664</c:v>
                </c:pt>
                <c:pt idx="795">
                  <c:v>45665</c:v>
                </c:pt>
                <c:pt idx="796">
                  <c:v>45666</c:v>
                </c:pt>
                <c:pt idx="797">
                  <c:v>45667</c:v>
                </c:pt>
                <c:pt idx="798">
                  <c:v>45670</c:v>
                </c:pt>
                <c:pt idx="799">
                  <c:v>45671</c:v>
                </c:pt>
                <c:pt idx="800">
                  <c:v>45672</c:v>
                </c:pt>
                <c:pt idx="801">
                  <c:v>45673</c:v>
                </c:pt>
                <c:pt idx="802">
                  <c:v>45674</c:v>
                </c:pt>
                <c:pt idx="803">
                  <c:v>45677</c:v>
                </c:pt>
                <c:pt idx="804">
                  <c:v>45678</c:v>
                </c:pt>
                <c:pt idx="805">
                  <c:v>45679</c:v>
                </c:pt>
                <c:pt idx="806">
                  <c:v>45680</c:v>
                </c:pt>
                <c:pt idx="807">
                  <c:v>45681</c:v>
                </c:pt>
                <c:pt idx="808">
                  <c:v>45684</c:v>
                </c:pt>
                <c:pt idx="809">
                  <c:v>45685</c:v>
                </c:pt>
                <c:pt idx="810">
                  <c:v>45686</c:v>
                </c:pt>
                <c:pt idx="811">
                  <c:v>45687</c:v>
                </c:pt>
                <c:pt idx="812">
                  <c:v>45688</c:v>
                </c:pt>
                <c:pt idx="813">
                  <c:v>45689</c:v>
                </c:pt>
                <c:pt idx="814">
                  <c:v>45691</c:v>
                </c:pt>
                <c:pt idx="815">
                  <c:v>45692</c:v>
                </c:pt>
                <c:pt idx="816">
                  <c:v>45693</c:v>
                </c:pt>
                <c:pt idx="817">
                  <c:v>45694</c:v>
                </c:pt>
                <c:pt idx="818">
                  <c:v>45695</c:v>
                </c:pt>
                <c:pt idx="819">
                  <c:v>45698</c:v>
                </c:pt>
                <c:pt idx="820">
                  <c:v>45699</c:v>
                </c:pt>
                <c:pt idx="821">
                  <c:v>45700</c:v>
                </c:pt>
                <c:pt idx="822">
                  <c:v>45701</c:v>
                </c:pt>
                <c:pt idx="823">
                  <c:v>45702</c:v>
                </c:pt>
                <c:pt idx="824">
                  <c:v>45705</c:v>
                </c:pt>
                <c:pt idx="825">
                  <c:v>45706</c:v>
                </c:pt>
                <c:pt idx="826">
                  <c:v>45707</c:v>
                </c:pt>
                <c:pt idx="827">
                  <c:v>45708</c:v>
                </c:pt>
                <c:pt idx="828">
                  <c:v>45709</c:v>
                </c:pt>
                <c:pt idx="829">
                  <c:v>45712</c:v>
                </c:pt>
                <c:pt idx="830">
                  <c:v>45713</c:v>
                </c:pt>
                <c:pt idx="831">
                  <c:v>45715</c:v>
                </c:pt>
                <c:pt idx="832">
                  <c:v>45716</c:v>
                </c:pt>
                <c:pt idx="833">
                  <c:v>45719</c:v>
                </c:pt>
                <c:pt idx="834">
                  <c:v>45720</c:v>
                </c:pt>
                <c:pt idx="835">
                  <c:v>45721</c:v>
                </c:pt>
                <c:pt idx="836">
                  <c:v>45722</c:v>
                </c:pt>
                <c:pt idx="837">
                  <c:v>45723</c:v>
                </c:pt>
                <c:pt idx="838">
                  <c:v>45726</c:v>
                </c:pt>
                <c:pt idx="839">
                  <c:v>45727</c:v>
                </c:pt>
                <c:pt idx="840">
                  <c:v>45728</c:v>
                </c:pt>
                <c:pt idx="841">
                  <c:v>45729</c:v>
                </c:pt>
                <c:pt idx="842">
                  <c:v>45733</c:v>
                </c:pt>
                <c:pt idx="843">
                  <c:v>45734</c:v>
                </c:pt>
                <c:pt idx="844">
                  <c:v>45735</c:v>
                </c:pt>
                <c:pt idx="845">
                  <c:v>45736</c:v>
                </c:pt>
                <c:pt idx="846">
                  <c:v>45737</c:v>
                </c:pt>
                <c:pt idx="847">
                  <c:v>45740</c:v>
                </c:pt>
                <c:pt idx="848">
                  <c:v>45741</c:v>
                </c:pt>
                <c:pt idx="849">
                  <c:v>45742</c:v>
                </c:pt>
                <c:pt idx="850">
                  <c:v>45743</c:v>
                </c:pt>
                <c:pt idx="851">
                  <c:v>45744</c:v>
                </c:pt>
                <c:pt idx="852">
                  <c:v>45748</c:v>
                </c:pt>
                <c:pt idx="853">
                  <c:v>45749</c:v>
                </c:pt>
                <c:pt idx="854">
                  <c:v>45750</c:v>
                </c:pt>
                <c:pt idx="855">
                  <c:v>45751</c:v>
                </c:pt>
                <c:pt idx="856">
                  <c:v>45754</c:v>
                </c:pt>
                <c:pt idx="857">
                  <c:v>45755</c:v>
                </c:pt>
                <c:pt idx="858">
                  <c:v>45756</c:v>
                </c:pt>
                <c:pt idx="859">
                  <c:v>45758</c:v>
                </c:pt>
                <c:pt idx="860">
                  <c:v>45762</c:v>
                </c:pt>
                <c:pt idx="861">
                  <c:v>45763</c:v>
                </c:pt>
                <c:pt idx="862">
                  <c:v>45764</c:v>
                </c:pt>
                <c:pt idx="863">
                  <c:v>45768</c:v>
                </c:pt>
                <c:pt idx="864">
                  <c:v>45769</c:v>
                </c:pt>
                <c:pt idx="865">
                  <c:v>45770</c:v>
                </c:pt>
                <c:pt idx="866">
                  <c:v>45771</c:v>
                </c:pt>
                <c:pt idx="867">
                  <c:v>45772</c:v>
                </c:pt>
                <c:pt idx="868">
                  <c:v>45775</c:v>
                </c:pt>
                <c:pt idx="869">
                  <c:v>45776</c:v>
                </c:pt>
                <c:pt idx="870">
                  <c:v>45777</c:v>
                </c:pt>
                <c:pt idx="871">
                  <c:v>45779</c:v>
                </c:pt>
                <c:pt idx="872">
                  <c:v>45782</c:v>
                </c:pt>
                <c:pt idx="873">
                  <c:v>45783</c:v>
                </c:pt>
                <c:pt idx="874">
                  <c:v>45784</c:v>
                </c:pt>
                <c:pt idx="875">
                  <c:v>45785</c:v>
                </c:pt>
                <c:pt idx="876">
                  <c:v>45786</c:v>
                </c:pt>
                <c:pt idx="877">
                  <c:v>45789</c:v>
                </c:pt>
                <c:pt idx="878">
                  <c:v>45790</c:v>
                </c:pt>
                <c:pt idx="879">
                  <c:v>45791</c:v>
                </c:pt>
                <c:pt idx="880">
                  <c:v>45792</c:v>
                </c:pt>
                <c:pt idx="881">
                  <c:v>45793</c:v>
                </c:pt>
                <c:pt idx="882">
                  <c:v>45796</c:v>
                </c:pt>
                <c:pt idx="883">
                  <c:v>45797</c:v>
                </c:pt>
                <c:pt idx="884">
                  <c:v>45798</c:v>
                </c:pt>
                <c:pt idx="885">
                  <c:v>45799</c:v>
                </c:pt>
                <c:pt idx="886">
                  <c:v>45800</c:v>
                </c:pt>
                <c:pt idx="887">
                  <c:v>45803</c:v>
                </c:pt>
                <c:pt idx="888">
                  <c:v>45804</c:v>
                </c:pt>
                <c:pt idx="889">
                  <c:v>45805</c:v>
                </c:pt>
                <c:pt idx="890">
                  <c:v>45806</c:v>
                </c:pt>
                <c:pt idx="891">
                  <c:v>45807</c:v>
                </c:pt>
                <c:pt idx="892">
                  <c:v>45810</c:v>
                </c:pt>
                <c:pt idx="893">
                  <c:v>45811</c:v>
                </c:pt>
                <c:pt idx="894">
                  <c:v>45812</c:v>
                </c:pt>
                <c:pt idx="895">
                  <c:v>45813</c:v>
                </c:pt>
                <c:pt idx="896">
                  <c:v>45814</c:v>
                </c:pt>
                <c:pt idx="897">
                  <c:v>45817</c:v>
                </c:pt>
                <c:pt idx="898">
                  <c:v>45818</c:v>
                </c:pt>
                <c:pt idx="899">
                  <c:v>45819</c:v>
                </c:pt>
                <c:pt idx="900">
                  <c:v>45820</c:v>
                </c:pt>
                <c:pt idx="901">
                  <c:v>45821</c:v>
                </c:pt>
                <c:pt idx="902">
                  <c:v>45824</c:v>
                </c:pt>
                <c:pt idx="903">
                  <c:v>45825</c:v>
                </c:pt>
                <c:pt idx="904">
                  <c:v>45826</c:v>
                </c:pt>
                <c:pt idx="905">
                  <c:v>45827</c:v>
                </c:pt>
                <c:pt idx="906">
                  <c:v>45828</c:v>
                </c:pt>
                <c:pt idx="907">
                  <c:v>45831</c:v>
                </c:pt>
                <c:pt idx="908">
                  <c:v>45832</c:v>
                </c:pt>
                <c:pt idx="909">
                  <c:v>45833</c:v>
                </c:pt>
                <c:pt idx="910">
                  <c:v>45834</c:v>
                </c:pt>
                <c:pt idx="911">
                  <c:v>45835</c:v>
                </c:pt>
                <c:pt idx="912">
                  <c:v>45838</c:v>
                </c:pt>
                <c:pt idx="913">
                  <c:v>45839</c:v>
                </c:pt>
                <c:pt idx="914">
                  <c:v>45840</c:v>
                </c:pt>
                <c:pt idx="915">
                  <c:v>45841</c:v>
                </c:pt>
                <c:pt idx="916">
                  <c:v>45842</c:v>
                </c:pt>
                <c:pt idx="917">
                  <c:v>45845</c:v>
                </c:pt>
                <c:pt idx="918">
                  <c:v>45846</c:v>
                </c:pt>
                <c:pt idx="919">
                  <c:v>45847</c:v>
                </c:pt>
                <c:pt idx="920">
                  <c:v>45848</c:v>
                </c:pt>
                <c:pt idx="921">
                  <c:v>45849</c:v>
                </c:pt>
                <c:pt idx="922">
                  <c:v>45852</c:v>
                </c:pt>
                <c:pt idx="923">
                  <c:v>45853</c:v>
                </c:pt>
                <c:pt idx="924">
                  <c:v>45854</c:v>
                </c:pt>
                <c:pt idx="925">
                  <c:v>45855</c:v>
                </c:pt>
                <c:pt idx="926">
                  <c:v>45856</c:v>
                </c:pt>
                <c:pt idx="927">
                  <c:v>45859</c:v>
                </c:pt>
                <c:pt idx="928">
                  <c:v>45860</c:v>
                </c:pt>
                <c:pt idx="929">
                  <c:v>45861</c:v>
                </c:pt>
                <c:pt idx="930">
                  <c:v>45862</c:v>
                </c:pt>
                <c:pt idx="931">
                  <c:v>45863</c:v>
                </c:pt>
                <c:pt idx="932">
                  <c:v>45866</c:v>
                </c:pt>
                <c:pt idx="933">
                  <c:v>45867</c:v>
                </c:pt>
                <c:pt idx="934">
                  <c:v>45868</c:v>
                </c:pt>
                <c:pt idx="935">
                  <c:v>45869</c:v>
                </c:pt>
                <c:pt idx="936">
                  <c:v>45870</c:v>
                </c:pt>
                <c:pt idx="937">
                  <c:v>45873</c:v>
                </c:pt>
                <c:pt idx="938">
                  <c:v>45874</c:v>
                </c:pt>
                <c:pt idx="939">
                  <c:v>45875</c:v>
                </c:pt>
                <c:pt idx="940">
                  <c:v>45876</c:v>
                </c:pt>
                <c:pt idx="941">
                  <c:v>45877</c:v>
                </c:pt>
                <c:pt idx="942">
                  <c:v>45880</c:v>
                </c:pt>
                <c:pt idx="943">
                  <c:v>45881</c:v>
                </c:pt>
                <c:pt idx="944">
                  <c:v>45882</c:v>
                </c:pt>
                <c:pt idx="945">
                  <c:v>45883</c:v>
                </c:pt>
                <c:pt idx="946">
                  <c:v>45887</c:v>
                </c:pt>
                <c:pt idx="947">
                  <c:v>45888</c:v>
                </c:pt>
                <c:pt idx="948">
                  <c:v>45889</c:v>
                </c:pt>
                <c:pt idx="949">
                  <c:v>45890</c:v>
                </c:pt>
                <c:pt idx="950">
                  <c:v>45891</c:v>
                </c:pt>
                <c:pt idx="951">
                  <c:v>45894</c:v>
                </c:pt>
                <c:pt idx="952">
                  <c:v>45895</c:v>
                </c:pt>
                <c:pt idx="953">
                  <c:v>45897</c:v>
                </c:pt>
                <c:pt idx="954">
                  <c:v>45898</c:v>
                </c:pt>
                <c:pt idx="955">
                  <c:v>45901</c:v>
                </c:pt>
                <c:pt idx="956">
                  <c:v>45902</c:v>
                </c:pt>
                <c:pt idx="957">
                  <c:v>45903</c:v>
                </c:pt>
                <c:pt idx="958">
                  <c:v>45904</c:v>
                </c:pt>
                <c:pt idx="959">
                  <c:v>45905</c:v>
                </c:pt>
                <c:pt idx="960">
                  <c:v>45908</c:v>
                </c:pt>
                <c:pt idx="961">
                  <c:v>45909</c:v>
                </c:pt>
                <c:pt idx="962">
                  <c:v>45910</c:v>
                </c:pt>
                <c:pt idx="963">
                  <c:v>45911</c:v>
                </c:pt>
                <c:pt idx="964">
                  <c:v>45912</c:v>
                </c:pt>
                <c:pt idx="965">
                  <c:v>45915</c:v>
                </c:pt>
                <c:pt idx="966">
                  <c:v>45916</c:v>
                </c:pt>
                <c:pt idx="967">
                  <c:v>45917</c:v>
                </c:pt>
                <c:pt idx="968">
                  <c:v>45918</c:v>
                </c:pt>
                <c:pt idx="969">
                  <c:v>45919</c:v>
                </c:pt>
                <c:pt idx="970">
                  <c:v>45922</c:v>
                </c:pt>
                <c:pt idx="971">
                  <c:v>45923</c:v>
                </c:pt>
                <c:pt idx="972">
                  <c:v>45924</c:v>
                </c:pt>
                <c:pt idx="973">
                  <c:v>45925</c:v>
                </c:pt>
                <c:pt idx="974">
                  <c:v>45926</c:v>
                </c:pt>
                <c:pt idx="975">
                  <c:v>45929</c:v>
                </c:pt>
                <c:pt idx="976">
                  <c:v>45930</c:v>
                </c:pt>
                <c:pt idx="977">
                  <c:v>45931</c:v>
                </c:pt>
                <c:pt idx="978">
                  <c:v>45933</c:v>
                </c:pt>
                <c:pt idx="979">
                  <c:v>45936</c:v>
                </c:pt>
                <c:pt idx="980">
                  <c:v>45937</c:v>
                </c:pt>
                <c:pt idx="981">
                  <c:v>45938</c:v>
                </c:pt>
                <c:pt idx="982">
                  <c:v>45939</c:v>
                </c:pt>
                <c:pt idx="983">
                  <c:v>45940</c:v>
                </c:pt>
                <c:pt idx="984">
                  <c:v>45943</c:v>
                </c:pt>
                <c:pt idx="985">
                  <c:v>45944</c:v>
                </c:pt>
                <c:pt idx="986">
                  <c:v>45945</c:v>
                </c:pt>
                <c:pt idx="987">
                  <c:v>45946</c:v>
                </c:pt>
                <c:pt idx="988">
                  <c:v>45947</c:v>
                </c:pt>
                <c:pt idx="989">
                  <c:v>45950</c:v>
                </c:pt>
                <c:pt idx="990">
                  <c:v>45951</c:v>
                </c:pt>
                <c:pt idx="991">
                  <c:v>45953</c:v>
                </c:pt>
                <c:pt idx="992">
                  <c:v>45954</c:v>
                </c:pt>
                <c:pt idx="993">
                  <c:v>45957</c:v>
                </c:pt>
                <c:pt idx="994">
                  <c:v>45958</c:v>
                </c:pt>
                <c:pt idx="995">
                  <c:v>45959</c:v>
                </c:pt>
                <c:pt idx="996">
                  <c:v>45960</c:v>
                </c:pt>
                <c:pt idx="997">
                  <c:v>45961</c:v>
                </c:pt>
                <c:pt idx="998">
                  <c:v>45964</c:v>
                </c:pt>
                <c:pt idx="999">
                  <c:v>45965</c:v>
                </c:pt>
                <c:pt idx="1000">
                  <c:v>45967</c:v>
                </c:pt>
                <c:pt idx="1001">
                  <c:v>45968</c:v>
                </c:pt>
                <c:pt idx="1002">
                  <c:v>45971</c:v>
                </c:pt>
                <c:pt idx="1003">
                  <c:v>45972</c:v>
                </c:pt>
                <c:pt idx="1004">
                  <c:v>45973</c:v>
                </c:pt>
                <c:pt idx="1005">
                  <c:v>45974</c:v>
                </c:pt>
                <c:pt idx="1006">
                  <c:v>45975</c:v>
                </c:pt>
                <c:pt idx="1007">
                  <c:v>45978</c:v>
                </c:pt>
                <c:pt idx="1008">
                  <c:v>45979</c:v>
                </c:pt>
                <c:pt idx="1009">
                  <c:v>45980</c:v>
                </c:pt>
                <c:pt idx="1010">
                  <c:v>45981</c:v>
                </c:pt>
                <c:pt idx="1011">
                  <c:v>45982</c:v>
                </c:pt>
                <c:pt idx="1012">
                  <c:v>45985</c:v>
                </c:pt>
                <c:pt idx="1013">
                  <c:v>45986</c:v>
                </c:pt>
                <c:pt idx="1014">
                  <c:v>45987</c:v>
                </c:pt>
                <c:pt idx="1015">
                  <c:v>45988</c:v>
                </c:pt>
                <c:pt idx="1016">
                  <c:v>45989</c:v>
                </c:pt>
                <c:pt idx="1017">
                  <c:v>45992</c:v>
                </c:pt>
                <c:pt idx="1018">
                  <c:v>45993</c:v>
                </c:pt>
                <c:pt idx="1019">
                  <c:v>45994</c:v>
                </c:pt>
                <c:pt idx="1020">
                  <c:v>45995</c:v>
                </c:pt>
                <c:pt idx="1021">
                  <c:v>45996</c:v>
                </c:pt>
                <c:pt idx="1022">
                  <c:v>45999</c:v>
                </c:pt>
                <c:pt idx="1023">
                  <c:v>46000</c:v>
                </c:pt>
                <c:pt idx="1024">
                  <c:v>46001</c:v>
                </c:pt>
                <c:pt idx="1025">
                  <c:v>46002</c:v>
                </c:pt>
                <c:pt idx="1026">
                  <c:v>46003</c:v>
                </c:pt>
                <c:pt idx="1027">
                  <c:v>46006</c:v>
                </c:pt>
                <c:pt idx="1028">
                  <c:v>46007</c:v>
                </c:pt>
                <c:pt idx="1029">
                  <c:v>46008</c:v>
                </c:pt>
                <c:pt idx="1030">
                  <c:v>46009</c:v>
                </c:pt>
                <c:pt idx="1031">
                  <c:v>46010</c:v>
                </c:pt>
                <c:pt idx="1032">
                  <c:v>46013</c:v>
                </c:pt>
                <c:pt idx="1033">
                  <c:v>46014</c:v>
                </c:pt>
                <c:pt idx="1034">
                  <c:v>46015</c:v>
                </c:pt>
                <c:pt idx="1035">
                  <c:v>46017</c:v>
                </c:pt>
                <c:pt idx="1036">
                  <c:v>46020</c:v>
                </c:pt>
                <c:pt idx="1037">
                  <c:v>46021</c:v>
                </c:pt>
                <c:pt idx="1038">
                  <c:v>46022</c:v>
                </c:pt>
              </c:numCache>
            </c:numRef>
          </c:cat>
          <c:val>
            <c:numRef>
              <c:f>'Price trend line table'!$D$202:$D$1241</c:f>
              <c:numCache>
                <c:formatCode>General</c:formatCode>
                <c:ptCount val="1040"/>
                <c:pt idx="0">
                  <c:v>17409.709000000003</c:v>
                </c:pt>
                <c:pt idx="1">
                  <c:v>17446.572</c:v>
                </c:pt>
                <c:pt idx="2">
                  <c:v>17484.652000000006</c:v>
                </c:pt>
                <c:pt idx="3">
                  <c:v>17518.289000000001</c:v>
                </c:pt>
                <c:pt idx="4">
                  <c:v>17544.172999999999</c:v>
                </c:pt>
                <c:pt idx="5">
                  <c:v>17565.314000000002</c:v>
                </c:pt>
                <c:pt idx="6">
                  <c:v>17592.53</c:v>
                </c:pt>
                <c:pt idx="7">
                  <c:v>17621.298999999999</c:v>
                </c:pt>
                <c:pt idx="8">
                  <c:v>17647.953999999998</c:v>
                </c:pt>
                <c:pt idx="9">
                  <c:v>17673.797999999999</c:v>
                </c:pt>
                <c:pt idx="10">
                  <c:v>17702.476000000002</c:v>
                </c:pt>
                <c:pt idx="11">
                  <c:v>17730.623</c:v>
                </c:pt>
                <c:pt idx="12">
                  <c:v>17756.862999999998</c:v>
                </c:pt>
                <c:pt idx="13">
                  <c:v>17775.714</c:v>
                </c:pt>
                <c:pt idx="14">
                  <c:v>17795.125</c:v>
                </c:pt>
                <c:pt idx="15">
                  <c:v>17815.789000000001</c:v>
                </c:pt>
                <c:pt idx="16">
                  <c:v>17831.089999999997</c:v>
                </c:pt>
                <c:pt idx="17">
                  <c:v>17842.590999999997</c:v>
                </c:pt>
                <c:pt idx="18">
                  <c:v>17850.330999999998</c:v>
                </c:pt>
                <c:pt idx="19">
                  <c:v>17851.419999999998</c:v>
                </c:pt>
                <c:pt idx="20">
                  <c:v>17854.416999999998</c:v>
                </c:pt>
                <c:pt idx="21">
                  <c:v>17855.332999999999</c:v>
                </c:pt>
                <c:pt idx="22">
                  <c:v>17858.952000000001</c:v>
                </c:pt>
                <c:pt idx="23">
                  <c:v>17851.880999999998</c:v>
                </c:pt>
                <c:pt idx="24">
                  <c:v>17842.571</c:v>
                </c:pt>
                <c:pt idx="25">
                  <c:v>17829.644999999997</c:v>
                </c:pt>
                <c:pt idx="26">
                  <c:v>17821.28</c:v>
                </c:pt>
                <c:pt idx="27">
                  <c:v>17821.375</c:v>
                </c:pt>
                <c:pt idx="28">
                  <c:v>17814.069</c:v>
                </c:pt>
                <c:pt idx="29">
                  <c:v>17801.381000000001</c:v>
                </c:pt>
                <c:pt idx="30">
                  <c:v>17788.455999999998</c:v>
                </c:pt>
                <c:pt idx="31">
                  <c:v>17780.787</c:v>
                </c:pt>
                <c:pt idx="32">
                  <c:v>17774.021999999997</c:v>
                </c:pt>
                <c:pt idx="33">
                  <c:v>17769.276000000002</c:v>
                </c:pt>
                <c:pt idx="34">
                  <c:v>17762.415000000001</c:v>
                </c:pt>
                <c:pt idx="35">
                  <c:v>17756.55</c:v>
                </c:pt>
                <c:pt idx="36">
                  <c:v>17750.337000000003</c:v>
                </c:pt>
                <c:pt idx="37">
                  <c:v>17741.480000000003</c:v>
                </c:pt>
                <c:pt idx="38">
                  <c:v>17724.738000000001</c:v>
                </c:pt>
                <c:pt idx="39">
                  <c:v>17704.101999999999</c:v>
                </c:pt>
                <c:pt idx="40">
                  <c:v>17683.711999999996</c:v>
                </c:pt>
                <c:pt idx="41">
                  <c:v>17664.916999999994</c:v>
                </c:pt>
                <c:pt idx="42">
                  <c:v>17647.449999999993</c:v>
                </c:pt>
                <c:pt idx="43">
                  <c:v>17627.685999999994</c:v>
                </c:pt>
                <c:pt idx="44">
                  <c:v>17606.175999999996</c:v>
                </c:pt>
                <c:pt idx="45">
                  <c:v>17584.069999999996</c:v>
                </c:pt>
                <c:pt idx="46">
                  <c:v>17558.800999999996</c:v>
                </c:pt>
                <c:pt idx="47">
                  <c:v>17534.504999999994</c:v>
                </c:pt>
                <c:pt idx="48">
                  <c:v>17516.253999999997</c:v>
                </c:pt>
                <c:pt idx="49">
                  <c:v>17505.205999999998</c:v>
                </c:pt>
                <c:pt idx="50">
                  <c:v>17499.012999999999</c:v>
                </c:pt>
                <c:pt idx="51">
                  <c:v>17495.009999999998</c:v>
                </c:pt>
                <c:pt idx="52">
                  <c:v>17484.560000000001</c:v>
                </c:pt>
                <c:pt idx="53">
                  <c:v>17476.594999999998</c:v>
                </c:pt>
                <c:pt idx="54">
                  <c:v>17479.516</c:v>
                </c:pt>
                <c:pt idx="55">
                  <c:v>17487.197999999997</c:v>
                </c:pt>
                <c:pt idx="56">
                  <c:v>17492.851999999999</c:v>
                </c:pt>
                <c:pt idx="57">
                  <c:v>17500.228999999999</c:v>
                </c:pt>
                <c:pt idx="58">
                  <c:v>17508.759999999998</c:v>
                </c:pt>
                <c:pt idx="59">
                  <c:v>17516.585999999999</c:v>
                </c:pt>
                <c:pt idx="60">
                  <c:v>17517.476000000002</c:v>
                </c:pt>
                <c:pt idx="61">
                  <c:v>17515.359000000004</c:v>
                </c:pt>
                <c:pt idx="62">
                  <c:v>17510.155000000002</c:v>
                </c:pt>
                <c:pt idx="63">
                  <c:v>17505.026000000002</c:v>
                </c:pt>
                <c:pt idx="64">
                  <c:v>17485.953000000001</c:v>
                </c:pt>
                <c:pt idx="65">
                  <c:v>17469.323</c:v>
                </c:pt>
                <c:pt idx="66">
                  <c:v>17451.542000000001</c:v>
                </c:pt>
                <c:pt idx="67">
                  <c:v>17435.608</c:v>
                </c:pt>
                <c:pt idx="68">
                  <c:v>17427.109</c:v>
                </c:pt>
                <c:pt idx="69">
                  <c:v>17430.314999999999</c:v>
                </c:pt>
                <c:pt idx="70">
                  <c:v>17435.848000000002</c:v>
                </c:pt>
                <c:pt idx="71">
                  <c:v>17438.750999999997</c:v>
                </c:pt>
                <c:pt idx="72">
                  <c:v>17438.351999999999</c:v>
                </c:pt>
                <c:pt idx="73">
                  <c:v>17442.094999999998</c:v>
                </c:pt>
                <c:pt idx="74">
                  <c:v>17446.350999999999</c:v>
                </c:pt>
                <c:pt idx="75">
                  <c:v>17455.963</c:v>
                </c:pt>
                <c:pt idx="76">
                  <c:v>17464.741999999998</c:v>
                </c:pt>
                <c:pt idx="77">
                  <c:v>17464.203999999998</c:v>
                </c:pt>
                <c:pt idx="78">
                  <c:v>17457.126</c:v>
                </c:pt>
                <c:pt idx="79">
                  <c:v>17465.93</c:v>
                </c:pt>
                <c:pt idx="80">
                  <c:v>17468.839999999997</c:v>
                </c:pt>
                <c:pt idx="81">
                  <c:v>17465.536999999997</c:v>
                </c:pt>
                <c:pt idx="82">
                  <c:v>17460.725999999995</c:v>
                </c:pt>
                <c:pt idx="83">
                  <c:v>17454.632999999998</c:v>
                </c:pt>
                <c:pt idx="84">
                  <c:v>17449.111999999997</c:v>
                </c:pt>
                <c:pt idx="85">
                  <c:v>17443.878999999997</c:v>
                </c:pt>
                <c:pt idx="86">
                  <c:v>17424.409999999996</c:v>
                </c:pt>
                <c:pt idx="87">
                  <c:v>17412.609999999997</c:v>
                </c:pt>
                <c:pt idx="88">
                  <c:v>17408.784</c:v>
                </c:pt>
                <c:pt idx="89">
                  <c:v>17408.618999999995</c:v>
                </c:pt>
                <c:pt idx="90">
                  <c:v>17403.162999999997</c:v>
                </c:pt>
                <c:pt idx="91">
                  <c:v>17388.960999999999</c:v>
                </c:pt>
                <c:pt idx="92">
                  <c:v>17364.772000000001</c:v>
                </c:pt>
                <c:pt idx="93">
                  <c:v>17344.966</c:v>
                </c:pt>
                <c:pt idx="94">
                  <c:v>17330.147999999997</c:v>
                </c:pt>
                <c:pt idx="95">
                  <c:v>17317.380999999998</c:v>
                </c:pt>
                <c:pt idx="96">
                  <c:v>17305.717999999997</c:v>
                </c:pt>
                <c:pt idx="97">
                  <c:v>17299.064999999995</c:v>
                </c:pt>
                <c:pt idx="98">
                  <c:v>17285.243999999995</c:v>
                </c:pt>
                <c:pt idx="99">
                  <c:v>17272.236999999994</c:v>
                </c:pt>
                <c:pt idx="100">
                  <c:v>17261.873</c:v>
                </c:pt>
                <c:pt idx="101">
                  <c:v>17245.719999999998</c:v>
                </c:pt>
                <c:pt idx="102">
                  <c:v>17237.111999999997</c:v>
                </c:pt>
                <c:pt idx="103">
                  <c:v>17225.770999999997</c:v>
                </c:pt>
                <c:pt idx="104">
                  <c:v>17210.159999999996</c:v>
                </c:pt>
                <c:pt idx="105">
                  <c:v>17192.105</c:v>
                </c:pt>
                <c:pt idx="106">
                  <c:v>17172.297999999999</c:v>
                </c:pt>
                <c:pt idx="107">
                  <c:v>17153.648000000001</c:v>
                </c:pt>
                <c:pt idx="108">
                  <c:v>17138.498000000003</c:v>
                </c:pt>
                <c:pt idx="109">
                  <c:v>17121.631000000005</c:v>
                </c:pt>
                <c:pt idx="110">
                  <c:v>17112.779000000002</c:v>
                </c:pt>
                <c:pt idx="111">
                  <c:v>17115.079000000002</c:v>
                </c:pt>
                <c:pt idx="112">
                  <c:v>17119.087000000003</c:v>
                </c:pt>
                <c:pt idx="113">
                  <c:v>17122.897000000004</c:v>
                </c:pt>
                <c:pt idx="114">
                  <c:v>17132.706000000002</c:v>
                </c:pt>
                <c:pt idx="115">
                  <c:v>17142.834000000003</c:v>
                </c:pt>
                <c:pt idx="116">
                  <c:v>17154.130000000005</c:v>
                </c:pt>
                <c:pt idx="117">
                  <c:v>17162.697000000004</c:v>
                </c:pt>
                <c:pt idx="118">
                  <c:v>17165.413000000004</c:v>
                </c:pt>
                <c:pt idx="119">
                  <c:v>17157.349000000002</c:v>
                </c:pt>
                <c:pt idx="120">
                  <c:v>17140.922000000006</c:v>
                </c:pt>
                <c:pt idx="121">
                  <c:v>17132.449000000004</c:v>
                </c:pt>
                <c:pt idx="122">
                  <c:v>17129.975000000002</c:v>
                </c:pt>
                <c:pt idx="123">
                  <c:v>17129.142000000003</c:v>
                </c:pt>
                <c:pt idx="124">
                  <c:v>17122.886000000002</c:v>
                </c:pt>
                <c:pt idx="125">
                  <c:v>17117.626000000004</c:v>
                </c:pt>
                <c:pt idx="126">
                  <c:v>17106.277000000002</c:v>
                </c:pt>
                <c:pt idx="127">
                  <c:v>17103.683000000005</c:v>
                </c:pt>
                <c:pt idx="128">
                  <c:v>17108.878000000004</c:v>
                </c:pt>
                <c:pt idx="129">
                  <c:v>17103.211000000003</c:v>
                </c:pt>
                <c:pt idx="130">
                  <c:v>17090.319000000003</c:v>
                </c:pt>
                <c:pt idx="131">
                  <c:v>17077.880000000005</c:v>
                </c:pt>
                <c:pt idx="132">
                  <c:v>17060.579000000005</c:v>
                </c:pt>
                <c:pt idx="133">
                  <c:v>17042.483000000004</c:v>
                </c:pt>
                <c:pt idx="134">
                  <c:v>17025.440000000006</c:v>
                </c:pt>
                <c:pt idx="135">
                  <c:v>17007.517000000003</c:v>
                </c:pt>
                <c:pt idx="136">
                  <c:v>16998.718000000004</c:v>
                </c:pt>
                <c:pt idx="137">
                  <c:v>16981.193000000003</c:v>
                </c:pt>
                <c:pt idx="138">
                  <c:v>16962.161000000004</c:v>
                </c:pt>
                <c:pt idx="139">
                  <c:v>16955.228000000006</c:v>
                </c:pt>
                <c:pt idx="140">
                  <c:v>16950.073000000004</c:v>
                </c:pt>
                <c:pt idx="141">
                  <c:v>16941.354000000007</c:v>
                </c:pt>
                <c:pt idx="142">
                  <c:v>16949.414000000008</c:v>
                </c:pt>
                <c:pt idx="143">
                  <c:v>16953.439000000006</c:v>
                </c:pt>
                <c:pt idx="144">
                  <c:v>16949.035000000007</c:v>
                </c:pt>
                <c:pt idx="145">
                  <c:v>16937.653000000006</c:v>
                </c:pt>
                <c:pt idx="146">
                  <c:v>16928.447000000007</c:v>
                </c:pt>
                <c:pt idx="147">
                  <c:v>16918.070000000003</c:v>
                </c:pt>
                <c:pt idx="148">
                  <c:v>16918.038000000004</c:v>
                </c:pt>
                <c:pt idx="149">
                  <c:v>16910.222000000005</c:v>
                </c:pt>
                <c:pt idx="150">
                  <c:v>16894.936000000005</c:v>
                </c:pt>
                <c:pt idx="151">
                  <c:v>16885.144000000008</c:v>
                </c:pt>
                <c:pt idx="152">
                  <c:v>16870.520000000008</c:v>
                </c:pt>
                <c:pt idx="153">
                  <c:v>16856.998000000007</c:v>
                </c:pt>
                <c:pt idx="154">
                  <c:v>16840.870000000006</c:v>
                </c:pt>
                <c:pt idx="155">
                  <c:v>16824.935000000005</c:v>
                </c:pt>
                <c:pt idx="156">
                  <c:v>16810.057000000004</c:v>
                </c:pt>
                <c:pt idx="157">
                  <c:v>16787.587000000003</c:v>
                </c:pt>
                <c:pt idx="158">
                  <c:v>16753.110000000004</c:v>
                </c:pt>
                <c:pt idx="159">
                  <c:v>16718.457000000002</c:v>
                </c:pt>
                <c:pt idx="160">
                  <c:v>16678.891</c:v>
                </c:pt>
                <c:pt idx="161">
                  <c:v>16625.035000000003</c:v>
                </c:pt>
                <c:pt idx="162">
                  <c:v>16571.757000000001</c:v>
                </c:pt>
                <c:pt idx="163">
                  <c:v>16522.607000000004</c:v>
                </c:pt>
                <c:pt idx="164">
                  <c:v>16482.592000000004</c:v>
                </c:pt>
                <c:pt idx="165">
                  <c:v>16435.171000000006</c:v>
                </c:pt>
                <c:pt idx="166">
                  <c:v>16392.805000000004</c:v>
                </c:pt>
                <c:pt idx="167">
                  <c:v>16356.184000000007</c:v>
                </c:pt>
                <c:pt idx="168">
                  <c:v>16323.312000000007</c:v>
                </c:pt>
                <c:pt idx="169">
                  <c:v>16296.843000000008</c:v>
                </c:pt>
                <c:pt idx="170">
                  <c:v>16273.652000000007</c:v>
                </c:pt>
                <c:pt idx="171">
                  <c:v>16246.526000000005</c:v>
                </c:pt>
                <c:pt idx="172">
                  <c:v>16213.715000000004</c:v>
                </c:pt>
                <c:pt idx="173">
                  <c:v>16186.983000000006</c:v>
                </c:pt>
                <c:pt idx="174">
                  <c:v>16164.121000000003</c:v>
                </c:pt>
                <c:pt idx="175">
                  <c:v>16139.901000000003</c:v>
                </c:pt>
                <c:pt idx="176">
                  <c:v>16121.791000000003</c:v>
                </c:pt>
                <c:pt idx="177">
                  <c:v>16101.302000000001</c:v>
                </c:pt>
                <c:pt idx="178">
                  <c:v>16083.571000000004</c:v>
                </c:pt>
                <c:pt idx="179">
                  <c:v>16063.355000000003</c:v>
                </c:pt>
                <c:pt idx="180">
                  <c:v>16049.136</c:v>
                </c:pt>
                <c:pt idx="181">
                  <c:v>16034.256000000003</c:v>
                </c:pt>
                <c:pt idx="182">
                  <c:v>16027.014999999999</c:v>
                </c:pt>
                <c:pt idx="183">
                  <c:v>16026.547999999999</c:v>
                </c:pt>
                <c:pt idx="184">
                  <c:v>16028.558000000001</c:v>
                </c:pt>
                <c:pt idx="185">
                  <c:v>16035.633</c:v>
                </c:pt>
                <c:pt idx="186">
                  <c:v>16051.578000000001</c:v>
                </c:pt>
                <c:pt idx="187">
                  <c:v>16070.324000000001</c:v>
                </c:pt>
                <c:pt idx="188">
                  <c:v>16086.098</c:v>
                </c:pt>
                <c:pt idx="189">
                  <c:v>16090.589</c:v>
                </c:pt>
                <c:pt idx="190">
                  <c:v>16098.619000000001</c:v>
                </c:pt>
                <c:pt idx="191">
                  <c:v>16121.023000000001</c:v>
                </c:pt>
                <c:pt idx="192">
                  <c:v>16138.865</c:v>
                </c:pt>
                <c:pt idx="193">
                  <c:v>16161.371999999999</c:v>
                </c:pt>
                <c:pt idx="194">
                  <c:v>16185.777999999998</c:v>
                </c:pt>
                <c:pt idx="195">
                  <c:v>16213.025</c:v>
                </c:pt>
                <c:pt idx="196">
                  <c:v>16237.261999999999</c:v>
                </c:pt>
                <c:pt idx="197">
                  <c:v>16258.162999999999</c:v>
                </c:pt>
                <c:pt idx="198">
                  <c:v>16275.436999999998</c:v>
                </c:pt>
                <c:pt idx="199">
                  <c:v>16294.440999999999</c:v>
                </c:pt>
                <c:pt idx="200">
                  <c:v>16317.165999999999</c:v>
                </c:pt>
                <c:pt idx="201">
                  <c:v>16338.569</c:v>
                </c:pt>
                <c:pt idx="202">
                  <c:v>16363.387999999999</c:v>
                </c:pt>
                <c:pt idx="203">
                  <c:v>16390.881999999998</c:v>
                </c:pt>
                <c:pt idx="204">
                  <c:v>16421.684999999998</c:v>
                </c:pt>
                <c:pt idx="205">
                  <c:v>16449.728999999996</c:v>
                </c:pt>
                <c:pt idx="206">
                  <c:v>16469.981</c:v>
                </c:pt>
                <c:pt idx="207">
                  <c:v>16497.494999999999</c:v>
                </c:pt>
                <c:pt idx="208">
                  <c:v>16534.106</c:v>
                </c:pt>
                <c:pt idx="209">
                  <c:v>16569.912999999997</c:v>
                </c:pt>
                <c:pt idx="210">
                  <c:v>16607.247999999996</c:v>
                </c:pt>
                <c:pt idx="211">
                  <c:v>16646.293999999998</c:v>
                </c:pt>
                <c:pt idx="212">
                  <c:v>16695.609999999997</c:v>
                </c:pt>
                <c:pt idx="213">
                  <c:v>16739.463</c:v>
                </c:pt>
                <c:pt idx="214">
                  <c:v>16777.475999999995</c:v>
                </c:pt>
                <c:pt idx="215">
                  <c:v>16822.525999999998</c:v>
                </c:pt>
                <c:pt idx="216">
                  <c:v>16864.504999999997</c:v>
                </c:pt>
                <c:pt idx="217">
                  <c:v>16903.007999999998</c:v>
                </c:pt>
                <c:pt idx="218">
                  <c:v>16942.342000000001</c:v>
                </c:pt>
                <c:pt idx="219">
                  <c:v>16982.004999999997</c:v>
                </c:pt>
                <c:pt idx="220">
                  <c:v>17024.749999999996</c:v>
                </c:pt>
                <c:pt idx="221">
                  <c:v>17070.545999999998</c:v>
                </c:pt>
                <c:pt idx="222">
                  <c:v>17115.580000000002</c:v>
                </c:pt>
                <c:pt idx="223">
                  <c:v>17156.421000000002</c:v>
                </c:pt>
                <c:pt idx="224">
                  <c:v>17190.821</c:v>
                </c:pt>
                <c:pt idx="225">
                  <c:v>17223.47</c:v>
                </c:pt>
                <c:pt idx="226">
                  <c:v>17257.137000000002</c:v>
                </c:pt>
                <c:pt idx="227">
                  <c:v>17287.092000000001</c:v>
                </c:pt>
                <c:pt idx="228">
                  <c:v>17315.368000000006</c:v>
                </c:pt>
                <c:pt idx="229">
                  <c:v>17340.749000000003</c:v>
                </c:pt>
                <c:pt idx="230">
                  <c:v>17361.742000000006</c:v>
                </c:pt>
                <c:pt idx="231">
                  <c:v>17383.117000000006</c:v>
                </c:pt>
                <c:pt idx="232">
                  <c:v>17399.305000000004</c:v>
                </c:pt>
                <c:pt idx="233">
                  <c:v>17410.097000000002</c:v>
                </c:pt>
                <c:pt idx="234">
                  <c:v>17425.173000000003</c:v>
                </c:pt>
                <c:pt idx="235">
                  <c:v>17432.503000000001</c:v>
                </c:pt>
                <c:pt idx="236">
                  <c:v>17445.884000000002</c:v>
                </c:pt>
                <c:pt idx="237">
                  <c:v>17458.131000000005</c:v>
                </c:pt>
                <c:pt idx="238">
                  <c:v>17471.804000000004</c:v>
                </c:pt>
                <c:pt idx="239">
                  <c:v>17486.947000000004</c:v>
                </c:pt>
                <c:pt idx="240">
                  <c:v>17493.782000000003</c:v>
                </c:pt>
                <c:pt idx="241">
                  <c:v>17497.662</c:v>
                </c:pt>
                <c:pt idx="242">
                  <c:v>17494.784000000003</c:v>
                </c:pt>
                <c:pt idx="243">
                  <c:v>17491.697</c:v>
                </c:pt>
                <c:pt idx="244">
                  <c:v>17491.024000000001</c:v>
                </c:pt>
                <c:pt idx="245">
                  <c:v>17493</c:v>
                </c:pt>
                <c:pt idx="246">
                  <c:v>17495.605</c:v>
                </c:pt>
                <c:pt idx="247">
                  <c:v>17498.933999999997</c:v>
                </c:pt>
                <c:pt idx="248">
                  <c:v>17499.957999999999</c:v>
                </c:pt>
                <c:pt idx="249">
                  <c:v>17503.877999999997</c:v>
                </c:pt>
                <c:pt idx="250">
                  <c:v>17503.824999999997</c:v>
                </c:pt>
                <c:pt idx="251">
                  <c:v>17504.600999999995</c:v>
                </c:pt>
                <c:pt idx="252">
                  <c:v>17503.831999999999</c:v>
                </c:pt>
                <c:pt idx="253">
                  <c:v>17505.190999999995</c:v>
                </c:pt>
                <c:pt idx="254">
                  <c:v>17508.968999999997</c:v>
                </c:pt>
                <c:pt idx="255">
                  <c:v>17515.456999999999</c:v>
                </c:pt>
                <c:pt idx="256">
                  <c:v>17526.696999999996</c:v>
                </c:pt>
                <c:pt idx="257">
                  <c:v>17537.489999999994</c:v>
                </c:pt>
                <c:pt idx="258">
                  <c:v>17549.446999999996</c:v>
                </c:pt>
                <c:pt idx="259">
                  <c:v>17562.137999999992</c:v>
                </c:pt>
                <c:pt idx="260">
                  <c:v>17571.523999999994</c:v>
                </c:pt>
                <c:pt idx="261">
                  <c:v>17592.259999999995</c:v>
                </c:pt>
                <c:pt idx="262">
                  <c:v>17603.656999999992</c:v>
                </c:pt>
                <c:pt idx="263">
                  <c:v>17620.868999999995</c:v>
                </c:pt>
                <c:pt idx="264">
                  <c:v>17638.272999999997</c:v>
                </c:pt>
                <c:pt idx="265">
                  <c:v>17651.834999999999</c:v>
                </c:pt>
                <c:pt idx="266">
                  <c:v>17664.876</c:v>
                </c:pt>
                <c:pt idx="267">
                  <c:v>17675.586999999996</c:v>
                </c:pt>
                <c:pt idx="268">
                  <c:v>17684.495999999996</c:v>
                </c:pt>
                <c:pt idx="269">
                  <c:v>17693.173999999995</c:v>
                </c:pt>
                <c:pt idx="270">
                  <c:v>17704.128999999997</c:v>
                </c:pt>
                <c:pt idx="271">
                  <c:v>17712.982999999997</c:v>
                </c:pt>
                <c:pt idx="272">
                  <c:v>17724.162999999997</c:v>
                </c:pt>
                <c:pt idx="273">
                  <c:v>17738.975999999999</c:v>
                </c:pt>
                <c:pt idx="274">
                  <c:v>17763.525999999998</c:v>
                </c:pt>
                <c:pt idx="275">
                  <c:v>17787.330999999998</c:v>
                </c:pt>
                <c:pt idx="276">
                  <c:v>17804.928</c:v>
                </c:pt>
                <c:pt idx="277">
                  <c:v>17824.581999999999</c:v>
                </c:pt>
                <c:pt idx="278">
                  <c:v>17844.841</c:v>
                </c:pt>
                <c:pt idx="279">
                  <c:v>17869.504000000001</c:v>
                </c:pt>
                <c:pt idx="280">
                  <c:v>17901.365000000002</c:v>
                </c:pt>
                <c:pt idx="281">
                  <c:v>17931.148999999998</c:v>
                </c:pt>
                <c:pt idx="282">
                  <c:v>17963.919999999998</c:v>
                </c:pt>
                <c:pt idx="283">
                  <c:v>17999.718000000001</c:v>
                </c:pt>
                <c:pt idx="284">
                  <c:v>18031.037</c:v>
                </c:pt>
                <c:pt idx="285">
                  <c:v>18061.588000000003</c:v>
                </c:pt>
                <c:pt idx="286">
                  <c:v>18081.482000000004</c:v>
                </c:pt>
                <c:pt idx="287">
                  <c:v>18103.255000000001</c:v>
                </c:pt>
                <c:pt idx="288">
                  <c:v>18124.668000000005</c:v>
                </c:pt>
                <c:pt idx="289">
                  <c:v>18143.830000000005</c:v>
                </c:pt>
                <c:pt idx="290">
                  <c:v>18166.706000000006</c:v>
                </c:pt>
                <c:pt idx="291">
                  <c:v>18180.370000000006</c:v>
                </c:pt>
                <c:pt idx="292">
                  <c:v>18200.375000000004</c:v>
                </c:pt>
                <c:pt idx="293">
                  <c:v>18219.307000000004</c:v>
                </c:pt>
                <c:pt idx="294">
                  <c:v>18235.521000000004</c:v>
                </c:pt>
                <c:pt idx="295">
                  <c:v>18249.602000000003</c:v>
                </c:pt>
                <c:pt idx="296">
                  <c:v>18261.463000000003</c:v>
                </c:pt>
                <c:pt idx="297">
                  <c:v>18274.133000000005</c:v>
                </c:pt>
                <c:pt idx="298">
                  <c:v>18287.258000000002</c:v>
                </c:pt>
                <c:pt idx="299">
                  <c:v>18293.502</c:v>
                </c:pt>
                <c:pt idx="300">
                  <c:v>18300.218000000004</c:v>
                </c:pt>
                <c:pt idx="301">
                  <c:v>18302.668000000001</c:v>
                </c:pt>
                <c:pt idx="302">
                  <c:v>18308.955999999998</c:v>
                </c:pt>
                <c:pt idx="303">
                  <c:v>18306.994999999999</c:v>
                </c:pt>
                <c:pt idx="304">
                  <c:v>18302.000999999997</c:v>
                </c:pt>
                <c:pt idx="305">
                  <c:v>18297.507999999994</c:v>
                </c:pt>
                <c:pt idx="306">
                  <c:v>18295.585999999996</c:v>
                </c:pt>
                <c:pt idx="307">
                  <c:v>18291.139999999996</c:v>
                </c:pt>
                <c:pt idx="308">
                  <c:v>18288.149999999998</c:v>
                </c:pt>
                <c:pt idx="309">
                  <c:v>18288.316999999995</c:v>
                </c:pt>
                <c:pt idx="310">
                  <c:v>18289.909999999996</c:v>
                </c:pt>
                <c:pt idx="311">
                  <c:v>18283.468999999997</c:v>
                </c:pt>
                <c:pt idx="312">
                  <c:v>18279.256999999998</c:v>
                </c:pt>
                <c:pt idx="313">
                  <c:v>18273.554999999997</c:v>
                </c:pt>
                <c:pt idx="314">
                  <c:v>18263.200999999997</c:v>
                </c:pt>
                <c:pt idx="315">
                  <c:v>18248.409999999996</c:v>
                </c:pt>
                <c:pt idx="316">
                  <c:v>18235.235999999997</c:v>
                </c:pt>
                <c:pt idx="317">
                  <c:v>18225.279999999995</c:v>
                </c:pt>
                <c:pt idx="318">
                  <c:v>18212.721999999994</c:v>
                </c:pt>
                <c:pt idx="319">
                  <c:v>18199.584999999995</c:v>
                </c:pt>
                <c:pt idx="320">
                  <c:v>18186.983999999997</c:v>
                </c:pt>
                <c:pt idx="321">
                  <c:v>18172.020999999997</c:v>
                </c:pt>
                <c:pt idx="322">
                  <c:v>18155.195999999996</c:v>
                </c:pt>
                <c:pt idx="323">
                  <c:v>18140.268999999997</c:v>
                </c:pt>
                <c:pt idx="324">
                  <c:v>18122.970999999998</c:v>
                </c:pt>
                <c:pt idx="325">
                  <c:v>18103.850999999999</c:v>
                </c:pt>
                <c:pt idx="326">
                  <c:v>18085.346999999998</c:v>
                </c:pt>
                <c:pt idx="327">
                  <c:v>18069.923000000003</c:v>
                </c:pt>
                <c:pt idx="328">
                  <c:v>18057.385000000002</c:v>
                </c:pt>
                <c:pt idx="329">
                  <c:v>18046.892</c:v>
                </c:pt>
                <c:pt idx="330">
                  <c:v>18033.589</c:v>
                </c:pt>
                <c:pt idx="331">
                  <c:v>18020.548999999999</c:v>
                </c:pt>
                <c:pt idx="332">
                  <c:v>18007.139999999996</c:v>
                </c:pt>
                <c:pt idx="333">
                  <c:v>17986.065999999995</c:v>
                </c:pt>
                <c:pt idx="334">
                  <c:v>17963.084999999995</c:v>
                </c:pt>
                <c:pt idx="335">
                  <c:v>17944.102999999999</c:v>
                </c:pt>
                <c:pt idx="336">
                  <c:v>17926.576999999997</c:v>
                </c:pt>
                <c:pt idx="337">
                  <c:v>17904.246999999996</c:v>
                </c:pt>
                <c:pt idx="338">
                  <c:v>17885.558999999997</c:v>
                </c:pt>
                <c:pt idx="339">
                  <c:v>17868.014999999996</c:v>
                </c:pt>
                <c:pt idx="340">
                  <c:v>17857.354999999996</c:v>
                </c:pt>
                <c:pt idx="341">
                  <c:v>17855.447999999993</c:v>
                </c:pt>
                <c:pt idx="342">
                  <c:v>17850.243999999995</c:v>
                </c:pt>
                <c:pt idx="343">
                  <c:v>17839.389999999996</c:v>
                </c:pt>
                <c:pt idx="344">
                  <c:v>17825.197999999997</c:v>
                </c:pt>
                <c:pt idx="345">
                  <c:v>17804.463999999996</c:v>
                </c:pt>
                <c:pt idx="346">
                  <c:v>17783.223999999998</c:v>
                </c:pt>
                <c:pt idx="347">
                  <c:v>17758.718000000001</c:v>
                </c:pt>
                <c:pt idx="348">
                  <c:v>17733.778999999999</c:v>
                </c:pt>
                <c:pt idx="349">
                  <c:v>17714.921000000002</c:v>
                </c:pt>
                <c:pt idx="350">
                  <c:v>17694.846000000001</c:v>
                </c:pt>
                <c:pt idx="351">
                  <c:v>17679.807000000001</c:v>
                </c:pt>
                <c:pt idx="352">
                  <c:v>17660.821000000004</c:v>
                </c:pt>
                <c:pt idx="353">
                  <c:v>17644.076000000005</c:v>
                </c:pt>
                <c:pt idx="354">
                  <c:v>17625.063000000002</c:v>
                </c:pt>
                <c:pt idx="355">
                  <c:v>17607.613000000001</c:v>
                </c:pt>
                <c:pt idx="356">
                  <c:v>17587.514999999999</c:v>
                </c:pt>
                <c:pt idx="357">
                  <c:v>17571.232000000004</c:v>
                </c:pt>
                <c:pt idx="358">
                  <c:v>17557.361000000001</c:v>
                </c:pt>
                <c:pt idx="359">
                  <c:v>17542.015000000003</c:v>
                </c:pt>
                <c:pt idx="360">
                  <c:v>17530.999000000003</c:v>
                </c:pt>
                <c:pt idx="361">
                  <c:v>17522.429000000004</c:v>
                </c:pt>
                <c:pt idx="362">
                  <c:v>17512.539000000004</c:v>
                </c:pt>
                <c:pt idx="363">
                  <c:v>17504.61900000001</c:v>
                </c:pt>
                <c:pt idx="364">
                  <c:v>17503.028000000006</c:v>
                </c:pt>
                <c:pt idx="365">
                  <c:v>17507.501000000007</c:v>
                </c:pt>
                <c:pt idx="366">
                  <c:v>17508.659000000007</c:v>
                </c:pt>
                <c:pt idx="367">
                  <c:v>17508.619000000006</c:v>
                </c:pt>
                <c:pt idx="368">
                  <c:v>17508.668000000009</c:v>
                </c:pt>
                <c:pt idx="369">
                  <c:v>17508.949000000008</c:v>
                </c:pt>
                <c:pt idx="370">
                  <c:v>17504.349000000006</c:v>
                </c:pt>
                <c:pt idx="371">
                  <c:v>17503.925000000007</c:v>
                </c:pt>
                <c:pt idx="372">
                  <c:v>17504.880000000005</c:v>
                </c:pt>
                <c:pt idx="373">
                  <c:v>17503.718000000004</c:v>
                </c:pt>
                <c:pt idx="374">
                  <c:v>17504.150000000005</c:v>
                </c:pt>
                <c:pt idx="375">
                  <c:v>17508.320000000003</c:v>
                </c:pt>
                <c:pt idx="376">
                  <c:v>17515.855000000007</c:v>
                </c:pt>
                <c:pt idx="377">
                  <c:v>17519.055000000008</c:v>
                </c:pt>
                <c:pt idx="378">
                  <c:v>17523.854000000007</c:v>
                </c:pt>
                <c:pt idx="379">
                  <c:v>17524.517000000007</c:v>
                </c:pt>
                <c:pt idx="380">
                  <c:v>17530.921000000006</c:v>
                </c:pt>
                <c:pt idx="381">
                  <c:v>17539.348000000005</c:v>
                </c:pt>
                <c:pt idx="382">
                  <c:v>17549.116000000002</c:v>
                </c:pt>
                <c:pt idx="383">
                  <c:v>17563.97</c:v>
                </c:pt>
                <c:pt idx="384">
                  <c:v>17580.041000000005</c:v>
                </c:pt>
                <c:pt idx="385">
                  <c:v>17598.702000000001</c:v>
                </c:pt>
                <c:pt idx="386">
                  <c:v>17616.578000000001</c:v>
                </c:pt>
                <c:pt idx="387">
                  <c:v>17634.134000000002</c:v>
                </c:pt>
                <c:pt idx="388">
                  <c:v>17647.715000000004</c:v>
                </c:pt>
                <c:pt idx="389">
                  <c:v>17665.345000000001</c:v>
                </c:pt>
                <c:pt idx="390">
                  <c:v>17679.745999999999</c:v>
                </c:pt>
                <c:pt idx="391">
                  <c:v>17692.477000000003</c:v>
                </c:pt>
                <c:pt idx="392">
                  <c:v>17703.097000000002</c:v>
                </c:pt>
                <c:pt idx="393">
                  <c:v>17717.728000000003</c:v>
                </c:pt>
                <c:pt idx="394">
                  <c:v>17739.457000000002</c:v>
                </c:pt>
                <c:pt idx="395">
                  <c:v>17768.344000000001</c:v>
                </c:pt>
                <c:pt idx="396">
                  <c:v>17800.155000000002</c:v>
                </c:pt>
                <c:pt idx="397">
                  <c:v>17831.400000000001</c:v>
                </c:pt>
                <c:pt idx="398">
                  <c:v>17861.442999999999</c:v>
                </c:pt>
                <c:pt idx="399">
                  <c:v>17890.124</c:v>
                </c:pt>
                <c:pt idx="400">
                  <c:v>17922.232999999997</c:v>
                </c:pt>
                <c:pt idx="401">
                  <c:v>17952.062999999998</c:v>
                </c:pt>
                <c:pt idx="402">
                  <c:v>17983.553</c:v>
                </c:pt>
                <c:pt idx="403">
                  <c:v>18014.706000000002</c:v>
                </c:pt>
                <c:pt idx="404">
                  <c:v>18047.073</c:v>
                </c:pt>
                <c:pt idx="405">
                  <c:v>18079.389000000003</c:v>
                </c:pt>
                <c:pt idx="406">
                  <c:v>18114.678</c:v>
                </c:pt>
                <c:pt idx="407">
                  <c:v>18148.182000000001</c:v>
                </c:pt>
                <c:pt idx="408">
                  <c:v>18174.749</c:v>
                </c:pt>
                <c:pt idx="409">
                  <c:v>18203.308000000005</c:v>
                </c:pt>
                <c:pt idx="410">
                  <c:v>18227.276000000002</c:v>
                </c:pt>
                <c:pt idx="411">
                  <c:v>18251.627</c:v>
                </c:pt>
                <c:pt idx="412">
                  <c:v>18276.282999999999</c:v>
                </c:pt>
                <c:pt idx="413">
                  <c:v>18297.261999999999</c:v>
                </c:pt>
                <c:pt idx="414">
                  <c:v>18314.324000000001</c:v>
                </c:pt>
                <c:pt idx="415">
                  <c:v>18331.588</c:v>
                </c:pt>
                <c:pt idx="416">
                  <c:v>18353.798999999999</c:v>
                </c:pt>
                <c:pt idx="417">
                  <c:v>18380.038</c:v>
                </c:pt>
                <c:pt idx="418">
                  <c:v>18411.444000000003</c:v>
                </c:pt>
                <c:pt idx="419">
                  <c:v>18445.406000000003</c:v>
                </c:pt>
                <c:pt idx="420">
                  <c:v>18480.705000000002</c:v>
                </c:pt>
                <c:pt idx="421">
                  <c:v>18513.807000000004</c:v>
                </c:pt>
                <c:pt idx="422">
                  <c:v>18548.368000000002</c:v>
                </c:pt>
                <c:pt idx="423">
                  <c:v>18578.732000000004</c:v>
                </c:pt>
                <c:pt idx="424">
                  <c:v>18607.549000000003</c:v>
                </c:pt>
                <c:pt idx="425">
                  <c:v>18635.037</c:v>
                </c:pt>
                <c:pt idx="426">
                  <c:v>18659.770000000004</c:v>
                </c:pt>
                <c:pt idx="427">
                  <c:v>18686.248000000003</c:v>
                </c:pt>
                <c:pt idx="428">
                  <c:v>18712.422000000002</c:v>
                </c:pt>
                <c:pt idx="429">
                  <c:v>18745.271000000004</c:v>
                </c:pt>
                <c:pt idx="430">
                  <c:v>18774.968000000001</c:v>
                </c:pt>
                <c:pt idx="431">
                  <c:v>18806.312000000002</c:v>
                </c:pt>
                <c:pt idx="432">
                  <c:v>18839.593000000004</c:v>
                </c:pt>
                <c:pt idx="433">
                  <c:v>18868.553000000004</c:v>
                </c:pt>
                <c:pt idx="434">
                  <c:v>18895.704000000005</c:v>
                </c:pt>
                <c:pt idx="435">
                  <c:v>18921.339000000004</c:v>
                </c:pt>
                <c:pt idx="436">
                  <c:v>18951.175000000007</c:v>
                </c:pt>
                <c:pt idx="437">
                  <c:v>18980.738000000008</c:v>
                </c:pt>
                <c:pt idx="438">
                  <c:v>19011.060000000009</c:v>
                </c:pt>
                <c:pt idx="439">
                  <c:v>19042.068000000007</c:v>
                </c:pt>
                <c:pt idx="440">
                  <c:v>19070.451000000008</c:v>
                </c:pt>
                <c:pt idx="441">
                  <c:v>19094.022000000008</c:v>
                </c:pt>
                <c:pt idx="442">
                  <c:v>19115.947000000007</c:v>
                </c:pt>
                <c:pt idx="443">
                  <c:v>19139.864000000009</c:v>
                </c:pt>
                <c:pt idx="444">
                  <c:v>19161.823000000008</c:v>
                </c:pt>
                <c:pt idx="445">
                  <c:v>19181.267000000007</c:v>
                </c:pt>
                <c:pt idx="446">
                  <c:v>19201.241000000005</c:v>
                </c:pt>
                <c:pt idx="447">
                  <c:v>19221.415000000008</c:v>
                </c:pt>
                <c:pt idx="448">
                  <c:v>19240.22600000001</c:v>
                </c:pt>
                <c:pt idx="449">
                  <c:v>19258.235000000008</c:v>
                </c:pt>
                <c:pt idx="450">
                  <c:v>19275.658000000007</c:v>
                </c:pt>
                <c:pt idx="451">
                  <c:v>19290.983000000007</c:v>
                </c:pt>
                <c:pt idx="452">
                  <c:v>19302.65800000001</c:v>
                </c:pt>
                <c:pt idx="453">
                  <c:v>19317.839000000007</c:v>
                </c:pt>
                <c:pt idx="454">
                  <c:v>19334.500000000007</c:v>
                </c:pt>
                <c:pt idx="455">
                  <c:v>19351.350000000009</c:v>
                </c:pt>
                <c:pt idx="456">
                  <c:v>19364.76100000001</c:v>
                </c:pt>
                <c:pt idx="457">
                  <c:v>19374.95900000001</c:v>
                </c:pt>
                <c:pt idx="458">
                  <c:v>19387.318000000007</c:v>
                </c:pt>
                <c:pt idx="459">
                  <c:v>19397.651000000009</c:v>
                </c:pt>
                <c:pt idx="460">
                  <c:v>19409.491000000005</c:v>
                </c:pt>
                <c:pt idx="461">
                  <c:v>19418.233000000004</c:v>
                </c:pt>
                <c:pt idx="462">
                  <c:v>19429.802000000007</c:v>
                </c:pt>
                <c:pt idx="463">
                  <c:v>19444.953000000005</c:v>
                </c:pt>
                <c:pt idx="464">
                  <c:v>19463.141000000007</c:v>
                </c:pt>
                <c:pt idx="465">
                  <c:v>19481.538000000004</c:v>
                </c:pt>
                <c:pt idx="466">
                  <c:v>19499.731000000007</c:v>
                </c:pt>
                <c:pt idx="467">
                  <c:v>19516.688000000006</c:v>
                </c:pt>
                <c:pt idx="468">
                  <c:v>19532.834000000003</c:v>
                </c:pt>
                <c:pt idx="469">
                  <c:v>19546.247000000003</c:v>
                </c:pt>
                <c:pt idx="470">
                  <c:v>19559.867000000002</c:v>
                </c:pt>
                <c:pt idx="471">
                  <c:v>19573.959000000003</c:v>
                </c:pt>
                <c:pt idx="472">
                  <c:v>19587.86</c:v>
                </c:pt>
                <c:pt idx="473">
                  <c:v>19603.89</c:v>
                </c:pt>
                <c:pt idx="474">
                  <c:v>19614.8</c:v>
                </c:pt>
                <c:pt idx="475">
                  <c:v>19620.859</c:v>
                </c:pt>
                <c:pt idx="476">
                  <c:v>19626.657999999999</c:v>
                </c:pt>
                <c:pt idx="477">
                  <c:v>19631.874</c:v>
                </c:pt>
                <c:pt idx="478">
                  <c:v>19633.878000000001</c:v>
                </c:pt>
                <c:pt idx="479">
                  <c:v>19633.977999999999</c:v>
                </c:pt>
                <c:pt idx="480">
                  <c:v>19629.464</c:v>
                </c:pt>
                <c:pt idx="481">
                  <c:v>19625.567000000003</c:v>
                </c:pt>
                <c:pt idx="482">
                  <c:v>19616.559000000001</c:v>
                </c:pt>
                <c:pt idx="483">
                  <c:v>19610.381000000001</c:v>
                </c:pt>
                <c:pt idx="484">
                  <c:v>19607.849000000002</c:v>
                </c:pt>
                <c:pt idx="485">
                  <c:v>19607.307000000001</c:v>
                </c:pt>
                <c:pt idx="486">
                  <c:v>19601.988000000001</c:v>
                </c:pt>
                <c:pt idx="487">
                  <c:v>19602.587</c:v>
                </c:pt>
                <c:pt idx="488">
                  <c:v>19605.892999999996</c:v>
                </c:pt>
                <c:pt idx="489">
                  <c:v>19606.696999999996</c:v>
                </c:pt>
                <c:pt idx="490">
                  <c:v>19607.046999999999</c:v>
                </c:pt>
                <c:pt idx="491">
                  <c:v>19611.150999999998</c:v>
                </c:pt>
                <c:pt idx="492">
                  <c:v>19619.748</c:v>
                </c:pt>
                <c:pt idx="493">
                  <c:v>19622.830000000002</c:v>
                </c:pt>
                <c:pt idx="494">
                  <c:v>19623.377999999997</c:v>
                </c:pt>
                <c:pt idx="495">
                  <c:v>19622.813999999998</c:v>
                </c:pt>
                <c:pt idx="496">
                  <c:v>19615.797999999999</c:v>
                </c:pt>
                <c:pt idx="497">
                  <c:v>19607.378999999997</c:v>
                </c:pt>
                <c:pt idx="498">
                  <c:v>19595.957999999999</c:v>
                </c:pt>
                <c:pt idx="499">
                  <c:v>19588.211999999996</c:v>
                </c:pt>
                <c:pt idx="500">
                  <c:v>19581.729999999996</c:v>
                </c:pt>
                <c:pt idx="501">
                  <c:v>19576.016999999996</c:v>
                </c:pt>
                <c:pt idx="502">
                  <c:v>19569.596999999998</c:v>
                </c:pt>
                <c:pt idx="503">
                  <c:v>19564.39</c:v>
                </c:pt>
                <c:pt idx="504">
                  <c:v>19561.072999999997</c:v>
                </c:pt>
                <c:pt idx="505">
                  <c:v>19560.427999999996</c:v>
                </c:pt>
                <c:pt idx="506">
                  <c:v>19560.827999999994</c:v>
                </c:pt>
                <c:pt idx="507">
                  <c:v>19564.381999999998</c:v>
                </c:pt>
                <c:pt idx="508">
                  <c:v>19566.166999999998</c:v>
                </c:pt>
                <c:pt idx="509">
                  <c:v>19567.821</c:v>
                </c:pt>
                <c:pt idx="510">
                  <c:v>19571.383000000002</c:v>
                </c:pt>
                <c:pt idx="511">
                  <c:v>19575.178</c:v>
                </c:pt>
                <c:pt idx="512">
                  <c:v>19579.981</c:v>
                </c:pt>
                <c:pt idx="513">
                  <c:v>19584.708999999995</c:v>
                </c:pt>
                <c:pt idx="514">
                  <c:v>19587.846999999998</c:v>
                </c:pt>
                <c:pt idx="515">
                  <c:v>19589.505999999998</c:v>
                </c:pt>
                <c:pt idx="516">
                  <c:v>19590.632999999998</c:v>
                </c:pt>
                <c:pt idx="517">
                  <c:v>19590.470999999998</c:v>
                </c:pt>
                <c:pt idx="518">
                  <c:v>19586.583999999999</c:v>
                </c:pt>
                <c:pt idx="519">
                  <c:v>19582.613999999998</c:v>
                </c:pt>
                <c:pt idx="520">
                  <c:v>19579.007999999998</c:v>
                </c:pt>
                <c:pt idx="521">
                  <c:v>19578.877999999997</c:v>
                </c:pt>
                <c:pt idx="522">
                  <c:v>19577.693999999996</c:v>
                </c:pt>
                <c:pt idx="523">
                  <c:v>19580.385999999999</c:v>
                </c:pt>
                <c:pt idx="524">
                  <c:v>19596.094000000001</c:v>
                </c:pt>
                <c:pt idx="525">
                  <c:v>19618.348999999998</c:v>
                </c:pt>
                <c:pt idx="526">
                  <c:v>19643.617999999999</c:v>
                </c:pt>
                <c:pt idx="527">
                  <c:v>19668.150000000001</c:v>
                </c:pt>
                <c:pt idx="528">
                  <c:v>19694.244000000002</c:v>
                </c:pt>
                <c:pt idx="529">
                  <c:v>19719.857</c:v>
                </c:pt>
                <c:pt idx="530">
                  <c:v>19747.514000000003</c:v>
                </c:pt>
                <c:pt idx="531">
                  <c:v>19773.275000000001</c:v>
                </c:pt>
                <c:pt idx="532">
                  <c:v>19806.353999999999</c:v>
                </c:pt>
                <c:pt idx="533">
                  <c:v>19846.764999999999</c:v>
                </c:pt>
                <c:pt idx="534">
                  <c:v>19884.222999999994</c:v>
                </c:pt>
                <c:pt idx="535">
                  <c:v>19920.214999999997</c:v>
                </c:pt>
                <c:pt idx="536">
                  <c:v>19952.970999999998</c:v>
                </c:pt>
                <c:pt idx="537">
                  <c:v>19984.275000000001</c:v>
                </c:pt>
                <c:pt idx="538">
                  <c:v>20015.036</c:v>
                </c:pt>
                <c:pt idx="539">
                  <c:v>20047.982999999997</c:v>
                </c:pt>
                <c:pt idx="540">
                  <c:v>20086.057000000001</c:v>
                </c:pt>
                <c:pt idx="541">
                  <c:v>20126.995999999999</c:v>
                </c:pt>
                <c:pt idx="542">
                  <c:v>20165.394</c:v>
                </c:pt>
                <c:pt idx="543">
                  <c:v>20206.810000000001</c:v>
                </c:pt>
                <c:pt idx="544">
                  <c:v>20247.632000000005</c:v>
                </c:pt>
                <c:pt idx="545">
                  <c:v>20287.126</c:v>
                </c:pt>
                <c:pt idx="546">
                  <c:v>20334.663</c:v>
                </c:pt>
                <c:pt idx="547">
                  <c:v>20386.436000000002</c:v>
                </c:pt>
                <c:pt idx="548">
                  <c:v>20439.550999999999</c:v>
                </c:pt>
                <c:pt idx="549">
                  <c:v>20489.503000000001</c:v>
                </c:pt>
                <c:pt idx="550">
                  <c:v>20539.059000000001</c:v>
                </c:pt>
                <c:pt idx="551">
                  <c:v>20590.411</c:v>
                </c:pt>
                <c:pt idx="552">
                  <c:v>20648.519</c:v>
                </c:pt>
                <c:pt idx="553">
                  <c:v>20707.803</c:v>
                </c:pt>
                <c:pt idx="554">
                  <c:v>20763.837000000003</c:v>
                </c:pt>
                <c:pt idx="555">
                  <c:v>20807.041000000001</c:v>
                </c:pt>
                <c:pt idx="556">
                  <c:v>20848.151999999998</c:v>
                </c:pt>
                <c:pt idx="557">
                  <c:v>20891.730000000003</c:v>
                </c:pt>
                <c:pt idx="558">
                  <c:v>20935.260000000002</c:v>
                </c:pt>
                <c:pt idx="559">
                  <c:v>20971.529000000002</c:v>
                </c:pt>
                <c:pt idx="560">
                  <c:v>21010.097000000002</c:v>
                </c:pt>
                <c:pt idx="561">
                  <c:v>21048.278000000002</c:v>
                </c:pt>
                <c:pt idx="562">
                  <c:v>21089.521000000001</c:v>
                </c:pt>
                <c:pt idx="563">
                  <c:v>21124.659000000003</c:v>
                </c:pt>
                <c:pt idx="564">
                  <c:v>21164.537</c:v>
                </c:pt>
                <c:pt idx="565">
                  <c:v>21204.606</c:v>
                </c:pt>
                <c:pt idx="566">
                  <c:v>21246.013999999999</c:v>
                </c:pt>
                <c:pt idx="567">
                  <c:v>21285.210999999999</c:v>
                </c:pt>
                <c:pt idx="568">
                  <c:v>21327.758999999998</c:v>
                </c:pt>
                <c:pt idx="569">
                  <c:v>21370.474999999999</c:v>
                </c:pt>
                <c:pt idx="570">
                  <c:v>21407.039999999994</c:v>
                </c:pt>
                <c:pt idx="571">
                  <c:v>21440.757999999998</c:v>
                </c:pt>
                <c:pt idx="572">
                  <c:v>21470.415999999997</c:v>
                </c:pt>
                <c:pt idx="573">
                  <c:v>21499.922999999995</c:v>
                </c:pt>
                <c:pt idx="574">
                  <c:v>21522.987999999998</c:v>
                </c:pt>
                <c:pt idx="575">
                  <c:v>21544.100999999995</c:v>
                </c:pt>
                <c:pt idx="576">
                  <c:v>21566.160999999996</c:v>
                </c:pt>
                <c:pt idx="577">
                  <c:v>21590.582999999999</c:v>
                </c:pt>
                <c:pt idx="578">
                  <c:v>21615.133999999998</c:v>
                </c:pt>
                <c:pt idx="579">
                  <c:v>21636.292999999998</c:v>
                </c:pt>
                <c:pt idx="580">
                  <c:v>21662.513999999996</c:v>
                </c:pt>
                <c:pt idx="581">
                  <c:v>21688.240999999995</c:v>
                </c:pt>
                <c:pt idx="582">
                  <c:v>21707.027999999998</c:v>
                </c:pt>
                <c:pt idx="583">
                  <c:v>21721.861999999997</c:v>
                </c:pt>
                <c:pt idx="584">
                  <c:v>21732.511999999999</c:v>
                </c:pt>
                <c:pt idx="585">
                  <c:v>21743.105999999996</c:v>
                </c:pt>
                <c:pt idx="586">
                  <c:v>21766.877999999997</c:v>
                </c:pt>
                <c:pt idx="587">
                  <c:v>21789.888999999999</c:v>
                </c:pt>
                <c:pt idx="588">
                  <c:v>21810.027000000002</c:v>
                </c:pt>
                <c:pt idx="589">
                  <c:v>21830.681</c:v>
                </c:pt>
                <c:pt idx="590">
                  <c:v>21847.457000000002</c:v>
                </c:pt>
                <c:pt idx="591">
                  <c:v>21858.536</c:v>
                </c:pt>
                <c:pt idx="592">
                  <c:v>21870.621999999996</c:v>
                </c:pt>
                <c:pt idx="593">
                  <c:v>21875.737999999998</c:v>
                </c:pt>
                <c:pt idx="594">
                  <c:v>21885.355</c:v>
                </c:pt>
                <c:pt idx="595">
                  <c:v>21895.474999999999</c:v>
                </c:pt>
                <c:pt idx="596">
                  <c:v>21903.417000000001</c:v>
                </c:pt>
                <c:pt idx="597">
                  <c:v>21905.55</c:v>
                </c:pt>
                <c:pt idx="598">
                  <c:v>21912.072</c:v>
                </c:pt>
                <c:pt idx="599">
                  <c:v>21921.414000000001</c:v>
                </c:pt>
                <c:pt idx="600">
                  <c:v>21930.974999999999</c:v>
                </c:pt>
                <c:pt idx="601">
                  <c:v>21938.125</c:v>
                </c:pt>
                <c:pt idx="602">
                  <c:v>21942.706999999999</c:v>
                </c:pt>
                <c:pt idx="603">
                  <c:v>21947.295999999995</c:v>
                </c:pt>
                <c:pt idx="604">
                  <c:v>21955.889999999996</c:v>
                </c:pt>
                <c:pt idx="605">
                  <c:v>21973.516999999996</c:v>
                </c:pt>
                <c:pt idx="606">
                  <c:v>21992.965</c:v>
                </c:pt>
                <c:pt idx="607">
                  <c:v>22010.809999999994</c:v>
                </c:pt>
                <c:pt idx="608">
                  <c:v>22029.647999999997</c:v>
                </c:pt>
                <c:pt idx="609">
                  <c:v>22058.197999999997</c:v>
                </c:pt>
                <c:pt idx="610">
                  <c:v>22081.973999999998</c:v>
                </c:pt>
                <c:pt idx="611">
                  <c:v>22109.998</c:v>
                </c:pt>
                <c:pt idx="612">
                  <c:v>22125.633999999998</c:v>
                </c:pt>
                <c:pt idx="613">
                  <c:v>22140.641999999996</c:v>
                </c:pt>
                <c:pt idx="614">
                  <c:v>22149.085999999996</c:v>
                </c:pt>
                <c:pt idx="615">
                  <c:v>22155.054</c:v>
                </c:pt>
                <c:pt idx="616">
                  <c:v>22160.917999999998</c:v>
                </c:pt>
                <c:pt idx="617">
                  <c:v>22172.211999999996</c:v>
                </c:pt>
                <c:pt idx="618">
                  <c:v>22180.983999999993</c:v>
                </c:pt>
                <c:pt idx="619">
                  <c:v>22190.421999999999</c:v>
                </c:pt>
                <c:pt idx="620">
                  <c:v>22207.47</c:v>
                </c:pt>
                <c:pt idx="621">
                  <c:v>22220.218999999997</c:v>
                </c:pt>
                <c:pt idx="622">
                  <c:v>22240.766</c:v>
                </c:pt>
                <c:pt idx="623">
                  <c:v>22257.998000000003</c:v>
                </c:pt>
                <c:pt idx="624">
                  <c:v>22274.161</c:v>
                </c:pt>
                <c:pt idx="625">
                  <c:v>22285.463000000003</c:v>
                </c:pt>
                <c:pt idx="626">
                  <c:v>22293.503000000004</c:v>
                </c:pt>
                <c:pt idx="627">
                  <c:v>22297.108000000004</c:v>
                </c:pt>
                <c:pt idx="628">
                  <c:v>22299.219000000005</c:v>
                </c:pt>
                <c:pt idx="629">
                  <c:v>22297.267999999996</c:v>
                </c:pt>
                <c:pt idx="630">
                  <c:v>22294.023000000001</c:v>
                </c:pt>
                <c:pt idx="631">
                  <c:v>22291.85</c:v>
                </c:pt>
                <c:pt idx="632">
                  <c:v>22293.766</c:v>
                </c:pt>
                <c:pt idx="633">
                  <c:v>22293.81</c:v>
                </c:pt>
                <c:pt idx="634">
                  <c:v>22302.864000000005</c:v>
                </c:pt>
                <c:pt idx="635">
                  <c:v>22312.530000000006</c:v>
                </c:pt>
                <c:pt idx="636">
                  <c:v>22315.795000000006</c:v>
                </c:pt>
                <c:pt idx="637">
                  <c:v>22318.264000000003</c:v>
                </c:pt>
                <c:pt idx="638">
                  <c:v>22323.094000000005</c:v>
                </c:pt>
                <c:pt idx="639">
                  <c:v>22332.965999999997</c:v>
                </c:pt>
                <c:pt idx="640">
                  <c:v>22342.237000000001</c:v>
                </c:pt>
                <c:pt idx="641">
                  <c:v>22354.232999999997</c:v>
                </c:pt>
                <c:pt idx="642">
                  <c:v>22365.281999999996</c:v>
                </c:pt>
                <c:pt idx="643">
                  <c:v>22379.421999999999</c:v>
                </c:pt>
                <c:pt idx="644">
                  <c:v>22386.261999999992</c:v>
                </c:pt>
                <c:pt idx="645">
                  <c:v>22396.408999999996</c:v>
                </c:pt>
                <c:pt idx="646">
                  <c:v>22420.572999999993</c:v>
                </c:pt>
                <c:pt idx="647">
                  <c:v>22421.913999999993</c:v>
                </c:pt>
                <c:pt idx="648">
                  <c:v>22437.539000000001</c:v>
                </c:pt>
                <c:pt idx="649">
                  <c:v>22453.727999999999</c:v>
                </c:pt>
                <c:pt idx="650">
                  <c:v>22477.595999999998</c:v>
                </c:pt>
                <c:pt idx="651">
                  <c:v>22502.685999999998</c:v>
                </c:pt>
                <c:pt idx="652">
                  <c:v>22525.509999999995</c:v>
                </c:pt>
                <c:pt idx="653">
                  <c:v>22545.431</c:v>
                </c:pt>
                <c:pt idx="654">
                  <c:v>22564.168999999998</c:v>
                </c:pt>
                <c:pt idx="655">
                  <c:v>22584.415000000001</c:v>
                </c:pt>
                <c:pt idx="656">
                  <c:v>22606.880000000001</c:v>
                </c:pt>
                <c:pt idx="657">
                  <c:v>22626.906999999996</c:v>
                </c:pt>
                <c:pt idx="658">
                  <c:v>22647.972999999998</c:v>
                </c:pt>
                <c:pt idx="659">
                  <c:v>22664.668999999998</c:v>
                </c:pt>
                <c:pt idx="660">
                  <c:v>22682.571</c:v>
                </c:pt>
                <c:pt idx="661">
                  <c:v>22701.921000000002</c:v>
                </c:pt>
                <c:pt idx="662">
                  <c:v>22728.909000000003</c:v>
                </c:pt>
                <c:pt idx="663">
                  <c:v>22764.348999999998</c:v>
                </c:pt>
                <c:pt idx="664">
                  <c:v>22801.602999999999</c:v>
                </c:pt>
                <c:pt idx="665">
                  <c:v>22844.524999999994</c:v>
                </c:pt>
                <c:pt idx="666">
                  <c:v>22884.061999999998</c:v>
                </c:pt>
                <c:pt idx="667">
                  <c:v>22923.063999999998</c:v>
                </c:pt>
                <c:pt idx="668">
                  <c:v>22961.746999999996</c:v>
                </c:pt>
                <c:pt idx="669">
                  <c:v>23000.175999999999</c:v>
                </c:pt>
                <c:pt idx="670">
                  <c:v>23035.18</c:v>
                </c:pt>
                <c:pt idx="671">
                  <c:v>23075.445</c:v>
                </c:pt>
                <c:pt idx="672">
                  <c:v>23109.065999999995</c:v>
                </c:pt>
                <c:pt idx="673">
                  <c:v>23143.287999999997</c:v>
                </c:pt>
                <c:pt idx="674">
                  <c:v>23180.366999999998</c:v>
                </c:pt>
                <c:pt idx="675">
                  <c:v>23222.583999999995</c:v>
                </c:pt>
                <c:pt idx="676">
                  <c:v>23265.989999999994</c:v>
                </c:pt>
                <c:pt idx="677">
                  <c:v>23315.956999999999</c:v>
                </c:pt>
                <c:pt idx="678">
                  <c:v>23360.524999999994</c:v>
                </c:pt>
                <c:pt idx="679">
                  <c:v>23411.56</c:v>
                </c:pt>
                <c:pt idx="680">
                  <c:v>23460.037</c:v>
                </c:pt>
                <c:pt idx="681">
                  <c:v>23506.226000000002</c:v>
                </c:pt>
                <c:pt idx="682">
                  <c:v>23549.991000000002</c:v>
                </c:pt>
                <c:pt idx="683">
                  <c:v>23602.677000000003</c:v>
                </c:pt>
                <c:pt idx="684">
                  <c:v>23651.322000000007</c:v>
                </c:pt>
                <c:pt idx="685">
                  <c:v>23699.146000000004</c:v>
                </c:pt>
                <c:pt idx="686">
                  <c:v>23748.129000000004</c:v>
                </c:pt>
                <c:pt idx="687">
                  <c:v>23797.766</c:v>
                </c:pt>
                <c:pt idx="688">
                  <c:v>23840.163999999993</c:v>
                </c:pt>
                <c:pt idx="689">
                  <c:v>23861.922999999995</c:v>
                </c:pt>
                <c:pt idx="690">
                  <c:v>23882.631999999994</c:v>
                </c:pt>
                <c:pt idx="691">
                  <c:v>23909.932999999994</c:v>
                </c:pt>
                <c:pt idx="692">
                  <c:v>23934.509999999995</c:v>
                </c:pt>
                <c:pt idx="693">
                  <c:v>23967.766</c:v>
                </c:pt>
                <c:pt idx="694">
                  <c:v>24004.932999999997</c:v>
                </c:pt>
                <c:pt idx="695">
                  <c:v>24037.098999999998</c:v>
                </c:pt>
                <c:pt idx="696">
                  <c:v>24054.695999999996</c:v>
                </c:pt>
                <c:pt idx="697">
                  <c:v>24107.828999999994</c:v>
                </c:pt>
                <c:pt idx="698">
                  <c:v>24146.874999999989</c:v>
                </c:pt>
                <c:pt idx="699">
                  <c:v>24184.423999999995</c:v>
                </c:pt>
                <c:pt idx="700">
                  <c:v>24214.024999999994</c:v>
                </c:pt>
                <c:pt idx="701">
                  <c:v>24245.070999999996</c:v>
                </c:pt>
                <c:pt idx="702">
                  <c:v>24276.236999999997</c:v>
                </c:pt>
                <c:pt idx="703">
                  <c:v>24309.99</c:v>
                </c:pt>
                <c:pt idx="704">
                  <c:v>24342.367000000002</c:v>
                </c:pt>
                <c:pt idx="705">
                  <c:v>24374.102000000006</c:v>
                </c:pt>
                <c:pt idx="706">
                  <c:v>24405.983000000004</c:v>
                </c:pt>
                <c:pt idx="707">
                  <c:v>24440.381000000001</c:v>
                </c:pt>
                <c:pt idx="708">
                  <c:v>24474.615000000002</c:v>
                </c:pt>
                <c:pt idx="709">
                  <c:v>24510.190000000006</c:v>
                </c:pt>
                <c:pt idx="710">
                  <c:v>24543.407000000003</c:v>
                </c:pt>
                <c:pt idx="711">
                  <c:v>24571.883000000002</c:v>
                </c:pt>
                <c:pt idx="712">
                  <c:v>24591.55</c:v>
                </c:pt>
                <c:pt idx="713">
                  <c:v>24609.387999999992</c:v>
                </c:pt>
                <c:pt idx="714">
                  <c:v>24629.998</c:v>
                </c:pt>
                <c:pt idx="715">
                  <c:v>24645.527999999998</c:v>
                </c:pt>
                <c:pt idx="716">
                  <c:v>24670.828999999994</c:v>
                </c:pt>
                <c:pt idx="717">
                  <c:v>24692.228999999996</c:v>
                </c:pt>
                <c:pt idx="718">
                  <c:v>24713.86099999999</c:v>
                </c:pt>
                <c:pt idx="719">
                  <c:v>24735.75499999999</c:v>
                </c:pt>
                <c:pt idx="720">
                  <c:v>24756.894999999997</c:v>
                </c:pt>
                <c:pt idx="721">
                  <c:v>24776.546999999999</c:v>
                </c:pt>
                <c:pt idx="722">
                  <c:v>24805.876999999997</c:v>
                </c:pt>
                <c:pt idx="723">
                  <c:v>24838.339</c:v>
                </c:pt>
                <c:pt idx="724">
                  <c:v>24867.103999999999</c:v>
                </c:pt>
                <c:pt idx="725">
                  <c:v>24895.452999999994</c:v>
                </c:pt>
                <c:pt idx="726">
                  <c:v>24927.513999999996</c:v>
                </c:pt>
                <c:pt idx="727">
                  <c:v>24955.07599999999</c:v>
                </c:pt>
                <c:pt idx="728">
                  <c:v>24980.674999999996</c:v>
                </c:pt>
                <c:pt idx="729">
                  <c:v>25006.428</c:v>
                </c:pt>
                <c:pt idx="730">
                  <c:v>25021.848999999995</c:v>
                </c:pt>
                <c:pt idx="731">
                  <c:v>25033.870999999999</c:v>
                </c:pt>
                <c:pt idx="732">
                  <c:v>25041.664000000004</c:v>
                </c:pt>
                <c:pt idx="733">
                  <c:v>25045.23</c:v>
                </c:pt>
                <c:pt idx="734">
                  <c:v>25048.147000000001</c:v>
                </c:pt>
                <c:pt idx="735">
                  <c:v>25050.970000000005</c:v>
                </c:pt>
                <c:pt idx="736">
                  <c:v>25051.232000000004</c:v>
                </c:pt>
                <c:pt idx="737">
                  <c:v>25053.573000000004</c:v>
                </c:pt>
                <c:pt idx="738">
                  <c:v>25060.366000000002</c:v>
                </c:pt>
                <c:pt idx="739">
                  <c:v>25078.68</c:v>
                </c:pt>
                <c:pt idx="740">
                  <c:v>25093.826000000001</c:v>
                </c:pt>
                <c:pt idx="741">
                  <c:v>25104.957000000002</c:v>
                </c:pt>
                <c:pt idx="742">
                  <c:v>25118.239000000009</c:v>
                </c:pt>
                <c:pt idx="743">
                  <c:v>25120.331000000009</c:v>
                </c:pt>
                <c:pt idx="744">
                  <c:v>25122.10100000001</c:v>
                </c:pt>
                <c:pt idx="745">
                  <c:v>25127.309000000008</c:v>
                </c:pt>
                <c:pt idx="746">
                  <c:v>25128.05000000001</c:v>
                </c:pt>
                <c:pt idx="747">
                  <c:v>25124.010000000006</c:v>
                </c:pt>
                <c:pt idx="748">
                  <c:v>25121.894000000008</c:v>
                </c:pt>
                <c:pt idx="749">
                  <c:v>25114.734000000004</c:v>
                </c:pt>
                <c:pt idx="750">
                  <c:v>25103.437000000005</c:v>
                </c:pt>
                <c:pt idx="751">
                  <c:v>25093.294000000005</c:v>
                </c:pt>
                <c:pt idx="752">
                  <c:v>25076.738000000001</c:v>
                </c:pt>
                <c:pt idx="753">
                  <c:v>25060.792000000005</c:v>
                </c:pt>
                <c:pt idx="754">
                  <c:v>25050.118000000006</c:v>
                </c:pt>
                <c:pt idx="755">
                  <c:v>25033.058000000012</c:v>
                </c:pt>
                <c:pt idx="756">
                  <c:v>25012.983000000007</c:v>
                </c:pt>
                <c:pt idx="757">
                  <c:v>24991.091000000011</c:v>
                </c:pt>
                <c:pt idx="758">
                  <c:v>24963.186000000005</c:v>
                </c:pt>
                <c:pt idx="759">
                  <c:v>24928.770000000004</c:v>
                </c:pt>
                <c:pt idx="760">
                  <c:v>24895.45</c:v>
                </c:pt>
                <c:pt idx="761">
                  <c:v>24861.624</c:v>
                </c:pt>
                <c:pt idx="762">
                  <c:v>24834.951000000001</c:v>
                </c:pt>
                <c:pt idx="763">
                  <c:v>24803.220999999998</c:v>
                </c:pt>
                <c:pt idx="764">
                  <c:v>24780.543999999998</c:v>
                </c:pt>
                <c:pt idx="765">
                  <c:v>24766.612999999994</c:v>
                </c:pt>
                <c:pt idx="766">
                  <c:v>24742.724999999995</c:v>
                </c:pt>
                <c:pt idx="767">
                  <c:v>24721.092999999997</c:v>
                </c:pt>
                <c:pt idx="768">
                  <c:v>24691.70099999999</c:v>
                </c:pt>
                <c:pt idx="769">
                  <c:v>24665.951999999994</c:v>
                </c:pt>
                <c:pt idx="770">
                  <c:v>24643.921999999999</c:v>
                </c:pt>
                <c:pt idx="771">
                  <c:v>24624.749</c:v>
                </c:pt>
                <c:pt idx="772">
                  <c:v>24598.278999999995</c:v>
                </c:pt>
                <c:pt idx="773">
                  <c:v>24573.665999999997</c:v>
                </c:pt>
                <c:pt idx="774">
                  <c:v>24548.413999999993</c:v>
                </c:pt>
                <c:pt idx="775">
                  <c:v>24520.710999999996</c:v>
                </c:pt>
                <c:pt idx="776">
                  <c:v>24488.591</c:v>
                </c:pt>
                <c:pt idx="777">
                  <c:v>24457.847999999998</c:v>
                </c:pt>
                <c:pt idx="778">
                  <c:v>24432.605</c:v>
                </c:pt>
                <c:pt idx="779">
                  <c:v>24412.033000000003</c:v>
                </c:pt>
                <c:pt idx="780">
                  <c:v>24400.396000000004</c:v>
                </c:pt>
                <c:pt idx="781">
                  <c:v>24386.824000000004</c:v>
                </c:pt>
                <c:pt idx="782">
                  <c:v>24374.886000000006</c:v>
                </c:pt>
                <c:pt idx="783">
                  <c:v>24353.657000000003</c:v>
                </c:pt>
                <c:pt idx="784">
                  <c:v>24325.768000000004</c:v>
                </c:pt>
                <c:pt idx="785">
                  <c:v>24300.868000000002</c:v>
                </c:pt>
                <c:pt idx="786">
                  <c:v>24276.136000000002</c:v>
                </c:pt>
                <c:pt idx="787">
                  <c:v>24248.581000000002</c:v>
                </c:pt>
                <c:pt idx="788">
                  <c:v>24223.701999999997</c:v>
                </c:pt>
                <c:pt idx="789">
                  <c:v>24197.173999999995</c:v>
                </c:pt>
                <c:pt idx="790">
                  <c:v>24175.072999999993</c:v>
                </c:pt>
                <c:pt idx="791">
                  <c:v>24152.849999999995</c:v>
                </c:pt>
                <c:pt idx="792">
                  <c:v>24141.000999999997</c:v>
                </c:pt>
                <c:pt idx="793">
                  <c:v>24131.653999999995</c:v>
                </c:pt>
                <c:pt idx="794">
                  <c:v>24115.264999999999</c:v>
                </c:pt>
                <c:pt idx="795">
                  <c:v>24101.434999999994</c:v>
                </c:pt>
                <c:pt idx="796">
                  <c:v>24091.597999999998</c:v>
                </c:pt>
                <c:pt idx="797">
                  <c:v>24075.345000000001</c:v>
                </c:pt>
                <c:pt idx="798">
                  <c:v>24054.638000000003</c:v>
                </c:pt>
                <c:pt idx="799">
                  <c:v>24029.54</c:v>
                </c:pt>
                <c:pt idx="800">
                  <c:v>24008.954000000005</c:v>
                </c:pt>
                <c:pt idx="801">
                  <c:v>23987.131000000001</c:v>
                </c:pt>
                <c:pt idx="802">
                  <c:v>23973.460000000006</c:v>
                </c:pt>
                <c:pt idx="803">
                  <c:v>23953.258000000002</c:v>
                </c:pt>
                <c:pt idx="804">
                  <c:v>23930.472000000002</c:v>
                </c:pt>
                <c:pt idx="805">
                  <c:v>23906.977999999999</c:v>
                </c:pt>
                <c:pt idx="806">
                  <c:v>23887.120999999996</c:v>
                </c:pt>
                <c:pt idx="807">
                  <c:v>23868.402000000002</c:v>
                </c:pt>
                <c:pt idx="808">
                  <c:v>23852.576999999997</c:v>
                </c:pt>
                <c:pt idx="809">
                  <c:v>23837.978999999999</c:v>
                </c:pt>
                <c:pt idx="810">
                  <c:v>23826.47</c:v>
                </c:pt>
                <c:pt idx="811">
                  <c:v>23820.656000000003</c:v>
                </c:pt>
                <c:pt idx="812">
                  <c:v>23815.276000000002</c:v>
                </c:pt>
                <c:pt idx="813">
                  <c:v>23818.445999999996</c:v>
                </c:pt>
                <c:pt idx="814">
                  <c:v>23809.944</c:v>
                </c:pt>
                <c:pt idx="815">
                  <c:v>23792.726999999999</c:v>
                </c:pt>
                <c:pt idx="816">
                  <c:v>23783.621999999996</c:v>
                </c:pt>
                <c:pt idx="817">
                  <c:v>23772.05</c:v>
                </c:pt>
                <c:pt idx="818">
                  <c:v>23765.834000000003</c:v>
                </c:pt>
                <c:pt idx="819">
                  <c:v>23754.411</c:v>
                </c:pt>
                <c:pt idx="820">
                  <c:v>23736.522000000008</c:v>
                </c:pt>
                <c:pt idx="821">
                  <c:v>23708.815000000006</c:v>
                </c:pt>
                <c:pt idx="822">
                  <c:v>23680.371000000006</c:v>
                </c:pt>
                <c:pt idx="823">
                  <c:v>23646.831000000002</c:v>
                </c:pt>
                <c:pt idx="824">
                  <c:v>23611.860000000004</c:v>
                </c:pt>
                <c:pt idx="825">
                  <c:v>23578.670000000006</c:v>
                </c:pt>
                <c:pt idx="826">
                  <c:v>23545.375</c:v>
                </c:pt>
                <c:pt idx="827">
                  <c:v>23511.196999999996</c:v>
                </c:pt>
                <c:pt idx="828">
                  <c:v>23478.485999999997</c:v>
                </c:pt>
                <c:pt idx="829">
                  <c:v>23439.037999999997</c:v>
                </c:pt>
                <c:pt idx="830">
                  <c:v>23396.739999999994</c:v>
                </c:pt>
                <c:pt idx="831">
                  <c:v>23360.971000000001</c:v>
                </c:pt>
                <c:pt idx="832">
                  <c:v>23327.895</c:v>
                </c:pt>
                <c:pt idx="833">
                  <c:v>23291.355000000003</c:v>
                </c:pt>
                <c:pt idx="834">
                  <c:v>23261.991000000005</c:v>
                </c:pt>
                <c:pt idx="835">
                  <c:v>23228.575000000004</c:v>
                </c:pt>
                <c:pt idx="836">
                  <c:v>23200.768000000004</c:v>
                </c:pt>
                <c:pt idx="837">
                  <c:v>23176.658000000003</c:v>
                </c:pt>
                <c:pt idx="838">
                  <c:v>23151.440000000006</c:v>
                </c:pt>
                <c:pt idx="839">
                  <c:v>23127.748000000007</c:v>
                </c:pt>
                <c:pt idx="840">
                  <c:v>23104.810000000005</c:v>
                </c:pt>
                <c:pt idx="841">
                  <c:v>23079.362000000008</c:v>
                </c:pt>
                <c:pt idx="842">
                  <c:v>23043.533000000007</c:v>
                </c:pt>
                <c:pt idx="843">
                  <c:v>23013.613000000001</c:v>
                </c:pt>
                <c:pt idx="844">
                  <c:v>22997.978000000003</c:v>
                </c:pt>
                <c:pt idx="845">
                  <c:v>22981.972000000012</c:v>
                </c:pt>
                <c:pt idx="846">
                  <c:v>22972.006000000005</c:v>
                </c:pt>
                <c:pt idx="847">
                  <c:v>22968.484000000008</c:v>
                </c:pt>
                <c:pt idx="848">
                  <c:v>22973.021000000004</c:v>
                </c:pt>
                <c:pt idx="849">
                  <c:v>22984.674999999999</c:v>
                </c:pt>
                <c:pt idx="850">
                  <c:v>22990.891000000007</c:v>
                </c:pt>
                <c:pt idx="851">
                  <c:v>22998.466000000004</c:v>
                </c:pt>
                <c:pt idx="852">
                  <c:v>23002.617000000006</c:v>
                </c:pt>
                <c:pt idx="853">
                  <c:v>23001.867000000006</c:v>
                </c:pt>
                <c:pt idx="854">
                  <c:v>23001.61900000001</c:v>
                </c:pt>
                <c:pt idx="855">
                  <c:v>23006.128000000008</c:v>
                </c:pt>
                <c:pt idx="856">
                  <c:v>23001.110000000004</c:v>
                </c:pt>
                <c:pt idx="857">
                  <c:v>22980.235000000008</c:v>
                </c:pt>
                <c:pt idx="858">
                  <c:v>22969.108000000007</c:v>
                </c:pt>
                <c:pt idx="859">
                  <c:v>22960.508000000002</c:v>
                </c:pt>
                <c:pt idx="860">
                  <c:v>22957.934000000005</c:v>
                </c:pt>
                <c:pt idx="861">
                  <c:v>22961.243000000002</c:v>
                </c:pt>
                <c:pt idx="862">
                  <c:v>22964.996999999996</c:v>
                </c:pt>
                <c:pt idx="863">
                  <c:v>22971.861999999994</c:v>
                </c:pt>
                <c:pt idx="864">
                  <c:v>22984.729999999996</c:v>
                </c:pt>
                <c:pt idx="865">
                  <c:v>23000.853999999996</c:v>
                </c:pt>
                <c:pt idx="866">
                  <c:v>23012.647999999997</c:v>
                </c:pt>
                <c:pt idx="867">
                  <c:v>23023.655999999992</c:v>
                </c:pt>
                <c:pt idx="868">
                  <c:v>23032.375999999997</c:v>
                </c:pt>
                <c:pt idx="869">
                  <c:v>23047.747000000003</c:v>
                </c:pt>
                <c:pt idx="870">
                  <c:v>23066.833999999999</c:v>
                </c:pt>
                <c:pt idx="871">
                  <c:v>23092.081999999999</c:v>
                </c:pt>
                <c:pt idx="872">
                  <c:v>23118.11099999999</c:v>
                </c:pt>
                <c:pt idx="873">
                  <c:v>23146.705999999991</c:v>
                </c:pt>
                <c:pt idx="874">
                  <c:v>23175.712999999992</c:v>
                </c:pt>
                <c:pt idx="875">
                  <c:v>23204.810999999991</c:v>
                </c:pt>
                <c:pt idx="876">
                  <c:v>23231.380999999998</c:v>
                </c:pt>
                <c:pt idx="877">
                  <c:v>23252.882999999994</c:v>
                </c:pt>
                <c:pt idx="878">
                  <c:v>23293.113999999994</c:v>
                </c:pt>
                <c:pt idx="879">
                  <c:v>23328.762999999992</c:v>
                </c:pt>
                <c:pt idx="880">
                  <c:v>23371.033999999996</c:v>
                </c:pt>
                <c:pt idx="881">
                  <c:v>23421.324999999997</c:v>
                </c:pt>
                <c:pt idx="882">
                  <c:v>23470.82</c:v>
                </c:pt>
                <c:pt idx="883">
                  <c:v>23527.235000000001</c:v>
                </c:pt>
                <c:pt idx="884">
                  <c:v>23578.526999999998</c:v>
                </c:pt>
                <c:pt idx="885">
                  <c:v>23633.142999999993</c:v>
                </c:pt>
                <c:pt idx="886">
                  <c:v>23678.590999999993</c:v>
                </c:pt>
                <c:pt idx="887">
                  <c:v>23724.759999999991</c:v>
                </c:pt>
                <c:pt idx="888">
                  <c:v>23773.732999999989</c:v>
                </c:pt>
                <c:pt idx="889">
                  <c:v>23821.050999999989</c:v>
                </c:pt>
                <c:pt idx="890">
                  <c:v>23866.141999999989</c:v>
                </c:pt>
                <c:pt idx="891">
                  <c:v>23913.403999999991</c:v>
                </c:pt>
                <c:pt idx="892">
                  <c:v>23960.473999999991</c:v>
                </c:pt>
                <c:pt idx="893">
                  <c:v>24004.63099999999</c:v>
                </c:pt>
                <c:pt idx="894">
                  <c:v>24038.794999999995</c:v>
                </c:pt>
                <c:pt idx="895">
                  <c:v>24073.046999999999</c:v>
                </c:pt>
                <c:pt idx="896">
                  <c:v>24104.251999999997</c:v>
                </c:pt>
                <c:pt idx="897">
                  <c:v>24137.304999999997</c:v>
                </c:pt>
                <c:pt idx="898">
                  <c:v>24166.201999999997</c:v>
                </c:pt>
                <c:pt idx="899">
                  <c:v>24194.913999999993</c:v>
                </c:pt>
                <c:pt idx="900">
                  <c:v>24228.00499999999</c:v>
                </c:pt>
                <c:pt idx="901">
                  <c:v>24253.929999999989</c:v>
                </c:pt>
                <c:pt idx="902">
                  <c:v>24277.91499999999</c:v>
                </c:pt>
                <c:pt idx="903">
                  <c:v>24313.530999999992</c:v>
                </c:pt>
                <c:pt idx="904">
                  <c:v>24343.951999999994</c:v>
                </c:pt>
                <c:pt idx="905">
                  <c:v>24375.190999999995</c:v>
                </c:pt>
                <c:pt idx="906">
                  <c:v>24412.966999999997</c:v>
                </c:pt>
                <c:pt idx="907">
                  <c:v>24471.982999999993</c:v>
                </c:pt>
                <c:pt idx="908">
                  <c:v>24520.703999999994</c:v>
                </c:pt>
                <c:pt idx="909">
                  <c:v>24573.607999999993</c:v>
                </c:pt>
                <c:pt idx="910">
                  <c:v>24621.931999999993</c:v>
                </c:pt>
                <c:pt idx="911">
                  <c:v>24666.340999999993</c:v>
                </c:pt>
                <c:pt idx="912">
                  <c:v>24710.352999999992</c:v>
                </c:pt>
                <c:pt idx="913">
                  <c:v>24743.660999999996</c:v>
                </c:pt>
                <c:pt idx="914">
                  <c:v>24771.986000000001</c:v>
                </c:pt>
                <c:pt idx="915">
                  <c:v>24797.708999999999</c:v>
                </c:pt>
                <c:pt idx="916">
                  <c:v>24819.236000000001</c:v>
                </c:pt>
                <c:pt idx="917">
                  <c:v>24843.522000000001</c:v>
                </c:pt>
                <c:pt idx="918">
                  <c:v>24871.960999999999</c:v>
                </c:pt>
                <c:pt idx="919">
                  <c:v>24895.841</c:v>
                </c:pt>
                <c:pt idx="920">
                  <c:v>24918.644000000004</c:v>
                </c:pt>
                <c:pt idx="921">
                  <c:v>24939.06500000001</c:v>
                </c:pt>
                <c:pt idx="922">
                  <c:v>24955.128000000012</c:v>
                </c:pt>
                <c:pt idx="923">
                  <c:v>24967.55100000001</c:v>
                </c:pt>
                <c:pt idx="924">
                  <c:v>24983.875000000015</c:v>
                </c:pt>
                <c:pt idx="925">
                  <c:v>24999.828000000012</c:v>
                </c:pt>
                <c:pt idx="926">
                  <c:v>25016.581000000009</c:v>
                </c:pt>
                <c:pt idx="927">
                  <c:v>25035.789000000012</c:v>
                </c:pt>
                <c:pt idx="928">
                  <c:v>25039.109000000008</c:v>
                </c:pt>
                <c:pt idx="929">
                  <c:v>25048.760000000006</c:v>
                </c:pt>
                <c:pt idx="930">
                  <c:v>25059.820000000003</c:v>
                </c:pt>
                <c:pt idx="931">
                  <c:v>25059.82</c:v>
                </c:pt>
                <c:pt idx="932">
                  <c:v>25056.164000000004</c:v>
                </c:pt>
                <c:pt idx="933">
                  <c:v>25050.873000000003</c:v>
                </c:pt>
                <c:pt idx="934">
                  <c:v>25053.617000000002</c:v>
                </c:pt>
                <c:pt idx="935">
                  <c:v>25054.449000000004</c:v>
                </c:pt>
                <c:pt idx="936">
                  <c:v>25057.622000000007</c:v>
                </c:pt>
                <c:pt idx="937">
                  <c:v>25051.866000000009</c:v>
                </c:pt>
                <c:pt idx="938">
                  <c:v>25046.298000000013</c:v>
                </c:pt>
                <c:pt idx="939">
                  <c:v>25042.765000000014</c:v>
                </c:pt>
                <c:pt idx="940">
                  <c:v>25039.200000000008</c:v>
                </c:pt>
                <c:pt idx="941">
                  <c:v>25034.451000000012</c:v>
                </c:pt>
                <c:pt idx="942">
                  <c:v>25026.703000000012</c:v>
                </c:pt>
                <c:pt idx="943">
                  <c:v>25024.072000000007</c:v>
                </c:pt>
                <c:pt idx="944">
                  <c:v>25022.970000000005</c:v>
                </c:pt>
                <c:pt idx="945">
                  <c:v>25022.953000000001</c:v>
                </c:pt>
                <c:pt idx="946">
                  <c:v>25020.561000000002</c:v>
                </c:pt>
                <c:pt idx="947">
                  <c:v>25018.039000000001</c:v>
                </c:pt>
                <c:pt idx="948">
                  <c:v>25015.588</c:v>
                </c:pt>
                <c:pt idx="949">
                  <c:v>25014.513999999999</c:v>
                </c:pt>
                <c:pt idx="950">
                  <c:v>25013.361000000001</c:v>
                </c:pt>
                <c:pt idx="951">
                  <c:v>25012.999000000003</c:v>
                </c:pt>
                <c:pt idx="952">
                  <c:v>25017.982000000007</c:v>
                </c:pt>
                <c:pt idx="953">
                  <c:v>25013.293000000001</c:v>
                </c:pt>
                <c:pt idx="954">
                  <c:v>25006.242999999999</c:v>
                </c:pt>
                <c:pt idx="955">
                  <c:v>24998.539000000004</c:v>
                </c:pt>
                <c:pt idx="956">
                  <c:v>24995.175000000003</c:v>
                </c:pt>
                <c:pt idx="957">
                  <c:v>24984.519000000008</c:v>
                </c:pt>
                <c:pt idx="958">
                  <c:v>24979.382000000005</c:v>
                </c:pt>
                <c:pt idx="959">
                  <c:v>24973.181000000011</c:v>
                </c:pt>
                <c:pt idx="960">
                  <c:v>24963.106000000011</c:v>
                </c:pt>
                <c:pt idx="961">
                  <c:v>24947.589000000004</c:v>
                </c:pt>
                <c:pt idx="962">
                  <c:v>24932.205000000009</c:v>
                </c:pt>
                <c:pt idx="963">
                  <c:v>24921.326000000012</c:v>
                </c:pt>
                <c:pt idx="964">
                  <c:v>24910.600000000009</c:v>
                </c:pt>
                <c:pt idx="965">
                  <c:v>24903.812000000005</c:v>
                </c:pt>
                <c:pt idx="966">
                  <c:v>24897.090000000004</c:v>
                </c:pt>
                <c:pt idx="967">
                  <c:v>24892.652000000006</c:v>
                </c:pt>
                <c:pt idx="968">
                  <c:v>24890.03100000001</c:v>
                </c:pt>
                <c:pt idx="969">
                  <c:v>24888.053000000011</c:v>
                </c:pt>
                <c:pt idx="970">
                  <c:v>24885.072000000011</c:v>
                </c:pt>
                <c:pt idx="971">
                  <c:v>24882.01400000001</c:v>
                </c:pt>
                <c:pt idx="972">
                  <c:v>24882.407000000007</c:v>
                </c:pt>
                <c:pt idx="973">
                  <c:v>24881.899000000009</c:v>
                </c:pt>
                <c:pt idx="974">
                  <c:v>24875.800000000003</c:v>
                </c:pt>
                <c:pt idx="975">
                  <c:v>24864.653000000006</c:v>
                </c:pt>
                <c:pt idx="976">
                  <c:v>24855.122000000003</c:v>
                </c:pt>
                <c:pt idx="977">
                  <c:v>24847.976000000002</c:v>
                </c:pt>
                <c:pt idx="978">
                  <c:v>24842.888000000003</c:v>
                </c:pt>
                <c:pt idx="979">
                  <c:v>24839.555</c:v>
                </c:pt>
                <c:pt idx="980">
                  <c:v>24836.71</c:v>
                </c:pt>
                <c:pt idx="981">
                  <c:v>24837.633999999998</c:v>
                </c:pt>
                <c:pt idx="982">
                  <c:v>24841.816999999995</c:v>
                </c:pt>
                <c:pt idx="983">
                  <c:v>24851.834999999999</c:v>
                </c:pt>
                <c:pt idx="984">
                  <c:v>24861.119999999999</c:v>
                </c:pt>
                <c:pt idx="985">
                  <c:v>24868.566000000003</c:v>
                </c:pt>
                <c:pt idx="986">
                  <c:v>24876.109</c:v>
                </c:pt>
                <c:pt idx="987">
                  <c:v>24891.273000000001</c:v>
                </c:pt>
                <c:pt idx="988">
                  <c:v>24908.523999999998</c:v>
                </c:pt>
                <c:pt idx="989">
                  <c:v>24929.730000000003</c:v>
                </c:pt>
                <c:pt idx="990">
                  <c:v>24955.109000000004</c:v>
                </c:pt>
                <c:pt idx="991">
                  <c:v>24980.558000000008</c:v>
                </c:pt>
                <c:pt idx="992">
                  <c:v>25011.119999999999</c:v>
                </c:pt>
                <c:pt idx="993">
                  <c:v>25035.322</c:v>
                </c:pt>
                <c:pt idx="994">
                  <c:v>25064.895</c:v>
                </c:pt>
                <c:pt idx="995">
                  <c:v>25091.231999999996</c:v>
                </c:pt>
                <c:pt idx="996">
                  <c:v>25119.683999999997</c:v>
                </c:pt>
                <c:pt idx="997">
                  <c:v>25139.702000000001</c:v>
                </c:pt>
                <c:pt idx="998">
                  <c:v>25154.531000000003</c:v>
                </c:pt>
                <c:pt idx="999">
                  <c:v>25168.787</c:v>
                </c:pt>
                <c:pt idx="1000">
                  <c:v>25179.064999999999</c:v>
                </c:pt>
                <c:pt idx="1001">
                  <c:v>25191.857000000004</c:v>
                </c:pt>
                <c:pt idx="1002">
                  <c:v>25202.348000000002</c:v>
                </c:pt>
                <c:pt idx="1003">
                  <c:v>25219.594000000008</c:v>
                </c:pt>
                <c:pt idx="1004">
                  <c:v>25243.475000000009</c:v>
                </c:pt>
                <c:pt idx="1005">
                  <c:v>25272.454000000009</c:v>
                </c:pt>
                <c:pt idx="1006">
                  <c:v>25297.536000000007</c:v>
                </c:pt>
                <c:pt idx="1007">
                  <c:v>25324.145000000004</c:v>
                </c:pt>
                <c:pt idx="1008">
                  <c:v>25350.113000000001</c:v>
                </c:pt>
                <c:pt idx="1009">
                  <c:v>25373.628000000008</c:v>
                </c:pt>
                <c:pt idx="1010">
                  <c:v>25399.861000000001</c:v>
                </c:pt>
                <c:pt idx="1011">
                  <c:v>25428.240999999995</c:v>
                </c:pt>
                <c:pt idx="1012">
                  <c:v>25452.231999999996</c:v>
                </c:pt>
                <c:pt idx="1013">
                  <c:v>25471.959999999995</c:v>
                </c:pt>
                <c:pt idx="1014">
                  <c:v>25489.545999999995</c:v>
                </c:pt>
                <c:pt idx="1015">
                  <c:v>25511.371999999996</c:v>
                </c:pt>
                <c:pt idx="1016">
                  <c:v>25534.298999999999</c:v>
                </c:pt>
                <c:pt idx="1017">
                  <c:v>25553.575999999997</c:v>
                </c:pt>
                <c:pt idx="1018">
                  <c:v>25570.485999999997</c:v>
                </c:pt>
                <c:pt idx="1019">
                  <c:v>25582.657999999999</c:v>
                </c:pt>
                <c:pt idx="1020">
                  <c:v>25595.837000000003</c:v>
                </c:pt>
                <c:pt idx="1021">
                  <c:v>25612.465</c:v>
                </c:pt>
                <c:pt idx="1022">
                  <c:v>25632.804</c:v>
                </c:pt>
                <c:pt idx="1023">
                  <c:v>25650.877</c:v>
                </c:pt>
                <c:pt idx="1024">
                  <c:v>25669.852999999999</c:v>
                </c:pt>
                <c:pt idx="1025">
                  <c:v>25691.918999999998</c:v>
                </c:pt>
                <c:pt idx="1026">
                  <c:v>25717.192000000003</c:v>
                </c:pt>
                <c:pt idx="1027">
                  <c:v>25745.909</c:v>
                </c:pt>
                <c:pt idx="1028">
                  <c:v>25769.729000000003</c:v>
                </c:pt>
                <c:pt idx="1029">
                  <c:v>25789.046000000002</c:v>
                </c:pt>
                <c:pt idx="1030">
                  <c:v>25803.864000000005</c:v>
                </c:pt>
                <c:pt idx="1031">
                  <c:v>25818.009000000009</c:v>
                </c:pt>
                <c:pt idx="1032">
                  <c:v>25836.414000000004</c:v>
                </c:pt>
                <c:pt idx="1033">
                  <c:v>25856.226000000006</c:v>
                </c:pt>
                <c:pt idx="1034">
                  <c:v>25874.062000000002</c:v>
                </c:pt>
                <c:pt idx="1035">
                  <c:v>25892.357000000004</c:v>
                </c:pt>
                <c:pt idx="1036">
                  <c:v>25910.293000000009</c:v>
                </c:pt>
                <c:pt idx="1037">
                  <c:v>25922.664000000004</c:v>
                </c:pt>
                <c:pt idx="1038">
                  <c:v>25929.735000000008</c:v>
                </c:pt>
              </c:numCache>
            </c:numRef>
          </c:val>
          <c:smooth val="0"/>
          <c:extLst>
            <c:ext xmlns:c16="http://schemas.microsoft.com/office/drawing/2014/chart" uri="{C3380CC4-5D6E-409C-BE32-E72D297353CC}">
              <c16:uniqueId val="{00000002-697A-4147-A8FB-8E511A7D16A1}"/>
            </c:ext>
          </c:extLst>
        </c:ser>
        <c:ser>
          <c:idx val="3"/>
          <c:order val="3"/>
          <c:tx>
            <c:strRef>
              <c:f>'Price trend line table'!$E$1:$E$201</c:f>
              <c:strCache>
                <c:ptCount val="201"/>
                <c:pt idx="0">
                  <c:v>200 Day moving average</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pt idx="28">
                  <c:v>-</c:v>
                </c:pt>
                <c:pt idx="29">
                  <c:v>-</c:v>
                </c:pt>
                <c:pt idx="30">
                  <c:v>-</c:v>
                </c:pt>
                <c:pt idx="31">
                  <c:v>-</c:v>
                </c:pt>
                <c:pt idx="32">
                  <c:v>-</c:v>
                </c:pt>
                <c:pt idx="33">
                  <c:v>-</c:v>
                </c:pt>
                <c:pt idx="34">
                  <c:v>-</c:v>
                </c:pt>
                <c:pt idx="35">
                  <c:v>-</c:v>
                </c:pt>
                <c:pt idx="36">
                  <c:v>-</c:v>
                </c:pt>
                <c:pt idx="37">
                  <c:v>-</c:v>
                </c:pt>
                <c:pt idx="38">
                  <c:v>-</c:v>
                </c:pt>
                <c:pt idx="39">
                  <c:v>-</c:v>
                </c:pt>
                <c:pt idx="40">
                  <c:v>-</c:v>
                </c:pt>
                <c:pt idx="41">
                  <c:v>-</c:v>
                </c:pt>
                <c:pt idx="42">
                  <c:v>-</c:v>
                </c:pt>
                <c:pt idx="43">
                  <c:v>-</c:v>
                </c:pt>
                <c:pt idx="44">
                  <c:v>-</c:v>
                </c:pt>
                <c:pt idx="45">
                  <c:v>-</c:v>
                </c:pt>
                <c:pt idx="46">
                  <c:v>-</c:v>
                </c:pt>
                <c:pt idx="47">
                  <c:v>-</c:v>
                </c:pt>
                <c:pt idx="48">
                  <c:v>-</c:v>
                </c:pt>
                <c:pt idx="49">
                  <c:v>-</c:v>
                </c:pt>
                <c:pt idx="50">
                  <c:v>-</c:v>
                </c:pt>
                <c:pt idx="51">
                  <c:v>-</c:v>
                </c:pt>
                <c:pt idx="52">
                  <c:v>-</c:v>
                </c:pt>
                <c:pt idx="53">
                  <c:v>-</c:v>
                </c:pt>
                <c:pt idx="54">
                  <c:v>-</c:v>
                </c:pt>
                <c:pt idx="55">
                  <c:v>-</c:v>
                </c:pt>
                <c:pt idx="56">
                  <c:v>-</c:v>
                </c:pt>
                <c:pt idx="57">
                  <c:v>-</c:v>
                </c:pt>
                <c:pt idx="58">
                  <c:v>-</c:v>
                </c:pt>
                <c:pt idx="59">
                  <c:v>-</c:v>
                </c:pt>
                <c:pt idx="60">
                  <c:v>-</c:v>
                </c:pt>
                <c:pt idx="61">
                  <c:v>-</c:v>
                </c:pt>
                <c:pt idx="62">
                  <c:v>-</c:v>
                </c:pt>
                <c:pt idx="63">
                  <c:v>-</c:v>
                </c:pt>
                <c:pt idx="64">
                  <c:v>-</c:v>
                </c:pt>
                <c:pt idx="65">
                  <c:v>-</c:v>
                </c:pt>
                <c:pt idx="66">
                  <c:v>-</c:v>
                </c:pt>
                <c:pt idx="67">
                  <c:v>-</c:v>
                </c:pt>
                <c:pt idx="68">
                  <c:v>-</c:v>
                </c:pt>
                <c:pt idx="69">
                  <c:v>-</c:v>
                </c:pt>
                <c:pt idx="70">
                  <c:v>-</c:v>
                </c:pt>
                <c:pt idx="71">
                  <c:v>-</c:v>
                </c:pt>
                <c:pt idx="72">
                  <c:v>-</c:v>
                </c:pt>
                <c:pt idx="73">
                  <c:v>-</c:v>
                </c:pt>
                <c:pt idx="74">
                  <c:v>-</c:v>
                </c:pt>
                <c:pt idx="75">
                  <c:v>-</c:v>
                </c:pt>
                <c:pt idx="76">
                  <c:v>-</c:v>
                </c:pt>
                <c:pt idx="77">
                  <c:v>-</c:v>
                </c:pt>
                <c:pt idx="78">
                  <c:v>-</c:v>
                </c:pt>
                <c:pt idx="79">
                  <c:v>-</c:v>
                </c:pt>
                <c:pt idx="80">
                  <c:v>-</c:v>
                </c:pt>
                <c:pt idx="81">
                  <c:v>-</c:v>
                </c:pt>
                <c:pt idx="82">
                  <c:v>-</c:v>
                </c:pt>
                <c:pt idx="83">
                  <c:v>-</c:v>
                </c:pt>
                <c:pt idx="84">
                  <c:v>-</c:v>
                </c:pt>
                <c:pt idx="85">
                  <c:v>-</c:v>
                </c:pt>
                <c:pt idx="86">
                  <c:v>-</c:v>
                </c:pt>
                <c:pt idx="87">
                  <c:v>-</c:v>
                </c:pt>
                <c:pt idx="88">
                  <c:v>-</c:v>
                </c:pt>
                <c:pt idx="89">
                  <c:v>-</c:v>
                </c:pt>
                <c:pt idx="90">
                  <c:v>-</c:v>
                </c:pt>
                <c:pt idx="91">
                  <c:v>-</c:v>
                </c:pt>
                <c:pt idx="92">
                  <c:v>-</c:v>
                </c:pt>
                <c:pt idx="93">
                  <c:v>-</c:v>
                </c:pt>
                <c:pt idx="94">
                  <c:v>-</c:v>
                </c:pt>
                <c:pt idx="95">
                  <c:v>-</c:v>
                </c:pt>
                <c:pt idx="96">
                  <c:v>-</c:v>
                </c:pt>
                <c:pt idx="97">
                  <c:v>-</c:v>
                </c:pt>
                <c:pt idx="98">
                  <c:v>-</c:v>
                </c:pt>
                <c:pt idx="99">
                  <c:v>-</c:v>
                </c:pt>
                <c:pt idx="100">
                  <c:v>-</c:v>
                </c:pt>
                <c:pt idx="101">
                  <c:v>-</c:v>
                </c:pt>
                <c:pt idx="102">
                  <c:v>-</c:v>
                </c:pt>
                <c:pt idx="103">
                  <c:v>-</c:v>
                </c:pt>
                <c:pt idx="104">
                  <c:v>-</c:v>
                </c:pt>
                <c:pt idx="105">
                  <c:v>-</c:v>
                </c:pt>
                <c:pt idx="106">
                  <c:v>-</c:v>
                </c:pt>
                <c:pt idx="107">
                  <c:v>-</c:v>
                </c:pt>
                <c:pt idx="108">
                  <c:v>-</c:v>
                </c:pt>
                <c:pt idx="109">
                  <c:v>-</c:v>
                </c:pt>
                <c:pt idx="110">
                  <c:v>-</c:v>
                </c:pt>
                <c:pt idx="111">
                  <c:v>-</c:v>
                </c:pt>
                <c:pt idx="112">
                  <c:v>-</c:v>
                </c:pt>
                <c:pt idx="113">
                  <c:v>-</c:v>
                </c:pt>
                <c:pt idx="114">
                  <c:v>-</c:v>
                </c:pt>
                <c:pt idx="115">
                  <c:v>-</c:v>
                </c:pt>
                <c:pt idx="116">
                  <c:v>-</c:v>
                </c:pt>
                <c:pt idx="117">
                  <c:v>-</c:v>
                </c:pt>
                <c:pt idx="118">
                  <c:v>-</c:v>
                </c:pt>
                <c:pt idx="119">
                  <c:v>-</c:v>
                </c:pt>
                <c:pt idx="120">
                  <c:v>-</c:v>
                </c:pt>
                <c:pt idx="121">
                  <c:v>-</c:v>
                </c:pt>
                <c:pt idx="122">
                  <c:v>-</c:v>
                </c:pt>
                <c:pt idx="123">
                  <c:v>-</c:v>
                </c:pt>
                <c:pt idx="124">
                  <c:v>-</c:v>
                </c:pt>
                <c:pt idx="125">
                  <c:v>-</c:v>
                </c:pt>
                <c:pt idx="126">
                  <c:v>-</c:v>
                </c:pt>
                <c:pt idx="127">
                  <c:v>-</c:v>
                </c:pt>
                <c:pt idx="128">
                  <c:v>-</c:v>
                </c:pt>
                <c:pt idx="129">
                  <c:v>-</c:v>
                </c:pt>
                <c:pt idx="130">
                  <c:v>-</c:v>
                </c:pt>
                <c:pt idx="131">
                  <c:v>-</c:v>
                </c:pt>
                <c:pt idx="132">
                  <c:v>-</c:v>
                </c:pt>
                <c:pt idx="133">
                  <c:v>-</c:v>
                </c:pt>
                <c:pt idx="134">
                  <c:v>-</c:v>
                </c:pt>
                <c:pt idx="135">
                  <c:v>-</c:v>
                </c:pt>
                <c:pt idx="136">
                  <c:v>-</c:v>
                </c:pt>
                <c:pt idx="137">
                  <c:v>-</c:v>
                </c:pt>
                <c:pt idx="138">
                  <c:v>-</c:v>
                </c:pt>
                <c:pt idx="139">
                  <c:v>-</c:v>
                </c:pt>
                <c:pt idx="140">
                  <c:v>-</c:v>
                </c:pt>
                <c:pt idx="141">
                  <c:v>-</c:v>
                </c:pt>
                <c:pt idx="142">
                  <c:v>-</c:v>
                </c:pt>
                <c:pt idx="143">
                  <c:v>-</c:v>
                </c:pt>
                <c:pt idx="144">
                  <c:v>-</c:v>
                </c:pt>
                <c:pt idx="145">
                  <c:v>-</c:v>
                </c:pt>
                <c:pt idx="146">
                  <c:v>-</c:v>
                </c:pt>
                <c:pt idx="147">
                  <c:v>-</c:v>
                </c:pt>
                <c:pt idx="148">
                  <c:v>-</c:v>
                </c:pt>
                <c:pt idx="149">
                  <c:v>-</c:v>
                </c:pt>
                <c:pt idx="150">
                  <c:v>-</c:v>
                </c:pt>
                <c:pt idx="151">
                  <c:v>-</c:v>
                </c:pt>
                <c:pt idx="152">
                  <c:v>-</c:v>
                </c:pt>
                <c:pt idx="153">
                  <c:v>-</c:v>
                </c:pt>
                <c:pt idx="154">
                  <c:v>-</c:v>
                </c:pt>
                <c:pt idx="155">
                  <c:v>-</c:v>
                </c:pt>
                <c:pt idx="156">
                  <c:v>-</c:v>
                </c:pt>
                <c:pt idx="157">
                  <c:v>-</c:v>
                </c:pt>
                <c:pt idx="158">
                  <c:v>-</c:v>
                </c:pt>
                <c:pt idx="159">
                  <c:v>-</c:v>
                </c:pt>
                <c:pt idx="160">
                  <c:v>-</c:v>
                </c:pt>
                <c:pt idx="161">
                  <c:v>-</c:v>
                </c:pt>
                <c:pt idx="162">
                  <c:v>-</c:v>
                </c:pt>
                <c:pt idx="163">
                  <c:v>-</c:v>
                </c:pt>
                <c:pt idx="164">
                  <c:v>-</c:v>
                </c:pt>
                <c:pt idx="165">
                  <c:v>-</c:v>
                </c:pt>
                <c:pt idx="166">
                  <c:v>-</c:v>
                </c:pt>
                <c:pt idx="167">
                  <c:v>-</c:v>
                </c:pt>
                <c:pt idx="168">
                  <c:v>-</c:v>
                </c:pt>
                <c:pt idx="169">
                  <c:v>-</c:v>
                </c:pt>
                <c:pt idx="170">
                  <c:v>-</c:v>
                </c:pt>
                <c:pt idx="171">
                  <c:v>-</c:v>
                </c:pt>
                <c:pt idx="172">
                  <c:v>-</c:v>
                </c:pt>
                <c:pt idx="173">
                  <c:v>-</c:v>
                </c:pt>
                <c:pt idx="174">
                  <c:v>-</c:v>
                </c:pt>
                <c:pt idx="175">
                  <c:v>-</c:v>
                </c:pt>
                <c:pt idx="176">
                  <c:v>-</c:v>
                </c:pt>
                <c:pt idx="177">
                  <c:v>-</c:v>
                </c:pt>
                <c:pt idx="178">
                  <c:v>-</c:v>
                </c:pt>
                <c:pt idx="179">
                  <c:v>-</c:v>
                </c:pt>
                <c:pt idx="180">
                  <c:v>-</c:v>
                </c:pt>
                <c:pt idx="181">
                  <c:v>-</c:v>
                </c:pt>
                <c:pt idx="182">
                  <c:v>-</c:v>
                </c:pt>
                <c:pt idx="183">
                  <c:v>-</c:v>
                </c:pt>
                <c:pt idx="184">
                  <c:v>-</c:v>
                </c:pt>
                <c:pt idx="185">
                  <c:v>-</c:v>
                </c:pt>
                <c:pt idx="186">
                  <c:v>-</c:v>
                </c:pt>
                <c:pt idx="187">
                  <c:v>-</c:v>
                </c:pt>
                <c:pt idx="188">
                  <c:v>-</c:v>
                </c:pt>
                <c:pt idx="189">
                  <c:v>-</c:v>
                </c:pt>
                <c:pt idx="190">
                  <c:v>-</c:v>
                </c:pt>
                <c:pt idx="191">
                  <c:v>-</c:v>
                </c:pt>
                <c:pt idx="192">
                  <c:v>-</c:v>
                </c:pt>
                <c:pt idx="193">
                  <c:v>-</c:v>
                </c:pt>
                <c:pt idx="194">
                  <c:v>-</c:v>
                </c:pt>
                <c:pt idx="195">
                  <c:v>-</c:v>
                </c:pt>
                <c:pt idx="196">
                  <c:v>-</c:v>
                </c:pt>
                <c:pt idx="197">
                  <c:v>-</c:v>
                </c:pt>
                <c:pt idx="198">
                  <c:v>-</c:v>
                </c:pt>
                <c:pt idx="199">
                  <c:v>-</c:v>
                </c:pt>
                <c:pt idx="200">
                  <c:v>-</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'Price trend line table'!$A$202:$A$1241</c:f>
              <c:numCache>
                <c:formatCode>d\-mmm\-yy</c:formatCode>
                <c:ptCount val="1040"/>
                <c:pt idx="0">
                  <c:v>44494</c:v>
                </c:pt>
                <c:pt idx="1">
                  <c:v>44495</c:v>
                </c:pt>
                <c:pt idx="2">
                  <c:v>44496</c:v>
                </c:pt>
                <c:pt idx="3">
                  <c:v>44497</c:v>
                </c:pt>
                <c:pt idx="4">
                  <c:v>44498</c:v>
                </c:pt>
                <c:pt idx="5">
                  <c:v>44501</c:v>
                </c:pt>
                <c:pt idx="6">
                  <c:v>44502</c:v>
                </c:pt>
                <c:pt idx="7">
                  <c:v>44503</c:v>
                </c:pt>
                <c:pt idx="8">
                  <c:v>44504</c:v>
                </c:pt>
                <c:pt idx="9">
                  <c:v>44508</c:v>
                </c:pt>
                <c:pt idx="10">
                  <c:v>44509</c:v>
                </c:pt>
                <c:pt idx="11">
                  <c:v>44510</c:v>
                </c:pt>
                <c:pt idx="12">
                  <c:v>44511</c:v>
                </c:pt>
                <c:pt idx="13">
                  <c:v>44512</c:v>
                </c:pt>
                <c:pt idx="14">
                  <c:v>44515</c:v>
                </c:pt>
                <c:pt idx="15">
                  <c:v>44516</c:v>
                </c:pt>
                <c:pt idx="16">
                  <c:v>44517</c:v>
                </c:pt>
                <c:pt idx="17">
                  <c:v>44518</c:v>
                </c:pt>
                <c:pt idx="18">
                  <c:v>44522</c:v>
                </c:pt>
                <c:pt idx="19">
                  <c:v>44523</c:v>
                </c:pt>
                <c:pt idx="20">
                  <c:v>44524</c:v>
                </c:pt>
                <c:pt idx="21">
                  <c:v>44525</c:v>
                </c:pt>
                <c:pt idx="22">
                  <c:v>44526</c:v>
                </c:pt>
                <c:pt idx="23">
                  <c:v>44529</c:v>
                </c:pt>
                <c:pt idx="24">
                  <c:v>44530</c:v>
                </c:pt>
                <c:pt idx="25">
                  <c:v>44531</c:v>
                </c:pt>
                <c:pt idx="26">
                  <c:v>44532</c:v>
                </c:pt>
                <c:pt idx="27">
                  <c:v>44533</c:v>
                </c:pt>
                <c:pt idx="28">
                  <c:v>44536</c:v>
                </c:pt>
                <c:pt idx="29">
                  <c:v>44537</c:v>
                </c:pt>
                <c:pt idx="30">
                  <c:v>44538</c:v>
                </c:pt>
                <c:pt idx="31">
                  <c:v>44539</c:v>
                </c:pt>
                <c:pt idx="32">
                  <c:v>44540</c:v>
                </c:pt>
                <c:pt idx="33">
                  <c:v>44543</c:v>
                </c:pt>
                <c:pt idx="34">
                  <c:v>44544</c:v>
                </c:pt>
                <c:pt idx="35">
                  <c:v>44545</c:v>
                </c:pt>
                <c:pt idx="36">
                  <c:v>44546</c:v>
                </c:pt>
                <c:pt idx="37">
                  <c:v>44547</c:v>
                </c:pt>
                <c:pt idx="38">
                  <c:v>44550</c:v>
                </c:pt>
                <c:pt idx="39">
                  <c:v>44551</c:v>
                </c:pt>
                <c:pt idx="40">
                  <c:v>44552</c:v>
                </c:pt>
                <c:pt idx="41">
                  <c:v>44553</c:v>
                </c:pt>
                <c:pt idx="42">
                  <c:v>44554</c:v>
                </c:pt>
                <c:pt idx="43">
                  <c:v>44557</c:v>
                </c:pt>
                <c:pt idx="44">
                  <c:v>44558</c:v>
                </c:pt>
                <c:pt idx="45">
                  <c:v>44559</c:v>
                </c:pt>
                <c:pt idx="46">
                  <c:v>44560</c:v>
                </c:pt>
                <c:pt idx="47">
                  <c:v>44561</c:v>
                </c:pt>
                <c:pt idx="48">
                  <c:v>44564</c:v>
                </c:pt>
                <c:pt idx="49">
                  <c:v>44565</c:v>
                </c:pt>
                <c:pt idx="50">
                  <c:v>44566</c:v>
                </c:pt>
                <c:pt idx="51">
                  <c:v>44567</c:v>
                </c:pt>
                <c:pt idx="52">
                  <c:v>44568</c:v>
                </c:pt>
                <c:pt idx="53">
                  <c:v>44571</c:v>
                </c:pt>
                <c:pt idx="54">
                  <c:v>44572</c:v>
                </c:pt>
                <c:pt idx="55">
                  <c:v>44573</c:v>
                </c:pt>
                <c:pt idx="56">
                  <c:v>44574</c:v>
                </c:pt>
                <c:pt idx="57">
                  <c:v>44575</c:v>
                </c:pt>
                <c:pt idx="58">
                  <c:v>44578</c:v>
                </c:pt>
                <c:pt idx="59">
                  <c:v>44579</c:v>
                </c:pt>
                <c:pt idx="60">
                  <c:v>44580</c:v>
                </c:pt>
                <c:pt idx="61">
                  <c:v>44581</c:v>
                </c:pt>
                <c:pt idx="62">
                  <c:v>44582</c:v>
                </c:pt>
                <c:pt idx="63">
                  <c:v>44585</c:v>
                </c:pt>
                <c:pt idx="64">
                  <c:v>44586</c:v>
                </c:pt>
                <c:pt idx="65">
                  <c:v>44588</c:v>
                </c:pt>
                <c:pt idx="66">
                  <c:v>44589</c:v>
                </c:pt>
                <c:pt idx="67">
                  <c:v>44592</c:v>
                </c:pt>
                <c:pt idx="68">
                  <c:v>44593</c:v>
                </c:pt>
                <c:pt idx="69">
                  <c:v>44594</c:v>
                </c:pt>
                <c:pt idx="70">
                  <c:v>44595</c:v>
                </c:pt>
                <c:pt idx="71">
                  <c:v>44596</c:v>
                </c:pt>
                <c:pt idx="72">
                  <c:v>44599</c:v>
                </c:pt>
                <c:pt idx="73">
                  <c:v>44600</c:v>
                </c:pt>
                <c:pt idx="74">
                  <c:v>44601</c:v>
                </c:pt>
                <c:pt idx="75">
                  <c:v>44602</c:v>
                </c:pt>
                <c:pt idx="76">
                  <c:v>44603</c:v>
                </c:pt>
                <c:pt idx="77">
                  <c:v>44606</c:v>
                </c:pt>
                <c:pt idx="78">
                  <c:v>44607</c:v>
                </c:pt>
                <c:pt idx="79">
                  <c:v>44608</c:v>
                </c:pt>
                <c:pt idx="80">
                  <c:v>44609</c:v>
                </c:pt>
                <c:pt idx="81">
                  <c:v>44610</c:v>
                </c:pt>
                <c:pt idx="82">
                  <c:v>44613</c:v>
                </c:pt>
                <c:pt idx="83">
                  <c:v>44614</c:v>
                </c:pt>
                <c:pt idx="84">
                  <c:v>44615</c:v>
                </c:pt>
                <c:pt idx="85">
                  <c:v>44616</c:v>
                </c:pt>
                <c:pt idx="86">
                  <c:v>44617</c:v>
                </c:pt>
                <c:pt idx="87">
                  <c:v>44620</c:v>
                </c:pt>
                <c:pt idx="88">
                  <c:v>44622</c:v>
                </c:pt>
                <c:pt idx="89">
                  <c:v>44623</c:v>
                </c:pt>
                <c:pt idx="90">
                  <c:v>44624</c:v>
                </c:pt>
                <c:pt idx="91">
                  <c:v>44627</c:v>
                </c:pt>
                <c:pt idx="92">
                  <c:v>44628</c:v>
                </c:pt>
                <c:pt idx="93">
                  <c:v>44629</c:v>
                </c:pt>
                <c:pt idx="94">
                  <c:v>44630</c:v>
                </c:pt>
                <c:pt idx="95">
                  <c:v>44631</c:v>
                </c:pt>
                <c:pt idx="96">
                  <c:v>44634</c:v>
                </c:pt>
                <c:pt idx="97">
                  <c:v>44635</c:v>
                </c:pt>
                <c:pt idx="98">
                  <c:v>44636</c:v>
                </c:pt>
                <c:pt idx="99">
                  <c:v>44637</c:v>
                </c:pt>
                <c:pt idx="100">
                  <c:v>44641</c:v>
                </c:pt>
                <c:pt idx="101">
                  <c:v>44642</c:v>
                </c:pt>
                <c:pt idx="102">
                  <c:v>44643</c:v>
                </c:pt>
                <c:pt idx="103">
                  <c:v>44644</c:v>
                </c:pt>
                <c:pt idx="104">
                  <c:v>44645</c:v>
                </c:pt>
                <c:pt idx="105">
                  <c:v>44648</c:v>
                </c:pt>
                <c:pt idx="106">
                  <c:v>44649</c:v>
                </c:pt>
                <c:pt idx="107">
                  <c:v>44650</c:v>
                </c:pt>
                <c:pt idx="108">
                  <c:v>44651</c:v>
                </c:pt>
                <c:pt idx="109">
                  <c:v>44652</c:v>
                </c:pt>
                <c:pt idx="110">
                  <c:v>44655</c:v>
                </c:pt>
                <c:pt idx="111">
                  <c:v>44656</c:v>
                </c:pt>
                <c:pt idx="112">
                  <c:v>44657</c:v>
                </c:pt>
                <c:pt idx="113">
                  <c:v>44658</c:v>
                </c:pt>
                <c:pt idx="114">
                  <c:v>44659</c:v>
                </c:pt>
                <c:pt idx="115">
                  <c:v>44662</c:v>
                </c:pt>
                <c:pt idx="116">
                  <c:v>44663</c:v>
                </c:pt>
                <c:pt idx="117">
                  <c:v>44664</c:v>
                </c:pt>
                <c:pt idx="118">
                  <c:v>44669</c:v>
                </c:pt>
                <c:pt idx="119">
                  <c:v>44670</c:v>
                </c:pt>
                <c:pt idx="120">
                  <c:v>44671</c:v>
                </c:pt>
                <c:pt idx="121">
                  <c:v>44672</c:v>
                </c:pt>
                <c:pt idx="122">
                  <c:v>44673</c:v>
                </c:pt>
                <c:pt idx="123">
                  <c:v>44676</c:v>
                </c:pt>
                <c:pt idx="124">
                  <c:v>44677</c:v>
                </c:pt>
                <c:pt idx="125">
                  <c:v>44678</c:v>
                </c:pt>
                <c:pt idx="126">
                  <c:v>44679</c:v>
                </c:pt>
                <c:pt idx="127">
                  <c:v>44680</c:v>
                </c:pt>
                <c:pt idx="128">
                  <c:v>44683</c:v>
                </c:pt>
                <c:pt idx="129">
                  <c:v>44685</c:v>
                </c:pt>
                <c:pt idx="130">
                  <c:v>44686</c:v>
                </c:pt>
                <c:pt idx="131">
                  <c:v>44687</c:v>
                </c:pt>
                <c:pt idx="132">
                  <c:v>44690</c:v>
                </c:pt>
                <c:pt idx="133">
                  <c:v>44691</c:v>
                </c:pt>
                <c:pt idx="134">
                  <c:v>44692</c:v>
                </c:pt>
                <c:pt idx="135">
                  <c:v>44693</c:v>
                </c:pt>
                <c:pt idx="136">
                  <c:v>44694</c:v>
                </c:pt>
                <c:pt idx="137">
                  <c:v>44697</c:v>
                </c:pt>
                <c:pt idx="138">
                  <c:v>44698</c:v>
                </c:pt>
                <c:pt idx="139">
                  <c:v>44699</c:v>
                </c:pt>
                <c:pt idx="140">
                  <c:v>44700</c:v>
                </c:pt>
                <c:pt idx="141">
                  <c:v>44701</c:v>
                </c:pt>
                <c:pt idx="142">
                  <c:v>44704</c:v>
                </c:pt>
                <c:pt idx="143">
                  <c:v>44705</c:v>
                </c:pt>
                <c:pt idx="144">
                  <c:v>44706</c:v>
                </c:pt>
                <c:pt idx="145">
                  <c:v>44707</c:v>
                </c:pt>
                <c:pt idx="146">
                  <c:v>44708</c:v>
                </c:pt>
                <c:pt idx="147">
                  <c:v>44711</c:v>
                </c:pt>
                <c:pt idx="148">
                  <c:v>44712</c:v>
                </c:pt>
                <c:pt idx="149">
                  <c:v>44713</c:v>
                </c:pt>
                <c:pt idx="150">
                  <c:v>44714</c:v>
                </c:pt>
                <c:pt idx="151">
                  <c:v>44715</c:v>
                </c:pt>
                <c:pt idx="152">
                  <c:v>44718</c:v>
                </c:pt>
                <c:pt idx="153">
                  <c:v>44719</c:v>
                </c:pt>
                <c:pt idx="154">
                  <c:v>44720</c:v>
                </c:pt>
                <c:pt idx="155">
                  <c:v>44721</c:v>
                </c:pt>
                <c:pt idx="156">
                  <c:v>44722</c:v>
                </c:pt>
                <c:pt idx="157">
                  <c:v>44725</c:v>
                </c:pt>
                <c:pt idx="158">
                  <c:v>44726</c:v>
                </c:pt>
                <c:pt idx="159">
                  <c:v>44727</c:v>
                </c:pt>
                <c:pt idx="160">
                  <c:v>44728</c:v>
                </c:pt>
                <c:pt idx="161">
                  <c:v>44729</c:v>
                </c:pt>
                <c:pt idx="162">
                  <c:v>44732</c:v>
                </c:pt>
                <c:pt idx="163">
                  <c:v>44733</c:v>
                </c:pt>
                <c:pt idx="164">
                  <c:v>44734</c:v>
                </c:pt>
                <c:pt idx="165">
                  <c:v>44735</c:v>
                </c:pt>
                <c:pt idx="166">
                  <c:v>44736</c:v>
                </c:pt>
                <c:pt idx="167">
                  <c:v>44739</c:v>
                </c:pt>
                <c:pt idx="168">
                  <c:v>44740</c:v>
                </c:pt>
                <c:pt idx="169">
                  <c:v>44741</c:v>
                </c:pt>
                <c:pt idx="170">
                  <c:v>44742</c:v>
                </c:pt>
                <c:pt idx="171">
                  <c:v>44743</c:v>
                </c:pt>
                <c:pt idx="172">
                  <c:v>44746</c:v>
                </c:pt>
                <c:pt idx="173">
                  <c:v>44747</c:v>
                </c:pt>
                <c:pt idx="174">
                  <c:v>44748</c:v>
                </c:pt>
                <c:pt idx="175">
                  <c:v>44749</c:v>
                </c:pt>
                <c:pt idx="176">
                  <c:v>44750</c:v>
                </c:pt>
                <c:pt idx="177">
                  <c:v>44753</c:v>
                </c:pt>
                <c:pt idx="178">
                  <c:v>44754</c:v>
                </c:pt>
                <c:pt idx="179">
                  <c:v>44755</c:v>
                </c:pt>
                <c:pt idx="180">
                  <c:v>44756</c:v>
                </c:pt>
                <c:pt idx="181">
                  <c:v>44757</c:v>
                </c:pt>
                <c:pt idx="182">
                  <c:v>44760</c:v>
                </c:pt>
                <c:pt idx="183">
                  <c:v>44761</c:v>
                </c:pt>
                <c:pt idx="184">
                  <c:v>44762</c:v>
                </c:pt>
                <c:pt idx="185">
                  <c:v>44763</c:v>
                </c:pt>
                <c:pt idx="186">
                  <c:v>44764</c:v>
                </c:pt>
                <c:pt idx="187">
                  <c:v>44767</c:v>
                </c:pt>
                <c:pt idx="188">
                  <c:v>44768</c:v>
                </c:pt>
                <c:pt idx="189">
                  <c:v>44769</c:v>
                </c:pt>
                <c:pt idx="190">
                  <c:v>44770</c:v>
                </c:pt>
                <c:pt idx="191">
                  <c:v>44771</c:v>
                </c:pt>
                <c:pt idx="192">
                  <c:v>44774</c:v>
                </c:pt>
                <c:pt idx="193">
                  <c:v>44775</c:v>
                </c:pt>
                <c:pt idx="194">
                  <c:v>44776</c:v>
                </c:pt>
                <c:pt idx="195">
                  <c:v>44777</c:v>
                </c:pt>
                <c:pt idx="196">
                  <c:v>44778</c:v>
                </c:pt>
                <c:pt idx="197">
                  <c:v>44781</c:v>
                </c:pt>
                <c:pt idx="198">
                  <c:v>44783</c:v>
                </c:pt>
                <c:pt idx="199">
                  <c:v>44784</c:v>
                </c:pt>
                <c:pt idx="200">
                  <c:v>44785</c:v>
                </c:pt>
                <c:pt idx="201">
                  <c:v>44789</c:v>
                </c:pt>
                <c:pt idx="202">
                  <c:v>44790</c:v>
                </c:pt>
                <c:pt idx="203">
                  <c:v>44791</c:v>
                </c:pt>
                <c:pt idx="204">
                  <c:v>44792</c:v>
                </c:pt>
                <c:pt idx="205">
                  <c:v>44795</c:v>
                </c:pt>
                <c:pt idx="206">
                  <c:v>44796</c:v>
                </c:pt>
                <c:pt idx="207">
                  <c:v>44797</c:v>
                </c:pt>
                <c:pt idx="208">
                  <c:v>44798</c:v>
                </c:pt>
                <c:pt idx="209">
                  <c:v>44799</c:v>
                </c:pt>
                <c:pt idx="210">
                  <c:v>44802</c:v>
                </c:pt>
                <c:pt idx="211">
                  <c:v>44803</c:v>
                </c:pt>
                <c:pt idx="212">
                  <c:v>44805</c:v>
                </c:pt>
                <c:pt idx="213">
                  <c:v>44806</c:v>
                </c:pt>
                <c:pt idx="214">
                  <c:v>44809</c:v>
                </c:pt>
                <c:pt idx="215">
                  <c:v>44810</c:v>
                </c:pt>
                <c:pt idx="216">
                  <c:v>44811</c:v>
                </c:pt>
                <c:pt idx="217">
                  <c:v>44812</c:v>
                </c:pt>
                <c:pt idx="218">
                  <c:v>44813</c:v>
                </c:pt>
                <c:pt idx="219">
                  <c:v>44816</c:v>
                </c:pt>
                <c:pt idx="220">
                  <c:v>44817</c:v>
                </c:pt>
                <c:pt idx="221">
                  <c:v>44818</c:v>
                </c:pt>
                <c:pt idx="222">
                  <c:v>44819</c:v>
                </c:pt>
                <c:pt idx="223">
                  <c:v>44820</c:v>
                </c:pt>
                <c:pt idx="224">
                  <c:v>44823</c:v>
                </c:pt>
                <c:pt idx="225">
                  <c:v>44824</c:v>
                </c:pt>
                <c:pt idx="226">
                  <c:v>44825</c:v>
                </c:pt>
                <c:pt idx="227">
                  <c:v>44826</c:v>
                </c:pt>
                <c:pt idx="228">
                  <c:v>44827</c:v>
                </c:pt>
                <c:pt idx="229">
                  <c:v>44830</c:v>
                </c:pt>
                <c:pt idx="230">
                  <c:v>44831</c:v>
                </c:pt>
                <c:pt idx="231">
                  <c:v>44832</c:v>
                </c:pt>
                <c:pt idx="232">
                  <c:v>44833</c:v>
                </c:pt>
                <c:pt idx="233">
                  <c:v>44834</c:v>
                </c:pt>
                <c:pt idx="234">
                  <c:v>44837</c:v>
                </c:pt>
                <c:pt idx="235">
                  <c:v>44838</c:v>
                </c:pt>
                <c:pt idx="236">
                  <c:v>44840</c:v>
                </c:pt>
                <c:pt idx="237">
                  <c:v>44841</c:v>
                </c:pt>
                <c:pt idx="238">
                  <c:v>44844</c:v>
                </c:pt>
                <c:pt idx="239">
                  <c:v>44845</c:v>
                </c:pt>
                <c:pt idx="240">
                  <c:v>44846</c:v>
                </c:pt>
                <c:pt idx="241">
                  <c:v>44847</c:v>
                </c:pt>
                <c:pt idx="242">
                  <c:v>44848</c:v>
                </c:pt>
                <c:pt idx="243">
                  <c:v>44851</c:v>
                </c:pt>
                <c:pt idx="244">
                  <c:v>44852</c:v>
                </c:pt>
                <c:pt idx="245">
                  <c:v>44853</c:v>
                </c:pt>
                <c:pt idx="246">
                  <c:v>44854</c:v>
                </c:pt>
                <c:pt idx="247">
                  <c:v>44855</c:v>
                </c:pt>
                <c:pt idx="248">
                  <c:v>44858</c:v>
                </c:pt>
                <c:pt idx="249">
                  <c:v>44859</c:v>
                </c:pt>
                <c:pt idx="250">
                  <c:v>44861</c:v>
                </c:pt>
                <c:pt idx="251">
                  <c:v>44862</c:v>
                </c:pt>
                <c:pt idx="252">
                  <c:v>44865</c:v>
                </c:pt>
                <c:pt idx="253">
                  <c:v>44866</c:v>
                </c:pt>
                <c:pt idx="254">
                  <c:v>44867</c:v>
                </c:pt>
                <c:pt idx="255">
                  <c:v>44868</c:v>
                </c:pt>
                <c:pt idx="256">
                  <c:v>44869</c:v>
                </c:pt>
                <c:pt idx="257">
                  <c:v>44872</c:v>
                </c:pt>
                <c:pt idx="258">
                  <c:v>44874</c:v>
                </c:pt>
                <c:pt idx="259">
                  <c:v>44875</c:v>
                </c:pt>
                <c:pt idx="260">
                  <c:v>44876</c:v>
                </c:pt>
                <c:pt idx="261">
                  <c:v>44879</c:v>
                </c:pt>
                <c:pt idx="262">
                  <c:v>44880</c:v>
                </c:pt>
                <c:pt idx="263">
                  <c:v>44881</c:v>
                </c:pt>
                <c:pt idx="264">
                  <c:v>44882</c:v>
                </c:pt>
                <c:pt idx="265">
                  <c:v>44883</c:v>
                </c:pt>
                <c:pt idx="266">
                  <c:v>44886</c:v>
                </c:pt>
                <c:pt idx="267">
                  <c:v>44887</c:v>
                </c:pt>
                <c:pt idx="268">
                  <c:v>44888</c:v>
                </c:pt>
                <c:pt idx="269">
                  <c:v>44889</c:v>
                </c:pt>
                <c:pt idx="270">
                  <c:v>44890</c:v>
                </c:pt>
                <c:pt idx="271">
                  <c:v>44893</c:v>
                </c:pt>
                <c:pt idx="272">
                  <c:v>44894</c:v>
                </c:pt>
                <c:pt idx="273">
                  <c:v>44895</c:v>
                </c:pt>
                <c:pt idx="274">
                  <c:v>44896</c:v>
                </c:pt>
                <c:pt idx="275">
                  <c:v>44897</c:v>
                </c:pt>
                <c:pt idx="276">
                  <c:v>44900</c:v>
                </c:pt>
                <c:pt idx="277">
                  <c:v>44901</c:v>
                </c:pt>
                <c:pt idx="278">
                  <c:v>44902</c:v>
                </c:pt>
                <c:pt idx="279">
                  <c:v>44903</c:v>
                </c:pt>
                <c:pt idx="280">
                  <c:v>44904</c:v>
                </c:pt>
                <c:pt idx="281">
                  <c:v>44907</c:v>
                </c:pt>
                <c:pt idx="282">
                  <c:v>44908</c:v>
                </c:pt>
                <c:pt idx="283">
                  <c:v>44909</c:v>
                </c:pt>
                <c:pt idx="284">
                  <c:v>44910</c:v>
                </c:pt>
                <c:pt idx="285">
                  <c:v>44911</c:v>
                </c:pt>
                <c:pt idx="286">
                  <c:v>44914</c:v>
                </c:pt>
                <c:pt idx="287">
                  <c:v>44915</c:v>
                </c:pt>
                <c:pt idx="288">
                  <c:v>44916</c:v>
                </c:pt>
                <c:pt idx="289">
                  <c:v>44917</c:v>
                </c:pt>
                <c:pt idx="290">
                  <c:v>44918</c:v>
                </c:pt>
                <c:pt idx="291">
                  <c:v>44921</c:v>
                </c:pt>
                <c:pt idx="292">
                  <c:v>44922</c:v>
                </c:pt>
                <c:pt idx="293">
                  <c:v>44923</c:v>
                </c:pt>
                <c:pt idx="294">
                  <c:v>44924</c:v>
                </c:pt>
                <c:pt idx="295">
                  <c:v>44925</c:v>
                </c:pt>
                <c:pt idx="296">
                  <c:v>44928</c:v>
                </c:pt>
                <c:pt idx="297">
                  <c:v>44929</c:v>
                </c:pt>
                <c:pt idx="298">
                  <c:v>44930</c:v>
                </c:pt>
                <c:pt idx="299">
                  <c:v>44931</c:v>
                </c:pt>
                <c:pt idx="300">
                  <c:v>44932</c:v>
                </c:pt>
                <c:pt idx="301">
                  <c:v>44935</c:v>
                </c:pt>
                <c:pt idx="302">
                  <c:v>44936</c:v>
                </c:pt>
                <c:pt idx="303">
                  <c:v>44937</c:v>
                </c:pt>
                <c:pt idx="304">
                  <c:v>44938</c:v>
                </c:pt>
                <c:pt idx="305">
                  <c:v>44939</c:v>
                </c:pt>
                <c:pt idx="306">
                  <c:v>44942</c:v>
                </c:pt>
                <c:pt idx="307">
                  <c:v>44943</c:v>
                </c:pt>
                <c:pt idx="308">
                  <c:v>44944</c:v>
                </c:pt>
                <c:pt idx="309">
                  <c:v>44945</c:v>
                </c:pt>
                <c:pt idx="310">
                  <c:v>44946</c:v>
                </c:pt>
                <c:pt idx="311">
                  <c:v>44949</c:v>
                </c:pt>
                <c:pt idx="312">
                  <c:v>44950</c:v>
                </c:pt>
                <c:pt idx="313">
                  <c:v>44951</c:v>
                </c:pt>
                <c:pt idx="314">
                  <c:v>44953</c:v>
                </c:pt>
                <c:pt idx="315">
                  <c:v>44956</c:v>
                </c:pt>
                <c:pt idx="316">
                  <c:v>44957</c:v>
                </c:pt>
                <c:pt idx="317">
                  <c:v>44958</c:v>
                </c:pt>
                <c:pt idx="318">
                  <c:v>44959</c:v>
                </c:pt>
                <c:pt idx="319">
                  <c:v>44960</c:v>
                </c:pt>
                <c:pt idx="320">
                  <c:v>44963</c:v>
                </c:pt>
                <c:pt idx="321">
                  <c:v>44964</c:v>
                </c:pt>
                <c:pt idx="322">
                  <c:v>44965</c:v>
                </c:pt>
                <c:pt idx="323">
                  <c:v>44966</c:v>
                </c:pt>
                <c:pt idx="324">
                  <c:v>44967</c:v>
                </c:pt>
                <c:pt idx="325">
                  <c:v>44970</c:v>
                </c:pt>
                <c:pt idx="326">
                  <c:v>44971</c:v>
                </c:pt>
                <c:pt idx="327">
                  <c:v>44972</c:v>
                </c:pt>
                <c:pt idx="328">
                  <c:v>44973</c:v>
                </c:pt>
                <c:pt idx="329">
                  <c:v>44974</c:v>
                </c:pt>
                <c:pt idx="330">
                  <c:v>44977</c:v>
                </c:pt>
                <c:pt idx="331">
                  <c:v>44978</c:v>
                </c:pt>
                <c:pt idx="332">
                  <c:v>44979</c:v>
                </c:pt>
                <c:pt idx="333">
                  <c:v>44980</c:v>
                </c:pt>
                <c:pt idx="334">
                  <c:v>44981</c:v>
                </c:pt>
                <c:pt idx="335">
                  <c:v>44984</c:v>
                </c:pt>
                <c:pt idx="336">
                  <c:v>44985</c:v>
                </c:pt>
                <c:pt idx="337">
                  <c:v>44986</c:v>
                </c:pt>
                <c:pt idx="338">
                  <c:v>44987</c:v>
                </c:pt>
                <c:pt idx="339">
                  <c:v>44988</c:v>
                </c:pt>
                <c:pt idx="340">
                  <c:v>44991</c:v>
                </c:pt>
                <c:pt idx="341">
                  <c:v>44993</c:v>
                </c:pt>
                <c:pt idx="342">
                  <c:v>44994</c:v>
                </c:pt>
                <c:pt idx="343">
                  <c:v>44995</c:v>
                </c:pt>
                <c:pt idx="344">
                  <c:v>44998</c:v>
                </c:pt>
                <c:pt idx="345">
                  <c:v>44999</c:v>
                </c:pt>
                <c:pt idx="346">
                  <c:v>45000</c:v>
                </c:pt>
                <c:pt idx="347">
                  <c:v>45001</c:v>
                </c:pt>
                <c:pt idx="348">
                  <c:v>45002</c:v>
                </c:pt>
                <c:pt idx="349">
                  <c:v>45005</c:v>
                </c:pt>
                <c:pt idx="350">
                  <c:v>45006</c:v>
                </c:pt>
                <c:pt idx="351">
                  <c:v>45007</c:v>
                </c:pt>
                <c:pt idx="352">
                  <c:v>45008</c:v>
                </c:pt>
                <c:pt idx="353">
                  <c:v>45009</c:v>
                </c:pt>
                <c:pt idx="354">
                  <c:v>45012</c:v>
                </c:pt>
                <c:pt idx="355">
                  <c:v>45013</c:v>
                </c:pt>
                <c:pt idx="356">
                  <c:v>45014</c:v>
                </c:pt>
                <c:pt idx="357">
                  <c:v>45016</c:v>
                </c:pt>
                <c:pt idx="358">
                  <c:v>45019</c:v>
                </c:pt>
                <c:pt idx="359">
                  <c:v>45021</c:v>
                </c:pt>
                <c:pt idx="360">
                  <c:v>45022</c:v>
                </c:pt>
                <c:pt idx="361">
                  <c:v>45026</c:v>
                </c:pt>
                <c:pt idx="362">
                  <c:v>45027</c:v>
                </c:pt>
                <c:pt idx="363">
                  <c:v>45028</c:v>
                </c:pt>
                <c:pt idx="364">
                  <c:v>45029</c:v>
                </c:pt>
                <c:pt idx="365">
                  <c:v>45033</c:v>
                </c:pt>
                <c:pt idx="366">
                  <c:v>45034</c:v>
                </c:pt>
                <c:pt idx="367">
                  <c:v>45035</c:v>
                </c:pt>
                <c:pt idx="368">
                  <c:v>45036</c:v>
                </c:pt>
                <c:pt idx="369">
                  <c:v>45037</c:v>
                </c:pt>
                <c:pt idx="370">
                  <c:v>45040</c:v>
                </c:pt>
                <c:pt idx="371">
                  <c:v>45041</c:v>
                </c:pt>
                <c:pt idx="372">
                  <c:v>45042</c:v>
                </c:pt>
                <c:pt idx="373">
                  <c:v>45043</c:v>
                </c:pt>
                <c:pt idx="374">
                  <c:v>45044</c:v>
                </c:pt>
                <c:pt idx="375">
                  <c:v>45048</c:v>
                </c:pt>
                <c:pt idx="376">
                  <c:v>45049</c:v>
                </c:pt>
                <c:pt idx="377">
                  <c:v>45050</c:v>
                </c:pt>
                <c:pt idx="378">
                  <c:v>45051</c:v>
                </c:pt>
                <c:pt idx="379">
                  <c:v>45054</c:v>
                </c:pt>
                <c:pt idx="380">
                  <c:v>45055</c:v>
                </c:pt>
                <c:pt idx="381">
                  <c:v>45056</c:v>
                </c:pt>
                <c:pt idx="382">
                  <c:v>45057</c:v>
                </c:pt>
                <c:pt idx="383">
                  <c:v>45058</c:v>
                </c:pt>
                <c:pt idx="384">
                  <c:v>45061</c:v>
                </c:pt>
                <c:pt idx="385">
                  <c:v>45062</c:v>
                </c:pt>
                <c:pt idx="386">
                  <c:v>45063</c:v>
                </c:pt>
                <c:pt idx="387">
                  <c:v>45064</c:v>
                </c:pt>
                <c:pt idx="388">
                  <c:v>45065</c:v>
                </c:pt>
                <c:pt idx="389">
                  <c:v>45068</c:v>
                </c:pt>
                <c:pt idx="390">
                  <c:v>45069</c:v>
                </c:pt>
                <c:pt idx="391">
                  <c:v>45070</c:v>
                </c:pt>
                <c:pt idx="392">
                  <c:v>45071</c:v>
                </c:pt>
                <c:pt idx="393">
                  <c:v>45072</c:v>
                </c:pt>
                <c:pt idx="394">
                  <c:v>45075</c:v>
                </c:pt>
                <c:pt idx="395">
                  <c:v>45076</c:v>
                </c:pt>
                <c:pt idx="396">
                  <c:v>45077</c:v>
                </c:pt>
                <c:pt idx="397">
                  <c:v>45078</c:v>
                </c:pt>
                <c:pt idx="398">
                  <c:v>45079</c:v>
                </c:pt>
                <c:pt idx="399">
                  <c:v>45082</c:v>
                </c:pt>
                <c:pt idx="400">
                  <c:v>45083</c:v>
                </c:pt>
                <c:pt idx="401">
                  <c:v>45084</c:v>
                </c:pt>
                <c:pt idx="402">
                  <c:v>45085</c:v>
                </c:pt>
                <c:pt idx="403">
                  <c:v>45086</c:v>
                </c:pt>
                <c:pt idx="404">
                  <c:v>45089</c:v>
                </c:pt>
                <c:pt idx="405">
                  <c:v>45090</c:v>
                </c:pt>
                <c:pt idx="406">
                  <c:v>45091</c:v>
                </c:pt>
                <c:pt idx="407">
                  <c:v>45092</c:v>
                </c:pt>
                <c:pt idx="408">
                  <c:v>45093</c:v>
                </c:pt>
                <c:pt idx="409">
                  <c:v>45096</c:v>
                </c:pt>
                <c:pt idx="410">
                  <c:v>45097</c:v>
                </c:pt>
                <c:pt idx="411">
                  <c:v>45098</c:v>
                </c:pt>
                <c:pt idx="412">
                  <c:v>45099</c:v>
                </c:pt>
                <c:pt idx="413">
                  <c:v>45100</c:v>
                </c:pt>
                <c:pt idx="414">
                  <c:v>45103</c:v>
                </c:pt>
                <c:pt idx="415">
                  <c:v>45104</c:v>
                </c:pt>
                <c:pt idx="416">
                  <c:v>45105</c:v>
                </c:pt>
                <c:pt idx="417">
                  <c:v>45107</c:v>
                </c:pt>
                <c:pt idx="418">
                  <c:v>45110</c:v>
                </c:pt>
                <c:pt idx="419">
                  <c:v>45111</c:v>
                </c:pt>
                <c:pt idx="420">
                  <c:v>45112</c:v>
                </c:pt>
                <c:pt idx="421">
                  <c:v>45113</c:v>
                </c:pt>
                <c:pt idx="422">
                  <c:v>45114</c:v>
                </c:pt>
                <c:pt idx="423">
                  <c:v>45117</c:v>
                </c:pt>
                <c:pt idx="424">
                  <c:v>45118</c:v>
                </c:pt>
                <c:pt idx="425">
                  <c:v>45119</c:v>
                </c:pt>
                <c:pt idx="426">
                  <c:v>45120</c:v>
                </c:pt>
                <c:pt idx="427">
                  <c:v>45121</c:v>
                </c:pt>
                <c:pt idx="428">
                  <c:v>45124</c:v>
                </c:pt>
                <c:pt idx="429">
                  <c:v>45125</c:v>
                </c:pt>
                <c:pt idx="430">
                  <c:v>45126</c:v>
                </c:pt>
                <c:pt idx="431">
                  <c:v>45127</c:v>
                </c:pt>
                <c:pt idx="432">
                  <c:v>45128</c:v>
                </c:pt>
                <c:pt idx="433">
                  <c:v>45131</c:v>
                </c:pt>
                <c:pt idx="434">
                  <c:v>45132</c:v>
                </c:pt>
                <c:pt idx="435">
                  <c:v>45133</c:v>
                </c:pt>
                <c:pt idx="436">
                  <c:v>45134</c:v>
                </c:pt>
                <c:pt idx="437">
                  <c:v>45135</c:v>
                </c:pt>
                <c:pt idx="438">
                  <c:v>45138</c:v>
                </c:pt>
                <c:pt idx="439">
                  <c:v>45139</c:v>
                </c:pt>
                <c:pt idx="440">
                  <c:v>45140</c:v>
                </c:pt>
                <c:pt idx="441">
                  <c:v>45141</c:v>
                </c:pt>
                <c:pt idx="442">
                  <c:v>45142</c:v>
                </c:pt>
                <c:pt idx="443">
                  <c:v>45145</c:v>
                </c:pt>
                <c:pt idx="444">
                  <c:v>45146</c:v>
                </c:pt>
                <c:pt idx="445">
                  <c:v>45147</c:v>
                </c:pt>
                <c:pt idx="446">
                  <c:v>45148</c:v>
                </c:pt>
                <c:pt idx="447">
                  <c:v>45149</c:v>
                </c:pt>
                <c:pt idx="448">
                  <c:v>45152</c:v>
                </c:pt>
                <c:pt idx="449">
                  <c:v>45154</c:v>
                </c:pt>
                <c:pt idx="450">
                  <c:v>45155</c:v>
                </c:pt>
                <c:pt idx="451">
                  <c:v>45156</c:v>
                </c:pt>
                <c:pt idx="452">
                  <c:v>45159</c:v>
                </c:pt>
                <c:pt idx="453">
                  <c:v>45160</c:v>
                </c:pt>
                <c:pt idx="454">
                  <c:v>45161</c:v>
                </c:pt>
                <c:pt idx="455">
                  <c:v>45162</c:v>
                </c:pt>
                <c:pt idx="456">
                  <c:v>45163</c:v>
                </c:pt>
                <c:pt idx="457">
                  <c:v>45166</c:v>
                </c:pt>
                <c:pt idx="458">
                  <c:v>45167</c:v>
                </c:pt>
                <c:pt idx="459">
                  <c:v>45168</c:v>
                </c:pt>
                <c:pt idx="460">
                  <c:v>45169</c:v>
                </c:pt>
                <c:pt idx="461">
                  <c:v>45170</c:v>
                </c:pt>
                <c:pt idx="462">
                  <c:v>45173</c:v>
                </c:pt>
                <c:pt idx="463">
                  <c:v>45174</c:v>
                </c:pt>
                <c:pt idx="464">
                  <c:v>45175</c:v>
                </c:pt>
                <c:pt idx="465">
                  <c:v>45176</c:v>
                </c:pt>
                <c:pt idx="466">
                  <c:v>45177</c:v>
                </c:pt>
                <c:pt idx="467">
                  <c:v>45180</c:v>
                </c:pt>
                <c:pt idx="468">
                  <c:v>45181</c:v>
                </c:pt>
                <c:pt idx="469">
                  <c:v>45182</c:v>
                </c:pt>
                <c:pt idx="470">
                  <c:v>45183</c:v>
                </c:pt>
                <c:pt idx="471">
                  <c:v>45184</c:v>
                </c:pt>
                <c:pt idx="472">
                  <c:v>45187</c:v>
                </c:pt>
                <c:pt idx="473">
                  <c:v>45189</c:v>
                </c:pt>
                <c:pt idx="474">
                  <c:v>45190</c:v>
                </c:pt>
                <c:pt idx="475">
                  <c:v>45191</c:v>
                </c:pt>
                <c:pt idx="476">
                  <c:v>45194</c:v>
                </c:pt>
                <c:pt idx="477">
                  <c:v>45195</c:v>
                </c:pt>
                <c:pt idx="478">
                  <c:v>45196</c:v>
                </c:pt>
                <c:pt idx="479">
                  <c:v>45197</c:v>
                </c:pt>
                <c:pt idx="480">
                  <c:v>45198</c:v>
                </c:pt>
                <c:pt idx="481">
                  <c:v>45202</c:v>
                </c:pt>
                <c:pt idx="482">
                  <c:v>45203</c:v>
                </c:pt>
                <c:pt idx="483">
                  <c:v>45204</c:v>
                </c:pt>
                <c:pt idx="484">
                  <c:v>45205</c:v>
                </c:pt>
                <c:pt idx="485">
                  <c:v>45208</c:v>
                </c:pt>
                <c:pt idx="486">
                  <c:v>45209</c:v>
                </c:pt>
                <c:pt idx="487">
                  <c:v>45210</c:v>
                </c:pt>
                <c:pt idx="488">
                  <c:v>45211</c:v>
                </c:pt>
                <c:pt idx="489">
                  <c:v>45212</c:v>
                </c:pt>
                <c:pt idx="490">
                  <c:v>45215</c:v>
                </c:pt>
                <c:pt idx="491">
                  <c:v>45216</c:v>
                </c:pt>
                <c:pt idx="492">
                  <c:v>45217</c:v>
                </c:pt>
                <c:pt idx="493">
                  <c:v>45218</c:v>
                </c:pt>
                <c:pt idx="494">
                  <c:v>45219</c:v>
                </c:pt>
                <c:pt idx="495">
                  <c:v>45222</c:v>
                </c:pt>
                <c:pt idx="496">
                  <c:v>45224</c:v>
                </c:pt>
                <c:pt idx="497">
                  <c:v>45225</c:v>
                </c:pt>
                <c:pt idx="498">
                  <c:v>45226</c:v>
                </c:pt>
                <c:pt idx="499">
                  <c:v>45229</c:v>
                </c:pt>
                <c:pt idx="500">
                  <c:v>45230</c:v>
                </c:pt>
                <c:pt idx="501">
                  <c:v>45231</c:v>
                </c:pt>
                <c:pt idx="502">
                  <c:v>45232</c:v>
                </c:pt>
                <c:pt idx="503">
                  <c:v>45233</c:v>
                </c:pt>
                <c:pt idx="504">
                  <c:v>45236</c:v>
                </c:pt>
                <c:pt idx="505">
                  <c:v>45237</c:v>
                </c:pt>
                <c:pt idx="506">
                  <c:v>45238</c:v>
                </c:pt>
                <c:pt idx="507">
                  <c:v>45239</c:v>
                </c:pt>
                <c:pt idx="508">
                  <c:v>45240</c:v>
                </c:pt>
                <c:pt idx="509">
                  <c:v>45242</c:v>
                </c:pt>
                <c:pt idx="510">
                  <c:v>45243</c:v>
                </c:pt>
                <c:pt idx="511">
                  <c:v>45245</c:v>
                </c:pt>
                <c:pt idx="512">
                  <c:v>45246</c:v>
                </c:pt>
                <c:pt idx="513">
                  <c:v>45247</c:v>
                </c:pt>
                <c:pt idx="514">
                  <c:v>45250</c:v>
                </c:pt>
                <c:pt idx="515">
                  <c:v>45251</c:v>
                </c:pt>
                <c:pt idx="516">
                  <c:v>45252</c:v>
                </c:pt>
                <c:pt idx="517">
                  <c:v>45253</c:v>
                </c:pt>
                <c:pt idx="518">
                  <c:v>45254</c:v>
                </c:pt>
                <c:pt idx="519">
                  <c:v>45258</c:v>
                </c:pt>
                <c:pt idx="520">
                  <c:v>45259</c:v>
                </c:pt>
                <c:pt idx="521">
                  <c:v>45260</c:v>
                </c:pt>
                <c:pt idx="522">
                  <c:v>45261</c:v>
                </c:pt>
                <c:pt idx="523">
                  <c:v>45264</c:v>
                </c:pt>
                <c:pt idx="524">
                  <c:v>45265</c:v>
                </c:pt>
                <c:pt idx="525">
                  <c:v>45266</c:v>
                </c:pt>
                <c:pt idx="526">
                  <c:v>45267</c:v>
                </c:pt>
                <c:pt idx="527">
                  <c:v>45268</c:v>
                </c:pt>
                <c:pt idx="528">
                  <c:v>45271</c:v>
                </c:pt>
                <c:pt idx="529">
                  <c:v>45272</c:v>
                </c:pt>
                <c:pt idx="530">
                  <c:v>45273</c:v>
                </c:pt>
                <c:pt idx="531">
                  <c:v>45274</c:v>
                </c:pt>
                <c:pt idx="532">
                  <c:v>45275</c:v>
                </c:pt>
                <c:pt idx="533">
                  <c:v>45278</c:v>
                </c:pt>
                <c:pt idx="534">
                  <c:v>45279</c:v>
                </c:pt>
                <c:pt idx="535">
                  <c:v>45280</c:v>
                </c:pt>
                <c:pt idx="536">
                  <c:v>45281</c:v>
                </c:pt>
                <c:pt idx="537">
                  <c:v>45282</c:v>
                </c:pt>
                <c:pt idx="538">
                  <c:v>45286</c:v>
                </c:pt>
                <c:pt idx="539">
                  <c:v>45287</c:v>
                </c:pt>
                <c:pt idx="540">
                  <c:v>45288</c:v>
                </c:pt>
                <c:pt idx="541">
                  <c:v>45289</c:v>
                </c:pt>
                <c:pt idx="542">
                  <c:v>45292</c:v>
                </c:pt>
                <c:pt idx="543">
                  <c:v>45293</c:v>
                </c:pt>
                <c:pt idx="544">
                  <c:v>45294</c:v>
                </c:pt>
                <c:pt idx="545">
                  <c:v>45295</c:v>
                </c:pt>
                <c:pt idx="546">
                  <c:v>45296</c:v>
                </c:pt>
                <c:pt idx="547">
                  <c:v>45299</c:v>
                </c:pt>
                <c:pt idx="548">
                  <c:v>45300</c:v>
                </c:pt>
                <c:pt idx="549">
                  <c:v>45301</c:v>
                </c:pt>
                <c:pt idx="550">
                  <c:v>45302</c:v>
                </c:pt>
                <c:pt idx="551">
                  <c:v>45303</c:v>
                </c:pt>
                <c:pt idx="552">
                  <c:v>45306</c:v>
                </c:pt>
                <c:pt idx="553">
                  <c:v>45307</c:v>
                </c:pt>
                <c:pt idx="554">
                  <c:v>45308</c:v>
                </c:pt>
                <c:pt idx="555">
                  <c:v>45309</c:v>
                </c:pt>
                <c:pt idx="556">
                  <c:v>45310</c:v>
                </c:pt>
                <c:pt idx="557">
                  <c:v>45311</c:v>
                </c:pt>
                <c:pt idx="558">
                  <c:v>45314</c:v>
                </c:pt>
                <c:pt idx="559">
                  <c:v>45315</c:v>
                </c:pt>
                <c:pt idx="560">
                  <c:v>45316</c:v>
                </c:pt>
                <c:pt idx="561">
                  <c:v>45320</c:v>
                </c:pt>
                <c:pt idx="562">
                  <c:v>45321</c:v>
                </c:pt>
                <c:pt idx="563">
                  <c:v>45322</c:v>
                </c:pt>
                <c:pt idx="564">
                  <c:v>45323</c:v>
                </c:pt>
                <c:pt idx="565">
                  <c:v>45324</c:v>
                </c:pt>
                <c:pt idx="566">
                  <c:v>45327</c:v>
                </c:pt>
                <c:pt idx="567">
                  <c:v>45328</c:v>
                </c:pt>
                <c:pt idx="568">
                  <c:v>45329</c:v>
                </c:pt>
                <c:pt idx="569">
                  <c:v>45330</c:v>
                </c:pt>
                <c:pt idx="570">
                  <c:v>45331</c:v>
                </c:pt>
                <c:pt idx="571">
                  <c:v>45334</c:v>
                </c:pt>
                <c:pt idx="572">
                  <c:v>45335</c:v>
                </c:pt>
                <c:pt idx="573">
                  <c:v>45336</c:v>
                </c:pt>
                <c:pt idx="574">
                  <c:v>45337</c:v>
                </c:pt>
                <c:pt idx="575">
                  <c:v>45338</c:v>
                </c:pt>
                <c:pt idx="576">
                  <c:v>45341</c:v>
                </c:pt>
                <c:pt idx="577">
                  <c:v>45342</c:v>
                </c:pt>
                <c:pt idx="578">
                  <c:v>45343</c:v>
                </c:pt>
                <c:pt idx="579">
                  <c:v>45344</c:v>
                </c:pt>
                <c:pt idx="580">
                  <c:v>45345</c:v>
                </c:pt>
                <c:pt idx="581">
                  <c:v>45348</c:v>
                </c:pt>
                <c:pt idx="582">
                  <c:v>45349</c:v>
                </c:pt>
                <c:pt idx="583">
                  <c:v>45350</c:v>
                </c:pt>
                <c:pt idx="584">
                  <c:v>45351</c:v>
                </c:pt>
                <c:pt idx="585">
                  <c:v>45352</c:v>
                </c:pt>
                <c:pt idx="586">
                  <c:v>45355</c:v>
                </c:pt>
                <c:pt idx="587">
                  <c:v>45356</c:v>
                </c:pt>
                <c:pt idx="588">
                  <c:v>45357</c:v>
                </c:pt>
                <c:pt idx="589">
                  <c:v>45358</c:v>
                </c:pt>
                <c:pt idx="590">
                  <c:v>45362</c:v>
                </c:pt>
                <c:pt idx="591">
                  <c:v>45363</c:v>
                </c:pt>
                <c:pt idx="592">
                  <c:v>45364</c:v>
                </c:pt>
                <c:pt idx="593">
                  <c:v>45365</c:v>
                </c:pt>
                <c:pt idx="594">
                  <c:v>45366</c:v>
                </c:pt>
                <c:pt idx="595">
                  <c:v>45369</c:v>
                </c:pt>
                <c:pt idx="596">
                  <c:v>45370</c:v>
                </c:pt>
                <c:pt idx="597">
                  <c:v>45371</c:v>
                </c:pt>
                <c:pt idx="598">
                  <c:v>45372</c:v>
                </c:pt>
                <c:pt idx="599">
                  <c:v>45373</c:v>
                </c:pt>
                <c:pt idx="600">
                  <c:v>45377</c:v>
                </c:pt>
                <c:pt idx="601">
                  <c:v>45378</c:v>
                </c:pt>
                <c:pt idx="602">
                  <c:v>45379</c:v>
                </c:pt>
                <c:pt idx="603">
                  <c:v>45383</c:v>
                </c:pt>
                <c:pt idx="604">
                  <c:v>45384</c:v>
                </c:pt>
                <c:pt idx="605">
                  <c:v>45385</c:v>
                </c:pt>
                <c:pt idx="606">
                  <c:v>45386</c:v>
                </c:pt>
                <c:pt idx="607">
                  <c:v>45387</c:v>
                </c:pt>
                <c:pt idx="608">
                  <c:v>45390</c:v>
                </c:pt>
                <c:pt idx="609">
                  <c:v>45391</c:v>
                </c:pt>
                <c:pt idx="610">
                  <c:v>45392</c:v>
                </c:pt>
                <c:pt idx="611">
                  <c:v>45394</c:v>
                </c:pt>
                <c:pt idx="612">
                  <c:v>45397</c:v>
                </c:pt>
                <c:pt idx="613">
                  <c:v>45398</c:v>
                </c:pt>
                <c:pt idx="614">
                  <c:v>45400</c:v>
                </c:pt>
                <c:pt idx="615">
                  <c:v>45401</c:v>
                </c:pt>
                <c:pt idx="616">
                  <c:v>45404</c:v>
                </c:pt>
                <c:pt idx="617">
                  <c:v>45405</c:v>
                </c:pt>
                <c:pt idx="618">
                  <c:v>45406</c:v>
                </c:pt>
                <c:pt idx="619">
                  <c:v>45407</c:v>
                </c:pt>
                <c:pt idx="620">
                  <c:v>45408</c:v>
                </c:pt>
                <c:pt idx="621">
                  <c:v>45411</c:v>
                </c:pt>
                <c:pt idx="622">
                  <c:v>45412</c:v>
                </c:pt>
                <c:pt idx="623">
                  <c:v>45414</c:v>
                </c:pt>
                <c:pt idx="624">
                  <c:v>45415</c:v>
                </c:pt>
                <c:pt idx="625">
                  <c:v>45418</c:v>
                </c:pt>
                <c:pt idx="626">
                  <c:v>45419</c:v>
                </c:pt>
                <c:pt idx="627">
                  <c:v>45420</c:v>
                </c:pt>
                <c:pt idx="628">
                  <c:v>45421</c:v>
                </c:pt>
                <c:pt idx="629">
                  <c:v>45422</c:v>
                </c:pt>
                <c:pt idx="630">
                  <c:v>45425</c:v>
                </c:pt>
                <c:pt idx="631">
                  <c:v>45426</c:v>
                </c:pt>
                <c:pt idx="632">
                  <c:v>45427</c:v>
                </c:pt>
                <c:pt idx="633">
                  <c:v>45428</c:v>
                </c:pt>
                <c:pt idx="634">
                  <c:v>45429</c:v>
                </c:pt>
                <c:pt idx="635">
                  <c:v>45430</c:v>
                </c:pt>
                <c:pt idx="636">
                  <c:v>45433</c:v>
                </c:pt>
                <c:pt idx="637">
                  <c:v>45434</c:v>
                </c:pt>
                <c:pt idx="638">
                  <c:v>45435</c:v>
                </c:pt>
                <c:pt idx="639">
                  <c:v>45436</c:v>
                </c:pt>
                <c:pt idx="640">
                  <c:v>45439</c:v>
                </c:pt>
                <c:pt idx="641">
                  <c:v>45440</c:v>
                </c:pt>
                <c:pt idx="642">
                  <c:v>45441</c:v>
                </c:pt>
                <c:pt idx="643">
                  <c:v>45442</c:v>
                </c:pt>
                <c:pt idx="644">
                  <c:v>45443</c:v>
                </c:pt>
                <c:pt idx="645">
                  <c:v>45446</c:v>
                </c:pt>
                <c:pt idx="646">
                  <c:v>45447</c:v>
                </c:pt>
                <c:pt idx="647">
                  <c:v>45448</c:v>
                </c:pt>
                <c:pt idx="648">
                  <c:v>45449</c:v>
                </c:pt>
                <c:pt idx="649">
                  <c:v>45450</c:v>
                </c:pt>
                <c:pt idx="650">
                  <c:v>45453</c:v>
                </c:pt>
                <c:pt idx="651">
                  <c:v>45454</c:v>
                </c:pt>
                <c:pt idx="652">
                  <c:v>45455</c:v>
                </c:pt>
                <c:pt idx="653">
                  <c:v>45456</c:v>
                </c:pt>
                <c:pt idx="654">
                  <c:v>45457</c:v>
                </c:pt>
                <c:pt idx="655">
                  <c:v>45461</c:v>
                </c:pt>
                <c:pt idx="656">
                  <c:v>45462</c:v>
                </c:pt>
                <c:pt idx="657">
                  <c:v>45463</c:v>
                </c:pt>
                <c:pt idx="658">
                  <c:v>45464</c:v>
                </c:pt>
                <c:pt idx="659">
                  <c:v>45467</c:v>
                </c:pt>
                <c:pt idx="660">
                  <c:v>45468</c:v>
                </c:pt>
                <c:pt idx="661">
                  <c:v>45469</c:v>
                </c:pt>
                <c:pt idx="662">
                  <c:v>45470</c:v>
                </c:pt>
                <c:pt idx="663">
                  <c:v>45471</c:v>
                </c:pt>
                <c:pt idx="664">
                  <c:v>45474</c:v>
                </c:pt>
                <c:pt idx="665">
                  <c:v>45475</c:v>
                </c:pt>
                <c:pt idx="666">
                  <c:v>45476</c:v>
                </c:pt>
                <c:pt idx="667">
                  <c:v>45477</c:v>
                </c:pt>
                <c:pt idx="668">
                  <c:v>45478</c:v>
                </c:pt>
                <c:pt idx="669">
                  <c:v>45481</c:v>
                </c:pt>
                <c:pt idx="670">
                  <c:v>45482</c:v>
                </c:pt>
                <c:pt idx="671">
                  <c:v>45483</c:v>
                </c:pt>
                <c:pt idx="672">
                  <c:v>45484</c:v>
                </c:pt>
                <c:pt idx="673">
                  <c:v>45485</c:v>
                </c:pt>
                <c:pt idx="674">
                  <c:v>45488</c:v>
                </c:pt>
                <c:pt idx="675">
                  <c:v>45489</c:v>
                </c:pt>
                <c:pt idx="676">
                  <c:v>45491</c:v>
                </c:pt>
                <c:pt idx="677">
                  <c:v>45492</c:v>
                </c:pt>
                <c:pt idx="678">
                  <c:v>45495</c:v>
                </c:pt>
                <c:pt idx="679">
                  <c:v>45496</c:v>
                </c:pt>
                <c:pt idx="680">
                  <c:v>45497</c:v>
                </c:pt>
                <c:pt idx="681">
                  <c:v>45498</c:v>
                </c:pt>
                <c:pt idx="682">
                  <c:v>45499</c:v>
                </c:pt>
                <c:pt idx="683">
                  <c:v>45502</c:v>
                </c:pt>
                <c:pt idx="684">
                  <c:v>45503</c:v>
                </c:pt>
                <c:pt idx="685">
                  <c:v>45504</c:v>
                </c:pt>
                <c:pt idx="686">
                  <c:v>45505</c:v>
                </c:pt>
                <c:pt idx="687">
                  <c:v>45506</c:v>
                </c:pt>
                <c:pt idx="688">
                  <c:v>45509</c:v>
                </c:pt>
                <c:pt idx="689">
                  <c:v>45510</c:v>
                </c:pt>
                <c:pt idx="690">
                  <c:v>45511</c:v>
                </c:pt>
                <c:pt idx="691">
                  <c:v>45512</c:v>
                </c:pt>
                <c:pt idx="692">
                  <c:v>45513</c:v>
                </c:pt>
                <c:pt idx="693">
                  <c:v>45516</c:v>
                </c:pt>
                <c:pt idx="694">
                  <c:v>45517</c:v>
                </c:pt>
                <c:pt idx="695">
                  <c:v>45518</c:v>
                </c:pt>
                <c:pt idx="696">
                  <c:v>45520</c:v>
                </c:pt>
                <c:pt idx="697">
                  <c:v>45523</c:v>
                </c:pt>
                <c:pt idx="698">
                  <c:v>45524</c:v>
                </c:pt>
                <c:pt idx="699">
                  <c:v>45525</c:v>
                </c:pt>
                <c:pt idx="700">
                  <c:v>45526</c:v>
                </c:pt>
                <c:pt idx="701">
                  <c:v>45527</c:v>
                </c:pt>
                <c:pt idx="702">
                  <c:v>45530</c:v>
                </c:pt>
                <c:pt idx="703">
                  <c:v>45531</c:v>
                </c:pt>
                <c:pt idx="704">
                  <c:v>45532</c:v>
                </c:pt>
                <c:pt idx="705">
                  <c:v>45533</c:v>
                </c:pt>
                <c:pt idx="706">
                  <c:v>45534</c:v>
                </c:pt>
                <c:pt idx="707">
                  <c:v>45537</c:v>
                </c:pt>
                <c:pt idx="708">
                  <c:v>45538</c:v>
                </c:pt>
                <c:pt idx="709">
                  <c:v>45539</c:v>
                </c:pt>
                <c:pt idx="710">
                  <c:v>45540</c:v>
                </c:pt>
                <c:pt idx="711">
                  <c:v>45541</c:v>
                </c:pt>
                <c:pt idx="712">
                  <c:v>45544</c:v>
                </c:pt>
                <c:pt idx="713">
                  <c:v>45545</c:v>
                </c:pt>
                <c:pt idx="714">
                  <c:v>45546</c:v>
                </c:pt>
                <c:pt idx="715">
                  <c:v>45547</c:v>
                </c:pt>
                <c:pt idx="716">
                  <c:v>45548</c:v>
                </c:pt>
                <c:pt idx="717">
                  <c:v>45551</c:v>
                </c:pt>
                <c:pt idx="718">
                  <c:v>45552</c:v>
                </c:pt>
                <c:pt idx="719">
                  <c:v>45553</c:v>
                </c:pt>
                <c:pt idx="720">
                  <c:v>45554</c:v>
                </c:pt>
                <c:pt idx="721">
                  <c:v>45555</c:v>
                </c:pt>
                <c:pt idx="722">
                  <c:v>45558</c:v>
                </c:pt>
                <c:pt idx="723">
                  <c:v>45559</c:v>
                </c:pt>
                <c:pt idx="724">
                  <c:v>45560</c:v>
                </c:pt>
                <c:pt idx="725">
                  <c:v>45561</c:v>
                </c:pt>
                <c:pt idx="726">
                  <c:v>45562</c:v>
                </c:pt>
                <c:pt idx="727">
                  <c:v>45565</c:v>
                </c:pt>
                <c:pt idx="728">
                  <c:v>45566</c:v>
                </c:pt>
                <c:pt idx="729">
                  <c:v>45568</c:v>
                </c:pt>
                <c:pt idx="730">
                  <c:v>45569</c:v>
                </c:pt>
                <c:pt idx="731">
                  <c:v>45572</c:v>
                </c:pt>
                <c:pt idx="732">
                  <c:v>45573</c:v>
                </c:pt>
                <c:pt idx="733">
                  <c:v>45574</c:v>
                </c:pt>
                <c:pt idx="734">
                  <c:v>45575</c:v>
                </c:pt>
                <c:pt idx="735">
                  <c:v>45576</c:v>
                </c:pt>
                <c:pt idx="736">
                  <c:v>45579</c:v>
                </c:pt>
                <c:pt idx="737">
                  <c:v>45580</c:v>
                </c:pt>
                <c:pt idx="738">
                  <c:v>45581</c:v>
                </c:pt>
                <c:pt idx="739">
                  <c:v>45582</c:v>
                </c:pt>
                <c:pt idx="740">
                  <c:v>45583</c:v>
                </c:pt>
                <c:pt idx="741">
                  <c:v>45586</c:v>
                </c:pt>
                <c:pt idx="742">
                  <c:v>45587</c:v>
                </c:pt>
                <c:pt idx="743">
                  <c:v>45588</c:v>
                </c:pt>
                <c:pt idx="744">
                  <c:v>45589</c:v>
                </c:pt>
                <c:pt idx="745">
                  <c:v>45590</c:v>
                </c:pt>
                <c:pt idx="746">
                  <c:v>45593</c:v>
                </c:pt>
                <c:pt idx="747">
                  <c:v>45594</c:v>
                </c:pt>
                <c:pt idx="748">
                  <c:v>45595</c:v>
                </c:pt>
                <c:pt idx="749">
                  <c:v>45596</c:v>
                </c:pt>
                <c:pt idx="750">
                  <c:v>45597</c:v>
                </c:pt>
                <c:pt idx="751">
                  <c:v>45600</c:v>
                </c:pt>
                <c:pt idx="752">
                  <c:v>45601</c:v>
                </c:pt>
                <c:pt idx="753">
                  <c:v>45602</c:v>
                </c:pt>
                <c:pt idx="754">
                  <c:v>45603</c:v>
                </c:pt>
                <c:pt idx="755">
                  <c:v>45604</c:v>
                </c:pt>
                <c:pt idx="756">
                  <c:v>45607</c:v>
                </c:pt>
                <c:pt idx="757">
                  <c:v>45608</c:v>
                </c:pt>
                <c:pt idx="758">
                  <c:v>45609</c:v>
                </c:pt>
                <c:pt idx="759">
                  <c:v>45610</c:v>
                </c:pt>
                <c:pt idx="760">
                  <c:v>45614</c:v>
                </c:pt>
                <c:pt idx="761">
                  <c:v>45615</c:v>
                </c:pt>
                <c:pt idx="762">
                  <c:v>45617</c:v>
                </c:pt>
                <c:pt idx="763">
                  <c:v>45618</c:v>
                </c:pt>
                <c:pt idx="764">
                  <c:v>45621</c:v>
                </c:pt>
                <c:pt idx="765">
                  <c:v>45622</c:v>
                </c:pt>
                <c:pt idx="766">
                  <c:v>45623</c:v>
                </c:pt>
                <c:pt idx="767">
                  <c:v>45624</c:v>
                </c:pt>
                <c:pt idx="768">
                  <c:v>45625</c:v>
                </c:pt>
                <c:pt idx="769">
                  <c:v>45628</c:v>
                </c:pt>
                <c:pt idx="770">
                  <c:v>45629</c:v>
                </c:pt>
                <c:pt idx="771">
                  <c:v>45630</c:v>
                </c:pt>
                <c:pt idx="772">
                  <c:v>45631</c:v>
                </c:pt>
                <c:pt idx="773">
                  <c:v>45632</c:v>
                </c:pt>
                <c:pt idx="774">
                  <c:v>45635</c:v>
                </c:pt>
                <c:pt idx="775">
                  <c:v>45636</c:v>
                </c:pt>
                <c:pt idx="776">
                  <c:v>45637</c:v>
                </c:pt>
                <c:pt idx="777">
                  <c:v>45638</c:v>
                </c:pt>
                <c:pt idx="778">
                  <c:v>45639</c:v>
                </c:pt>
                <c:pt idx="779">
                  <c:v>45642</c:v>
                </c:pt>
                <c:pt idx="780">
                  <c:v>45643</c:v>
                </c:pt>
                <c:pt idx="781">
                  <c:v>45644</c:v>
                </c:pt>
                <c:pt idx="782">
                  <c:v>45645</c:v>
                </c:pt>
                <c:pt idx="783">
                  <c:v>45646</c:v>
                </c:pt>
                <c:pt idx="784">
                  <c:v>45649</c:v>
                </c:pt>
                <c:pt idx="785">
                  <c:v>45650</c:v>
                </c:pt>
                <c:pt idx="786">
                  <c:v>45652</c:v>
                </c:pt>
                <c:pt idx="787">
                  <c:v>45653</c:v>
                </c:pt>
                <c:pt idx="788">
                  <c:v>45656</c:v>
                </c:pt>
                <c:pt idx="789">
                  <c:v>45657</c:v>
                </c:pt>
                <c:pt idx="790">
                  <c:v>45658</c:v>
                </c:pt>
                <c:pt idx="791">
                  <c:v>45659</c:v>
                </c:pt>
                <c:pt idx="792">
                  <c:v>45660</c:v>
                </c:pt>
                <c:pt idx="793">
                  <c:v>45663</c:v>
                </c:pt>
                <c:pt idx="794">
                  <c:v>45664</c:v>
                </c:pt>
                <c:pt idx="795">
                  <c:v>45665</c:v>
                </c:pt>
                <c:pt idx="796">
                  <c:v>45666</c:v>
                </c:pt>
                <c:pt idx="797">
                  <c:v>45667</c:v>
                </c:pt>
                <c:pt idx="798">
                  <c:v>45670</c:v>
                </c:pt>
                <c:pt idx="799">
                  <c:v>45671</c:v>
                </c:pt>
                <c:pt idx="800">
                  <c:v>45672</c:v>
                </c:pt>
                <c:pt idx="801">
                  <c:v>45673</c:v>
                </c:pt>
                <c:pt idx="802">
                  <c:v>45674</c:v>
                </c:pt>
                <c:pt idx="803">
                  <c:v>45677</c:v>
                </c:pt>
                <c:pt idx="804">
                  <c:v>45678</c:v>
                </c:pt>
                <c:pt idx="805">
                  <c:v>45679</c:v>
                </c:pt>
                <c:pt idx="806">
                  <c:v>45680</c:v>
                </c:pt>
                <c:pt idx="807">
                  <c:v>45681</c:v>
                </c:pt>
                <c:pt idx="808">
                  <c:v>45684</c:v>
                </c:pt>
                <c:pt idx="809">
                  <c:v>45685</c:v>
                </c:pt>
                <c:pt idx="810">
                  <c:v>45686</c:v>
                </c:pt>
                <c:pt idx="811">
                  <c:v>45687</c:v>
                </c:pt>
                <c:pt idx="812">
                  <c:v>45688</c:v>
                </c:pt>
                <c:pt idx="813">
                  <c:v>45689</c:v>
                </c:pt>
                <c:pt idx="814">
                  <c:v>45691</c:v>
                </c:pt>
                <c:pt idx="815">
                  <c:v>45692</c:v>
                </c:pt>
                <c:pt idx="816">
                  <c:v>45693</c:v>
                </c:pt>
                <c:pt idx="817">
                  <c:v>45694</c:v>
                </c:pt>
                <c:pt idx="818">
                  <c:v>45695</c:v>
                </c:pt>
                <c:pt idx="819">
                  <c:v>45698</c:v>
                </c:pt>
                <c:pt idx="820">
                  <c:v>45699</c:v>
                </c:pt>
                <c:pt idx="821">
                  <c:v>45700</c:v>
                </c:pt>
                <c:pt idx="822">
                  <c:v>45701</c:v>
                </c:pt>
                <c:pt idx="823">
                  <c:v>45702</c:v>
                </c:pt>
                <c:pt idx="824">
                  <c:v>45705</c:v>
                </c:pt>
                <c:pt idx="825">
                  <c:v>45706</c:v>
                </c:pt>
                <c:pt idx="826">
                  <c:v>45707</c:v>
                </c:pt>
                <c:pt idx="827">
                  <c:v>45708</c:v>
                </c:pt>
                <c:pt idx="828">
                  <c:v>45709</c:v>
                </c:pt>
                <c:pt idx="829">
                  <c:v>45712</c:v>
                </c:pt>
                <c:pt idx="830">
                  <c:v>45713</c:v>
                </c:pt>
                <c:pt idx="831">
                  <c:v>45715</c:v>
                </c:pt>
                <c:pt idx="832">
                  <c:v>45716</c:v>
                </c:pt>
                <c:pt idx="833">
                  <c:v>45719</c:v>
                </c:pt>
                <c:pt idx="834">
                  <c:v>45720</c:v>
                </c:pt>
                <c:pt idx="835">
                  <c:v>45721</c:v>
                </c:pt>
                <c:pt idx="836">
                  <c:v>45722</c:v>
                </c:pt>
                <c:pt idx="837">
                  <c:v>45723</c:v>
                </c:pt>
                <c:pt idx="838">
                  <c:v>45726</c:v>
                </c:pt>
                <c:pt idx="839">
                  <c:v>45727</c:v>
                </c:pt>
                <c:pt idx="840">
                  <c:v>45728</c:v>
                </c:pt>
                <c:pt idx="841">
                  <c:v>45729</c:v>
                </c:pt>
                <c:pt idx="842">
                  <c:v>45733</c:v>
                </c:pt>
                <c:pt idx="843">
                  <c:v>45734</c:v>
                </c:pt>
                <c:pt idx="844">
                  <c:v>45735</c:v>
                </c:pt>
                <c:pt idx="845">
                  <c:v>45736</c:v>
                </c:pt>
                <c:pt idx="846">
                  <c:v>45737</c:v>
                </c:pt>
                <c:pt idx="847">
                  <c:v>45740</c:v>
                </c:pt>
                <c:pt idx="848">
                  <c:v>45741</c:v>
                </c:pt>
                <c:pt idx="849">
                  <c:v>45742</c:v>
                </c:pt>
                <c:pt idx="850">
                  <c:v>45743</c:v>
                </c:pt>
                <c:pt idx="851">
                  <c:v>45744</c:v>
                </c:pt>
                <c:pt idx="852">
                  <c:v>45748</c:v>
                </c:pt>
                <c:pt idx="853">
                  <c:v>45749</c:v>
                </c:pt>
                <c:pt idx="854">
                  <c:v>45750</c:v>
                </c:pt>
                <c:pt idx="855">
                  <c:v>45751</c:v>
                </c:pt>
                <c:pt idx="856">
                  <c:v>45754</c:v>
                </c:pt>
                <c:pt idx="857">
                  <c:v>45755</c:v>
                </c:pt>
                <c:pt idx="858">
                  <c:v>45756</c:v>
                </c:pt>
                <c:pt idx="859">
                  <c:v>45758</c:v>
                </c:pt>
                <c:pt idx="860">
                  <c:v>45762</c:v>
                </c:pt>
                <c:pt idx="861">
                  <c:v>45763</c:v>
                </c:pt>
                <c:pt idx="862">
                  <c:v>45764</c:v>
                </c:pt>
                <c:pt idx="863">
                  <c:v>45768</c:v>
                </c:pt>
                <c:pt idx="864">
                  <c:v>45769</c:v>
                </c:pt>
                <c:pt idx="865">
                  <c:v>45770</c:v>
                </c:pt>
                <c:pt idx="866">
                  <c:v>45771</c:v>
                </c:pt>
                <c:pt idx="867">
                  <c:v>45772</c:v>
                </c:pt>
                <c:pt idx="868">
                  <c:v>45775</c:v>
                </c:pt>
                <c:pt idx="869">
                  <c:v>45776</c:v>
                </c:pt>
                <c:pt idx="870">
                  <c:v>45777</c:v>
                </c:pt>
                <c:pt idx="871">
                  <c:v>45779</c:v>
                </c:pt>
                <c:pt idx="872">
                  <c:v>45782</c:v>
                </c:pt>
                <c:pt idx="873">
                  <c:v>45783</c:v>
                </c:pt>
                <c:pt idx="874">
                  <c:v>45784</c:v>
                </c:pt>
                <c:pt idx="875">
                  <c:v>45785</c:v>
                </c:pt>
                <c:pt idx="876">
                  <c:v>45786</c:v>
                </c:pt>
                <c:pt idx="877">
                  <c:v>45789</c:v>
                </c:pt>
                <c:pt idx="878">
                  <c:v>45790</c:v>
                </c:pt>
                <c:pt idx="879">
                  <c:v>45791</c:v>
                </c:pt>
                <c:pt idx="880">
                  <c:v>45792</c:v>
                </c:pt>
                <c:pt idx="881">
                  <c:v>45793</c:v>
                </c:pt>
                <c:pt idx="882">
                  <c:v>45796</c:v>
                </c:pt>
                <c:pt idx="883">
                  <c:v>45797</c:v>
                </c:pt>
                <c:pt idx="884">
                  <c:v>45798</c:v>
                </c:pt>
                <c:pt idx="885">
                  <c:v>45799</c:v>
                </c:pt>
                <c:pt idx="886">
                  <c:v>45800</c:v>
                </c:pt>
                <c:pt idx="887">
                  <c:v>45803</c:v>
                </c:pt>
                <c:pt idx="888">
                  <c:v>45804</c:v>
                </c:pt>
                <c:pt idx="889">
                  <c:v>45805</c:v>
                </c:pt>
                <c:pt idx="890">
                  <c:v>45806</c:v>
                </c:pt>
                <c:pt idx="891">
                  <c:v>45807</c:v>
                </c:pt>
                <c:pt idx="892">
                  <c:v>45810</c:v>
                </c:pt>
                <c:pt idx="893">
                  <c:v>45811</c:v>
                </c:pt>
                <c:pt idx="894">
                  <c:v>45812</c:v>
                </c:pt>
                <c:pt idx="895">
                  <c:v>45813</c:v>
                </c:pt>
                <c:pt idx="896">
                  <c:v>45814</c:v>
                </c:pt>
                <c:pt idx="897">
                  <c:v>45817</c:v>
                </c:pt>
                <c:pt idx="898">
                  <c:v>45818</c:v>
                </c:pt>
                <c:pt idx="899">
                  <c:v>45819</c:v>
                </c:pt>
                <c:pt idx="900">
                  <c:v>45820</c:v>
                </c:pt>
                <c:pt idx="901">
                  <c:v>45821</c:v>
                </c:pt>
                <c:pt idx="902">
                  <c:v>45824</c:v>
                </c:pt>
                <c:pt idx="903">
                  <c:v>45825</c:v>
                </c:pt>
                <c:pt idx="904">
                  <c:v>45826</c:v>
                </c:pt>
                <c:pt idx="905">
                  <c:v>45827</c:v>
                </c:pt>
                <c:pt idx="906">
                  <c:v>45828</c:v>
                </c:pt>
                <c:pt idx="907">
                  <c:v>45831</c:v>
                </c:pt>
                <c:pt idx="908">
                  <c:v>45832</c:v>
                </c:pt>
                <c:pt idx="909">
                  <c:v>45833</c:v>
                </c:pt>
                <c:pt idx="910">
                  <c:v>45834</c:v>
                </c:pt>
                <c:pt idx="911">
                  <c:v>45835</c:v>
                </c:pt>
                <c:pt idx="912">
                  <c:v>45838</c:v>
                </c:pt>
                <c:pt idx="913">
                  <c:v>45839</c:v>
                </c:pt>
                <c:pt idx="914">
                  <c:v>45840</c:v>
                </c:pt>
                <c:pt idx="915">
                  <c:v>45841</c:v>
                </c:pt>
                <c:pt idx="916">
                  <c:v>45842</c:v>
                </c:pt>
                <c:pt idx="917">
                  <c:v>45845</c:v>
                </c:pt>
                <c:pt idx="918">
                  <c:v>45846</c:v>
                </c:pt>
                <c:pt idx="919">
                  <c:v>45847</c:v>
                </c:pt>
                <c:pt idx="920">
                  <c:v>45848</c:v>
                </c:pt>
                <c:pt idx="921">
                  <c:v>45849</c:v>
                </c:pt>
                <c:pt idx="922">
                  <c:v>45852</c:v>
                </c:pt>
                <c:pt idx="923">
                  <c:v>45853</c:v>
                </c:pt>
                <c:pt idx="924">
                  <c:v>45854</c:v>
                </c:pt>
                <c:pt idx="925">
                  <c:v>45855</c:v>
                </c:pt>
                <c:pt idx="926">
                  <c:v>45856</c:v>
                </c:pt>
                <c:pt idx="927">
                  <c:v>45859</c:v>
                </c:pt>
                <c:pt idx="928">
                  <c:v>45860</c:v>
                </c:pt>
                <c:pt idx="929">
                  <c:v>45861</c:v>
                </c:pt>
                <c:pt idx="930">
                  <c:v>45862</c:v>
                </c:pt>
                <c:pt idx="931">
                  <c:v>45863</c:v>
                </c:pt>
                <c:pt idx="932">
                  <c:v>45866</c:v>
                </c:pt>
                <c:pt idx="933">
                  <c:v>45867</c:v>
                </c:pt>
                <c:pt idx="934">
                  <c:v>45868</c:v>
                </c:pt>
                <c:pt idx="935">
                  <c:v>45869</c:v>
                </c:pt>
                <c:pt idx="936">
                  <c:v>45870</c:v>
                </c:pt>
                <c:pt idx="937">
                  <c:v>45873</c:v>
                </c:pt>
                <c:pt idx="938">
                  <c:v>45874</c:v>
                </c:pt>
                <c:pt idx="939">
                  <c:v>45875</c:v>
                </c:pt>
                <c:pt idx="940">
                  <c:v>45876</c:v>
                </c:pt>
                <c:pt idx="941">
                  <c:v>45877</c:v>
                </c:pt>
                <c:pt idx="942">
                  <c:v>45880</c:v>
                </c:pt>
                <c:pt idx="943">
                  <c:v>45881</c:v>
                </c:pt>
                <c:pt idx="944">
                  <c:v>45882</c:v>
                </c:pt>
                <c:pt idx="945">
                  <c:v>45883</c:v>
                </c:pt>
                <c:pt idx="946">
                  <c:v>45887</c:v>
                </c:pt>
                <c:pt idx="947">
                  <c:v>45888</c:v>
                </c:pt>
                <c:pt idx="948">
                  <c:v>45889</c:v>
                </c:pt>
                <c:pt idx="949">
                  <c:v>45890</c:v>
                </c:pt>
                <c:pt idx="950">
                  <c:v>45891</c:v>
                </c:pt>
                <c:pt idx="951">
                  <c:v>45894</c:v>
                </c:pt>
                <c:pt idx="952">
                  <c:v>45895</c:v>
                </c:pt>
                <c:pt idx="953">
                  <c:v>45897</c:v>
                </c:pt>
                <c:pt idx="954">
                  <c:v>45898</c:v>
                </c:pt>
                <c:pt idx="955">
                  <c:v>45901</c:v>
                </c:pt>
                <c:pt idx="956">
                  <c:v>45902</c:v>
                </c:pt>
                <c:pt idx="957">
                  <c:v>45903</c:v>
                </c:pt>
                <c:pt idx="958">
                  <c:v>45904</c:v>
                </c:pt>
                <c:pt idx="959">
                  <c:v>45905</c:v>
                </c:pt>
                <c:pt idx="960">
                  <c:v>45908</c:v>
                </c:pt>
                <c:pt idx="961">
                  <c:v>45909</c:v>
                </c:pt>
                <c:pt idx="962">
                  <c:v>45910</c:v>
                </c:pt>
                <c:pt idx="963">
                  <c:v>45911</c:v>
                </c:pt>
                <c:pt idx="964">
                  <c:v>45912</c:v>
                </c:pt>
                <c:pt idx="965">
                  <c:v>45915</c:v>
                </c:pt>
                <c:pt idx="966">
                  <c:v>45916</c:v>
                </c:pt>
                <c:pt idx="967">
                  <c:v>45917</c:v>
                </c:pt>
                <c:pt idx="968">
                  <c:v>45918</c:v>
                </c:pt>
                <c:pt idx="969">
                  <c:v>45919</c:v>
                </c:pt>
                <c:pt idx="970">
                  <c:v>45922</c:v>
                </c:pt>
                <c:pt idx="971">
                  <c:v>45923</c:v>
                </c:pt>
                <c:pt idx="972">
                  <c:v>45924</c:v>
                </c:pt>
                <c:pt idx="973">
                  <c:v>45925</c:v>
                </c:pt>
                <c:pt idx="974">
                  <c:v>45926</c:v>
                </c:pt>
                <c:pt idx="975">
                  <c:v>45929</c:v>
                </c:pt>
                <c:pt idx="976">
                  <c:v>45930</c:v>
                </c:pt>
                <c:pt idx="977">
                  <c:v>45931</c:v>
                </c:pt>
                <c:pt idx="978">
                  <c:v>45933</c:v>
                </c:pt>
                <c:pt idx="979">
                  <c:v>45936</c:v>
                </c:pt>
                <c:pt idx="980">
                  <c:v>45937</c:v>
                </c:pt>
                <c:pt idx="981">
                  <c:v>45938</c:v>
                </c:pt>
                <c:pt idx="982">
                  <c:v>45939</c:v>
                </c:pt>
                <c:pt idx="983">
                  <c:v>45940</c:v>
                </c:pt>
                <c:pt idx="984">
                  <c:v>45943</c:v>
                </c:pt>
                <c:pt idx="985">
                  <c:v>45944</c:v>
                </c:pt>
                <c:pt idx="986">
                  <c:v>45945</c:v>
                </c:pt>
                <c:pt idx="987">
                  <c:v>45946</c:v>
                </c:pt>
                <c:pt idx="988">
                  <c:v>45947</c:v>
                </c:pt>
                <c:pt idx="989">
                  <c:v>45950</c:v>
                </c:pt>
                <c:pt idx="990">
                  <c:v>45951</c:v>
                </c:pt>
                <c:pt idx="991">
                  <c:v>45953</c:v>
                </c:pt>
                <c:pt idx="992">
                  <c:v>45954</c:v>
                </c:pt>
                <c:pt idx="993">
                  <c:v>45957</c:v>
                </c:pt>
                <c:pt idx="994">
                  <c:v>45958</c:v>
                </c:pt>
                <c:pt idx="995">
                  <c:v>45959</c:v>
                </c:pt>
                <c:pt idx="996">
                  <c:v>45960</c:v>
                </c:pt>
                <c:pt idx="997">
                  <c:v>45961</c:v>
                </c:pt>
                <c:pt idx="998">
                  <c:v>45964</c:v>
                </c:pt>
                <c:pt idx="999">
                  <c:v>45965</c:v>
                </c:pt>
                <c:pt idx="1000">
                  <c:v>45967</c:v>
                </c:pt>
                <c:pt idx="1001">
                  <c:v>45968</c:v>
                </c:pt>
                <c:pt idx="1002">
                  <c:v>45971</c:v>
                </c:pt>
                <c:pt idx="1003">
                  <c:v>45972</c:v>
                </c:pt>
                <c:pt idx="1004">
                  <c:v>45973</c:v>
                </c:pt>
                <c:pt idx="1005">
                  <c:v>45974</c:v>
                </c:pt>
                <c:pt idx="1006">
                  <c:v>45975</c:v>
                </c:pt>
                <c:pt idx="1007">
                  <c:v>45978</c:v>
                </c:pt>
                <c:pt idx="1008">
                  <c:v>45979</c:v>
                </c:pt>
                <c:pt idx="1009">
                  <c:v>45980</c:v>
                </c:pt>
                <c:pt idx="1010">
                  <c:v>45981</c:v>
                </c:pt>
                <c:pt idx="1011">
                  <c:v>45982</c:v>
                </c:pt>
                <c:pt idx="1012">
                  <c:v>45985</c:v>
                </c:pt>
                <c:pt idx="1013">
                  <c:v>45986</c:v>
                </c:pt>
                <c:pt idx="1014">
                  <c:v>45987</c:v>
                </c:pt>
                <c:pt idx="1015">
                  <c:v>45988</c:v>
                </c:pt>
                <c:pt idx="1016">
                  <c:v>45989</c:v>
                </c:pt>
                <c:pt idx="1017">
                  <c:v>45992</c:v>
                </c:pt>
                <c:pt idx="1018">
                  <c:v>45993</c:v>
                </c:pt>
                <c:pt idx="1019">
                  <c:v>45994</c:v>
                </c:pt>
                <c:pt idx="1020">
                  <c:v>45995</c:v>
                </c:pt>
                <c:pt idx="1021">
                  <c:v>45996</c:v>
                </c:pt>
                <c:pt idx="1022">
                  <c:v>45999</c:v>
                </c:pt>
                <c:pt idx="1023">
                  <c:v>46000</c:v>
                </c:pt>
                <c:pt idx="1024">
                  <c:v>46001</c:v>
                </c:pt>
                <c:pt idx="1025">
                  <c:v>46002</c:v>
                </c:pt>
                <c:pt idx="1026">
                  <c:v>46003</c:v>
                </c:pt>
                <c:pt idx="1027">
                  <c:v>46006</c:v>
                </c:pt>
                <c:pt idx="1028">
                  <c:v>46007</c:v>
                </c:pt>
                <c:pt idx="1029">
                  <c:v>46008</c:v>
                </c:pt>
                <c:pt idx="1030">
                  <c:v>46009</c:v>
                </c:pt>
                <c:pt idx="1031">
                  <c:v>46010</c:v>
                </c:pt>
                <c:pt idx="1032">
                  <c:v>46013</c:v>
                </c:pt>
                <c:pt idx="1033">
                  <c:v>46014</c:v>
                </c:pt>
                <c:pt idx="1034">
                  <c:v>46015</c:v>
                </c:pt>
                <c:pt idx="1035">
                  <c:v>46017</c:v>
                </c:pt>
                <c:pt idx="1036">
                  <c:v>46020</c:v>
                </c:pt>
                <c:pt idx="1037">
                  <c:v>46021</c:v>
                </c:pt>
                <c:pt idx="1038">
                  <c:v>46022</c:v>
                </c:pt>
              </c:numCache>
            </c:numRef>
          </c:cat>
          <c:val>
            <c:numRef>
              <c:f>'Price trend line table'!$E$202:$E$1241</c:f>
              <c:numCache>
                <c:formatCode>General</c:formatCode>
                <c:ptCount val="1040"/>
                <c:pt idx="0">
                  <c:v>15675.584750000004</c:v>
                </c:pt>
                <c:pt idx="1">
                  <c:v>15696.119250000003</c:v>
                </c:pt>
                <c:pt idx="2">
                  <c:v>15716.796750000003</c:v>
                </c:pt>
                <c:pt idx="3">
                  <c:v>15736.854000000003</c:v>
                </c:pt>
                <c:pt idx="4">
                  <c:v>15755.409000000003</c:v>
                </c:pt>
                <c:pt idx="5">
                  <c:v>15773.080500000004</c:v>
                </c:pt>
                <c:pt idx="6">
                  <c:v>15790.992500000002</c:v>
                </c:pt>
                <c:pt idx="7">
                  <c:v>15808.013500000003</c:v>
                </c:pt>
                <c:pt idx="8">
                  <c:v>15824.342250000005</c:v>
                </c:pt>
                <c:pt idx="9">
                  <c:v>15841.102000000004</c:v>
                </c:pt>
                <c:pt idx="10">
                  <c:v>15858.466750000003</c:v>
                </c:pt>
                <c:pt idx="11">
                  <c:v>15876.519500000002</c:v>
                </c:pt>
                <c:pt idx="12">
                  <c:v>15895.199000000004</c:v>
                </c:pt>
                <c:pt idx="13">
                  <c:v>15911.961250000004</c:v>
                </c:pt>
                <c:pt idx="14">
                  <c:v>15929.251500000004</c:v>
                </c:pt>
                <c:pt idx="15">
                  <c:v>15946.847000000003</c:v>
                </c:pt>
                <c:pt idx="16">
                  <c:v>15964.983500000006</c:v>
                </c:pt>
                <c:pt idx="17">
                  <c:v>15983.282250000006</c:v>
                </c:pt>
                <c:pt idx="18">
                  <c:v>16002.268750000005</c:v>
                </c:pt>
                <c:pt idx="19">
                  <c:v>16020.263750000006</c:v>
                </c:pt>
                <c:pt idx="20">
                  <c:v>16039.607500000006</c:v>
                </c:pt>
                <c:pt idx="21">
                  <c:v>16055.276750000003</c:v>
                </c:pt>
                <c:pt idx="22">
                  <c:v>16069.718750000002</c:v>
                </c:pt>
                <c:pt idx="23">
                  <c:v>16080.901250000004</c:v>
                </c:pt>
                <c:pt idx="24">
                  <c:v>16091.692750000006</c:v>
                </c:pt>
                <c:pt idx="25">
                  <c:v>16101.987500000005</c:v>
                </c:pt>
                <c:pt idx="26">
                  <c:v>16112.243000000006</c:v>
                </c:pt>
                <c:pt idx="27">
                  <c:v>16123.704750000003</c:v>
                </c:pt>
                <c:pt idx="28">
                  <c:v>16134.155750000004</c:v>
                </c:pt>
                <c:pt idx="29">
                  <c:v>16142.850500000006</c:v>
                </c:pt>
                <c:pt idx="30">
                  <c:v>16152.917500000005</c:v>
                </c:pt>
                <c:pt idx="31">
                  <c:v>16163.692750000004</c:v>
                </c:pt>
                <c:pt idx="32">
                  <c:v>16174.709750000005</c:v>
                </c:pt>
                <c:pt idx="33">
                  <c:v>16186.221750000002</c:v>
                </c:pt>
                <c:pt idx="34">
                  <c:v>16197.468250000004</c:v>
                </c:pt>
                <c:pt idx="35">
                  <c:v>16209.184000000007</c:v>
                </c:pt>
                <c:pt idx="36">
                  <c:v>16221.912500000004</c:v>
                </c:pt>
                <c:pt idx="37">
                  <c:v>16234.615500000005</c:v>
                </c:pt>
                <c:pt idx="38">
                  <c:v>16244.631500000007</c:v>
                </c:pt>
                <c:pt idx="39">
                  <c:v>16252.215750000005</c:v>
                </c:pt>
                <c:pt idx="40">
                  <c:v>16263.424250000004</c:v>
                </c:pt>
                <c:pt idx="41">
                  <c:v>16274.393750000005</c:v>
                </c:pt>
                <c:pt idx="42">
                  <c:v>16285.161250000005</c:v>
                </c:pt>
                <c:pt idx="43">
                  <c:v>16293.952000000005</c:v>
                </c:pt>
                <c:pt idx="44">
                  <c:v>16303.979500000007</c:v>
                </c:pt>
                <c:pt idx="45">
                  <c:v>16315.455250000006</c:v>
                </c:pt>
                <c:pt idx="46">
                  <c:v>16326.742250000005</c:v>
                </c:pt>
                <c:pt idx="47">
                  <c:v>16337.270000000004</c:v>
                </c:pt>
                <c:pt idx="48">
                  <c:v>16348.166250000002</c:v>
                </c:pt>
                <c:pt idx="49">
                  <c:v>16361.140000000003</c:v>
                </c:pt>
                <c:pt idx="50">
                  <c:v>16375.518750000005</c:v>
                </c:pt>
                <c:pt idx="51">
                  <c:v>16390.592750000003</c:v>
                </c:pt>
                <c:pt idx="52">
                  <c:v>16405.715750000003</c:v>
                </c:pt>
                <c:pt idx="53">
                  <c:v>16421.990000000005</c:v>
                </c:pt>
                <c:pt idx="54">
                  <c:v>16438.286500000006</c:v>
                </c:pt>
                <c:pt idx="55">
                  <c:v>16454.883250000003</c:v>
                </c:pt>
                <c:pt idx="56">
                  <c:v>16471.871250000004</c:v>
                </c:pt>
                <c:pt idx="57">
                  <c:v>16490.413250000005</c:v>
                </c:pt>
                <c:pt idx="58">
                  <c:v>16510.067500000005</c:v>
                </c:pt>
                <c:pt idx="59">
                  <c:v>16529.071500000005</c:v>
                </c:pt>
                <c:pt idx="60">
                  <c:v>16545.411250000005</c:v>
                </c:pt>
                <c:pt idx="61">
                  <c:v>16561.649750000004</c:v>
                </c:pt>
                <c:pt idx="62">
                  <c:v>16576.098000000002</c:v>
                </c:pt>
                <c:pt idx="63">
                  <c:v>16590.994750000002</c:v>
                </c:pt>
                <c:pt idx="64">
                  <c:v>16603.322750000003</c:v>
                </c:pt>
                <c:pt idx="65">
                  <c:v>16615.617250000003</c:v>
                </c:pt>
                <c:pt idx="66">
                  <c:v>16626.799000000003</c:v>
                </c:pt>
                <c:pt idx="67">
                  <c:v>16638.134500000004</c:v>
                </c:pt>
                <c:pt idx="68">
                  <c:v>16653.279750000005</c:v>
                </c:pt>
                <c:pt idx="69">
                  <c:v>16668.640000000003</c:v>
                </c:pt>
                <c:pt idx="70">
                  <c:v>16684.632750000004</c:v>
                </c:pt>
                <c:pt idx="71">
                  <c:v>16699.34450000001</c:v>
                </c:pt>
                <c:pt idx="72">
                  <c:v>16715.128750000007</c:v>
                </c:pt>
                <c:pt idx="73">
                  <c:v>16729.714750000006</c:v>
                </c:pt>
                <c:pt idx="74">
                  <c:v>16744.017750000006</c:v>
                </c:pt>
                <c:pt idx="75">
                  <c:v>16759.630000000005</c:v>
                </c:pt>
                <c:pt idx="76">
                  <c:v>16775.234250000009</c:v>
                </c:pt>
                <c:pt idx="77">
                  <c:v>16788.842750000007</c:v>
                </c:pt>
                <c:pt idx="78">
                  <c:v>16798.734000000004</c:v>
                </c:pt>
                <c:pt idx="79">
                  <c:v>16811.021750000004</c:v>
                </c:pt>
                <c:pt idx="80">
                  <c:v>16824.477250000007</c:v>
                </c:pt>
                <c:pt idx="81">
                  <c:v>16837.829500000003</c:v>
                </c:pt>
                <c:pt idx="82">
                  <c:v>16851.728500000005</c:v>
                </c:pt>
                <c:pt idx="83">
                  <c:v>16864.672500000008</c:v>
                </c:pt>
                <c:pt idx="84">
                  <c:v>16876.509500000007</c:v>
                </c:pt>
                <c:pt idx="85">
                  <c:v>16887.710000000006</c:v>
                </c:pt>
                <c:pt idx="86">
                  <c:v>16894.238000000005</c:v>
                </c:pt>
                <c:pt idx="87">
                  <c:v>16903.276250000006</c:v>
                </c:pt>
                <c:pt idx="88">
                  <c:v>16913.763250000004</c:v>
                </c:pt>
                <c:pt idx="89">
                  <c:v>16923.404000000006</c:v>
                </c:pt>
                <c:pt idx="90">
                  <c:v>16931.278500000004</c:v>
                </c:pt>
                <c:pt idx="91">
                  <c:v>16936.964750000003</c:v>
                </c:pt>
                <c:pt idx="92">
                  <c:v>16941.129750000004</c:v>
                </c:pt>
                <c:pt idx="93">
                  <c:v>16946.666750000004</c:v>
                </c:pt>
                <c:pt idx="94">
                  <c:v>16952.517000000007</c:v>
                </c:pt>
                <c:pt idx="95">
                  <c:v>16959.503000000008</c:v>
                </c:pt>
                <c:pt idx="96">
                  <c:v>16966.613000000008</c:v>
                </c:pt>
                <c:pt idx="97">
                  <c:v>16974.462250000008</c:v>
                </c:pt>
                <c:pt idx="98">
                  <c:v>16981.088000000007</c:v>
                </c:pt>
                <c:pt idx="99">
                  <c:v>16988.786500000006</c:v>
                </c:pt>
                <c:pt idx="100">
                  <c:v>16997.307750000007</c:v>
                </c:pt>
                <c:pt idx="101">
                  <c:v>17005.021500000006</c:v>
                </c:pt>
                <c:pt idx="102">
                  <c:v>17013.718000000004</c:v>
                </c:pt>
                <c:pt idx="103">
                  <c:v>17021.494500000004</c:v>
                </c:pt>
                <c:pt idx="104">
                  <c:v>17029.257000000005</c:v>
                </c:pt>
                <c:pt idx="105">
                  <c:v>17036.263750000002</c:v>
                </c:pt>
                <c:pt idx="106">
                  <c:v>17043.673250000003</c:v>
                </c:pt>
                <c:pt idx="107">
                  <c:v>17052.123</c:v>
                </c:pt>
                <c:pt idx="108">
                  <c:v>17060.925500000001</c:v>
                </c:pt>
                <c:pt idx="109">
                  <c:v>17069.252500000002</c:v>
                </c:pt>
                <c:pt idx="110">
                  <c:v>17078.545500000004</c:v>
                </c:pt>
                <c:pt idx="111">
                  <c:v>17089.466250000001</c:v>
                </c:pt>
                <c:pt idx="112">
                  <c:v>17100.415500000003</c:v>
                </c:pt>
                <c:pt idx="113">
                  <c:v>17110.996750000002</c:v>
                </c:pt>
                <c:pt idx="114">
                  <c:v>17120.777750000001</c:v>
                </c:pt>
                <c:pt idx="115">
                  <c:v>17130.967000000001</c:v>
                </c:pt>
                <c:pt idx="116">
                  <c:v>17140.477999999999</c:v>
                </c:pt>
                <c:pt idx="117">
                  <c:v>17149.694750000002</c:v>
                </c:pt>
                <c:pt idx="118">
                  <c:v>17158.120749999998</c:v>
                </c:pt>
                <c:pt idx="119">
                  <c:v>17164.687249999995</c:v>
                </c:pt>
                <c:pt idx="120">
                  <c:v>17170.406999999996</c:v>
                </c:pt>
                <c:pt idx="121">
                  <c:v>17177.347499999996</c:v>
                </c:pt>
                <c:pt idx="122">
                  <c:v>17185.702999999994</c:v>
                </c:pt>
                <c:pt idx="123">
                  <c:v>17193.162749999996</c:v>
                </c:pt>
                <c:pt idx="124">
                  <c:v>17199.321499999998</c:v>
                </c:pt>
                <c:pt idx="125">
                  <c:v>17206.153749999994</c:v>
                </c:pt>
                <c:pt idx="126">
                  <c:v>17212.254499999995</c:v>
                </c:pt>
                <c:pt idx="127">
                  <c:v>17219.081499999993</c:v>
                </c:pt>
                <c:pt idx="128">
                  <c:v>17225.954749999994</c:v>
                </c:pt>
                <c:pt idx="129">
                  <c:v>17232.851249999996</c:v>
                </c:pt>
                <c:pt idx="130">
                  <c:v>17237.776249999995</c:v>
                </c:pt>
                <c:pt idx="131">
                  <c:v>17242.127749999992</c:v>
                </c:pt>
                <c:pt idx="132">
                  <c:v>17244.914249999994</c:v>
                </c:pt>
                <c:pt idx="133">
                  <c:v>17246.802499999994</c:v>
                </c:pt>
                <c:pt idx="134">
                  <c:v>17248.385749999994</c:v>
                </c:pt>
                <c:pt idx="135">
                  <c:v>17250.459249999993</c:v>
                </c:pt>
                <c:pt idx="136">
                  <c:v>17251.338749999995</c:v>
                </c:pt>
                <c:pt idx="137">
                  <c:v>17251.129249999994</c:v>
                </c:pt>
                <c:pt idx="138">
                  <c:v>17251.060499999992</c:v>
                </c:pt>
                <c:pt idx="139">
                  <c:v>17253.234749999992</c:v>
                </c:pt>
                <c:pt idx="140">
                  <c:v>17255.703999999991</c:v>
                </c:pt>
                <c:pt idx="141">
                  <c:v>17256.203999999991</c:v>
                </c:pt>
                <c:pt idx="142">
                  <c:v>17258.642499999994</c:v>
                </c:pt>
                <c:pt idx="143">
                  <c:v>17260.900749999993</c:v>
                </c:pt>
                <c:pt idx="144">
                  <c:v>17262.100749999994</c:v>
                </c:pt>
                <c:pt idx="145">
                  <c:v>17261.57599999999</c:v>
                </c:pt>
                <c:pt idx="146">
                  <c:v>17261.132749999993</c:v>
                </c:pt>
                <c:pt idx="147">
                  <c:v>17261.421999999991</c:v>
                </c:pt>
                <c:pt idx="148">
                  <c:v>17263.53799999999</c:v>
                </c:pt>
                <c:pt idx="149">
                  <c:v>17265.169499999989</c:v>
                </c:pt>
                <c:pt idx="150">
                  <c:v>17266.38274999999</c:v>
                </c:pt>
                <c:pt idx="151">
                  <c:v>17268.111499999988</c:v>
                </c:pt>
                <c:pt idx="152">
                  <c:v>17269.210999999988</c:v>
                </c:pt>
                <c:pt idx="153">
                  <c:v>17269.413249999987</c:v>
                </c:pt>
                <c:pt idx="154">
                  <c:v>17268.679749999988</c:v>
                </c:pt>
                <c:pt idx="155">
                  <c:v>17267.387999999988</c:v>
                </c:pt>
                <c:pt idx="156">
                  <c:v>17266.934249999988</c:v>
                </c:pt>
                <c:pt idx="157">
                  <c:v>17265.690749999991</c:v>
                </c:pt>
                <c:pt idx="158">
                  <c:v>17262.080499999989</c:v>
                </c:pt>
                <c:pt idx="159">
                  <c:v>17257.617999999988</c:v>
                </c:pt>
                <c:pt idx="160">
                  <c:v>17252.90549999999</c:v>
                </c:pt>
                <c:pt idx="161">
                  <c:v>17246.523999999987</c:v>
                </c:pt>
                <c:pt idx="162">
                  <c:v>17239.465499999988</c:v>
                </c:pt>
                <c:pt idx="163">
                  <c:v>17231.560999999991</c:v>
                </c:pt>
                <c:pt idx="164">
                  <c:v>17224.093999999986</c:v>
                </c:pt>
                <c:pt idx="165">
                  <c:v>17215.779249999985</c:v>
                </c:pt>
                <c:pt idx="166">
                  <c:v>17207.391749999984</c:v>
                </c:pt>
                <c:pt idx="167">
                  <c:v>17199.269999999982</c:v>
                </c:pt>
                <c:pt idx="168">
                  <c:v>17191.541249999984</c:v>
                </c:pt>
                <c:pt idx="169">
                  <c:v>17183.981749999984</c:v>
                </c:pt>
                <c:pt idx="170">
                  <c:v>17176.209749999984</c:v>
                </c:pt>
                <c:pt idx="171">
                  <c:v>17168.264749999984</c:v>
                </c:pt>
                <c:pt idx="172">
                  <c:v>17160.248499999983</c:v>
                </c:pt>
                <c:pt idx="173">
                  <c:v>17152.525249999984</c:v>
                </c:pt>
                <c:pt idx="174">
                  <c:v>17143.982249999983</c:v>
                </c:pt>
                <c:pt idx="175">
                  <c:v>17135.783749999984</c:v>
                </c:pt>
                <c:pt idx="176">
                  <c:v>17128.522499999981</c:v>
                </c:pt>
                <c:pt idx="177">
                  <c:v>17122.640999999985</c:v>
                </c:pt>
                <c:pt idx="178">
                  <c:v>17115.910999999986</c:v>
                </c:pt>
                <c:pt idx="179">
                  <c:v>17108.469249999984</c:v>
                </c:pt>
                <c:pt idx="180">
                  <c:v>17099.187749999983</c:v>
                </c:pt>
                <c:pt idx="181">
                  <c:v>17089.614999999983</c:v>
                </c:pt>
                <c:pt idx="182">
                  <c:v>17080.585499999983</c:v>
                </c:pt>
                <c:pt idx="183">
                  <c:v>17073.234999999982</c:v>
                </c:pt>
                <c:pt idx="184">
                  <c:v>17066.381249999984</c:v>
                </c:pt>
                <c:pt idx="185">
                  <c:v>17060.894749999981</c:v>
                </c:pt>
                <c:pt idx="186">
                  <c:v>17056.260749999983</c:v>
                </c:pt>
                <c:pt idx="187">
                  <c:v>17051.401749999983</c:v>
                </c:pt>
                <c:pt idx="188">
                  <c:v>17045.445249999986</c:v>
                </c:pt>
                <c:pt idx="189">
                  <c:v>17039.634499999986</c:v>
                </c:pt>
                <c:pt idx="190">
                  <c:v>17033.891749999984</c:v>
                </c:pt>
                <c:pt idx="191">
                  <c:v>17029.063749999983</c:v>
                </c:pt>
                <c:pt idx="192">
                  <c:v>17025.125249999983</c:v>
                </c:pt>
                <c:pt idx="193">
                  <c:v>17021.865749999983</c:v>
                </c:pt>
                <c:pt idx="194">
                  <c:v>17017.784249999982</c:v>
                </c:pt>
                <c:pt idx="195">
                  <c:v>17013.032249999986</c:v>
                </c:pt>
                <c:pt idx="196">
                  <c:v>17007.556999999983</c:v>
                </c:pt>
                <c:pt idx="197">
                  <c:v>17002.450749999985</c:v>
                </c:pt>
                <c:pt idx="198">
                  <c:v>16998.743249999985</c:v>
                </c:pt>
                <c:pt idx="199">
                  <c:v>16995.526499999985</c:v>
                </c:pt>
                <c:pt idx="200">
                  <c:v>16993.246999999985</c:v>
                </c:pt>
                <c:pt idx="201">
                  <c:v>16991.110749999985</c:v>
                </c:pt>
                <c:pt idx="202">
                  <c:v>16988.894999999986</c:v>
                </c:pt>
                <c:pt idx="203">
                  <c:v>16987.561499999985</c:v>
                </c:pt>
                <c:pt idx="204">
                  <c:v>16988.057749999985</c:v>
                </c:pt>
                <c:pt idx="205">
                  <c:v>16988.491749999986</c:v>
                </c:pt>
                <c:pt idx="206">
                  <c:v>16986.296999999988</c:v>
                </c:pt>
                <c:pt idx="207">
                  <c:v>16984.73974999999</c:v>
                </c:pt>
                <c:pt idx="208">
                  <c:v>16983.61849999999</c:v>
                </c:pt>
                <c:pt idx="209">
                  <c:v>16981.646749999993</c:v>
                </c:pt>
                <c:pt idx="210">
                  <c:v>16979.098499999993</c:v>
                </c:pt>
                <c:pt idx="211">
                  <c:v>16975.441749999991</c:v>
                </c:pt>
                <c:pt idx="212">
                  <c:v>16974.152249999988</c:v>
                </c:pt>
                <c:pt idx="213">
                  <c:v>16972.49824999999</c:v>
                </c:pt>
                <c:pt idx="214">
                  <c:v>16969.681749999989</c:v>
                </c:pt>
                <c:pt idx="215">
                  <c:v>16967.463499999991</c:v>
                </c:pt>
                <c:pt idx="216">
                  <c:v>16965.74549999999</c:v>
                </c:pt>
                <c:pt idx="217">
                  <c:v>16964.37424999999</c:v>
                </c:pt>
                <c:pt idx="218">
                  <c:v>16964.543999999991</c:v>
                </c:pt>
                <c:pt idx="219">
                  <c:v>16966.627999999993</c:v>
                </c:pt>
                <c:pt idx="220">
                  <c:v>16968.792999999991</c:v>
                </c:pt>
                <c:pt idx="221">
                  <c:v>16972.067999999988</c:v>
                </c:pt>
                <c:pt idx="222">
                  <c:v>16974.40549999999</c:v>
                </c:pt>
                <c:pt idx="223">
                  <c:v>16978.660249999994</c:v>
                </c:pt>
                <c:pt idx="224">
                  <c:v>16981.04474999999</c:v>
                </c:pt>
                <c:pt idx="225">
                  <c:v>16984.239999999991</c:v>
                </c:pt>
                <c:pt idx="226">
                  <c:v>16987.486749999993</c:v>
                </c:pt>
                <c:pt idx="227">
                  <c:v>16989.070249999993</c:v>
                </c:pt>
                <c:pt idx="228">
                  <c:v>16991.235749999993</c:v>
                </c:pt>
                <c:pt idx="229">
                  <c:v>16993.311249999992</c:v>
                </c:pt>
                <c:pt idx="230">
                  <c:v>16992.509249999992</c:v>
                </c:pt>
                <c:pt idx="231">
                  <c:v>16990.197499999995</c:v>
                </c:pt>
                <c:pt idx="232">
                  <c:v>16986.906249999996</c:v>
                </c:pt>
                <c:pt idx="233">
                  <c:v>16983.440249999996</c:v>
                </c:pt>
                <c:pt idx="234">
                  <c:v>16982.070749999995</c:v>
                </c:pt>
                <c:pt idx="235">
                  <c:v>16979.882999999994</c:v>
                </c:pt>
                <c:pt idx="236">
                  <c:v>16980.147499999995</c:v>
                </c:pt>
                <c:pt idx="237">
                  <c:v>16980.564499999993</c:v>
                </c:pt>
                <c:pt idx="238">
                  <c:v>16982.211749999995</c:v>
                </c:pt>
                <c:pt idx="239">
                  <c:v>16985.345749999993</c:v>
                </c:pt>
                <c:pt idx="240">
                  <c:v>16986.409249999993</c:v>
                </c:pt>
                <c:pt idx="241">
                  <c:v>16987.249999999996</c:v>
                </c:pt>
                <c:pt idx="242">
                  <c:v>16986.958749999998</c:v>
                </c:pt>
                <c:pt idx="243">
                  <c:v>16987.868499999997</c:v>
                </c:pt>
                <c:pt idx="244">
                  <c:v>16988.996249999997</c:v>
                </c:pt>
                <c:pt idx="245">
                  <c:v>16990.264749999998</c:v>
                </c:pt>
                <c:pt idx="246">
                  <c:v>16991.757999999998</c:v>
                </c:pt>
                <c:pt idx="247">
                  <c:v>16993.557999999997</c:v>
                </c:pt>
                <c:pt idx="248">
                  <c:v>16994.669249999999</c:v>
                </c:pt>
                <c:pt idx="249">
                  <c:v>16995.194499999998</c:v>
                </c:pt>
                <c:pt idx="250">
                  <c:v>16994.45</c:v>
                </c:pt>
                <c:pt idx="251">
                  <c:v>16993.508500000004</c:v>
                </c:pt>
                <c:pt idx="252">
                  <c:v>16993.713</c:v>
                </c:pt>
                <c:pt idx="253">
                  <c:v>16994.710500000001</c:v>
                </c:pt>
                <c:pt idx="254">
                  <c:v>16995.421000000002</c:v>
                </c:pt>
                <c:pt idx="255">
                  <c:v>16995.556500000002</c:v>
                </c:pt>
                <c:pt idx="256">
                  <c:v>16994.758250000003</c:v>
                </c:pt>
                <c:pt idx="257">
                  <c:v>16994.055000000004</c:v>
                </c:pt>
                <c:pt idx="258">
                  <c:v>16993.790250000005</c:v>
                </c:pt>
                <c:pt idx="259">
                  <c:v>16993.034750000006</c:v>
                </c:pt>
                <c:pt idx="260">
                  <c:v>16992.610500000006</c:v>
                </c:pt>
                <c:pt idx="261">
                  <c:v>16994.667000000005</c:v>
                </c:pt>
                <c:pt idx="262">
                  <c:v>16997.527750000005</c:v>
                </c:pt>
                <c:pt idx="263">
                  <c:v>17001.459000000003</c:v>
                </c:pt>
                <c:pt idx="264">
                  <c:v>17007.761750000005</c:v>
                </c:pt>
                <c:pt idx="265">
                  <c:v>17013.091500000002</c:v>
                </c:pt>
                <c:pt idx="266">
                  <c:v>17019.079000000005</c:v>
                </c:pt>
                <c:pt idx="267">
                  <c:v>17024.369000000006</c:v>
                </c:pt>
                <c:pt idx="268">
                  <c:v>17028.890750000006</c:v>
                </c:pt>
                <c:pt idx="269">
                  <c:v>17032.342750000007</c:v>
                </c:pt>
                <c:pt idx="270">
                  <c:v>17035.863250000006</c:v>
                </c:pt>
                <c:pt idx="271">
                  <c:v>17040.626000000004</c:v>
                </c:pt>
                <c:pt idx="272">
                  <c:v>17045.858250000005</c:v>
                </c:pt>
                <c:pt idx="273">
                  <c:v>17052.880500000007</c:v>
                </c:pt>
                <c:pt idx="274">
                  <c:v>17060.338500000005</c:v>
                </c:pt>
                <c:pt idx="275">
                  <c:v>17067.082000000006</c:v>
                </c:pt>
                <c:pt idx="276">
                  <c:v>17072.533250000008</c:v>
                </c:pt>
                <c:pt idx="277">
                  <c:v>17079.164750000007</c:v>
                </c:pt>
                <c:pt idx="278">
                  <c:v>17088.164500000003</c:v>
                </c:pt>
                <c:pt idx="279">
                  <c:v>17094.204750000004</c:v>
                </c:pt>
                <c:pt idx="280">
                  <c:v>17100.640500000005</c:v>
                </c:pt>
                <c:pt idx="281">
                  <c:v>17106.600500000004</c:v>
                </c:pt>
                <c:pt idx="282">
                  <c:v>17112.704750000004</c:v>
                </c:pt>
                <c:pt idx="283">
                  <c:v>17119.711500000005</c:v>
                </c:pt>
                <c:pt idx="284">
                  <c:v>17127.552000000003</c:v>
                </c:pt>
                <c:pt idx="285">
                  <c:v>17134.310250000002</c:v>
                </c:pt>
                <c:pt idx="286">
                  <c:v>17144.415500000003</c:v>
                </c:pt>
                <c:pt idx="287">
                  <c:v>17153.225750000005</c:v>
                </c:pt>
                <c:pt idx="288">
                  <c:v>17161.182750000004</c:v>
                </c:pt>
                <c:pt idx="289">
                  <c:v>17169.148500000003</c:v>
                </c:pt>
                <c:pt idx="290">
                  <c:v>17177.295000000006</c:v>
                </c:pt>
                <c:pt idx="291">
                  <c:v>17185.102250000004</c:v>
                </c:pt>
                <c:pt idx="292">
                  <c:v>17195.859500000006</c:v>
                </c:pt>
                <c:pt idx="293">
                  <c:v>17206.453750000001</c:v>
                </c:pt>
                <c:pt idx="294">
                  <c:v>17215.339500000002</c:v>
                </c:pt>
                <c:pt idx="295">
                  <c:v>17223.320000000003</c:v>
                </c:pt>
                <c:pt idx="296">
                  <c:v>17230.694250000004</c:v>
                </c:pt>
                <c:pt idx="297">
                  <c:v>17237.325000000001</c:v>
                </c:pt>
                <c:pt idx="298">
                  <c:v>17245.172750000005</c:v>
                </c:pt>
                <c:pt idx="299">
                  <c:v>17250.510750000001</c:v>
                </c:pt>
                <c:pt idx="300">
                  <c:v>17254.036250000001</c:v>
                </c:pt>
                <c:pt idx="301">
                  <c:v>17257.745500000005</c:v>
                </c:pt>
                <c:pt idx="302">
                  <c:v>17261.674000000003</c:v>
                </c:pt>
                <c:pt idx="303">
                  <c:v>17265.016500000005</c:v>
                </c:pt>
                <c:pt idx="304">
                  <c:v>17268.381250000006</c:v>
                </c:pt>
                <c:pt idx="305">
                  <c:v>17271.907250000007</c:v>
                </c:pt>
                <c:pt idx="306">
                  <c:v>17275.58025000001</c:v>
                </c:pt>
                <c:pt idx="307">
                  <c:v>17278.428000000007</c:v>
                </c:pt>
                <c:pt idx="308">
                  <c:v>17281.203250000006</c:v>
                </c:pt>
                <c:pt idx="309">
                  <c:v>17284.706250000007</c:v>
                </c:pt>
                <c:pt idx="310">
                  <c:v>17286.893250000008</c:v>
                </c:pt>
                <c:pt idx="311">
                  <c:v>17286.764500000005</c:v>
                </c:pt>
                <c:pt idx="312">
                  <c:v>17287.570250000008</c:v>
                </c:pt>
                <c:pt idx="313">
                  <c:v>17289.123500000009</c:v>
                </c:pt>
                <c:pt idx="314">
                  <c:v>17290.385500000008</c:v>
                </c:pt>
                <c:pt idx="315">
                  <c:v>17289.48550000001</c:v>
                </c:pt>
                <c:pt idx="316">
                  <c:v>17289.355500000009</c:v>
                </c:pt>
                <c:pt idx="317">
                  <c:v>17290.014750000009</c:v>
                </c:pt>
                <c:pt idx="318">
                  <c:v>17290.718000000008</c:v>
                </c:pt>
                <c:pt idx="319">
                  <c:v>17292.901750000008</c:v>
                </c:pt>
                <c:pt idx="320">
                  <c:v>17297.378750000011</c:v>
                </c:pt>
                <c:pt idx="321">
                  <c:v>17300.519000000008</c:v>
                </c:pt>
                <c:pt idx="322">
                  <c:v>17302.16350000001</c:v>
                </c:pt>
                <c:pt idx="323">
                  <c:v>17305.662250000008</c:v>
                </c:pt>
                <c:pt idx="324">
                  <c:v>17310.359750000011</c:v>
                </c:pt>
                <c:pt idx="325">
                  <c:v>17313.638250000007</c:v>
                </c:pt>
                <c:pt idx="326">
                  <c:v>17317.300750000006</c:v>
                </c:pt>
                <c:pt idx="327">
                  <c:v>17320.724750000005</c:v>
                </c:pt>
                <c:pt idx="328">
                  <c:v>17325.291250000006</c:v>
                </c:pt>
                <c:pt idx="329">
                  <c:v>17330.125000000007</c:v>
                </c:pt>
                <c:pt idx="330">
                  <c:v>17336.458000000006</c:v>
                </c:pt>
                <c:pt idx="331">
                  <c:v>17342.26775000001</c:v>
                </c:pt>
                <c:pt idx="332">
                  <c:v>17349.345000000008</c:v>
                </c:pt>
                <c:pt idx="333">
                  <c:v>17355.607250000008</c:v>
                </c:pt>
                <c:pt idx="334">
                  <c:v>17361.963250000008</c:v>
                </c:pt>
                <c:pt idx="335">
                  <c:v>17368.456750000008</c:v>
                </c:pt>
                <c:pt idx="336">
                  <c:v>17376.380250000009</c:v>
                </c:pt>
                <c:pt idx="337">
                  <c:v>17383.989250000006</c:v>
                </c:pt>
                <c:pt idx="338">
                  <c:v>17392.032250000007</c:v>
                </c:pt>
                <c:pt idx="339">
                  <c:v>17397.345250000006</c:v>
                </c:pt>
                <c:pt idx="340">
                  <c:v>17404.115500000007</c:v>
                </c:pt>
                <c:pt idx="341">
                  <c:v>17413.62575000001</c:v>
                </c:pt>
                <c:pt idx="342">
                  <c:v>17421.06700000001</c:v>
                </c:pt>
                <c:pt idx="343">
                  <c:v>17427.941500000004</c:v>
                </c:pt>
                <c:pt idx="344">
                  <c:v>17434.380250000006</c:v>
                </c:pt>
                <c:pt idx="345">
                  <c:v>17440.022750000004</c:v>
                </c:pt>
                <c:pt idx="346">
                  <c:v>17444.388500000005</c:v>
                </c:pt>
                <c:pt idx="347">
                  <c:v>17447.487000000001</c:v>
                </c:pt>
                <c:pt idx="348">
                  <c:v>17449.108000000004</c:v>
                </c:pt>
                <c:pt idx="349">
                  <c:v>17451.685500000003</c:v>
                </c:pt>
                <c:pt idx="350">
                  <c:v>17454.013750000002</c:v>
                </c:pt>
                <c:pt idx="351">
                  <c:v>17456.411250000001</c:v>
                </c:pt>
                <c:pt idx="352">
                  <c:v>17459.249250000004</c:v>
                </c:pt>
                <c:pt idx="353">
                  <c:v>17461.786000000004</c:v>
                </c:pt>
                <c:pt idx="354">
                  <c:v>17464.429499999998</c:v>
                </c:pt>
                <c:pt idx="355">
                  <c:v>17467.576750000004</c:v>
                </c:pt>
                <c:pt idx="356">
                  <c:v>17469.944750000006</c:v>
                </c:pt>
                <c:pt idx="357">
                  <c:v>17474.339250000005</c:v>
                </c:pt>
                <c:pt idx="358">
                  <c:v>17482.266000000003</c:v>
                </c:pt>
                <c:pt idx="359">
                  <c:v>17490.59575</c:v>
                </c:pt>
                <c:pt idx="360">
                  <c:v>17499.920250000003</c:v>
                </c:pt>
                <c:pt idx="361">
                  <c:v>17511.113000000001</c:v>
                </c:pt>
                <c:pt idx="362">
                  <c:v>17522.765750000002</c:v>
                </c:pt>
                <c:pt idx="363">
                  <c:v>17534.626500000002</c:v>
                </c:pt>
                <c:pt idx="364">
                  <c:v>17545.494500000001</c:v>
                </c:pt>
                <c:pt idx="365">
                  <c:v>17557.567999999999</c:v>
                </c:pt>
                <c:pt idx="366">
                  <c:v>17568.319</c:v>
                </c:pt>
                <c:pt idx="367">
                  <c:v>17578.123499999998</c:v>
                </c:pt>
                <c:pt idx="368">
                  <c:v>17587.057000000001</c:v>
                </c:pt>
                <c:pt idx="369">
                  <c:v>17595.928250000001</c:v>
                </c:pt>
                <c:pt idx="370">
                  <c:v>17605.053</c:v>
                </c:pt>
                <c:pt idx="371">
                  <c:v>17614.868750000001</c:v>
                </c:pt>
                <c:pt idx="372">
                  <c:v>17624.954749999997</c:v>
                </c:pt>
                <c:pt idx="373">
                  <c:v>17634.846000000001</c:v>
                </c:pt>
                <c:pt idx="374">
                  <c:v>17645.366999999998</c:v>
                </c:pt>
                <c:pt idx="375">
                  <c:v>17655.743000000002</c:v>
                </c:pt>
                <c:pt idx="376">
                  <c:v>17665.816749999998</c:v>
                </c:pt>
                <c:pt idx="377">
                  <c:v>17675.163</c:v>
                </c:pt>
                <c:pt idx="378">
                  <c:v>17685.362000000001</c:v>
                </c:pt>
                <c:pt idx="379">
                  <c:v>17695.415499999999</c:v>
                </c:pt>
                <c:pt idx="380">
                  <c:v>17706.90425</c:v>
                </c:pt>
                <c:pt idx="381">
                  <c:v>17718.54075</c:v>
                </c:pt>
                <c:pt idx="382">
                  <c:v>17729.87025</c:v>
                </c:pt>
                <c:pt idx="383">
                  <c:v>17739.962749999999</c:v>
                </c:pt>
                <c:pt idx="384">
                  <c:v>17749.833999999995</c:v>
                </c:pt>
                <c:pt idx="385">
                  <c:v>17759.223999999998</c:v>
                </c:pt>
                <c:pt idx="386">
                  <c:v>17767.630249999998</c:v>
                </c:pt>
                <c:pt idx="387">
                  <c:v>17774.941749999994</c:v>
                </c:pt>
                <c:pt idx="388">
                  <c:v>17782.436499999996</c:v>
                </c:pt>
                <c:pt idx="389">
                  <c:v>17791.034249999993</c:v>
                </c:pt>
                <c:pt idx="390">
                  <c:v>17799.397249999995</c:v>
                </c:pt>
                <c:pt idx="391">
                  <c:v>17806.489249999995</c:v>
                </c:pt>
                <c:pt idx="392">
                  <c:v>17812.124999999993</c:v>
                </c:pt>
                <c:pt idx="393">
                  <c:v>17817.030499999993</c:v>
                </c:pt>
                <c:pt idx="394">
                  <c:v>17822.799999999996</c:v>
                </c:pt>
                <c:pt idx="395">
                  <c:v>17828.852499999994</c:v>
                </c:pt>
                <c:pt idx="396">
                  <c:v>17835.111749999996</c:v>
                </c:pt>
                <c:pt idx="397">
                  <c:v>17840.796249999996</c:v>
                </c:pt>
                <c:pt idx="398">
                  <c:v>17845.609499999995</c:v>
                </c:pt>
                <c:pt idx="399">
                  <c:v>17850.606249999997</c:v>
                </c:pt>
                <c:pt idx="400">
                  <c:v>17855.280499999997</c:v>
                </c:pt>
                <c:pt idx="401">
                  <c:v>17859.784749999995</c:v>
                </c:pt>
                <c:pt idx="402">
                  <c:v>17864.290499999996</c:v>
                </c:pt>
                <c:pt idx="403">
                  <c:v>17867.741999999995</c:v>
                </c:pt>
                <c:pt idx="404">
                  <c:v>17870.776499999996</c:v>
                </c:pt>
                <c:pt idx="405">
                  <c:v>17874.991749999997</c:v>
                </c:pt>
                <c:pt idx="406">
                  <c:v>17881.118999999995</c:v>
                </c:pt>
                <c:pt idx="407">
                  <c:v>17887.010999999995</c:v>
                </c:pt>
                <c:pt idx="408">
                  <c:v>17892.426749999995</c:v>
                </c:pt>
                <c:pt idx="409">
                  <c:v>17898.944499999994</c:v>
                </c:pt>
                <c:pt idx="410">
                  <c:v>17904.927249999993</c:v>
                </c:pt>
                <c:pt idx="411">
                  <c:v>17912.446249999994</c:v>
                </c:pt>
                <c:pt idx="412">
                  <c:v>17917.933999999997</c:v>
                </c:pt>
                <c:pt idx="413">
                  <c:v>17924.076249999995</c:v>
                </c:pt>
                <c:pt idx="414">
                  <c:v>17929.706499999993</c:v>
                </c:pt>
                <c:pt idx="415">
                  <c:v>17934.833499999997</c:v>
                </c:pt>
                <c:pt idx="416">
                  <c:v>17940.642499999994</c:v>
                </c:pt>
                <c:pt idx="417">
                  <c:v>17947.380999999998</c:v>
                </c:pt>
                <c:pt idx="418">
                  <c:v>17954.332499999997</c:v>
                </c:pt>
                <c:pt idx="419">
                  <c:v>17961.778499999993</c:v>
                </c:pt>
                <c:pt idx="420">
                  <c:v>17969.041749999993</c:v>
                </c:pt>
                <c:pt idx="421">
                  <c:v>17975.683999999994</c:v>
                </c:pt>
                <c:pt idx="422">
                  <c:v>17983.15174999999</c:v>
                </c:pt>
                <c:pt idx="423">
                  <c:v>17990.423749999991</c:v>
                </c:pt>
                <c:pt idx="424">
                  <c:v>17999.548999999988</c:v>
                </c:pt>
                <c:pt idx="425">
                  <c:v>18008.634749999987</c:v>
                </c:pt>
                <c:pt idx="426">
                  <c:v>18016.474999999988</c:v>
                </c:pt>
                <c:pt idx="427">
                  <c:v>18024.951999999987</c:v>
                </c:pt>
                <c:pt idx="428">
                  <c:v>18034.625499999991</c:v>
                </c:pt>
                <c:pt idx="429">
                  <c:v>18046.545999999991</c:v>
                </c:pt>
                <c:pt idx="430">
                  <c:v>18060.210749999991</c:v>
                </c:pt>
                <c:pt idx="431">
                  <c:v>18074.339499999991</c:v>
                </c:pt>
                <c:pt idx="432">
                  <c:v>18089.942249999993</c:v>
                </c:pt>
                <c:pt idx="433">
                  <c:v>18104.576749999993</c:v>
                </c:pt>
                <c:pt idx="434">
                  <c:v>18117.466749999992</c:v>
                </c:pt>
                <c:pt idx="435">
                  <c:v>18131.432999999994</c:v>
                </c:pt>
                <c:pt idx="436">
                  <c:v>18143.95299999999</c:v>
                </c:pt>
                <c:pt idx="437">
                  <c:v>18155.593499999992</c:v>
                </c:pt>
                <c:pt idx="438">
                  <c:v>18167.250499999987</c:v>
                </c:pt>
                <c:pt idx="439">
                  <c:v>18179.814499999989</c:v>
                </c:pt>
                <c:pt idx="440">
                  <c:v>18193.564499999986</c:v>
                </c:pt>
                <c:pt idx="441">
                  <c:v>18205.579249999988</c:v>
                </c:pt>
                <c:pt idx="442">
                  <c:v>18217.415749999986</c:v>
                </c:pt>
                <c:pt idx="443">
                  <c:v>18229.072249999987</c:v>
                </c:pt>
                <c:pt idx="444">
                  <c:v>18240.499749999988</c:v>
                </c:pt>
                <c:pt idx="445">
                  <c:v>18250.919249999988</c:v>
                </c:pt>
                <c:pt idx="446">
                  <c:v>18261.520749999989</c:v>
                </c:pt>
                <c:pt idx="447">
                  <c:v>18271.416499999988</c:v>
                </c:pt>
                <c:pt idx="448">
                  <c:v>18280.676499999987</c:v>
                </c:pt>
                <c:pt idx="449">
                  <c:v>18289.195499999987</c:v>
                </c:pt>
                <c:pt idx="450">
                  <c:v>18298.238749999982</c:v>
                </c:pt>
                <c:pt idx="451">
                  <c:v>18306.380249999984</c:v>
                </c:pt>
                <c:pt idx="452">
                  <c:v>18313.996999999985</c:v>
                </c:pt>
                <c:pt idx="453">
                  <c:v>18320.903999999984</c:v>
                </c:pt>
                <c:pt idx="454">
                  <c:v>18327.159249999982</c:v>
                </c:pt>
                <c:pt idx="455">
                  <c:v>18333.964999999982</c:v>
                </c:pt>
                <c:pt idx="456">
                  <c:v>18340.634999999987</c:v>
                </c:pt>
                <c:pt idx="457">
                  <c:v>18346.378249999987</c:v>
                </c:pt>
                <c:pt idx="458">
                  <c:v>18351.894499999984</c:v>
                </c:pt>
                <c:pt idx="459">
                  <c:v>18357.822749999985</c:v>
                </c:pt>
                <c:pt idx="460">
                  <c:v>18364.418999999983</c:v>
                </c:pt>
                <c:pt idx="461">
                  <c:v>18368.939499999989</c:v>
                </c:pt>
                <c:pt idx="462">
                  <c:v>18374.470249999984</c:v>
                </c:pt>
                <c:pt idx="463">
                  <c:v>18380.097249999984</c:v>
                </c:pt>
                <c:pt idx="464">
                  <c:v>18385.923499999983</c:v>
                </c:pt>
                <c:pt idx="465">
                  <c:v>18392.259249999981</c:v>
                </c:pt>
                <c:pt idx="466">
                  <c:v>18399.356249999983</c:v>
                </c:pt>
                <c:pt idx="467">
                  <c:v>18407.656249999982</c:v>
                </c:pt>
                <c:pt idx="468">
                  <c:v>18416.416999999983</c:v>
                </c:pt>
                <c:pt idx="469">
                  <c:v>18425.046749999983</c:v>
                </c:pt>
                <c:pt idx="470">
                  <c:v>18432.976249999985</c:v>
                </c:pt>
                <c:pt idx="471">
                  <c:v>18440.927999999982</c:v>
                </c:pt>
                <c:pt idx="472">
                  <c:v>18449.075999999983</c:v>
                </c:pt>
                <c:pt idx="473">
                  <c:v>18456.652249999981</c:v>
                </c:pt>
                <c:pt idx="474">
                  <c:v>18462.367499999982</c:v>
                </c:pt>
                <c:pt idx="475">
                  <c:v>18467.016749999981</c:v>
                </c:pt>
                <c:pt idx="476">
                  <c:v>18471.907499999983</c:v>
                </c:pt>
                <c:pt idx="477">
                  <c:v>18476.774999999983</c:v>
                </c:pt>
                <c:pt idx="478">
                  <c:v>18481.884749999983</c:v>
                </c:pt>
                <c:pt idx="479">
                  <c:v>18487.664499999984</c:v>
                </c:pt>
                <c:pt idx="480">
                  <c:v>18492.235499999981</c:v>
                </c:pt>
                <c:pt idx="481">
                  <c:v>18497.943999999981</c:v>
                </c:pt>
                <c:pt idx="482">
                  <c:v>18503.101999999981</c:v>
                </c:pt>
                <c:pt idx="483">
                  <c:v>18507.242499999982</c:v>
                </c:pt>
                <c:pt idx="484">
                  <c:v>18511.669749999983</c:v>
                </c:pt>
                <c:pt idx="485">
                  <c:v>18517.862749999982</c:v>
                </c:pt>
                <c:pt idx="486">
                  <c:v>18524.079499999985</c:v>
                </c:pt>
                <c:pt idx="487">
                  <c:v>18530.426499999987</c:v>
                </c:pt>
                <c:pt idx="488">
                  <c:v>18537.556749999985</c:v>
                </c:pt>
                <c:pt idx="489">
                  <c:v>18545.531249999985</c:v>
                </c:pt>
                <c:pt idx="490">
                  <c:v>18553.649749999982</c:v>
                </c:pt>
                <c:pt idx="491">
                  <c:v>18563.274499999985</c:v>
                </c:pt>
                <c:pt idx="492">
                  <c:v>18572.258999999984</c:v>
                </c:pt>
                <c:pt idx="493">
                  <c:v>18579.952999999983</c:v>
                </c:pt>
                <c:pt idx="494">
                  <c:v>18587.463999999985</c:v>
                </c:pt>
                <c:pt idx="495">
                  <c:v>18594.222249999984</c:v>
                </c:pt>
                <c:pt idx="496">
                  <c:v>18600.104499999987</c:v>
                </c:pt>
                <c:pt idx="497">
                  <c:v>18604.727999999985</c:v>
                </c:pt>
                <c:pt idx="498">
                  <c:v>18607.851499999986</c:v>
                </c:pt>
                <c:pt idx="499">
                  <c:v>18612.872999999985</c:v>
                </c:pt>
                <c:pt idx="500">
                  <c:v>18618.616749999983</c:v>
                </c:pt>
                <c:pt idx="501">
                  <c:v>18624.717499999984</c:v>
                </c:pt>
                <c:pt idx="502">
                  <c:v>18629.157249999986</c:v>
                </c:pt>
                <c:pt idx="503">
                  <c:v>18635.252749999989</c:v>
                </c:pt>
                <c:pt idx="504">
                  <c:v>18641.927249999986</c:v>
                </c:pt>
                <c:pt idx="505">
                  <c:v>18649.694999999989</c:v>
                </c:pt>
                <c:pt idx="506">
                  <c:v>18656.945499999987</c:v>
                </c:pt>
                <c:pt idx="507">
                  <c:v>18664.68874999999</c:v>
                </c:pt>
                <c:pt idx="508">
                  <c:v>18671.398749999989</c:v>
                </c:pt>
                <c:pt idx="509">
                  <c:v>18677.698749999992</c:v>
                </c:pt>
                <c:pt idx="510">
                  <c:v>18684.78724999999</c:v>
                </c:pt>
                <c:pt idx="511">
                  <c:v>18691.86674999999</c:v>
                </c:pt>
                <c:pt idx="512">
                  <c:v>18699.651249999992</c:v>
                </c:pt>
                <c:pt idx="513">
                  <c:v>18707.885749999994</c:v>
                </c:pt>
                <c:pt idx="514">
                  <c:v>18717.084999999988</c:v>
                </c:pt>
                <c:pt idx="515">
                  <c:v>18727.533249999989</c:v>
                </c:pt>
                <c:pt idx="516">
                  <c:v>18738.205499999989</c:v>
                </c:pt>
                <c:pt idx="517">
                  <c:v>18748.953999999991</c:v>
                </c:pt>
                <c:pt idx="518">
                  <c:v>18759.882499999989</c:v>
                </c:pt>
                <c:pt idx="519">
                  <c:v>18770.803999999989</c:v>
                </c:pt>
                <c:pt idx="520">
                  <c:v>18780.98224999999</c:v>
                </c:pt>
                <c:pt idx="521">
                  <c:v>18792.642249999994</c:v>
                </c:pt>
                <c:pt idx="522">
                  <c:v>18804.700499999992</c:v>
                </c:pt>
                <c:pt idx="523">
                  <c:v>18816.681499999992</c:v>
                </c:pt>
                <c:pt idx="524">
                  <c:v>18830.648249999991</c:v>
                </c:pt>
                <c:pt idx="525">
                  <c:v>18845.641249999993</c:v>
                </c:pt>
                <c:pt idx="526">
                  <c:v>18861.475249999996</c:v>
                </c:pt>
                <c:pt idx="527">
                  <c:v>18876.331749999998</c:v>
                </c:pt>
                <c:pt idx="528">
                  <c:v>18891.099499999997</c:v>
                </c:pt>
                <c:pt idx="529">
                  <c:v>18905.905749999998</c:v>
                </c:pt>
                <c:pt idx="530">
                  <c:v>18920.716749999996</c:v>
                </c:pt>
                <c:pt idx="531">
                  <c:v>18936.125499999998</c:v>
                </c:pt>
                <c:pt idx="532">
                  <c:v>18952.905499999997</c:v>
                </c:pt>
                <c:pt idx="533">
                  <c:v>18972.417250000002</c:v>
                </c:pt>
                <c:pt idx="534">
                  <c:v>18991.954249999999</c:v>
                </c:pt>
                <c:pt idx="535">
                  <c:v>19011.890750000002</c:v>
                </c:pt>
                <c:pt idx="536">
                  <c:v>19030.678</c:v>
                </c:pt>
                <c:pt idx="537">
                  <c:v>19050.433499999999</c:v>
                </c:pt>
                <c:pt idx="538">
                  <c:v>19069.925999999999</c:v>
                </c:pt>
                <c:pt idx="539">
                  <c:v>19090.523249999998</c:v>
                </c:pt>
                <c:pt idx="540">
                  <c:v>19110.825249999998</c:v>
                </c:pt>
                <c:pt idx="541">
                  <c:v>19131.161499999998</c:v>
                </c:pt>
                <c:pt idx="542">
                  <c:v>19151.0465</c:v>
                </c:pt>
                <c:pt idx="543">
                  <c:v>19171.807999999997</c:v>
                </c:pt>
                <c:pt idx="544">
                  <c:v>19193.072499999998</c:v>
                </c:pt>
                <c:pt idx="545">
                  <c:v>19214.887749999998</c:v>
                </c:pt>
                <c:pt idx="546">
                  <c:v>19237.964250000001</c:v>
                </c:pt>
                <c:pt idx="547">
                  <c:v>19261.657500000001</c:v>
                </c:pt>
                <c:pt idx="548">
                  <c:v>19284.2945</c:v>
                </c:pt>
                <c:pt idx="549">
                  <c:v>19306.518500000002</c:v>
                </c:pt>
                <c:pt idx="550">
                  <c:v>19329.670000000002</c:v>
                </c:pt>
                <c:pt idx="551">
                  <c:v>19352.368500000004</c:v>
                </c:pt>
                <c:pt idx="552">
                  <c:v>19376.081750000005</c:v>
                </c:pt>
                <c:pt idx="553">
                  <c:v>19401.184500000003</c:v>
                </c:pt>
                <c:pt idx="554">
                  <c:v>19426.620750000006</c:v>
                </c:pt>
                <c:pt idx="555">
                  <c:v>19449.552000000007</c:v>
                </c:pt>
                <c:pt idx="556">
                  <c:v>19472.104750000002</c:v>
                </c:pt>
                <c:pt idx="557">
                  <c:v>19494.813250000003</c:v>
                </c:pt>
                <c:pt idx="558">
                  <c:v>19515.873500000002</c:v>
                </c:pt>
                <c:pt idx="559">
                  <c:v>19535.077250000002</c:v>
                </c:pt>
                <c:pt idx="560">
                  <c:v>19554.561750000001</c:v>
                </c:pt>
                <c:pt idx="561">
                  <c:v>19573.329000000002</c:v>
                </c:pt>
                <c:pt idx="562">
                  <c:v>19593.896750000004</c:v>
                </c:pt>
                <c:pt idx="563">
                  <c:v>19612.895750000003</c:v>
                </c:pt>
                <c:pt idx="564">
                  <c:v>19632.462250000004</c:v>
                </c:pt>
                <c:pt idx="565">
                  <c:v>19651.809500000007</c:v>
                </c:pt>
                <c:pt idx="566">
                  <c:v>19672.544250000006</c:v>
                </c:pt>
                <c:pt idx="567">
                  <c:v>19693.10200000001</c:v>
                </c:pt>
                <c:pt idx="568">
                  <c:v>19714.655250000007</c:v>
                </c:pt>
                <c:pt idx="569">
                  <c:v>19736.185500000007</c:v>
                </c:pt>
                <c:pt idx="570">
                  <c:v>19756.655000000006</c:v>
                </c:pt>
                <c:pt idx="571">
                  <c:v>19776.850500000011</c:v>
                </c:pt>
                <c:pt idx="572">
                  <c:v>19796.084500000008</c:v>
                </c:pt>
                <c:pt idx="573">
                  <c:v>19815.73275000001</c:v>
                </c:pt>
                <c:pt idx="574">
                  <c:v>19835.35775000001</c:v>
                </c:pt>
                <c:pt idx="575">
                  <c:v>19854.586500000009</c:v>
                </c:pt>
                <c:pt idx="576">
                  <c:v>19874.05175000001</c:v>
                </c:pt>
                <c:pt idx="577">
                  <c:v>19894.21375000001</c:v>
                </c:pt>
                <c:pt idx="578">
                  <c:v>19913.919500000007</c:v>
                </c:pt>
                <c:pt idx="579">
                  <c:v>19933.849750000008</c:v>
                </c:pt>
                <c:pt idx="580">
                  <c:v>19953.615000000009</c:v>
                </c:pt>
                <c:pt idx="581">
                  <c:v>19973.348750000012</c:v>
                </c:pt>
                <c:pt idx="582">
                  <c:v>19992.383500000011</c:v>
                </c:pt>
                <c:pt idx="583">
                  <c:v>20011.890250000011</c:v>
                </c:pt>
                <c:pt idx="584">
                  <c:v>20030.072000000011</c:v>
                </c:pt>
                <c:pt idx="585">
                  <c:v>20047.991750000008</c:v>
                </c:pt>
                <c:pt idx="586">
                  <c:v>20068.253000000012</c:v>
                </c:pt>
                <c:pt idx="587">
                  <c:v>20089.372250000011</c:v>
                </c:pt>
                <c:pt idx="588">
                  <c:v>20110.504000000012</c:v>
                </c:pt>
                <c:pt idx="589">
                  <c:v>20131.857250000008</c:v>
                </c:pt>
                <c:pt idx="590">
                  <c:v>20152.753000000008</c:v>
                </c:pt>
                <c:pt idx="591">
                  <c:v>20172.676250000008</c:v>
                </c:pt>
                <c:pt idx="592">
                  <c:v>20192.927750000006</c:v>
                </c:pt>
                <c:pt idx="593">
                  <c:v>20211.310500000007</c:v>
                </c:pt>
                <c:pt idx="594">
                  <c:v>20229.547000000006</c:v>
                </c:pt>
                <c:pt idx="595">
                  <c:v>20246.670500000007</c:v>
                </c:pt>
                <c:pt idx="596">
                  <c:v>20263.779750000009</c:v>
                </c:pt>
                <c:pt idx="597">
                  <c:v>20280.195000000011</c:v>
                </c:pt>
                <c:pt idx="598">
                  <c:v>20296.951750000011</c:v>
                </c:pt>
                <c:pt idx="599">
                  <c:v>20314.341000000011</c:v>
                </c:pt>
                <c:pt idx="600">
                  <c:v>20331.855500000009</c:v>
                </c:pt>
                <c:pt idx="601">
                  <c:v>20348.884000000009</c:v>
                </c:pt>
                <c:pt idx="602">
                  <c:v>20365.870250000011</c:v>
                </c:pt>
                <c:pt idx="603">
                  <c:v>20384.332000000009</c:v>
                </c:pt>
                <c:pt idx="604">
                  <c:v>20403.825000000012</c:v>
                </c:pt>
                <c:pt idx="605">
                  <c:v>20423.08400000001</c:v>
                </c:pt>
                <c:pt idx="606">
                  <c:v>20441.676500000012</c:v>
                </c:pt>
                <c:pt idx="607">
                  <c:v>20460.470250000009</c:v>
                </c:pt>
                <c:pt idx="608">
                  <c:v>20479.59825000001</c:v>
                </c:pt>
                <c:pt idx="609">
                  <c:v>20498.799750000009</c:v>
                </c:pt>
                <c:pt idx="610">
                  <c:v>20518.236250000009</c:v>
                </c:pt>
                <c:pt idx="611">
                  <c:v>20537.921750000009</c:v>
                </c:pt>
                <c:pt idx="612">
                  <c:v>20556.234500000006</c:v>
                </c:pt>
                <c:pt idx="613">
                  <c:v>20573.740750000004</c:v>
                </c:pt>
                <c:pt idx="614">
                  <c:v>20591.152750000005</c:v>
                </c:pt>
                <c:pt idx="615">
                  <c:v>20607.676000000007</c:v>
                </c:pt>
                <c:pt idx="616">
                  <c:v>20624.324000000008</c:v>
                </c:pt>
                <c:pt idx="617">
                  <c:v>20641.145500000006</c:v>
                </c:pt>
                <c:pt idx="618">
                  <c:v>20657.040250000005</c:v>
                </c:pt>
                <c:pt idx="619">
                  <c:v>20672.4395</c:v>
                </c:pt>
                <c:pt idx="620">
                  <c:v>20688.346250000002</c:v>
                </c:pt>
                <c:pt idx="621">
                  <c:v>20703.453500000003</c:v>
                </c:pt>
                <c:pt idx="622">
                  <c:v>20719.184000000001</c:v>
                </c:pt>
                <c:pt idx="623">
                  <c:v>20735.549250000004</c:v>
                </c:pt>
                <c:pt idx="624">
                  <c:v>20752.010750000005</c:v>
                </c:pt>
                <c:pt idx="625">
                  <c:v>20767.193000000003</c:v>
                </c:pt>
                <c:pt idx="626">
                  <c:v>20782.485000000004</c:v>
                </c:pt>
                <c:pt idx="627">
                  <c:v>20796.928750000006</c:v>
                </c:pt>
                <c:pt idx="628">
                  <c:v>20810.618750000005</c:v>
                </c:pt>
                <c:pt idx="629">
                  <c:v>20821.849000000002</c:v>
                </c:pt>
                <c:pt idx="630">
                  <c:v>20833.378750000003</c:v>
                </c:pt>
                <c:pt idx="631">
                  <c:v>20844.733250000005</c:v>
                </c:pt>
                <c:pt idx="632">
                  <c:v>20855.926750000006</c:v>
                </c:pt>
                <c:pt idx="633">
                  <c:v>20868.204500000003</c:v>
                </c:pt>
                <c:pt idx="634">
                  <c:v>20881.862000000005</c:v>
                </c:pt>
                <c:pt idx="635">
                  <c:v>20895.789500000003</c:v>
                </c:pt>
                <c:pt idx="636">
                  <c:v>20909.408000000003</c:v>
                </c:pt>
                <c:pt idx="637">
                  <c:v>20923.753750000003</c:v>
                </c:pt>
                <c:pt idx="638">
                  <c:v>20938.512500000001</c:v>
                </c:pt>
                <c:pt idx="639">
                  <c:v>20954.581750000001</c:v>
                </c:pt>
                <c:pt idx="640">
                  <c:v>20970.699499999999</c:v>
                </c:pt>
                <c:pt idx="641">
                  <c:v>20987.728999999999</c:v>
                </c:pt>
                <c:pt idx="642">
                  <c:v>21005.261500000004</c:v>
                </c:pt>
                <c:pt idx="643">
                  <c:v>21021.200000000004</c:v>
                </c:pt>
                <c:pt idx="644">
                  <c:v>21035.656750000002</c:v>
                </c:pt>
                <c:pt idx="645">
                  <c:v>21050.456000000006</c:v>
                </c:pt>
                <c:pt idx="646">
                  <c:v>21068.612750000004</c:v>
                </c:pt>
                <c:pt idx="647">
                  <c:v>21080.319750000006</c:v>
                </c:pt>
                <c:pt idx="648">
                  <c:v>21096.28</c:v>
                </c:pt>
                <c:pt idx="649">
                  <c:v>21113.214250000005</c:v>
                </c:pt>
                <c:pt idx="650">
                  <c:v>21132.340000000004</c:v>
                </c:pt>
                <c:pt idx="651">
                  <c:v>21151.80975</c:v>
                </c:pt>
                <c:pt idx="652">
                  <c:v>21171.583250000003</c:v>
                </c:pt>
                <c:pt idx="653">
                  <c:v>21191.230000000003</c:v>
                </c:pt>
                <c:pt idx="654">
                  <c:v>21211.242250000007</c:v>
                </c:pt>
                <c:pt idx="655">
                  <c:v>21231.350250000003</c:v>
                </c:pt>
                <c:pt idx="656">
                  <c:v>21252.206250000003</c:v>
                </c:pt>
                <c:pt idx="657">
                  <c:v>21273.457250000007</c:v>
                </c:pt>
                <c:pt idx="658">
                  <c:v>21294.762000000006</c:v>
                </c:pt>
                <c:pt idx="659">
                  <c:v>21315.554250000001</c:v>
                </c:pt>
                <c:pt idx="660">
                  <c:v>21336.506249999999</c:v>
                </c:pt>
                <c:pt idx="661">
                  <c:v>21358.843749999996</c:v>
                </c:pt>
                <c:pt idx="662">
                  <c:v>21381.01125</c:v>
                </c:pt>
                <c:pt idx="663">
                  <c:v>21403.589749999999</c:v>
                </c:pt>
                <c:pt idx="664">
                  <c:v>21425.768250000001</c:v>
                </c:pt>
                <c:pt idx="665">
                  <c:v>21448.422749999998</c:v>
                </c:pt>
                <c:pt idx="666">
                  <c:v>21470.406749999998</c:v>
                </c:pt>
                <c:pt idx="667">
                  <c:v>21492.739499999996</c:v>
                </c:pt>
                <c:pt idx="668">
                  <c:v>21514.268500000002</c:v>
                </c:pt>
                <c:pt idx="669">
                  <c:v>21535.921749999998</c:v>
                </c:pt>
                <c:pt idx="670">
                  <c:v>21557.174500000001</c:v>
                </c:pt>
                <c:pt idx="671">
                  <c:v>21578.825000000004</c:v>
                </c:pt>
                <c:pt idx="672">
                  <c:v>21599.485500000003</c:v>
                </c:pt>
                <c:pt idx="673">
                  <c:v>21620.398750000004</c:v>
                </c:pt>
                <c:pt idx="674">
                  <c:v>21643.402500000011</c:v>
                </c:pt>
                <c:pt idx="675">
                  <c:v>21667.624250000012</c:v>
                </c:pt>
                <c:pt idx="676">
                  <c:v>21692.318000000007</c:v>
                </c:pt>
                <c:pt idx="677">
                  <c:v>21717.949500000006</c:v>
                </c:pt>
                <c:pt idx="678">
                  <c:v>21742.280500000008</c:v>
                </c:pt>
                <c:pt idx="679">
                  <c:v>21766.244500000008</c:v>
                </c:pt>
                <c:pt idx="680">
                  <c:v>21791.022000000008</c:v>
                </c:pt>
                <c:pt idx="681">
                  <c:v>21814.898000000001</c:v>
                </c:pt>
                <c:pt idx="682">
                  <c:v>21839.284750000003</c:v>
                </c:pt>
                <c:pt idx="683">
                  <c:v>21866.2785</c:v>
                </c:pt>
                <c:pt idx="684">
                  <c:v>21892.730250000001</c:v>
                </c:pt>
                <c:pt idx="685">
                  <c:v>21918.749249999997</c:v>
                </c:pt>
                <c:pt idx="686">
                  <c:v>21945.94325</c:v>
                </c:pt>
                <c:pt idx="687">
                  <c:v>21972.548500000004</c:v>
                </c:pt>
                <c:pt idx="688">
                  <c:v>21997.08025000001</c:v>
                </c:pt>
                <c:pt idx="689">
                  <c:v>22018.388250000004</c:v>
                </c:pt>
                <c:pt idx="690">
                  <c:v>22039.595750000008</c:v>
                </c:pt>
                <c:pt idx="691">
                  <c:v>22062.424500000012</c:v>
                </c:pt>
                <c:pt idx="692">
                  <c:v>22083.952000000005</c:v>
                </c:pt>
                <c:pt idx="693">
                  <c:v>22107.434000000008</c:v>
                </c:pt>
                <c:pt idx="694">
                  <c:v>22131.045500000011</c:v>
                </c:pt>
                <c:pt idx="695">
                  <c:v>22154.027250000006</c:v>
                </c:pt>
                <c:pt idx="696">
                  <c:v>22178.337250000004</c:v>
                </c:pt>
                <c:pt idx="697">
                  <c:v>22205.432250000005</c:v>
                </c:pt>
                <c:pt idx="698">
                  <c:v>22234.009250000003</c:v>
                </c:pt>
                <c:pt idx="699">
                  <c:v>22262.267250000004</c:v>
                </c:pt>
                <c:pt idx="700">
                  <c:v>22290.413750000011</c:v>
                </c:pt>
                <c:pt idx="701">
                  <c:v>22319.073250000005</c:v>
                </c:pt>
                <c:pt idx="702">
                  <c:v>22348.243250000007</c:v>
                </c:pt>
                <c:pt idx="703">
                  <c:v>22377.630000000005</c:v>
                </c:pt>
                <c:pt idx="704">
                  <c:v>22406.565750000005</c:v>
                </c:pt>
                <c:pt idx="705">
                  <c:v>22434.768750000003</c:v>
                </c:pt>
                <c:pt idx="706">
                  <c:v>22463.495000000006</c:v>
                </c:pt>
                <c:pt idx="707">
                  <c:v>22492.457000000006</c:v>
                </c:pt>
                <c:pt idx="708">
                  <c:v>22521.874000000007</c:v>
                </c:pt>
                <c:pt idx="709">
                  <c:v>22551.14650000001</c:v>
                </c:pt>
                <c:pt idx="710">
                  <c:v>22579.512250000007</c:v>
                </c:pt>
                <c:pt idx="711">
                  <c:v>22608.02</c:v>
                </c:pt>
                <c:pt idx="712">
                  <c:v>22633.903500000004</c:v>
                </c:pt>
                <c:pt idx="713">
                  <c:v>22659.759500000007</c:v>
                </c:pt>
                <c:pt idx="714">
                  <c:v>22686.306000000004</c:v>
                </c:pt>
                <c:pt idx="715">
                  <c:v>22712.428250000008</c:v>
                </c:pt>
                <c:pt idx="716">
                  <c:v>22740.455750000008</c:v>
                </c:pt>
                <c:pt idx="717">
                  <c:v>22768.179000000007</c:v>
                </c:pt>
                <c:pt idx="718">
                  <c:v>22796.08775000001</c:v>
                </c:pt>
                <c:pt idx="719">
                  <c:v>22824.207000000009</c:v>
                </c:pt>
                <c:pt idx="720">
                  <c:v>22851.646250000009</c:v>
                </c:pt>
                <c:pt idx="721">
                  <c:v>22878.242250000007</c:v>
                </c:pt>
                <c:pt idx="722">
                  <c:v>22906.531250000011</c:v>
                </c:pt>
                <c:pt idx="723">
                  <c:v>22934.887000000002</c:v>
                </c:pt>
                <c:pt idx="724">
                  <c:v>22961.15500000001</c:v>
                </c:pt>
                <c:pt idx="725">
                  <c:v>22986.90025000001</c:v>
                </c:pt>
                <c:pt idx="726">
                  <c:v>23013.292000000005</c:v>
                </c:pt>
                <c:pt idx="727">
                  <c:v>23039.681000000011</c:v>
                </c:pt>
                <c:pt idx="728">
                  <c:v>23063.888250000011</c:v>
                </c:pt>
                <c:pt idx="729">
                  <c:v>23087.887250000007</c:v>
                </c:pt>
                <c:pt idx="730">
                  <c:v>23109.605750000006</c:v>
                </c:pt>
                <c:pt idx="731">
                  <c:v>23130.047000000002</c:v>
                </c:pt>
                <c:pt idx="732">
                  <c:v>23148.112250000006</c:v>
                </c:pt>
                <c:pt idx="733">
                  <c:v>23165.894750000007</c:v>
                </c:pt>
                <c:pt idx="734">
                  <c:v>23183.711250000004</c:v>
                </c:pt>
                <c:pt idx="735">
                  <c:v>23201.438000000002</c:v>
                </c:pt>
                <c:pt idx="736">
                  <c:v>23220.508500000007</c:v>
                </c:pt>
                <c:pt idx="737">
                  <c:v>23239.873000000007</c:v>
                </c:pt>
                <c:pt idx="738">
                  <c:v>23258.412750000007</c:v>
                </c:pt>
                <c:pt idx="739">
                  <c:v>23276.062500000004</c:v>
                </c:pt>
                <c:pt idx="740">
                  <c:v>23291.538000000004</c:v>
                </c:pt>
                <c:pt idx="741">
                  <c:v>23306.914750000007</c:v>
                </c:pt>
                <c:pt idx="742">
                  <c:v>23322.163249999998</c:v>
                </c:pt>
                <c:pt idx="743">
                  <c:v>23335.814249999999</c:v>
                </c:pt>
                <c:pt idx="744">
                  <c:v>23349.66275</c:v>
                </c:pt>
                <c:pt idx="745">
                  <c:v>23364.072999999997</c:v>
                </c:pt>
                <c:pt idx="746">
                  <c:v>23376.683999999994</c:v>
                </c:pt>
                <c:pt idx="747">
                  <c:v>23389.825750000004</c:v>
                </c:pt>
                <c:pt idx="748">
                  <c:v>23404.594999999994</c:v>
                </c:pt>
                <c:pt idx="749">
                  <c:v>23418.574999999997</c:v>
                </c:pt>
                <c:pt idx="750">
                  <c:v>23431.508249999992</c:v>
                </c:pt>
                <c:pt idx="751">
                  <c:v>23444.793999999994</c:v>
                </c:pt>
                <c:pt idx="752">
                  <c:v>23455.297999999988</c:v>
                </c:pt>
                <c:pt idx="753">
                  <c:v>23465.877249999987</c:v>
                </c:pt>
                <c:pt idx="754">
                  <c:v>23478.135999999988</c:v>
                </c:pt>
                <c:pt idx="755">
                  <c:v>23491.272999999983</c:v>
                </c:pt>
                <c:pt idx="756">
                  <c:v>23504.702749999989</c:v>
                </c:pt>
                <c:pt idx="757">
                  <c:v>23517.297249999981</c:v>
                </c:pt>
                <c:pt idx="758">
                  <c:v>23528.855499999991</c:v>
                </c:pt>
                <c:pt idx="759">
                  <c:v>23540.456749999983</c:v>
                </c:pt>
                <c:pt idx="760">
                  <c:v>23550.85049999999</c:v>
                </c:pt>
                <c:pt idx="761">
                  <c:v>23561.356499999983</c:v>
                </c:pt>
                <c:pt idx="762">
                  <c:v>23570.260999999991</c:v>
                </c:pt>
                <c:pt idx="763">
                  <c:v>23579.399999999991</c:v>
                </c:pt>
                <c:pt idx="764">
                  <c:v>23590.307749999993</c:v>
                </c:pt>
                <c:pt idx="765">
                  <c:v>23602.929999999997</c:v>
                </c:pt>
                <c:pt idx="766">
                  <c:v>23614.633499999996</c:v>
                </c:pt>
                <c:pt idx="767">
                  <c:v>23627.149499999996</c:v>
                </c:pt>
                <c:pt idx="768">
                  <c:v>23637.073250000001</c:v>
                </c:pt>
                <c:pt idx="769">
                  <c:v>23648.076249999998</c:v>
                </c:pt>
                <c:pt idx="770">
                  <c:v>23660.866749999997</c:v>
                </c:pt>
                <c:pt idx="771">
                  <c:v>23674.240000000002</c:v>
                </c:pt>
                <c:pt idx="772">
                  <c:v>23688.497000000007</c:v>
                </c:pt>
                <c:pt idx="773">
                  <c:v>23703.322750000007</c:v>
                </c:pt>
                <c:pt idx="774">
                  <c:v>23717.511500000011</c:v>
                </c:pt>
                <c:pt idx="775">
                  <c:v>23731.052750000013</c:v>
                </c:pt>
                <c:pt idx="776">
                  <c:v>23743.89950000001</c:v>
                </c:pt>
                <c:pt idx="777">
                  <c:v>23756.497250000011</c:v>
                </c:pt>
                <c:pt idx="778">
                  <c:v>23768.256000000016</c:v>
                </c:pt>
                <c:pt idx="779">
                  <c:v>23781.822250000012</c:v>
                </c:pt>
                <c:pt idx="780">
                  <c:v>23794.076250000013</c:v>
                </c:pt>
                <c:pt idx="781">
                  <c:v>23804.692750000009</c:v>
                </c:pt>
                <c:pt idx="782">
                  <c:v>23815.076750000007</c:v>
                </c:pt>
                <c:pt idx="783">
                  <c:v>23823.843500000006</c:v>
                </c:pt>
                <c:pt idx="784">
                  <c:v>23832.02525000001</c:v>
                </c:pt>
                <c:pt idx="785">
                  <c:v>23840.87850000001</c:v>
                </c:pt>
                <c:pt idx="786">
                  <c:v>23847.823000000008</c:v>
                </c:pt>
                <c:pt idx="787">
                  <c:v>23854.546000000006</c:v>
                </c:pt>
                <c:pt idx="788">
                  <c:v>23861.831500000008</c:v>
                </c:pt>
                <c:pt idx="789">
                  <c:v>23867.685750000011</c:v>
                </c:pt>
                <c:pt idx="790">
                  <c:v>23873.442000000006</c:v>
                </c:pt>
                <c:pt idx="791">
                  <c:v>23880.493250000007</c:v>
                </c:pt>
                <c:pt idx="792">
                  <c:v>23889.758000000009</c:v>
                </c:pt>
                <c:pt idx="793">
                  <c:v>23899.79325000001</c:v>
                </c:pt>
                <c:pt idx="794">
                  <c:v>23907.140250000008</c:v>
                </c:pt>
                <c:pt idx="795">
                  <c:v>23915.563000000013</c:v>
                </c:pt>
                <c:pt idx="796">
                  <c:v>23923.729250000011</c:v>
                </c:pt>
                <c:pt idx="797">
                  <c:v>23932.27450000001</c:v>
                </c:pt>
                <c:pt idx="798">
                  <c:v>23940.23650000001</c:v>
                </c:pt>
                <c:pt idx="799">
                  <c:v>23945.606500000009</c:v>
                </c:pt>
                <c:pt idx="800">
                  <c:v>23951.003000000012</c:v>
                </c:pt>
                <c:pt idx="801">
                  <c:v>23957.045500000011</c:v>
                </c:pt>
                <c:pt idx="802">
                  <c:v>23962.986250000009</c:v>
                </c:pt>
                <c:pt idx="803">
                  <c:v>23967.367750000009</c:v>
                </c:pt>
                <c:pt idx="804">
                  <c:v>23971.781500000012</c:v>
                </c:pt>
                <c:pt idx="805">
                  <c:v>23974.638250000015</c:v>
                </c:pt>
                <c:pt idx="806">
                  <c:v>23978.241750000012</c:v>
                </c:pt>
                <c:pt idx="807">
                  <c:v>23981.695250000012</c:v>
                </c:pt>
                <c:pt idx="808">
                  <c:v>23984.587750000013</c:v>
                </c:pt>
                <c:pt idx="809">
                  <c:v>23985.402000000016</c:v>
                </c:pt>
                <c:pt idx="810">
                  <c:v>23986.974500000011</c:v>
                </c:pt>
                <c:pt idx="811">
                  <c:v>23989.021000000012</c:v>
                </c:pt>
                <c:pt idx="812">
                  <c:v>23992.671500000008</c:v>
                </c:pt>
                <c:pt idx="813">
                  <c:v>23998.85100000001</c:v>
                </c:pt>
                <c:pt idx="814">
                  <c:v>24005.522250000005</c:v>
                </c:pt>
                <c:pt idx="815">
                  <c:v>24012.348250000006</c:v>
                </c:pt>
                <c:pt idx="816">
                  <c:v>24020.309500000007</c:v>
                </c:pt>
                <c:pt idx="817">
                  <c:v>24027.109000000004</c:v>
                </c:pt>
                <c:pt idx="818">
                  <c:v>24033.285749999995</c:v>
                </c:pt>
                <c:pt idx="819">
                  <c:v>24039.073500000002</c:v>
                </c:pt>
                <c:pt idx="820">
                  <c:v>24043.129749999996</c:v>
                </c:pt>
                <c:pt idx="821">
                  <c:v>24046.388999999996</c:v>
                </c:pt>
                <c:pt idx="822">
                  <c:v>24048.398249999987</c:v>
                </c:pt>
                <c:pt idx="823">
                  <c:v>24050.530999999995</c:v>
                </c:pt>
                <c:pt idx="824">
                  <c:v>24051.936249999992</c:v>
                </c:pt>
                <c:pt idx="825">
                  <c:v>24054.354499999994</c:v>
                </c:pt>
                <c:pt idx="826">
                  <c:v>24056.867499999989</c:v>
                </c:pt>
                <c:pt idx="827">
                  <c:v>24060.019499999991</c:v>
                </c:pt>
                <c:pt idx="828">
                  <c:v>24063.072749999996</c:v>
                </c:pt>
                <c:pt idx="829">
                  <c:v>24067.264749999995</c:v>
                </c:pt>
                <c:pt idx="830">
                  <c:v>24069.755499999999</c:v>
                </c:pt>
                <c:pt idx="831">
                  <c:v>24071.972999999994</c:v>
                </c:pt>
                <c:pt idx="832">
                  <c:v>24073.608999999993</c:v>
                </c:pt>
                <c:pt idx="833">
                  <c:v>24073.229749999995</c:v>
                </c:pt>
                <c:pt idx="834">
                  <c:v>24071.806999999997</c:v>
                </c:pt>
                <c:pt idx="835">
                  <c:v>24069.889750000002</c:v>
                </c:pt>
                <c:pt idx="836">
                  <c:v>24069.06625</c:v>
                </c:pt>
                <c:pt idx="837">
                  <c:v>24069.144500000002</c:v>
                </c:pt>
                <c:pt idx="838">
                  <c:v>24068.918000000001</c:v>
                </c:pt>
                <c:pt idx="839">
                  <c:v>24066.381249999999</c:v>
                </c:pt>
                <c:pt idx="840">
                  <c:v>24064.08525</c:v>
                </c:pt>
                <c:pt idx="841">
                  <c:v>24061.7755</c:v>
                </c:pt>
                <c:pt idx="842">
                  <c:v>24059.320749999999</c:v>
                </c:pt>
                <c:pt idx="843">
                  <c:v>24058.340999999997</c:v>
                </c:pt>
                <c:pt idx="844">
                  <c:v>24060.069249999997</c:v>
                </c:pt>
                <c:pt idx="845">
                  <c:v>24061.953749999997</c:v>
                </c:pt>
                <c:pt idx="846">
                  <c:v>24061.587499999994</c:v>
                </c:pt>
                <c:pt idx="847">
                  <c:v>24068.917000000001</c:v>
                </c:pt>
                <c:pt idx="848">
                  <c:v>24074.107000000004</c:v>
                </c:pt>
                <c:pt idx="849">
                  <c:v>24078.343250000002</c:v>
                </c:pt>
                <c:pt idx="850">
                  <c:v>24079.326749999997</c:v>
                </c:pt>
                <c:pt idx="851">
                  <c:v>24080.9905</c:v>
                </c:pt>
                <c:pt idx="852">
                  <c:v>24082.262999999992</c:v>
                </c:pt>
                <c:pt idx="853">
                  <c:v>24081.476749999998</c:v>
                </c:pt>
                <c:pt idx="854">
                  <c:v>24081.143999999993</c:v>
                </c:pt>
                <c:pt idx="855">
                  <c:v>24080.06649999999</c:v>
                </c:pt>
                <c:pt idx="856">
                  <c:v>24076.799249999989</c:v>
                </c:pt>
                <c:pt idx="857">
                  <c:v>24070.027249999988</c:v>
                </c:pt>
                <c:pt idx="858">
                  <c:v>24064.87149999999</c:v>
                </c:pt>
                <c:pt idx="859">
                  <c:v>24059.361749999989</c:v>
                </c:pt>
                <c:pt idx="860">
                  <c:v>24055.815249999989</c:v>
                </c:pt>
                <c:pt idx="861">
                  <c:v>24053.851499999986</c:v>
                </c:pt>
                <c:pt idx="862">
                  <c:v>24051.693499999987</c:v>
                </c:pt>
                <c:pt idx="863">
                  <c:v>24050.729249999986</c:v>
                </c:pt>
                <c:pt idx="864">
                  <c:v>24051.303999999986</c:v>
                </c:pt>
                <c:pt idx="865">
                  <c:v>24051.430499999988</c:v>
                </c:pt>
                <c:pt idx="866">
                  <c:v>24052.455999999987</c:v>
                </c:pt>
                <c:pt idx="867">
                  <c:v>24052.256999999987</c:v>
                </c:pt>
                <c:pt idx="868">
                  <c:v>24050.942999999985</c:v>
                </c:pt>
                <c:pt idx="869">
                  <c:v>24050.966249999987</c:v>
                </c:pt>
                <c:pt idx="870">
                  <c:v>24051.043249999988</c:v>
                </c:pt>
                <c:pt idx="871">
                  <c:v>24050.548249999989</c:v>
                </c:pt>
                <c:pt idx="872">
                  <c:v>24050.659499999994</c:v>
                </c:pt>
                <c:pt idx="873">
                  <c:v>24051.385499999989</c:v>
                </c:pt>
                <c:pt idx="874">
                  <c:v>24050.772749999989</c:v>
                </c:pt>
                <c:pt idx="875">
                  <c:v>24049.91124999999</c:v>
                </c:pt>
                <c:pt idx="876">
                  <c:v>24048.21524999999</c:v>
                </c:pt>
                <c:pt idx="877">
                  <c:v>24044.250999999993</c:v>
                </c:pt>
                <c:pt idx="878">
                  <c:v>24046.219999999994</c:v>
                </c:pt>
                <c:pt idx="879">
                  <c:v>24046.565499999993</c:v>
                </c:pt>
                <c:pt idx="880">
                  <c:v>24047.504749999996</c:v>
                </c:pt>
                <c:pt idx="881">
                  <c:v>24050.747749999995</c:v>
                </c:pt>
                <c:pt idx="882">
                  <c:v>24053.81625</c:v>
                </c:pt>
                <c:pt idx="883">
                  <c:v>24054.369250000003</c:v>
                </c:pt>
                <c:pt idx="884">
                  <c:v>24053.608250000001</c:v>
                </c:pt>
                <c:pt idx="885">
                  <c:v>24053.38900000001</c:v>
                </c:pt>
                <c:pt idx="886">
                  <c:v>24051.681750000007</c:v>
                </c:pt>
                <c:pt idx="887">
                  <c:v>24050.893000000007</c:v>
                </c:pt>
                <c:pt idx="888">
                  <c:v>24052.31025000001</c:v>
                </c:pt>
                <c:pt idx="889">
                  <c:v>24056.163250000005</c:v>
                </c:pt>
                <c:pt idx="890">
                  <c:v>24059.96275000001</c:v>
                </c:pt>
                <c:pt idx="891">
                  <c:v>24062.643250000008</c:v>
                </c:pt>
                <c:pt idx="892">
                  <c:v>24065.811750000008</c:v>
                </c:pt>
                <c:pt idx="893">
                  <c:v>24067.557250000009</c:v>
                </c:pt>
                <c:pt idx="894">
                  <c:v>24068.53475000001</c:v>
                </c:pt>
                <c:pt idx="895">
                  <c:v>24070.940750000012</c:v>
                </c:pt>
                <c:pt idx="896">
                  <c:v>24073.976500000012</c:v>
                </c:pt>
                <c:pt idx="897">
                  <c:v>24076.286000000011</c:v>
                </c:pt>
                <c:pt idx="898">
                  <c:v>24078.938750000016</c:v>
                </c:pt>
                <c:pt idx="899">
                  <c:v>24080.96575000001</c:v>
                </c:pt>
                <c:pt idx="900">
                  <c:v>24082.821750000014</c:v>
                </c:pt>
                <c:pt idx="901">
                  <c:v>24083.205250000014</c:v>
                </c:pt>
                <c:pt idx="902">
                  <c:v>24082.68250000001</c:v>
                </c:pt>
                <c:pt idx="903">
                  <c:v>24082.362000000008</c:v>
                </c:pt>
                <c:pt idx="904">
                  <c:v>24081.540250000009</c:v>
                </c:pt>
                <c:pt idx="905">
                  <c:v>24080.33875000001</c:v>
                </c:pt>
                <c:pt idx="906">
                  <c:v>24078.54525000001</c:v>
                </c:pt>
                <c:pt idx="907">
                  <c:v>24077.927750000013</c:v>
                </c:pt>
                <c:pt idx="908">
                  <c:v>24076.393750000014</c:v>
                </c:pt>
                <c:pt idx="909">
                  <c:v>24075.216250000009</c:v>
                </c:pt>
                <c:pt idx="910">
                  <c:v>24075.446500000009</c:v>
                </c:pt>
                <c:pt idx="911">
                  <c:v>24077.466000000004</c:v>
                </c:pt>
                <c:pt idx="912">
                  <c:v>24081.394250000001</c:v>
                </c:pt>
                <c:pt idx="913">
                  <c:v>24084.297500000001</c:v>
                </c:pt>
                <c:pt idx="914">
                  <c:v>24086.800999999999</c:v>
                </c:pt>
                <c:pt idx="915">
                  <c:v>24089.475750000001</c:v>
                </c:pt>
                <c:pt idx="916">
                  <c:v>24089.557750000004</c:v>
                </c:pt>
                <c:pt idx="917">
                  <c:v>24090.080250000003</c:v>
                </c:pt>
                <c:pt idx="918">
                  <c:v>24090.468000000008</c:v>
                </c:pt>
                <c:pt idx="919">
                  <c:v>24090.987750000004</c:v>
                </c:pt>
                <c:pt idx="920">
                  <c:v>24091.480500000001</c:v>
                </c:pt>
                <c:pt idx="921">
                  <c:v>24091.177750000003</c:v>
                </c:pt>
                <c:pt idx="922">
                  <c:v>24087.972249999995</c:v>
                </c:pt>
                <c:pt idx="923">
                  <c:v>24083.688499999997</c:v>
                </c:pt>
                <c:pt idx="924">
                  <c:v>24079.965499999995</c:v>
                </c:pt>
                <c:pt idx="925">
                  <c:v>24076.00499999999</c:v>
                </c:pt>
                <c:pt idx="926">
                  <c:v>24070.481999999996</c:v>
                </c:pt>
                <c:pt idx="927">
                  <c:v>24064.429249999997</c:v>
                </c:pt>
                <c:pt idx="928">
                  <c:v>24060.8285</c:v>
                </c:pt>
                <c:pt idx="929">
                  <c:v>24057.148499999999</c:v>
                </c:pt>
                <c:pt idx="930">
                  <c:v>24056.997500000005</c:v>
                </c:pt>
                <c:pt idx="931">
                  <c:v>24057.235000000001</c:v>
                </c:pt>
                <c:pt idx="932">
                  <c:v>24057.441249999996</c:v>
                </c:pt>
                <c:pt idx="933">
                  <c:v>24055.78</c:v>
                </c:pt>
                <c:pt idx="934">
                  <c:v>24054.975750000001</c:v>
                </c:pt>
                <c:pt idx="935">
                  <c:v>24054.258750000001</c:v>
                </c:pt>
                <c:pt idx="936">
                  <c:v>24053.27925</c:v>
                </c:pt>
                <c:pt idx="937">
                  <c:v>24050.466249999994</c:v>
                </c:pt>
                <c:pt idx="938">
                  <c:v>24048.793249999999</c:v>
                </c:pt>
                <c:pt idx="939">
                  <c:v>24047.184499999992</c:v>
                </c:pt>
                <c:pt idx="940">
                  <c:v>24046.306249999994</c:v>
                </c:pt>
                <c:pt idx="941">
                  <c:v>24045.016749999995</c:v>
                </c:pt>
                <c:pt idx="942">
                  <c:v>24042.927749999999</c:v>
                </c:pt>
                <c:pt idx="943">
                  <c:v>24043.492499999997</c:v>
                </c:pt>
                <c:pt idx="944">
                  <c:v>24043.752</c:v>
                </c:pt>
                <c:pt idx="945">
                  <c:v>24044.851749999998</c:v>
                </c:pt>
                <c:pt idx="946">
                  <c:v>24047.104250000004</c:v>
                </c:pt>
                <c:pt idx="947">
                  <c:v>24049.793250000006</c:v>
                </c:pt>
                <c:pt idx="948">
                  <c:v>24052.362250000006</c:v>
                </c:pt>
                <c:pt idx="949">
                  <c:v>24055.910750000006</c:v>
                </c:pt>
                <c:pt idx="950">
                  <c:v>24060.302750000003</c:v>
                </c:pt>
                <c:pt idx="951">
                  <c:v>24063.131500000003</c:v>
                </c:pt>
                <c:pt idx="952">
                  <c:v>24067.9935</c:v>
                </c:pt>
                <c:pt idx="953">
                  <c:v>24070.487250000002</c:v>
                </c:pt>
                <c:pt idx="954">
                  <c:v>24070.571499999998</c:v>
                </c:pt>
                <c:pt idx="955">
                  <c:v>24071.708999999995</c:v>
                </c:pt>
                <c:pt idx="956">
                  <c:v>24074.093249999998</c:v>
                </c:pt>
                <c:pt idx="957">
                  <c:v>24076.284749999995</c:v>
                </c:pt>
                <c:pt idx="958">
                  <c:v>24080.442749999991</c:v>
                </c:pt>
                <c:pt idx="959">
                  <c:v>24086.318999999996</c:v>
                </c:pt>
                <c:pt idx="960">
                  <c:v>24092.360499999995</c:v>
                </c:pt>
                <c:pt idx="961">
                  <c:v>24098.957249999996</c:v>
                </c:pt>
                <c:pt idx="962">
                  <c:v>24105.707749999994</c:v>
                </c:pt>
                <c:pt idx="963">
                  <c:v>24113.823749999996</c:v>
                </c:pt>
                <c:pt idx="964">
                  <c:v>24119.314999999995</c:v>
                </c:pt>
                <c:pt idx="965">
                  <c:v>24123.775499999992</c:v>
                </c:pt>
                <c:pt idx="966">
                  <c:v>24128.148999999994</c:v>
                </c:pt>
                <c:pt idx="967">
                  <c:v>24132.96999999999</c:v>
                </c:pt>
                <c:pt idx="968">
                  <c:v>24140.05049999999</c:v>
                </c:pt>
                <c:pt idx="969">
                  <c:v>24146.512999999988</c:v>
                </c:pt>
                <c:pt idx="970">
                  <c:v>24151.767999999989</c:v>
                </c:pt>
                <c:pt idx="971">
                  <c:v>24155.493999999992</c:v>
                </c:pt>
                <c:pt idx="972">
                  <c:v>24159.004249999984</c:v>
                </c:pt>
                <c:pt idx="973">
                  <c:v>24160.746749999988</c:v>
                </c:pt>
                <c:pt idx="974">
                  <c:v>24161.811999999987</c:v>
                </c:pt>
                <c:pt idx="975">
                  <c:v>24161.990499999985</c:v>
                </c:pt>
                <c:pt idx="976">
                  <c:v>24162.114749999986</c:v>
                </c:pt>
                <c:pt idx="977">
                  <c:v>24161.961249999986</c:v>
                </c:pt>
                <c:pt idx="978">
                  <c:v>24163.399249999984</c:v>
                </c:pt>
                <c:pt idx="979">
                  <c:v>24164.028999999984</c:v>
                </c:pt>
                <c:pt idx="980">
                  <c:v>24166.075999999983</c:v>
                </c:pt>
                <c:pt idx="981">
                  <c:v>24169.937499999985</c:v>
                </c:pt>
                <c:pt idx="982">
                  <c:v>24174.173999999985</c:v>
                </c:pt>
                <c:pt idx="983">
                  <c:v>24180.324499999988</c:v>
                </c:pt>
                <c:pt idx="984">
                  <c:v>24188.813749999987</c:v>
                </c:pt>
                <c:pt idx="985">
                  <c:v>24196.183249999984</c:v>
                </c:pt>
                <c:pt idx="986">
                  <c:v>24203.272499999981</c:v>
                </c:pt>
                <c:pt idx="987">
                  <c:v>24211.139249999978</c:v>
                </c:pt>
                <c:pt idx="988">
                  <c:v>24219.998749999981</c:v>
                </c:pt>
                <c:pt idx="989">
                  <c:v>24230.323499999984</c:v>
                </c:pt>
                <c:pt idx="990">
                  <c:v>24241.315249999985</c:v>
                </c:pt>
                <c:pt idx="991">
                  <c:v>24251.94374999998</c:v>
                </c:pt>
                <c:pt idx="992">
                  <c:v>24260.457499999986</c:v>
                </c:pt>
                <c:pt idx="993">
                  <c:v>24269.409499999987</c:v>
                </c:pt>
                <c:pt idx="994">
                  <c:v>24281.159499999987</c:v>
                </c:pt>
                <c:pt idx="995">
                  <c:v>24292.300999999992</c:v>
                </c:pt>
                <c:pt idx="996">
                  <c:v>24304.125749999992</c:v>
                </c:pt>
                <c:pt idx="997">
                  <c:v>24315.882499999992</c:v>
                </c:pt>
                <c:pt idx="998">
                  <c:v>24327.33549999999</c:v>
                </c:pt>
                <c:pt idx="999">
                  <c:v>24340.722499999985</c:v>
                </c:pt>
                <c:pt idx="1000">
                  <c:v>24352.830499999985</c:v>
                </c:pt>
                <c:pt idx="1001">
                  <c:v>24364.312999999984</c:v>
                </c:pt>
                <c:pt idx="1002">
                  <c:v>24375.215499999984</c:v>
                </c:pt>
                <c:pt idx="1003">
                  <c:v>24387.071249999983</c:v>
                </c:pt>
                <c:pt idx="1004">
                  <c:v>24398.822249999987</c:v>
                </c:pt>
                <c:pt idx="1005">
                  <c:v>24413.07799999998</c:v>
                </c:pt>
                <c:pt idx="1006">
                  <c:v>24426.696999999982</c:v>
                </c:pt>
                <c:pt idx="1007">
                  <c:v>24440.220499999985</c:v>
                </c:pt>
                <c:pt idx="1008">
                  <c:v>24454.826749999986</c:v>
                </c:pt>
                <c:pt idx="1009">
                  <c:v>24470.231249999975</c:v>
                </c:pt>
                <c:pt idx="1010">
                  <c:v>24485.708249999978</c:v>
                </c:pt>
                <c:pt idx="1011">
                  <c:v>24500.853499999983</c:v>
                </c:pt>
                <c:pt idx="1012">
                  <c:v>24514.946749999985</c:v>
                </c:pt>
                <c:pt idx="1013">
                  <c:v>24527.202249999984</c:v>
                </c:pt>
                <c:pt idx="1014">
                  <c:v>24539.215499999984</c:v>
                </c:pt>
                <c:pt idx="1015">
                  <c:v>24553.436749999983</c:v>
                </c:pt>
                <c:pt idx="1016">
                  <c:v>24565.818249999982</c:v>
                </c:pt>
                <c:pt idx="1017">
                  <c:v>24578.351499999986</c:v>
                </c:pt>
                <c:pt idx="1018">
                  <c:v>24591.213499999987</c:v>
                </c:pt>
                <c:pt idx="1019">
                  <c:v>24603.574749999985</c:v>
                </c:pt>
                <c:pt idx="1020">
                  <c:v>24616.596749999982</c:v>
                </c:pt>
                <c:pt idx="1021">
                  <c:v>24631.406499999986</c:v>
                </c:pt>
                <c:pt idx="1022">
                  <c:v>24647.112499999981</c:v>
                </c:pt>
                <c:pt idx="1023">
                  <c:v>24661.758249999984</c:v>
                </c:pt>
                <c:pt idx="1024">
                  <c:v>24676.310249999984</c:v>
                </c:pt>
                <c:pt idx="1025">
                  <c:v>24690.302749999984</c:v>
                </c:pt>
                <c:pt idx="1026">
                  <c:v>24705.068999999989</c:v>
                </c:pt>
                <c:pt idx="1027">
                  <c:v>24720.639249999993</c:v>
                </c:pt>
                <c:pt idx="1028">
                  <c:v>24736.209999999992</c:v>
                </c:pt>
                <c:pt idx="1029">
                  <c:v>24751.530999999988</c:v>
                </c:pt>
                <c:pt idx="1030">
                  <c:v>24767.856999999989</c:v>
                </c:pt>
                <c:pt idx="1031">
                  <c:v>24784.196999999989</c:v>
                </c:pt>
                <c:pt idx="1032">
                  <c:v>24801.303749999992</c:v>
                </c:pt>
                <c:pt idx="1033">
                  <c:v>24821.542249999991</c:v>
                </c:pt>
                <c:pt idx="1034">
                  <c:v>24841.8315</c:v>
                </c:pt>
                <c:pt idx="1035">
                  <c:v>24862.128749999989</c:v>
                </c:pt>
                <c:pt idx="1036">
                  <c:v>24880.65374999999</c:v>
                </c:pt>
                <c:pt idx="1037">
                  <c:v>24897.640749999991</c:v>
                </c:pt>
                <c:pt idx="1038">
                  <c:v>24914.572499999991</c:v>
                </c:pt>
              </c:numCache>
            </c:numRef>
          </c:val>
          <c:smooth val="0"/>
          <c:extLst>
            <c:ext xmlns:c16="http://schemas.microsoft.com/office/drawing/2014/chart" uri="{C3380CC4-5D6E-409C-BE32-E72D297353CC}">
              <c16:uniqueId val="{00000003-697A-4147-A8FB-8E511A7D16A1}"/>
            </c:ext>
          </c:extLst>
        </c:ser>
        <c:dLbls>
          <c:showLegendKey val="0"/>
          <c:showVal val="0"/>
          <c:showCatName val="0"/>
          <c:showSerName val="0"/>
          <c:showPercent val="0"/>
          <c:showBubbleSize val="0"/>
        </c:dLbls>
        <c:marker val="1"/>
        <c:smooth val="0"/>
        <c:axId val="119318495"/>
        <c:axId val="225246495"/>
      </c:lineChart>
      <c:dateAx>
        <c:axId val="119318495"/>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246495"/>
        <c:crosses val="autoZero"/>
        <c:auto val="1"/>
        <c:lblOffset val="100"/>
        <c:baseTimeUnit val="days"/>
      </c:dateAx>
      <c:valAx>
        <c:axId val="22524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8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NIFTY</a:t>
            </a:r>
            <a:r>
              <a:rPr lang="en-IN" baseline="0"/>
              <a:t> 50 Price Trend &amp;Moving Averages</a:t>
            </a:r>
          </a:p>
        </c:rich>
      </c:tx>
      <c:layout>
        <c:manualLayout>
          <c:xMode val="edge"/>
          <c:yMode val="edge"/>
          <c:x val="0.32167049808429116"/>
          <c:y val="1.87090739008419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'Price trend line table'!$B$1:$B$201</c:f>
              <c:strCache>
                <c:ptCount val="201"/>
                <c:pt idx="0">
                  <c:v>Close </c:v>
                </c:pt>
                <c:pt idx="1">
                  <c:v>14018.5</c:v>
                </c:pt>
                <c:pt idx="2">
                  <c:v>14132.9</c:v>
                </c:pt>
                <c:pt idx="3">
                  <c:v>14199.5</c:v>
                </c:pt>
                <c:pt idx="4">
                  <c:v>14146.25</c:v>
                </c:pt>
                <c:pt idx="5">
                  <c:v>14137.35</c:v>
                </c:pt>
                <c:pt idx="6">
                  <c:v>14347.25</c:v>
                </c:pt>
                <c:pt idx="7">
                  <c:v>14484.75</c:v>
                </c:pt>
                <c:pt idx="8">
                  <c:v>14563.45</c:v>
                </c:pt>
                <c:pt idx="9">
                  <c:v>14564.85</c:v>
                </c:pt>
                <c:pt idx="10">
                  <c:v>14595.6</c:v>
                </c:pt>
                <c:pt idx="11">
                  <c:v>14433.7</c:v>
                </c:pt>
                <c:pt idx="12">
                  <c:v>14281.3</c:v>
                </c:pt>
                <c:pt idx="13">
                  <c:v>14521.15</c:v>
                </c:pt>
                <c:pt idx="14">
                  <c:v>14644.7</c:v>
                </c:pt>
                <c:pt idx="15">
                  <c:v>14590.35</c:v>
                </c:pt>
                <c:pt idx="16">
                  <c:v>14371.9</c:v>
                </c:pt>
                <c:pt idx="17">
                  <c:v>14238.9</c:v>
                </c:pt>
                <c:pt idx="18">
                  <c:v>13967.5</c:v>
                </c:pt>
                <c:pt idx="19">
                  <c:v>13817.55</c:v>
                </c:pt>
                <c:pt idx="20">
                  <c:v>13634.6</c:v>
                </c:pt>
                <c:pt idx="21">
                  <c:v>14281.2</c:v>
                </c:pt>
                <c:pt idx="22">
                  <c:v>14647.85</c:v>
                </c:pt>
                <c:pt idx="23">
                  <c:v>14789.95</c:v>
                </c:pt>
                <c:pt idx="24">
                  <c:v>14895.65</c:v>
                </c:pt>
                <c:pt idx="25">
                  <c:v>14924.25</c:v>
                </c:pt>
                <c:pt idx="26">
                  <c:v>15115.8</c:v>
                </c:pt>
                <c:pt idx="27">
                  <c:v>15109.3</c:v>
                </c:pt>
                <c:pt idx="28">
                  <c:v>15106.5</c:v>
                </c:pt>
                <c:pt idx="29">
                  <c:v>15173.3</c:v>
                </c:pt>
                <c:pt idx="30">
                  <c:v>15163.3</c:v>
                </c:pt>
                <c:pt idx="31">
                  <c:v>15314.7</c:v>
                </c:pt>
                <c:pt idx="32">
                  <c:v>15313.45</c:v>
                </c:pt>
                <c:pt idx="33">
                  <c:v>15208.9</c:v>
                </c:pt>
                <c:pt idx="34">
                  <c:v>15118.95</c:v>
                </c:pt>
                <c:pt idx="35">
                  <c:v>14981.75</c:v>
                </c:pt>
                <c:pt idx="36">
                  <c:v>14675.7</c:v>
                </c:pt>
                <c:pt idx="37">
                  <c:v>14707.8</c:v>
                </c:pt>
                <c:pt idx="38">
                  <c:v>14982</c:v>
                </c:pt>
                <c:pt idx="39">
                  <c:v>15097.35</c:v>
                </c:pt>
                <c:pt idx="40">
                  <c:v>14529.15</c:v>
                </c:pt>
                <c:pt idx="41">
                  <c:v>14761.55</c:v>
                </c:pt>
                <c:pt idx="42">
                  <c:v>14919.1</c:v>
                </c:pt>
                <c:pt idx="43">
                  <c:v>15245.6</c:v>
                </c:pt>
                <c:pt idx="44">
                  <c:v>15080.75</c:v>
                </c:pt>
                <c:pt idx="45">
                  <c:v>14938.1</c:v>
                </c:pt>
                <c:pt idx="46">
                  <c:v>14956.2</c:v>
                </c:pt>
                <c:pt idx="47">
                  <c:v>15098.4</c:v>
                </c:pt>
                <c:pt idx="48">
                  <c:v>15174.8</c:v>
                </c:pt>
                <c:pt idx="49">
                  <c:v>15030.95</c:v>
                </c:pt>
                <c:pt idx="50">
                  <c:v>14929.5</c:v>
                </c:pt>
                <c:pt idx="51">
                  <c:v>14910.45</c:v>
                </c:pt>
                <c:pt idx="52">
                  <c:v>14721.3</c:v>
                </c:pt>
                <c:pt idx="53">
                  <c:v>14557.85</c:v>
                </c:pt>
                <c:pt idx="54">
                  <c:v>14744</c:v>
                </c:pt>
                <c:pt idx="55">
                  <c:v>14736.4</c:v>
                </c:pt>
                <c:pt idx="56">
                  <c:v>14814.75</c:v>
                </c:pt>
                <c:pt idx="57">
                  <c:v>14549.4</c:v>
                </c:pt>
                <c:pt idx="58">
                  <c:v>14324.9</c:v>
                </c:pt>
                <c:pt idx="59">
                  <c:v>14507.3</c:v>
                </c:pt>
                <c:pt idx="60">
                  <c:v>14845.1</c:v>
                </c:pt>
                <c:pt idx="61">
                  <c:v>14690.7</c:v>
                </c:pt>
                <c:pt idx="62">
                  <c:v>14867.35</c:v>
                </c:pt>
                <c:pt idx="63">
                  <c:v>14637.8</c:v>
                </c:pt>
                <c:pt idx="64">
                  <c:v>14683.5</c:v>
                </c:pt>
                <c:pt idx="65">
                  <c:v>14819.05</c:v>
                </c:pt>
                <c:pt idx="66">
                  <c:v>14873.8</c:v>
                </c:pt>
                <c:pt idx="67">
                  <c:v>14834.85</c:v>
                </c:pt>
                <c:pt idx="68">
                  <c:v>14310.8</c:v>
                </c:pt>
                <c:pt idx="69">
                  <c:v>14504.8</c:v>
                </c:pt>
                <c:pt idx="70">
                  <c:v>14581.45</c:v>
                </c:pt>
                <c:pt idx="71">
                  <c:v>14617.85</c:v>
                </c:pt>
                <c:pt idx="72">
                  <c:v>14359.45</c:v>
                </c:pt>
                <c:pt idx="73">
                  <c:v>14296.4</c:v>
                </c:pt>
                <c:pt idx="74">
                  <c:v>14406.15</c:v>
                </c:pt>
                <c:pt idx="75">
                  <c:v>14341.35</c:v>
                </c:pt>
                <c:pt idx="76">
                  <c:v>14485</c:v>
                </c:pt>
                <c:pt idx="77">
                  <c:v>14653.05</c:v>
                </c:pt>
                <c:pt idx="78">
                  <c:v>14864.55</c:v>
                </c:pt>
                <c:pt idx="79">
                  <c:v>14894.9</c:v>
                </c:pt>
                <c:pt idx="80">
                  <c:v>14631.1</c:v>
                </c:pt>
                <c:pt idx="81">
                  <c:v>14634.15</c:v>
                </c:pt>
                <c:pt idx="82">
                  <c:v>14496.5</c:v>
                </c:pt>
                <c:pt idx="83">
                  <c:v>14617.85</c:v>
                </c:pt>
                <c:pt idx="84">
                  <c:v>14724.8</c:v>
                </c:pt>
                <c:pt idx="85">
                  <c:v>14823.15</c:v>
                </c:pt>
                <c:pt idx="86">
                  <c:v>14942.35</c:v>
                </c:pt>
                <c:pt idx="87">
                  <c:v>14850.75</c:v>
                </c:pt>
                <c:pt idx="88">
                  <c:v>14696.5</c:v>
                </c:pt>
                <c:pt idx="89">
                  <c:v>14677.8</c:v>
                </c:pt>
                <c:pt idx="90">
                  <c:v>14923.15</c:v>
                </c:pt>
                <c:pt idx="91">
                  <c:v>15108.1</c:v>
                </c:pt>
                <c:pt idx="92">
                  <c:v>15030.15</c:v>
                </c:pt>
                <c:pt idx="93">
                  <c:v>14906.05</c:v>
                </c:pt>
                <c:pt idx="94">
                  <c:v>15175.3</c:v>
                </c:pt>
                <c:pt idx="95">
                  <c:v>15197.7</c:v>
                </c:pt>
                <c:pt idx="96">
                  <c:v>15208.45</c:v>
                </c:pt>
                <c:pt idx="97">
                  <c:v>15301.45</c:v>
                </c:pt>
                <c:pt idx="98">
                  <c:v>15337.85</c:v>
                </c:pt>
                <c:pt idx="99">
                  <c:v>15435.65</c:v>
                </c:pt>
                <c:pt idx="100">
                  <c:v>15582.8</c:v>
                </c:pt>
                <c:pt idx="101">
                  <c:v>15574.85</c:v>
                </c:pt>
                <c:pt idx="102">
                  <c:v>15576.2</c:v>
                </c:pt>
                <c:pt idx="103">
                  <c:v>15690.35</c:v>
                </c:pt>
                <c:pt idx="104">
                  <c:v>15670.25</c:v>
                </c:pt>
                <c:pt idx="105">
                  <c:v>15751.65</c:v>
                </c:pt>
                <c:pt idx="106">
                  <c:v>15740.1</c:v>
                </c:pt>
                <c:pt idx="107">
                  <c:v>15635.35</c:v>
                </c:pt>
                <c:pt idx="108">
                  <c:v>15737.75</c:v>
                </c:pt>
                <c:pt idx="109">
                  <c:v>15799.35</c:v>
                </c:pt>
                <c:pt idx="110">
                  <c:v>15811.85</c:v>
                </c:pt>
                <c:pt idx="111">
                  <c:v>15869.25</c:v>
                </c:pt>
                <c:pt idx="112">
                  <c:v>15767.55</c:v>
                </c:pt>
                <c:pt idx="113">
                  <c:v>15691.4</c:v>
                </c:pt>
                <c:pt idx="114">
                  <c:v>15683.35</c:v>
                </c:pt>
                <c:pt idx="115">
                  <c:v>15746.5</c:v>
                </c:pt>
                <c:pt idx="116">
                  <c:v>15772.75</c:v>
                </c:pt>
                <c:pt idx="117">
                  <c:v>15686.95</c:v>
                </c:pt>
                <c:pt idx="118">
                  <c:v>15790.45</c:v>
                </c:pt>
                <c:pt idx="119">
                  <c:v>15860.35</c:v>
                </c:pt>
                <c:pt idx="120">
                  <c:v>15814.7</c:v>
                </c:pt>
                <c:pt idx="121">
                  <c:v>15748.45</c:v>
                </c:pt>
                <c:pt idx="122">
                  <c:v>15721.5</c:v>
                </c:pt>
                <c:pt idx="123">
                  <c:v>15680</c:v>
                </c:pt>
                <c:pt idx="124">
                  <c:v>15722.2</c:v>
                </c:pt>
                <c:pt idx="125">
                  <c:v>15834.35</c:v>
                </c:pt>
                <c:pt idx="126">
                  <c:v>15818.25</c:v>
                </c:pt>
                <c:pt idx="127">
                  <c:v>15879.65</c:v>
                </c:pt>
                <c:pt idx="128">
                  <c:v>15727.9</c:v>
                </c:pt>
                <c:pt idx="129">
                  <c:v>15689.8</c:v>
                </c:pt>
                <c:pt idx="130">
                  <c:v>15692.6</c:v>
                </c:pt>
                <c:pt idx="131">
                  <c:v>15812.35</c:v>
                </c:pt>
                <c:pt idx="132">
                  <c:v>15853.95</c:v>
                </c:pt>
                <c:pt idx="133">
                  <c:v>15924.2</c:v>
                </c:pt>
                <c:pt idx="134">
                  <c:v>15923.4</c:v>
                </c:pt>
                <c:pt idx="135">
                  <c:v>15752.4</c:v>
                </c:pt>
                <c:pt idx="136">
                  <c:v>15632.1</c:v>
                </c:pt>
                <c:pt idx="137">
                  <c:v>15824.05</c:v>
                </c:pt>
                <c:pt idx="138">
                  <c:v>15856.05</c:v>
                </c:pt>
                <c:pt idx="139">
                  <c:v>15824.45</c:v>
                </c:pt>
                <c:pt idx="140">
                  <c:v>15746.45</c:v>
                </c:pt>
                <c:pt idx="141">
                  <c:v>15709.4</c:v>
                </c:pt>
                <c:pt idx="142">
                  <c:v>15778.45</c:v>
                </c:pt>
                <c:pt idx="143">
                  <c:v>15763.05</c:v>
                </c:pt>
                <c:pt idx="144">
                  <c:v>15885.15</c:v>
                </c:pt>
                <c:pt idx="145">
                  <c:v>16130.75</c:v>
                </c:pt>
                <c:pt idx="146">
                  <c:v>16258.8</c:v>
                </c:pt>
                <c:pt idx="147">
                  <c:v>16294.6</c:v>
                </c:pt>
                <c:pt idx="148">
                  <c:v>16238.2</c:v>
                </c:pt>
                <c:pt idx="149">
                  <c:v>16258.25</c:v>
                </c:pt>
                <c:pt idx="150">
                  <c:v>16280.1</c:v>
                </c:pt>
                <c:pt idx="151">
                  <c:v>16282.25</c:v>
                </c:pt>
                <c:pt idx="152">
                  <c:v>16364.4</c:v>
                </c:pt>
                <c:pt idx="153">
                  <c:v>16529.1</c:v>
                </c:pt>
                <c:pt idx="154">
                  <c:v>16563.05</c:v>
                </c:pt>
                <c:pt idx="155">
                  <c:v>16614.6</c:v>
                </c:pt>
                <c:pt idx="156">
                  <c:v>16568.85</c:v>
                </c:pt>
                <c:pt idx="157">
                  <c:v>16450.5</c:v>
                </c:pt>
                <c:pt idx="158">
                  <c:v>16496.45</c:v>
                </c:pt>
                <c:pt idx="159">
                  <c:v>16624.6</c:v>
                </c:pt>
                <c:pt idx="160">
                  <c:v>16634.65</c:v>
                </c:pt>
                <c:pt idx="161">
                  <c:v>16636.9</c:v>
                </c:pt>
                <c:pt idx="162">
                  <c:v>16705.2</c:v>
                </c:pt>
                <c:pt idx="163">
                  <c:v>16931.05</c:v>
                </c:pt>
                <c:pt idx="164">
                  <c:v>17132.2</c:v>
                </c:pt>
                <c:pt idx="165">
                  <c:v>17076.25</c:v>
                </c:pt>
                <c:pt idx="166">
                  <c:v>17234.15</c:v>
                </c:pt>
                <c:pt idx="167">
                  <c:v>17323.6</c:v>
                </c:pt>
                <c:pt idx="168">
                  <c:v>17377.8</c:v>
                </c:pt>
                <c:pt idx="169">
                  <c:v>17362.1</c:v>
                </c:pt>
                <c:pt idx="170">
                  <c:v>17353.5</c:v>
                </c:pt>
                <c:pt idx="171">
                  <c:v>17369.25</c:v>
                </c:pt>
                <c:pt idx="172">
                  <c:v>17355.3</c:v>
                </c:pt>
                <c:pt idx="173">
                  <c:v>17380</c:v>
                </c:pt>
                <c:pt idx="174">
                  <c:v>17519.45</c:v>
                </c:pt>
                <c:pt idx="175">
                  <c:v>17629.5</c:v>
                </c:pt>
                <c:pt idx="176">
                  <c:v>17585.15</c:v>
                </c:pt>
                <c:pt idx="177">
                  <c:v>17396.9</c:v>
                </c:pt>
                <c:pt idx="178">
                  <c:v>17562</c:v>
                </c:pt>
                <c:pt idx="179">
                  <c:v>17546.65</c:v>
                </c:pt>
                <c:pt idx="180">
                  <c:v>17822.95</c:v>
                </c:pt>
                <c:pt idx="181">
                  <c:v>17853.2</c:v>
                </c:pt>
                <c:pt idx="182">
                  <c:v>17855.1</c:v>
                </c:pt>
                <c:pt idx="183">
                  <c:v>17748.6</c:v>
                </c:pt>
                <c:pt idx="184">
                  <c:v>17711.3</c:v>
                </c:pt>
                <c:pt idx="185">
                  <c:v>17618.15</c:v>
                </c:pt>
                <c:pt idx="186">
                  <c:v>17532.05</c:v>
                </c:pt>
                <c:pt idx="187">
                  <c:v>17691.25</c:v>
                </c:pt>
                <c:pt idx="188">
                  <c:v>17822.3</c:v>
                </c:pt>
                <c:pt idx="189">
                  <c:v>17646</c:v>
                </c:pt>
                <c:pt idx="190">
                  <c:v>17790.35</c:v>
                </c:pt>
                <c:pt idx="191">
                  <c:v>17895.2</c:v>
                </c:pt>
                <c:pt idx="192">
                  <c:v>17945.95</c:v>
                </c:pt>
                <c:pt idx="193">
                  <c:v>17991.95</c:v>
                </c:pt>
                <c:pt idx="194">
                  <c:v>18161.75</c:v>
                </c:pt>
                <c:pt idx="195">
                  <c:v>18338.55</c:v>
                </c:pt>
                <c:pt idx="196">
                  <c:v>18477.05</c:v>
                </c:pt>
                <c:pt idx="197">
                  <c:v>18418.75</c:v>
                </c:pt>
                <c:pt idx="198">
                  <c:v>18266.6</c:v>
                </c:pt>
                <c:pt idx="199">
                  <c:v>18178.1</c:v>
                </c:pt>
                <c:pt idx="200">
                  <c:v>18114.9</c:v>
                </c:pt>
              </c:strCache>
            </c:strRef>
          </c:tx>
          <c:spPr>
            <a:ln w="28575" cap="rnd">
              <a:solidFill>
                <a:schemeClr val="accent1"/>
              </a:solidFill>
              <a:round/>
            </a:ln>
            <a:effectLst/>
          </c:spPr>
          <c:marker>
            <c:symbol val="none"/>
          </c:marker>
          <c:cat>
            <c:numRef>
              <c:f>'Price trend line table'!$A$202:$A$1241</c:f>
              <c:numCache>
                <c:formatCode>d\-mmm\-yy</c:formatCode>
                <c:ptCount val="1040"/>
                <c:pt idx="0">
                  <c:v>44494</c:v>
                </c:pt>
                <c:pt idx="1">
                  <c:v>44495</c:v>
                </c:pt>
                <c:pt idx="2">
                  <c:v>44496</c:v>
                </c:pt>
                <c:pt idx="3">
                  <c:v>44497</c:v>
                </c:pt>
                <c:pt idx="4">
                  <c:v>44498</c:v>
                </c:pt>
                <c:pt idx="5">
                  <c:v>44501</c:v>
                </c:pt>
                <c:pt idx="6">
                  <c:v>44502</c:v>
                </c:pt>
                <c:pt idx="7">
                  <c:v>44503</c:v>
                </c:pt>
                <c:pt idx="8">
                  <c:v>44504</c:v>
                </c:pt>
                <c:pt idx="9">
                  <c:v>44508</c:v>
                </c:pt>
                <c:pt idx="10">
                  <c:v>44509</c:v>
                </c:pt>
                <c:pt idx="11">
                  <c:v>44510</c:v>
                </c:pt>
                <c:pt idx="12">
                  <c:v>44511</c:v>
                </c:pt>
                <c:pt idx="13">
                  <c:v>44512</c:v>
                </c:pt>
                <c:pt idx="14">
                  <c:v>44515</c:v>
                </c:pt>
                <c:pt idx="15">
                  <c:v>44516</c:v>
                </c:pt>
                <c:pt idx="16">
                  <c:v>44517</c:v>
                </c:pt>
                <c:pt idx="17">
                  <c:v>44518</c:v>
                </c:pt>
                <c:pt idx="18">
                  <c:v>44522</c:v>
                </c:pt>
                <c:pt idx="19">
                  <c:v>44523</c:v>
                </c:pt>
                <c:pt idx="20">
                  <c:v>44524</c:v>
                </c:pt>
                <c:pt idx="21">
                  <c:v>44525</c:v>
                </c:pt>
                <c:pt idx="22">
                  <c:v>44526</c:v>
                </c:pt>
                <c:pt idx="23">
                  <c:v>44529</c:v>
                </c:pt>
                <c:pt idx="24">
                  <c:v>44530</c:v>
                </c:pt>
                <c:pt idx="25">
                  <c:v>44531</c:v>
                </c:pt>
                <c:pt idx="26">
                  <c:v>44532</c:v>
                </c:pt>
                <c:pt idx="27">
                  <c:v>44533</c:v>
                </c:pt>
                <c:pt idx="28">
                  <c:v>44536</c:v>
                </c:pt>
                <c:pt idx="29">
                  <c:v>44537</c:v>
                </c:pt>
                <c:pt idx="30">
                  <c:v>44538</c:v>
                </c:pt>
                <c:pt idx="31">
                  <c:v>44539</c:v>
                </c:pt>
                <c:pt idx="32">
                  <c:v>44540</c:v>
                </c:pt>
                <c:pt idx="33">
                  <c:v>44543</c:v>
                </c:pt>
                <c:pt idx="34">
                  <c:v>44544</c:v>
                </c:pt>
                <c:pt idx="35">
                  <c:v>44545</c:v>
                </c:pt>
                <c:pt idx="36">
                  <c:v>44546</c:v>
                </c:pt>
                <c:pt idx="37">
                  <c:v>44547</c:v>
                </c:pt>
                <c:pt idx="38">
                  <c:v>44550</c:v>
                </c:pt>
                <c:pt idx="39">
                  <c:v>44551</c:v>
                </c:pt>
                <c:pt idx="40">
                  <c:v>44552</c:v>
                </c:pt>
                <c:pt idx="41">
                  <c:v>44553</c:v>
                </c:pt>
                <c:pt idx="42">
                  <c:v>44554</c:v>
                </c:pt>
                <c:pt idx="43">
                  <c:v>44557</c:v>
                </c:pt>
                <c:pt idx="44">
                  <c:v>44558</c:v>
                </c:pt>
                <c:pt idx="45">
                  <c:v>44559</c:v>
                </c:pt>
                <c:pt idx="46">
                  <c:v>44560</c:v>
                </c:pt>
                <c:pt idx="47">
                  <c:v>44561</c:v>
                </c:pt>
                <c:pt idx="48">
                  <c:v>44564</c:v>
                </c:pt>
                <c:pt idx="49">
                  <c:v>44565</c:v>
                </c:pt>
                <c:pt idx="50">
                  <c:v>44566</c:v>
                </c:pt>
                <c:pt idx="51">
                  <c:v>44567</c:v>
                </c:pt>
                <c:pt idx="52">
                  <c:v>44568</c:v>
                </c:pt>
                <c:pt idx="53">
                  <c:v>44571</c:v>
                </c:pt>
                <c:pt idx="54">
                  <c:v>44572</c:v>
                </c:pt>
                <c:pt idx="55">
                  <c:v>44573</c:v>
                </c:pt>
                <c:pt idx="56">
                  <c:v>44574</c:v>
                </c:pt>
                <c:pt idx="57">
                  <c:v>44575</c:v>
                </c:pt>
                <c:pt idx="58">
                  <c:v>44578</c:v>
                </c:pt>
                <c:pt idx="59">
                  <c:v>44579</c:v>
                </c:pt>
                <c:pt idx="60">
                  <c:v>44580</c:v>
                </c:pt>
                <c:pt idx="61">
                  <c:v>44581</c:v>
                </c:pt>
                <c:pt idx="62">
                  <c:v>44582</c:v>
                </c:pt>
                <c:pt idx="63">
                  <c:v>44585</c:v>
                </c:pt>
                <c:pt idx="64">
                  <c:v>44586</c:v>
                </c:pt>
                <c:pt idx="65">
                  <c:v>44588</c:v>
                </c:pt>
                <c:pt idx="66">
                  <c:v>44589</c:v>
                </c:pt>
                <c:pt idx="67">
                  <c:v>44592</c:v>
                </c:pt>
                <c:pt idx="68">
                  <c:v>44593</c:v>
                </c:pt>
                <c:pt idx="69">
                  <c:v>44594</c:v>
                </c:pt>
                <c:pt idx="70">
                  <c:v>44595</c:v>
                </c:pt>
                <c:pt idx="71">
                  <c:v>44596</c:v>
                </c:pt>
                <c:pt idx="72">
                  <c:v>44599</c:v>
                </c:pt>
                <c:pt idx="73">
                  <c:v>44600</c:v>
                </c:pt>
                <c:pt idx="74">
                  <c:v>44601</c:v>
                </c:pt>
                <c:pt idx="75">
                  <c:v>44602</c:v>
                </c:pt>
                <c:pt idx="76">
                  <c:v>44603</c:v>
                </c:pt>
                <c:pt idx="77">
                  <c:v>44606</c:v>
                </c:pt>
                <c:pt idx="78">
                  <c:v>44607</c:v>
                </c:pt>
                <c:pt idx="79">
                  <c:v>44608</c:v>
                </c:pt>
                <c:pt idx="80">
                  <c:v>44609</c:v>
                </c:pt>
                <c:pt idx="81">
                  <c:v>44610</c:v>
                </c:pt>
                <c:pt idx="82">
                  <c:v>44613</c:v>
                </c:pt>
                <c:pt idx="83">
                  <c:v>44614</c:v>
                </c:pt>
                <c:pt idx="84">
                  <c:v>44615</c:v>
                </c:pt>
                <c:pt idx="85">
                  <c:v>44616</c:v>
                </c:pt>
                <c:pt idx="86">
                  <c:v>44617</c:v>
                </c:pt>
                <c:pt idx="87">
                  <c:v>44620</c:v>
                </c:pt>
                <c:pt idx="88">
                  <c:v>44622</c:v>
                </c:pt>
                <c:pt idx="89">
                  <c:v>44623</c:v>
                </c:pt>
                <c:pt idx="90">
                  <c:v>44624</c:v>
                </c:pt>
                <c:pt idx="91">
                  <c:v>44627</c:v>
                </c:pt>
                <c:pt idx="92">
                  <c:v>44628</c:v>
                </c:pt>
                <c:pt idx="93">
                  <c:v>44629</c:v>
                </c:pt>
                <c:pt idx="94">
                  <c:v>44630</c:v>
                </c:pt>
                <c:pt idx="95">
                  <c:v>44631</c:v>
                </c:pt>
                <c:pt idx="96">
                  <c:v>44634</c:v>
                </c:pt>
                <c:pt idx="97">
                  <c:v>44635</c:v>
                </c:pt>
                <c:pt idx="98">
                  <c:v>44636</c:v>
                </c:pt>
                <c:pt idx="99">
                  <c:v>44637</c:v>
                </c:pt>
                <c:pt idx="100">
                  <c:v>44641</c:v>
                </c:pt>
                <c:pt idx="101">
                  <c:v>44642</c:v>
                </c:pt>
                <c:pt idx="102">
                  <c:v>44643</c:v>
                </c:pt>
                <c:pt idx="103">
                  <c:v>44644</c:v>
                </c:pt>
                <c:pt idx="104">
                  <c:v>44645</c:v>
                </c:pt>
                <c:pt idx="105">
                  <c:v>44648</c:v>
                </c:pt>
                <c:pt idx="106">
                  <c:v>44649</c:v>
                </c:pt>
                <c:pt idx="107">
                  <c:v>44650</c:v>
                </c:pt>
                <c:pt idx="108">
                  <c:v>44651</c:v>
                </c:pt>
                <c:pt idx="109">
                  <c:v>44652</c:v>
                </c:pt>
                <c:pt idx="110">
                  <c:v>44655</c:v>
                </c:pt>
                <c:pt idx="111">
                  <c:v>44656</c:v>
                </c:pt>
                <c:pt idx="112">
                  <c:v>44657</c:v>
                </c:pt>
                <c:pt idx="113">
                  <c:v>44658</c:v>
                </c:pt>
                <c:pt idx="114">
                  <c:v>44659</c:v>
                </c:pt>
                <c:pt idx="115">
                  <c:v>44662</c:v>
                </c:pt>
                <c:pt idx="116">
                  <c:v>44663</c:v>
                </c:pt>
                <c:pt idx="117">
                  <c:v>44664</c:v>
                </c:pt>
                <c:pt idx="118">
                  <c:v>44669</c:v>
                </c:pt>
                <c:pt idx="119">
                  <c:v>44670</c:v>
                </c:pt>
                <c:pt idx="120">
                  <c:v>44671</c:v>
                </c:pt>
                <c:pt idx="121">
                  <c:v>44672</c:v>
                </c:pt>
                <c:pt idx="122">
                  <c:v>44673</c:v>
                </c:pt>
                <c:pt idx="123">
                  <c:v>44676</c:v>
                </c:pt>
                <c:pt idx="124">
                  <c:v>44677</c:v>
                </c:pt>
                <c:pt idx="125">
                  <c:v>44678</c:v>
                </c:pt>
                <c:pt idx="126">
                  <c:v>44679</c:v>
                </c:pt>
                <c:pt idx="127">
                  <c:v>44680</c:v>
                </c:pt>
                <c:pt idx="128">
                  <c:v>44683</c:v>
                </c:pt>
                <c:pt idx="129">
                  <c:v>44685</c:v>
                </c:pt>
                <c:pt idx="130">
                  <c:v>44686</c:v>
                </c:pt>
                <c:pt idx="131">
                  <c:v>44687</c:v>
                </c:pt>
                <c:pt idx="132">
                  <c:v>44690</c:v>
                </c:pt>
                <c:pt idx="133">
                  <c:v>44691</c:v>
                </c:pt>
                <c:pt idx="134">
                  <c:v>44692</c:v>
                </c:pt>
                <c:pt idx="135">
                  <c:v>44693</c:v>
                </c:pt>
                <c:pt idx="136">
                  <c:v>44694</c:v>
                </c:pt>
                <c:pt idx="137">
                  <c:v>44697</c:v>
                </c:pt>
                <c:pt idx="138">
                  <c:v>44698</c:v>
                </c:pt>
                <c:pt idx="139">
                  <c:v>44699</c:v>
                </c:pt>
                <c:pt idx="140">
                  <c:v>44700</c:v>
                </c:pt>
                <c:pt idx="141">
                  <c:v>44701</c:v>
                </c:pt>
                <c:pt idx="142">
                  <c:v>44704</c:v>
                </c:pt>
                <c:pt idx="143">
                  <c:v>44705</c:v>
                </c:pt>
                <c:pt idx="144">
                  <c:v>44706</c:v>
                </c:pt>
                <c:pt idx="145">
                  <c:v>44707</c:v>
                </c:pt>
                <c:pt idx="146">
                  <c:v>44708</c:v>
                </c:pt>
                <c:pt idx="147">
                  <c:v>44711</c:v>
                </c:pt>
                <c:pt idx="148">
                  <c:v>44712</c:v>
                </c:pt>
                <c:pt idx="149">
                  <c:v>44713</c:v>
                </c:pt>
                <c:pt idx="150">
                  <c:v>44714</c:v>
                </c:pt>
                <c:pt idx="151">
                  <c:v>44715</c:v>
                </c:pt>
                <c:pt idx="152">
                  <c:v>44718</c:v>
                </c:pt>
                <c:pt idx="153">
                  <c:v>44719</c:v>
                </c:pt>
                <c:pt idx="154">
                  <c:v>44720</c:v>
                </c:pt>
                <c:pt idx="155">
                  <c:v>44721</c:v>
                </c:pt>
                <c:pt idx="156">
                  <c:v>44722</c:v>
                </c:pt>
                <c:pt idx="157">
                  <c:v>44725</c:v>
                </c:pt>
                <c:pt idx="158">
                  <c:v>44726</c:v>
                </c:pt>
                <c:pt idx="159">
                  <c:v>44727</c:v>
                </c:pt>
                <c:pt idx="160">
                  <c:v>44728</c:v>
                </c:pt>
                <c:pt idx="161">
                  <c:v>44729</c:v>
                </c:pt>
                <c:pt idx="162">
                  <c:v>44732</c:v>
                </c:pt>
                <c:pt idx="163">
                  <c:v>44733</c:v>
                </c:pt>
                <c:pt idx="164">
                  <c:v>44734</c:v>
                </c:pt>
                <c:pt idx="165">
                  <c:v>44735</c:v>
                </c:pt>
                <c:pt idx="166">
                  <c:v>44736</c:v>
                </c:pt>
                <c:pt idx="167">
                  <c:v>44739</c:v>
                </c:pt>
                <c:pt idx="168">
                  <c:v>44740</c:v>
                </c:pt>
                <c:pt idx="169">
                  <c:v>44741</c:v>
                </c:pt>
                <c:pt idx="170">
                  <c:v>44742</c:v>
                </c:pt>
                <c:pt idx="171">
                  <c:v>44743</c:v>
                </c:pt>
                <c:pt idx="172">
                  <c:v>44746</c:v>
                </c:pt>
                <c:pt idx="173">
                  <c:v>44747</c:v>
                </c:pt>
                <c:pt idx="174">
                  <c:v>44748</c:v>
                </c:pt>
                <c:pt idx="175">
                  <c:v>44749</c:v>
                </c:pt>
                <c:pt idx="176">
                  <c:v>44750</c:v>
                </c:pt>
                <c:pt idx="177">
                  <c:v>44753</c:v>
                </c:pt>
                <c:pt idx="178">
                  <c:v>44754</c:v>
                </c:pt>
                <c:pt idx="179">
                  <c:v>44755</c:v>
                </c:pt>
                <c:pt idx="180">
                  <c:v>44756</c:v>
                </c:pt>
                <c:pt idx="181">
                  <c:v>44757</c:v>
                </c:pt>
                <c:pt idx="182">
                  <c:v>44760</c:v>
                </c:pt>
                <c:pt idx="183">
                  <c:v>44761</c:v>
                </c:pt>
                <c:pt idx="184">
                  <c:v>44762</c:v>
                </c:pt>
                <c:pt idx="185">
                  <c:v>44763</c:v>
                </c:pt>
                <c:pt idx="186">
                  <c:v>44764</c:v>
                </c:pt>
                <c:pt idx="187">
                  <c:v>44767</c:v>
                </c:pt>
                <c:pt idx="188">
                  <c:v>44768</c:v>
                </c:pt>
                <c:pt idx="189">
                  <c:v>44769</c:v>
                </c:pt>
                <c:pt idx="190">
                  <c:v>44770</c:v>
                </c:pt>
                <c:pt idx="191">
                  <c:v>44771</c:v>
                </c:pt>
                <c:pt idx="192">
                  <c:v>44774</c:v>
                </c:pt>
                <c:pt idx="193">
                  <c:v>44775</c:v>
                </c:pt>
                <c:pt idx="194">
                  <c:v>44776</c:v>
                </c:pt>
                <c:pt idx="195">
                  <c:v>44777</c:v>
                </c:pt>
                <c:pt idx="196">
                  <c:v>44778</c:v>
                </c:pt>
                <c:pt idx="197">
                  <c:v>44781</c:v>
                </c:pt>
                <c:pt idx="198">
                  <c:v>44783</c:v>
                </c:pt>
                <c:pt idx="199">
                  <c:v>44784</c:v>
                </c:pt>
                <c:pt idx="200">
                  <c:v>44785</c:v>
                </c:pt>
                <c:pt idx="201">
                  <c:v>44789</c:v>
                </c:pt>
                <c:pt idx="202">
                  <c:v>44790</c:v>
                </c:pt>
                <c:pt idx="203">
                  <c:v>44791</c:v>
                </c:pt>
                <c:pt idx="204">
                  <c:v>44792</c:v>
                </c:pt>
                <c:pt idx="205">
                  <c:v>44795</c:v>
                </c:pt>
                <c:pt idx="206">
                  <c:v>44796</c:v>
                </c:pt>
                <c:pt idx="207">
                  <c:v>44797</c:v>
                </c:pt>
                <c:pt idx="208">
                  <c:v>44798</c:v>
                </c:pt>
                <c:pt idx="209">
                  <c:v>44799</c:v>
                </c:pt>
                <c:pt idx="210">
                  <c:v>44802</c:v>
                </c:pt>
                <c:pt idx="211">
                  <c:v>44803</c:v>
                </c:pt>
                <c:pt idx="212">
                  <c:v>44805</c:v>
                </c:pt>
                <c:pt idx="213">
                  <c:v>44806</c:v>
                </c:pt>
                <c:pt idx="214">
                  <c:v>44809</c:v>
                </c:pt>
                <c:pt idx="215">
                  <c:v>44810</c:v>
                </c:pt>
                <c:pt idx="216">
                  <c:v>44811</c:v>
                </c:pt>
                <c:pt idx="217">
                  <c:v>44812</c:v>
                </c:pt>
                <c:pt idx="218">
                  <c:v>44813</c:v>
                </c:pt>
                <c:pt idx="219">
                  <c:v>44816</c:v>
                </c:pt>
                <c:pt idx="220">
                  <c:v>44817</c:v>
                </c:pt>
                <c:pt idx="221">
                  <c:v>44818</c:v>
                </c:pt>
                <c:pt idx="222">
                  <c:v>44819</c:v>
                </c:pt>
                <c:pt idx="223">
                  <c:v>44820</c:v>
                </c:pt>
                <c:pt idx="224">
                  <c:v>44823</c:v>
                </c:pt>
                <c:pt idx="225">
                  <c:v>44824</c:v>
                </c:pt>
                <c:pt idx="226">
                  <c:v>44825</c:v>
                </c:pt>
                <c:pt idx="227">
                  <c:v>44826</c:v>
                </c:pt>
                <c:pt idx="228">
                  <c:v>44827</c:v>
                </c:pt>
                <c:pt idx="229">
                  <c:v>44830</c:v>
                </c:pt>
                <c:pt idx="230">
                  <c:v>44831</c:v>
                </c:pt>
                <c:pt idx="231">
                  <c:v>44832</c:v>
                </c:pt>
                <c:pt idx="232">
                  <c:v>44833</c:v>
                </c:pt>
                <c:pt idx="233">
                  <c:v>44834</c:v>
                </c:pt>
                <c:pt idx="234">
                  <c:v>44837</c:v>
                </c:pt>
                <c:pt idx="235">
                  <c:v>44838</c:v>
                </c:pt>
                <c:pt idx="236">
                  <c:v>44840</c:v>
                </c:pt>
                <c:pt idx="237">
                  <c:v>44841</c:v>
                </c:pt>
                <c:pt idx="238">
                  <c:v>44844</c:v>
                </c:pt>
                <c:pt idx="239">
                  <c:v>44845</c:v>
                </c:pt>
                <c:pt idx="240">
                  <c:v>44846</c:v>
                </c:pt>
                <c:pt idx="241">
                  <c:v>44847</c:v>
                </c:pt>
                <c:pt idx="242">
                  <c:v>44848</c:v>
                </c:pt>
                <c:pt idx="243">
                  <c:v>44851</c:v>
                </c:pt>
                <c:pt idx="244">
                  <c:v>44852</c:v>
                </c:pt>
                <c:pt idx="245">
                  <c:v>44853</c:v>
                </c:pt>
                <c:pt idx="246">
                  <c:v>44854</c:v>
                </c:pt>
                <c:pt idx="247">
                  <c:v>44855</c:v>
                </c:pt>
                <c:pt idx="248">
                  <c:v>44858</c:v>
                </c:pt>
                <c:pt idx="249">
                  <c:v>44859</c:v>
                </c:pt>
                <c:pt idx="250">
                  <c:v>44861</c:v>
                </c:pt>
                <c:pt idx="251">
                  <c:v>44862</c:v>
                </c:pt>
                <c:pt idx="252">
                  <c:v>44865</c:v>
                </c:pt>
                <c:pt idx="253">
                  <c:v>44866</c:v>
                </c:pt>
                <c:pt idx="254">
                  <c:v>44867</c:v>
                </c:pt>
                <c:pt idx="255">
                  <c:v>44868</c:v>
                </c:pt>
                <c:pt idx="256">
                  <c:v>44869</c:v>
                </c:pt>
                <c:pt idx="257">
                  <c:v>44872</c:v>
                </c:pt>
                <c:pt idx="258">
                  <c:v>44874</c:v>
                </c:pt>
                <c:pt idx="259">
                  <c:v>44875</c:v>
                </c:pt>
                <c:pt idx="260">
                  <c:v>44876</c:v>
                </c:pt>
                <c:pt idx="261">
                  <c:v>44879</c:v>
                </c:pt>
                <c:pt idx="262">
                  <c:v>44880</c:v>
                </c:pt>
                <c:pt idx="263">
                  <c:v>44881</c:v>
                </c:pt>
                <c:pt idx="264">
                  <c:v>44882</c:v>
                </c:pt>
                <c:pt idx="265">
                  <c:v>44883</c:v>
                </c:pt>
                <c:pt idx="266">
                  <c:v>44886</c:v>
                </c:pt>
                <c:pt idx="267">
                  <c:v>44887</c:v>
                </c:pt>
                <c:pt idx="268">
                  <c:v>44888</c:v>
                </c:pt>
                <c:pt idx="269">
                  <c:v>44889</c:v>
                </c:pt>
                <c:pt idx="270">
                  <c:v>44890</c:v>
                </c:pt>
                <c:pt idx="271">
                  <c:v>44893</c:v>
                </c:pt>
                <c:pt idx="272">
                  <c:v>44894</c:v>
                </c:pt>
                <c:pt idx="273">
                  <c:v>44895</c:v>
                </c:pt>
                <c:pt idx="274">
                  <c:v>44896</c:v>
                </c:pt>
                <c:pt idx="275">
                  <c:v>44897</c:v>
                </c:pt>
                <c:pt idx="276">
                  <c:v>44900</c:v>
                </c:pt>
                <c:pt idx="277">
                  <c:v>44901</c:v>
                </c:pt>
                <c:pt idx="278">
                  <c:v>44902</c:v>
                </c:pt>
                <c:pt idx="279">
                  <c:v>44903</c:v>
                </c:pt>
                <c:pt idx="280">
                  <c:v>44904</c:v>
                </c:pt>
                <c:pt idx="281">
                  <c:v>44907</c:v>
                </c:pt>
                <c:pt idx="282">
                  <c:v>44908</c:v>
                </c:pt>
                <c:pt idx="283">
                  <c:v>44909</c:v>
                </c:pt>
                <c:pt idx="284">
                  <c:v>44910</c:v>
                </c:pt>
                <c:pt idx="285">
                  <c:v>44911</c:v>
                </c:pt>
                <c:pt idx="286">
                  <c:v>44914</c:v>
                </c:pt>
                <c:pt idx="287">
                  <c:v>44915</c:v>
                </c:pt>
                <c:pt idx="288">
                  <c:v>44916</c:v>
                </c:pt>
                <c:pt idx="289">
                  <c:v>44917</c:v>
                </c:pt>
                <c:pt idx="290">
                  <c:v>44918</c:v>
                </c:pt>
                <c:pt idx="291">
                  <c:v>44921</c:v>
                </c:pt>
                <c:pt idx="292">
                  <c:v>44922</c:v>
                </c:pt>
                <c:pt idx="293">
                  <c:v>44923</c:v>
                </c:pt>
                <c:pt idx="294">
                  <c:v>44924</c:v>
                </c:pt>
                <c:pt idx="295">
                  <c:v>44925</c:v>
                </c:pt>
                <c:pt idx="296">
                  <c:v>44928</c:v>
                </c:pt>
                <c:pt idx="297">
                  <c:v>44929</c:v>
                </c:pt>
                <c:pt idx="298">
                  <c:v>44930</c:v>
                </c:pt>
                <c:pt idx="299">
                  <c:v>44931</c:v>
                </c:pt>
                <c:pt idx="300">
                  <c:v>44932</c:v>
                </c:pt>
                <c:pt idx="301">
                  <c:v>44935</c:v>
                </c:pt>
                <c:pt idx="302">
                  <c:v>44936</c:v>
                </c:pt>
                <c:pt idx="303">
                  <c:v>44937</c:v>
                </c:pt>
                <c:pt idx="304">
                  <c:v>44938</c:v>
                </c:pt>
                <c:pt idx="305">
                  <c:v>44939</c:v>
                </c:pt>
                <c:pt idx="306">
                  <c:v>44942</c:v>
                </c:pt>
                <c:pt idx="307">
                  <c:v>44943</c:v>
                </c:pt>
                <c:pt idx="308">
                  <c:v>44944</c:v>
                </c:pt>
                <c:pt idx="309">
                  <c:v>44945</c:v>
                </c:pt>
                <c:pt idx="310">
                  <c:v>44946</c:v>
                </c:pt>
                <c:pt idx="311">
                  <c:v>44949</c:v>
                </c:pt>
                <c:pt idx="312">
                  <c:v>44950</c:v>
                </c:pt>
                <c:pt idx="313">
                  <c:v>44951</c:v>
                </c:pt>
                <c:pt idx="314">
                  <c:v>44953</c:v>
                </c:pt>
                <c:pt idx="315">
                  <c:v>44956</c:v>
                </c:pt>
                <c:pt idx="316">
                  <c:v>44957</c:v>
                </c:pt>
                <c:pt idx="317">
                  <c:v>44958</c:v>
                </c:pt>
                <c:pt idx="318">
                  <c:v>44959</c:v>
                </c:pt>
                <c:pt idx="319">
                  <c:v>44960</c:v>
                </c:pt>
                <c:pt idx="320">
                  <c:v>44963</c:v>
                </c:pt>
                <c:pt idx="321">
                  <c:v>44964</c:v>
                </c:pt>
                <c:pt idx="322">
                  <c:v>44965</c:v>
                </c:pt>
                <c:pt idx="323">
                  <c:v>44966</c:v>
                </c:pt>
                <c:pt idx="324">
                  <c:v>44967</c:v>
                </c:pt>
                <c:pt idx="325">
                  <c:v>44970</c:v>
                </c:pt>
                <c:pt idx="326">
                  <c:v>44971</c:v>
                </c:pt>
                <c:pt idx="327">
                  <c:v>44972</c:v>
                </c:pt>
                <c:pt idx="328">
                  <c:v>44973</c:v>
                </c:pt>
                <c:pt idx="329">
                  <c:v>44974</c:v>
                </c:pt>
                <c:pt idx="330">
                  <c:v>44977</c:v>
                </c:pt>
                <c:pt idx="331">
                  <c:v>44978</c:v>
                </c:pt>
                <c:pt idx="332">
                  <c:v>44979</c:v>
                </c:pt>
                <c:pt idx="333">
                  <c:v>44980</c:v>
                </c:pt>
                <c:pt idx="334">
                  <c:v>44981</c:v>
                </c:pt>
                <c:pt idx="335">
                  <c:v>44984</c:v>
                </c:pt>
                <c:pt idx="336">
                  <c:v>44985</c:v>
                </c:pt>
                <c:pt idx="337">
                  <c:v>44986</c:v>
                </c:pt>
                <c:pt idx="338">
                  <c:v>44987</c:v>
                </c:pt>
                <c:pt idx="339">
                  <c:v>44988</c:v>
                </c:pt>
                <c:pt idx="340">
                  <c:v>44991</c:v>
                </c:pt>
                <c:pt idx="341">
                  <c:v>44993</c:v>
                </c:pt>
                <c:pt idx="342">
                  <c:v>44994</c:v>
                </c:pt>
                <c:pt idx="343">
                  <c:v>44995</c:v>
                </c:pt>
                <c:pt idx="344">
                  <c:v>44998</c:v>
                </c:pt>
                <c:pt idx="345">
                  <c:v>44999</c:v>
                </c:pt>
                <c:pt idx="346">
                  <c:v>45000</c:v>
                </c:pt>
                <c:pt idx="347">
                  <c:v>45001</c:v>
                </c:pt>
                <c:pt idx="348">
                  <c:v>45002</c:v>
                </c:pt>
                <c:pt idx="349">
                  <c:v>45005</c:v>
                </c:pt>
                <c:pt idx="350">
                  <c:v>45006</c:v>
                </c:pt>
                <c:pt idx="351">
                  <c:v>45007</c:v>
                </c:pt>
                <c:pt idx="352">
                  <c:v>45008</c:v>
                </c:pt>
                <c:pt idx="353">
                  <c:v>45009</c:v>
                </c:pt>
                <c:pt idx="354">
                  <c:v>45012</c:v>
                </c:pt>
                <c:pt idx="355">
                  <c:v>45013</c:v>
                </c:pt>
                <c:pt idx="356">
                  <c:v>45014</c:v>
                </c:pt>
                <c:pt idx="357">
                  <c:v>45016</c:v>
                </c:pt>
                <c:pt idx="358">
                  <c:v>45019</c:v>
                </c:pt>
                <c:pt idx="359">
                  <c:v>45021</c:v>
                </c:pt>
                <c:pt idx="360">
                  <c:v>45022</c:v>
                </c:pt>
                <c:pt idx="361">
                  <c:v>45026</c:v>
                </c:pt>
                <c:pt idx="362">
                  <c:v>45027</c:v>
                </c:pt>
                <c:pt idx="363">
                  <c:v>45028</c:v>
                </c:pt>
                <c:pt idx="364">
                  <c:v>45029</c:v>
                </c:pt>
                <c:pt idx="365">
                  <c:v>45033</c:v>
                </c:pt>
                <c:pt idx="366">
                  <c:v>45034</c:v>
                </c:pt>
                <c:pt idx="367">
                  <c:v>45035</c:v>
                </c:pt>
                <c:pt idx="368">
                  <c:v>45036</c:v>
                </c:pt>
                <c:pt idx="369">
                  <c:v>45037</c:v>
                </c:pt>
                <c:pt idx="370">
                  <c:v>45040</c:v>
                </c:pt>
                <c:pt idx="371">
                  <c:v>45041</c:v>
                </c:pt>
                <c:pt idx="372">
                  <c:v>45042</c:v>
                </c:pt>
                <c:pt idx="373">
                  <c:v>45043</c:v>
                </c:pt>
                <c:pt idx="374">
                  <c:v>45044</c:v>
                </c:pt>
                <c:pt idx="375">
                  <c:v>45048</c:v>
                </c:pt>
                <c:pt idx="376">
                  <c:v>45049</c:v>
                </c:pt>
                <c:pt idx="377">
                  <c:v>45050</c:v>
                </c:pt>
                <c:pt idx="378">
                  <c:v>45051</c:v>
                </c:pt>
                <c:pt idx="379">
                  <c:v>45054</c:v>
                </c:pt>
                <c:pt idx="380">
                  <c:v>45055</c:v>
                </c:pt>
                <c:pt idx="381">
                  <c:v>45056</c:v>
                </c:pt>
                <c:pt idx="382">
                  <c:v>45057</c:v>
                </c:pt>
                <c:pt idx="383">
                  <c:v>45058</c:v>
                </c:pt>
                <c:pt idx="384">
                  <c:v>45061</c:v>
                </c:pt>
                <c:pt idx="385">
                  <c:v>45062</c:v>
                </c:pt>
                <c:pt idx="386">
                  <c:v>45063</c:v>
                </c:pt>
                <c:pt idx="387">
                  <c:v>45064</c:v>
                </c:pt>
                <c:pt idx="388">
                  <c:v>45065</c:v>
                </c:pt>
                <c:pt idx="389">
                  <c:v>45068</c:v>
                </c:pt>
                <c:pt idx="390">
                  <c:v>45069</c:v>
                </c:pt>
                <c:pt idx="391">
                  <c:v>45070</c:v>
                </c:pt>
                <c:pt idx="392">
                  <c:v>45071</c:v>
                </c:pt>
                <c:pt idx="393">
                  <c:v>45072</c:v>
                </c:pt>
                <c:pt idx="394">
                  <c:v>45075</c:v>
                </c:pt>
                <c:pt idx="395">
                  <c:v>45076</c:v>
                </c:pt>
                <c:pt idx="396">
                  <c:v>45077</c:v>
                </c:pt>
                <c:pt idx="397">
                  <c:v>45078</c:v>
                </c:pt>
                <c:pt idx="398">
                  <c:v>45079</c:v>
                </c:pt>
                <c:pt idx="399">
                  <c:v>45082</c:v>
                </c:pt>
                <c:pt idx="400">
                  <c:v>45083</c:v>
                </c:pt>
                <c:pt idx="401">
                  <c:v>45084</c:v>
                </c:pt>
                <c:pt idx="402">
                  <c:v>45085</c:v>
                </c:pt>
                <c:pt idx="403">
                  <c:v>45086</c:v>
                </c:pt>
                <c:pt idx="404">
                  <c:v>45089</c:v>
                </c:pt>
                <c:pt idx="405">
                  <c:v>45090</c:v>
                </c:pt>
                <c:pt idx="406">
                  <c:v>45091</c:v>
                </c:pt>
                <c:pt idx="407">
                  <c:v>45092</c:v>
                </c:pt>
                <c:pt idx="408">
                  <c:v>45093</c:v>
                </c:pt>
                <c:pt idx="409">
                  <c:v>45096</c:v>
                </c:pt>
                <c:pt idx="410">
                  <c:v>45097</c:v>
                </c:pt>
                <c:pt idx="411">
                  <c:v>45098</c:v>
                </c:pt>
                <c:pt idx="412">
                  <c:v>45099</c:v>
                </c:pt>
                <c:pt idx="413">
                  <c:v>45100</c:v>
                </c:pt>
                <c:pt idx="414">
                  <c:v>45103</c:v>
                </c:pt>
                <c:pt idx="415">
                  <c:v>45104</c:v>
                </c:pt>
                <c:pt idx="416">
                  <c:v>45105</c:v>
                </c:pt>
                <c:pt idx="417">
                  <c:v>45107</c:v>
                </c:pt>
                <c:pt idx="418">
                  <c:v>45110</c:v>
                </c:pt>
                <c:pt idx="419">
                  <c:v>45111</c:v>
                </c:pt>
                <c:pt idx="420">
                  <c:v>45112</c:v>
                </c:pt>
                <c:pt idx="421">
                  <c:v>45113</c:v>
                </c:pt>
                <c:pt idx="422">
                  <c:v>45114</c:v>
                </c:pt>
                <c:pt idx="423">
                  <c:v>45117</c:v>
                </c:pt>
                <c:pt idx="424">
                  <c:v>45118</c:v>
                </c:pt>
                <c:pt idx="425">
                  <c:v>45119</c:v>
                </c:pt>
                <c:pt idx="426">
                  <c:v>45120</c:v>
                </c:pt>
                <c:pt idx="427">
                  <c:v>45121</c:v>
                </c:pt>
                <c:pt idx="428">
                  <c:v>45124</c:v>
                </c:pt>
                <c:pt idx="429">
                  <c:v>45125</c:v>
                </c:pt>
                <c:pt idx="430">
                  <c:v>45126</c:v>
                </c:pt>
                <c:pt idx="431">
                  <c:v>45127</c:v>
                </c:pt>
                <c:pt idx="432">
                  <c:v>45128</c:v>
                </c:pt>
                <c:pt idx="433">
                  <c:v>45131</c:v>
                </c:pt>
                <c:pt idx="434">
                  <c:v>45132</c:v>
                </c:pt>
                <c:pt idx="435">
                  <c:v>45133</c:v>
                </c:pt>
                <c:pt idx="436">
                  <c:v>45134</c:v>
                </c:pt>
                <c:pt idx="437">
                  <c:v>45135</c:v>
                </c:pt>
                <c:pt idx="438">
                  <c:v>45138</c:v>
                </c:pt>
                <c:pt idx="439">
                  <c:v>45139</c:v>
                </c:pt>
                <c:pt idx="440">
                  <c:v>45140</c:v>
                </c:pt>
                <c:pt idx="441">
                  <c:v>45141</c:v>
                </c:pt>
                <c:pt idx="442">
                  <c:v>45142</c:v>
                </c:pt>
                <c:pt idx="443">
                  <c:v>45145</c:v>
                </c:pt>
                <c:pt idx="444">
                  <c:v>45146</c:v>
                </c:pt>
                <c:pt idx="445">
                  <c:v>45147</c:v>
                </c:pt>
                <c:pt idx="446">
                  <c:v>45148</c:v>
                </c:pt>
                <c:pt idx="447">
                  <c:v>45149</c:v>
                </c:pt>
                <c:pt idx="448">
                  <c:v>45152</c:v>
                </c:pt>
                <c:pt idx="449">
                  <c:v>45154</c:v>
                </c:pt>
                <c:pt idx="450">
                  <c:v>45155</c:v>
                </c:pt>
                <c:pt idx="451">
                  <c:v>45156</c:v>
                </c:pt>
                <c:pt idx="452">
                  <c:v>45159</c:v>
                </c:pt>
                <c:pt idx="453">
                  <c:v>45160</c:v>
                </c:pt>
                <c:pt idx="454">
                  <c:v>45161</c:v>
                </c:pt>
                <c:pt idx="455">
                  <c:v>45162</c:v>
                </c:pt>
                <c:pt idx="456">
                  <c:v>45163</c:v>
                </c:pt>
                <c:pt idx="457">
                  <c:v>45166</c:v>
                </c:pt>
                <c:pt idx="458">
                  <c:v>45167</c:v>
                </c:pt>
                <c:pt idx="459">
                  <c:v>45168</c:v>
                </c:pt>
                <c:pt idx="460">
                  <c:v>45169</c:v>
                </c:pt>
                <c:pt idx="461">
                  <c:v>45170</c:v>
                </c:pt>
                <c:pt idx="462">
                  <c:v>45173</c:v>
                </c:pt>
                <c:pt idx="463">
                  <c:v>45174</c:v>
                </c:pt>
                <c:pt idx="464">
                  <c:v>45175</c:v>
                </c:pt>
                <c:pt idx="465">
                  <c:v>45176</c:v>
                </c:pt>
                <c:pt idx="466">
                  <c:v>45177</c:v>
                </c:pt>
                <c:pt idx="467">
                  <c:v>45180</c:v>
                </c:pt>
                <c:pt idx="468">
                  <c:v>45181</c:v>
                </c:pt>
                <c:pt idx="469">
                  <c:v>45182</c:v>
                </c:pt>
                <c:pt idx="470">
                  <c:v>45183</c:v>
                </c:pt>
                <c:pt idx="471">
                  <c:v>45184</c:v>
                </c:pt>
                <c:pt idx="472">
                  <c:v>45187</c:v>
                </c:pt>
                <c:pt idx="473">
                  <c:v>45189</c:v>
                </c:pt>
                <c:pt idx="474">
                  <c:v>45190</c:v>
                </c:pt>
                <c:pt idx="475">
                  <c:v>45191</c:v>
                </c:pt>
                <c:pt idx="476">
                  <c:v>45194</c:v>
                </c:pt>
                <c:pt idx="477">
                  <c:v>45195</c:v>
                </c:pt>
                <c:pt idx="478">
                  <c:v>45196</c:v>
                </c:pt>
                <c:pt idx="479">
                  <c:v>45197</c:v>
                </c:pt>
                <c:pt idx="480">
                  <c:v>45198</c:v>
                </c:pt>
                <c:pt idx="481">
                  <c:v>45202</c:v>
                </c:pt>
                <c:pt idx="482">
                  <c:v>45203</c:v>
                </c:pt>
                <c:pt idx="483">
                  <c:v>45204</c:v>
                </c:pt>
                <c:pt idx="484">
                  <c:v>45205</c:v>
                </c:pt>
                <c:pt idx="485">
                  <c:v>45208</c:v>
                </c:pt>
                <c:pt idx="486">
                  <c:v>45209</c:v>
                </c:pt>
                <c:pt idx="487">
                  <c:v>45210</c:v>
                </c:pt>
                <c:pt idx="488">
                  <c:v>45211</c:v>
                </c:pt>
                <c:pt idx="489">
                  <c:v>45212</c:v>
                </c:pt>
                <c:pt idx="490">
                  <c:v>45215</c:v>
                </c:pt>
                <c:pt idx="491">
                  <c:v>45216</c:v>
                </c:pt>
                <c:pt idx="492">
                  <c:v>45217</c:v>
                </c:pt>
                <c:pt idx="493">
                  <c:v>45218</c:v>
                </c:pt>
                <c:pt idx="494">
                  <c:v>45219</c:v>
                </c:pt>
                <c:pt idx="495">
                  <c:v>45222</c:v>
                </c:pt>
                <c:pt idx="496">
                  <c:v>45224</c:v>
                </c:pt>
                <c:pt idx="497">
                  <c:v>45225</c:v>
                </c:pt>
                <c:pt idx="498">
                  <c:v>45226</c:v>
                </c:pt>
                <c:pt idx="499">
                  <c:v>45229</c:v>
                </c:pt>
                <c:pt idx="500">
                  <c:v>45230</c:v>
                </c:pt>
                <c:pt idx="501">
                  <c:v>45231</c:v>
                </c:pt>
                <c:pt idx="502">
                  <c:v>45232</c:v>
                </c:pt>
                <c:pt idx="503">
                  <c:v>45233</c:v>
                </c:pt>
                <c:pt idx="504">
                  <c:v>45236</c:v>
                </c:pt>
                <c:pt idx="505">
                  <c:v>45237</c:v>
                </c:pt>
                <c:pt idx="506">
                  <c:v>45238</c:v>
                </c:pt>
                <c:pt idx="507">
                  <c:v>45239</c:v>
                </c:pt>
                <c:pt idx="508">
                  <c:v>45240</c:v>
                </c:pt>
                <c:pt idx="509">
                  <c:v>45242</c:v>
                </c:pt>
                <c:pt idx="510">
                  <c:v>45243</c:v>
                </c:pt>
                <c:pt idx="511">
                  <c:v>45245</c:v>
                </c:pt>
                <c:pt idx="512">
                  <c:v>45246</c:v>
                </c:pt>
                <c:pt idx="513">
                  <c:v>45247</c:v>
                </c:pt>
                <c:pt idx="514">
                  <c:v>45250</c:v>
                </c:pt>
                <c:pt idx="515">
                  <c:v>45251</c:v>
                </c:pt>
                <c:pt idx="516">
                  <c:v>45252</c:v>
                </c:pt>
                <c:pt idx="517">
                  <c:v>45253</c:v>
                </c:pt>
                <c:pt idx="518">
                  <c:v>45254</c:v>
                </c:pt>
                <c:pt idx="519">
                  <c:v>45258</c:v>
                </c:pt>
                <c:pt idx="520">
                  <c:v>45259</c:v>
                </c:pt>
                <c:pt idx="521">
                  <c:v>45260</c:v>
                </c:pt>
                <c:pt idx="522">
                  <c:v>45261</c:v>
                </c:pt>
                <c:pt idx="523">
                  <c:v>45264</c:v>
                </c:pt>
                <c:pt idx="524">
                  <c:v>45265</c:v>
                </c:pt>
                <c:pt idx="525">
                  <c:v>45266</c:v>
                </c:pt>
                <c:pt idx="526">
                  <c:v>45267</c:v>
                </c:pt>
                <c:pt idx="527">
                  <c:v>45268</c:v>
                </c:pt>
                <c:pt idx="528">
                  <c:v>45271</c:v>
                </c:pt>
                <c:pt idx="529">
                  <c:v>45272</c:v>
                </c:pt>
                <c:pt idx="530">
                  <c:v>45273</c:v>
                </c:pt>
                <c:pt idx="531">
                  <c:v>45274</c:v>
                </c:pt>
                <c:pt idx="532">
                  <c:v>45275</c:v>
                </c:pt>
                <c:pt idx="533">
                  <c:v>45278</c:v>
                </c:pt>
                <c:pt idx="534">
                  <c:v>45279</c:v>
                </c:pt>
                <c:pt idx="535">
                  <c:v>45280</c:v>
                </c:pt>
                <c:pt idx="536">
                  <c:v>45281</c:v>
                </c:pt>
                <c:pt idx="537">
                  <c:v>45282</c:v>
                </c:pt>
                <c:pt idx="538">
                  <c:v>45286</c:v>
                </c:pt>
                <c:pt idx="539">
                  <c:v>45287</c:v>
                </c:pt>
                <c:pt idx="540">
                  <c:v>45288</c:v>
                </c:pt>
                <c:pt idx="541">
                  <c:v>45289</c:v>
                </c:pt>
                <c:pt idx="542">
                  <c:v>45292</c:v>
                </c:pt>
                <c:pt idx="543">
                  <c:v>45293</c:v>
                </c:pt>
                <c:pt idx="544">
                  <c:v>45294</c:v>
                </c:pt>
                <c:pt idx="545">
                  <c:v>45295</c:v>
                </c:pt>
                <c:pt idx="546">
                  <c:v>45296</c:v>
                </c:pt>
                <c:pt idx="547">
                  <c:v>45299</c:v>
                </c:pt>
                <c:pt idx="548">
                  <c:v>45300</c:v>
                </c:pt>
                <c:pt idx="549">
                  <c:v>45301</c:v>
                </c:pt>
                <c:pt idx="550">
                  <c:v>45302</c:v>
                </c:pt>
                <c:pt idx="551">
                  <c:v>45303</c:v>
                </c:pt>
                <c:pt idx="552">
                  <c:v>45306</c:v>
                </c:pt>
                <c:pt idx="553">
                  <c:v>45307</c:v>
                </c:pt>
                <c:pt idx="554">
                  <c:v>45308</c:v>
                </c:pt>
                <c:pt idx="555">
                  <c:v>45309</c:v>
                </c:pt>
                <c:pt idx="556">
                  <c:v>45310</c:v>
                </c:pt>
                <c:pt idx="557">
                  <c:v>45311</c:v>
                </c:pt>
                <c:pt idx="558">
                  <c:v>45314</c:v>
                </c:pt>
                <c:pt idx="559">
                  <c:v>45315</c:v>
                </c:pt>
                <c:pt idx="560">
                  <c:v>45316</c:v>
                </c:pt>
                <c:pt idx="561">
                  <c:v>45320</c:v>
                </c:pt>
                <c:pt idx="562">
                  <c:v>45321</c:v>
                </c:pt>
                <c:pt idx="563">
                  <c:v>45322</c:v>
                </c:pt>
                <c:pt idx="564">
                  <c:v>45323</c:v>
                </c:pt>
                <c:pt idx="565">
                  <c:v>45324</c:v>
                </c:pt>
                <c:pt idx="566">
                  <c:v>45327</c:v>
                </c:pt>
                <c:pt idx="567">
                  <c:v>45328</c:v>
                </c:pt>
                <c:pt idx="568">
                  <c:v>45329</c:v>
                </c:pt>
                <c:pt idx="569">
                  <c:v>45330</c:v>
                </c:pt>
                <c:pt idx="570">
                  <c:v>45331</c:v>
                </c:pt>
                <c:pt idx="571">
                  <c:v>45334</c:v>
                </c:pt>
                <c:pt idx="572">
                  <c:v>45335</c:v>
                </c:pt>
                <c:pt idx="573">
                  <c:v>45336</c:v>
                </c:pt>
                <c:pt idx="574">
                  <c:v>45337</c:v>
                </c:pt>
                <c:pt idx="575">
                  <c:v>45338</c:v>
                </c:pt>
                <c:pt idx="576">
                  <c:v>45341</c:v>
                </c:pt>
                <c:pt idx="577">
                  <c:v>45342</c:v>
                </c:pt>
                <c:pt idx="578">
                  <c:v>45343</c:v>
                </c:pt>
                <c:pt idx="579">
                  <c:v>45344</c:v>
                </c:pt>
                <c:pt idx="580">
                  <c:v>45345</c:v>
                </c:pt>
                <c:pt idx="581">
                  <c:v>45348</c:v>
                </c:pt>
                <c:pt idx="582">
                  <c:v>45349</c:v>
                </c:pt>
                <c:pt idx="583">
                  <c:v>45350</c:v>
                </c:pt>
                <c:pt idx="584">
                  <c:v>45351</c:v>
                </c:pt>
                <c:pt idx="585">
                  <c:v>45352</c:v>
                </c:pt>
                <c:pt idx="586">
                  <c:v>45355</c:v>
                </c:pt>
                <c:pt idx="587">
                  <c:v>45356</c:v>
                </c:pt>
                <c:pt idx="588">
                  <c:v>45357</c:v>
                </c:pt>
                <c:pt idx="589">
                  <c:v>45358</c:v>
                </c:pt>
                <c:pt idx="590">
                  <c:v>45362</c:v>
                </c:pt>
                <c:pt idx="591">
                  <c:v>45363</c:v>
                </c:pt>
                <c:pt idx="592">
                  <c:v>45364</c:v>
                </c:pt>
                <c:pt idx="593">
                  <c:v>45365</c:v>
                </c:pt>
                <c:pt idx="594">
                  <c:v>45366</c:v>
                </c:pt>
                <c:pt idx="595">
                  <c:v>45369</c:v>
                </c:pt>
                <c:pt idx="596">
                  <c:v>45370</c:v>
                </c:pt>
                <c:pt idx="597">
                  <c:v>45371</c:v>
                </c:pt>
                <c:pt idx="598">
                  <c:v>45372</c:v>
                </c:pt>
                <c:pt idx="599">
                  <c:v>45373</c:v>
                </c:pt>
                <c:pt idx="600">
                  <c:v>45377</c:v>
                </c:pt>
                <c:pt idx="601">
                  <c:v>45378</c:v>
                </c:pt>
                <c:pt idx="602">
                  <c:v>45379</c:v>
                </c:pt>
                <c:pt idx="603">
                  <c:v>45383</c:v>
                </c:pt>
                <c:pt idx="604">
                  <c:v>45384</c:v>
                </c:pt>
                <c:pt idx="605">
                  <c:v>45385</c:v>
                </c:pt>
                <c:pt idx="606">
                  <c:v>45386</c:v>
                </c:pt>
                <c:pt idx="607">
                  <c:v>45387</c:v>
                </c:pt>
                <c:pt idx="608">
                  <c:v>45390</c:v>
                </c:pt>
                <c:pt idx="609">
                  <c:v>45391</c:v>
                </c:pt>
                <c:pt idx="610">
                  <c:v>45392</c:v>
                </c:pt>
                <c:pt idx="611">
                  <c:v>45394</c:v>
                </c:pt>
                <c:pt idx="612">
                  <c:v>45397</c:v>
                </c:pt>
                <c:pt idx="613">
                  <c:v>45398</c:v>
                </c:pt>
                <c:pt idx="614">
                  <c:v>45400</c:v>
                </c:pt>
                <c:pt idx="615">
                  <c:v>45401</c:v>
                </c:pt>
                <c:pt idx="616">
                  <c:v>45404</c:v>
                </c:pt>
                <c:pt idx="617">
                  <c:v>45405</c:v>
                </c:pt>
                <c:pt idx="618">
                  <c:v>45406</c:v>
                </c:pt>
                <c:pt idx="619">
                  <c:v>45407</c:v>
                </c:pt>
                <c:pt idx="620">
                  <c:v>45408</c:v>
                </c:pt>
                <c:pt idx="621">
                  <c:v>45411</c:v>
                </c:pt>
                <c:pt idx="622">
                  <c:v>45412</c:v>
                </c:pt>
                <c:pt idx="623">
                  <c:v>45414</c:v>
                </c:pt>
                <c:pt idx="624">
                  <c:v>45415</c:v>
                </c:pt>
                <c:pt idx="625">
                  <c:v>45418</c:v>
                </c:pt>
                <c:pt idx="626">
                  <c:v>45419</c:v>
                </c:pt>
                <c:pt idx="627">
                  <c:v>45420</c:v>
                </c:pt>
                <c:pt idx="628">
                  <c:v>45421</c:v>
                </c:pt>
                <c:pt idx="629">
                  <c:v>45422</c:v>
                </c:pt>
                <c:pt idx="630">
                  <c:v>45425</c:v>
                </c:pt>
                <c:pt idx="631">
                  <c:v>45426</c:v>
                </c:pt>
                <c:pt idx="632">
                  <c:v>45427</c:v>
                </c:pt>
                <c:pt idx="633">
                  <c:v>45428</c:v>
                </c:pt>
                <c:pt idx="634">
                  <c:v>45429</c:v>
                </c:pt>
                <c:pt idx="635">
                  <c:v>45430</c:v>
                </c:pt>
                <c:pt idx="636">
                  <c:v>45433</c:v>
                </c:pt>
                <c:pt idx="637">
                  <c:v>45434</c:v>
                </c:pt>
                <c:pt idx="638">
                  <c:v>45435</c:v>
                </c:pt>
                <c:pt idx="639">
                  <c:v>45436</c:v>
                </c:pt>
                <c:pt idx="640">
                  <c:v>45439</c:v>
                </c:pt>
                <c:pt idx="641">
                  <c:v>45440</c:v>
                </c:pt>
                <c:pt idx="642">
                  <c:v>45441</c:v>
                </c:pt>
                <c:pt idx="643">
                  <c:v>45442</c:v>
                </c:pt>
                <c:pt idx="644">
                  <c:v>45443</c:v>
                </c:pt>
                <c:pt idx="645">
                  <c:v>45446</c:v>
                </c:pt>
                <c:pt idx="646">
                  <c:v>45447</c:v>
                </c:pt>
                <c:pt idx="647">
                  <c:v>45448</c:v>
                </c:pt>
                <c:pt idx="648">
                  <c:v>45449</c:v>
                </c:pt>
                <c:pt idx="649">
                  <c:v>45450</c:v>
                </c:pt>
                <c:pt idx="650">
                  <c:v>45453</c:v>
                </c:pt>
                <c:pt idx="651">
                  <c:v>45454</c:v>
                </c:pt>
                <c:pt idx="652">
                  <c:v>45455</c:v>
                </c:pt>
                <c:pt idx="653">
                  <c:v>45456</c:v>
                </c:pt>
                <c:pt idx="654">
                  <c:v>45457</c:v>
                </c:pt>
                <c:pt idx="655">
                  <c:v>45461</c:v>
                </c:pt>
                <c:pt idx="656">
                  <c:v>45462</c:v>
                </c:pt>
                <c:pt idx="657">
                  <c:v>45463</c:v>
                </c:pt>
                <c:pt idx="658">
                  <c:v>45464</c:v>
                </c:pt>
                <c:pt idx="659">
                  <c:v>45467</c:v>
                </c:pt>
                <c:pt idx="660">
                  <c:v>45468</c:v>
                </c:pt>
                <c:pt idx="661">
                  <c:v>45469</c:v>
                </c:pt>
                <c:pt idx="662">
                  <c:v>45470</c:v>
                </c:pt>
                <c:pt idx="663">
                  <c:v>45471</c:v>
                </c:pt>
                <c:pt idx="664">
                  <c:v>45474</c:v>
                </c:pt>
                <c:pt idx="665">
                  <c:v>45475</c:v>
                </c:pt>
                <c:pt idx="666">
                  <c:v>45476</c:v>
                </c:pt>
                <c:pt idx="667">
                  <c:v>45477</c:v>
                </c:pt>
                <c:pt idx="668">
                  <c:v>45478</c:v>
                </c:pt>
                <c:pt idx="669">
                  <c:v>45481</c:v>
                </c:pt>
                <c:pt idx="670">
                  <c:v>45482</c:v>
                </c:pt>
                <c:pt idx="671">
                  <c:v>45483</c:v>
                </c:pt>
                <c:pt idx="672">
                  <c:v>45484</c:v>
                </c:pt>
                <c:pt idx="673">
                  <c:v>45485</c:v>
                </c:pt>
                <c:pt idx="674">
                  <c:v>45488</c:v>
                </c:pt>
                <c:pt idx="675">
                  <c:v>45489</c:v>
                </c:pt>
                <c:pt idx="676">
                  <c:v>45491</c:v>
                </c:pt>
                <c:pt idx="677">
                  <c:v>45492</c:v>
                </c:pt>
                <c:pt idx="678">
                  <c:v>45495</c:v>
                </c:pt>
                <c:pt idx="679">
                  <c:v>45496</c:v>
                </c:pt>
                <c:pt idx="680">
                  <c:v>45497</c:v>
                </c:pt>
                <c:pt idx="681">
                  <c:v>45498</c:v>
                </c:pt>
                <c:pt idx="682">
                  <c:v>45499</c:v>
                </c:pt>
                <c:pt idx="683">
                  <c:v>45502</c:v>
                </c:pt>
                <c:pt idx="684">
                  <c:v>45503</c:v>
                </c:pt>
                <c:pt idx="685">
                  <c:v>45504</c:v>
                </c:pt>
                <c:pt idx="686">
                  <c:v>45505</c:v>
                </c:pt>
                <c:pt idx="687">
                  <c:v>45506</c:v>
                </c:pt>
                <c:pt idx="688">
                  <c:v>45509</c:v>
                </c:pt>
                <c:pt idx="689">
                  <c:v>45510</c:v>
                </c:pt>
                <c:pt idx="690">
                  <c:v>45511</c:v>
                </c:pt>
                <c:pt idx="691">
                  <c:v>45512</c:v>
                </c:pt>
                <c:pt idx="692">
                  <c:v>45513</c:v>
                </c:pt>
                <c:pt idx="693">
                  <c:v>45516</c:v>
                </c:pt>
                <c:pt idx="694">
                  <c:v>45517</c:v>
                </c:pt>
                <c:pt idx="695">
                  <c:v>45518</c:v>
                </c:pt>
                <c:pt idx="696">
                  <c:v>45520</c:v>
                </c:pt>
                <c:pt idx="697">
                  <c:v>45523</c:v>
                </c:pt>
                <c:pt idx="698">
                  <c:v>45524</c:v>
                </c:pt>
                <c:pt idx="699">
                  <c:v>45525</c:v>
                </c:pt>
                <c:pt idx="700">
                  <c:v>45526</c:v>
                </c:pt>
                <c:pt idx="701">
                  <c:v>45527</c:v>
                </c:pt>
                <c:pt idx="702">
                  <c:v>45530</c:v>
                </c:pt>
                <c:pt idx="703">
                  <c:v>45531</c:v>
                </c:pt>
                <c:pt idx="704">
                  <c:v>45532</c:v>
                </c:pt>
                <c:pt idx="705">
                  <c:v>45533</c:v>
                </c:pt>
                <c:pt idx="706">
                  <c:v>45534</c:v>
                </c:pt>
                <c:pt idx="707">
                  <c:v>45537</c:v>
                </c:pt>
                <c:pt idx="708">
                  <c:v>45538</c:v>
                </c:pt>
                <c:pt idx="709">
                  <c:v>45539</c:v>
                </c:pt>
                <c:pt idx="710">
                  <c:v>45540</c:v>
                </c:pt>
                <c:pt idx="711">
                  <c:v>45541</c:v>
                </c:pt>
                <c:pt idx="712">
                  <c:v>45544</c:v>
                </c:pt>
                <c:pt idx="713">
                  <c:v>45545</c:v>
                </c:pt>
                <c:pt idx="714">
                  <c:v>45546</c:v>
                </c:pt>
                <c:pt idx="715">
                  <c:v>45547</c:v>
                </c:pt>
                <c:pt idx="716">
                  <c:v>45548</c:v>
                </c:pt>
                <c:pt idx="717">
                  <c:v>45551</c:v>
                </c:pt>
                <c:pt idx="718">
                  <c:v>45552</c:v>
                </c:pt>
                <c:pt idx="719">
                  <c:v>45553</c:v>
                </c:pt>
                <c:pt idx="720">
                  <c:v>45554</c:v>
                </c:pt>
                <c:pt idx="721">
                  <c:v>45555</c:v>
                </c:pt>
                <c:pt idx="722">
                  <c:v>45558</c:v>
                </c:pt>
                <c:pt idx="723">
                  <c:v>45559</c:v>
                </c:pt>
                <c:pt idx="724">
                  <c:v>45560</c:v>
                </c:pt>
                <c:pt idx="725">
                  <c:v>45561</c:v>
                </c:pt>
                <c:pt idx="726">
                  <c:v>45562</c:v>
                </c:pt>
                <c:pt idx="727">
                  <c:v>45565</c:v>
                </c:pt>
                <c:pt idx="728">
                  <c:v>45566</c:v>
                </c:pt>
                <c:pt idx="729">
                  <c:v>45568</c:v>
                </c:pt>
                <c:pt idx="730">
                  <c:v>45569</c:v>
                </c:pt>
                <c:pt idx="731">
                  <c:v>45572</c:v>
                </c:pt>
                <c:pt idx="732">
                  <c:v>45573</c:v>
                </c:pt>
                <c:pt idx="733">
                  <c:v>45574</c:v>
                </c:pt>
                <c:pt idx="734">
                  <c:v>45575</c:v>
                </c:pt>
                <c:pt idx="735">
                  <c:v>45576</c:v>
                </c:pt>
                <c:pt idx="736">
                  <c:v>45579</c:v>
                </c:pt>
                <c:pt idx="737">
                  <c:v>45580</c:v>
                </c:pt>
                <c:pt idx="738">
                  <c:v>45581</c:v>
                </c:pt>
                <c:pt idx="739">
                  <c:v>45582</c:v>
                </c:pt>
                <c:pt idx="740">
                  <c:v>45583</c:v>
                </c:pt>
                <c:pt idx="741">
                  <c:v>45586</c:v>
                </c:pt>
                <c:pt idx="742">
                  <c:v>45587</c:v>
                </c:pt>
                <c:pt idx="743">
                  <c:v>45588</c:v>
                </c:pt>
                <c:pt idx="744">
                  <c:v>45589</c:v>
                </c:pt>
                <c:pt idx="745">
                  <c:v>45590</c:v>
                </c:pt>
                <c:pt idx="746">
                  <c:v>45593</c:v>
                </c:pt>
                <c:pt idx="747">
                  <c:v>45594</c:v>
                </c:pt>
                <c:pt idx="748">
                  <c:v>45595</c:v>
                </c:pt>
                <c:pt idx="749">
                  <c:v>45596</c:v>
                </c:pt>
                <c:pt idx="750">
                  <c:v>45597</c:v>
                </c:pt>
                <c:pt idx="751">
                  <c:v>45600</c:v>
                </c:pt>
                <c:pt idx="752">
                  <c:v>45601</c:v>
                </c:pt>
                <c:pt idx="753">
                  <c:v>45602</c:v>
                </c:pt>
                <c:pt idx="754">
                  <c:v>45603</c:v>
                </c:pt>
                <c:pt idx="755">
                  <c:v>45604</c:v>
                </c:pt>
                <c:pt idx="756">
                  <c:v>45607</c:v>
                </c:pt>
                <c:pt idx="757">
                  <c:v>45608</c:v>
                </c:pt>
                <c:pt idx="758">
                  <c:v>45609</c:v>
                </c:pt>
                <c:pt idx="759">
                  <c:v>45610</c:v>
                </c:pt>
                <c:pt idx="760">
                  <c:v>45614</c:v>
                </c:pt>
                <c:pt idx="761">
                  <c:v>45615</c:v>
                </c:pt>
                <c:pt idx="762">
                  <c:v>45617</c:v>
                </c:pt>
                <c:pt idx="763">
                  <c:v>45618</c:v>
                </c:pt>
                <c:pt idx="764">
                  <c:v>45621</c:v>
                </c:pt>
                <c:pt idx="765">
                  <c:v>45622</c:v>
                </c:pt>
                <c:pt idx="766">
                  <c:v>45623</c:v>
                </c:pt>
                <c:pt idx="767">
                  <c:v>45624</c:v>
                </c:pt>
                <c:pt idx="768">
                  <c:v>45625</c:v>
                </c:pt>
                <c:pt idx="769">
                  <c:v>45628</c:v>
                </c:pt>
                <c:pt idx="770">
                  <c:v>45629</c:v>
                </c:pt>
                <c:pt idx="771">
                  <c:v>45630</c:v>
                </c:pt>
                <c:pt idx="772">
                  <c:v>45631</c:v>
                </c:pt>
                <c:pt idx="773">
                  <c:v>45632</c:v>
                </c:pt>
                <c:pt idx="774">
                  <c:v>45635</c:v>
                </c:pt>
                <c:pt idx="775">
                  <c:v>45636</c:v>
                </c:pt>
                <c:pt idx="776">
                  <c:v>45637</c:v>
                </c:pt>
                <c:pt idx="777">
                  <c:v>45638</c:v>
                </c:pt>
                <c:pt idx="778">
                  <c:v>45639</c:v>
                </c:pt>
                <c:pt idx="779">
                  <c:v>45642</c:v>
                </c:pt>
                <c:pt idx="780">
                  <c:v>45643</c:v>
                </c:pt>
                <c:pt idx="781">
                  <c:v>45644</c:v>
                </c:pt>
                <c:pt idx="782">
                  <c:v>45645</c:v>
                </c:pt>
                <c:pt idx="783">
                  <c:v>45646</c:v>
                </c:pt>
                <c:pt idx="784">
                  <c:v>45649</c:v>
                </c:pt>
                <c:pt idx="785">
                  <c:v>45650</c:v>
                </c:pt>
                <c:pt idx="786">
                  <c:v>45652</c:v>
                </c:pt>
                <c:pt idx="787">
                  <c:v>45653</c:v>
                </c:pt>
                <c:pt idx="788">
                  <c:v>45656</c:v>
                </c:pt>
                <c:pt idx="789">
                  <c:v>45657</c:v>
                </c:pt>
                <c:pt idx="790">
                  <c:v>45658</c:v>
                </c:pt>
                <c:pt idx="791">
                  <c:v>45659</c:v>
                </c:pt>
                <c:pt idx="792">
                  <c:v>45660</c:v>
                </c:pt>
                <c:pt idx="793">
                  <c:v>45663</c:v>
                </c:pt>
                <c:pt idx="794">
                  <c:v>45664</c:v>
                </c:pt>
                <c:pt idx="795">
                  <c:v>45665</c:v>
                </c:pt>
                <c:pt idx="796">
                  <c:v>45666</c:v>
                </c:pt>
                <c:pt idx="797">
                  <c:v>45667</c:v>
                </c:pt>
                <c:pt idx="798">
                  <c:v>45670</c:v>
                </c:pt>
                <c:pt idx="799">
                  <c:v>45671</c:v>
                </c:pt>
                <c:pt idx="800">
                  <c:v>45672</c:v>
                </c:pt>
                <c:pt idx="801">
                  <c:v>45673</c:v>
                </c:pt>
                <c:pt idx="802">
                  <c:v>45674</c:v>
                </c:pt>
                <c:pt idx="803">
                  <c:v>45677</c:v>
                </c:pt>
                <c:pt idx="804">
                  <c:v>45678</c:v>
                </c:pt>
                <c:pt idx="805">
                  <c:v>45679</c:v>
                </c:pt>
                <c:pt idx="806">
                  <c:v>45680</c:v>
                </c:pt>
                <c:pt idx="807">
                  <c:v>45681</c:v>
                </c:pt>
                <c:pt idx="808">
                  <c:v>45684</c:v>
                </c:pt>
                <c:pt idx="809">
                  <c:v>45685</c:v>
                </c:pt>
                <c:pt idx="810">
                  <c:v>45686</c:v>
                </c:pt>
                <c:pt idx="811">
                  <c:v>45687</c:v>
                </c:pt>
                <c:pt idx="812">
                  <c:v>45688</c:v>
                </c:pt>
                <c:pt idx="813">
                  <c:v>45689</c:v>
                </c:pt>
                <c:pt idx="814">
                  <c:v>45691</c:v>
                </c:pt>
                <c:pt idx="815">
                  <c:v>45692</c:v>
                </c:pt>
                <c:pt idx="816">
                  <c:v>45693</c:v>
                </c:pt>
                <c:pt idx="817">
                  <c:v>45694</c:v>
                </c:pt>
                <c:pt idx="818">
                  <c:v>45695</c:v>
                </c:pt>
                <c:pt idx="819">
                  <c:v>45698</c:v>
                </c:pt>
                <c:pt idx="820">
                  <c:v>45699</c:v>
                </c:pt>
                <c:pt idx="821">
                  <c:v>45700</c:v>
                </c:pt>
                <c:pt idx="822">
                  <c:v>45701</c:v>
                </c:pt>
                <c:pt idx="823">
                  <c:v>45702</c:v>
                </c:pt>
                <c:pt idx="824">
                  <c:v>45705</c:v>
                </c:pt>
                <c:pt idx="825">
                  <c:v>45706</c:v>
                </c:pt>
                <c:pt idx="826">
                  <c:v>45707</c:v>
                </c:pt>
                <c:pt idx="827">
                  <c:v>45708</c:v>
                </c:pt>
                <c:pt idx="828">
                  <c:v>45709</c:v>
                </c:pt>
                <c:pt idx="829">
                  <c:v>45712</c:v>
                </c:pt>
                <c:pt idx="830">
                  <c:v>45713</c:v>
                </c:pt>
                <c:pt idx="831">
                  <c:v>45715</c:v>
                </c:pt>
                <c:pt idx="832">
                  <c:v>45716</c:v>
                </c:pt>
                <c:pt idx="833">
                  <c:v>45719</c:v>
                </c:pt>
                <c:pt idx="834">
                  <c:v>45720</c:v>
                </c:pt>
                <c:pt idx="835">
                  <c:v>45721</c:v>
                </c:pt>
                <c:pt idx="836">
                  <c:v>45722</c:v>
                </c:pt>
                <c:pt idx="837">
                  <c:v>45723</c:v>
                </c:pt>
                <c:pt idx="838">
                  <c:v>45726</c:v>
                </c:pt>
                <c:pt idx="839">
                  <c:v>45727</c:v>
                </c:pt>
                <c:pt idx="840">
                  <c:v>45728</c:v>
                </c:pt>
                <c:pt idx="841">
                  <c:v>45729</c:v>
                </c:pt>
                <c:pt idx="842">
                  <c:v>45733</c:v>
                </c:pt>
                <c:pt idx="843">
                  <c:v>45734</c:v>
                </c:pt>
                <c:pt idx="844">
                  <c:v>45735</c:v>
                </c:pt>
                <c:pt idx="845">
                  <c:v>45736</c:v>
                </c:pt>
                <c:pt idx="846">
                  <c:v>45737</c:v>
                </c:pt>
                <c:pt idx="847">
                  <c:v>45740</c:v>
                </c:pt>
                <c:pt idx="848">
                  <c:v>45741</c:v>
                </c:pt>
                <c:pt idx="849">
                  <c:v>45742</c:v>
                </c:pt>
                <c:pt idx="850">
                  <c:v>45743</c:v>
                </c:pt>
                <c:pt idx="851">
                  <c:v>45744</c:v>
                </c:pt>
                <c:pt idx="852">
                  <c:v>45748</c:v>
                </c:pt>
                <c:pt idx="853">
                  <c:v>45749</c:v>
                </c:pt>
                <c:pt idx="854">
                  <c:v>45750</c:v>
                </c:pt>
                <c:pt idx="855">
                  <c:v>45751</c:v>
                </c:pt>
                <c:pt idx="856">
                  <c:v>45754</c:v>
                </c:pt>
                <c:pt idx="857">
                  <c:v>45755</c:v>
                </c:pt>
                <c:pt idx="858">
                  <c:v>45756</c:v>
                </c:pt>
                <c:pt idx="859">
                  <c:v>45758</c:v>
                </c:pt>
                <c:pt idx="860">
                  <c:v>45762</c:v>
                </c:pt>
                <c:pt idx="861">
                  <c:v>45763</c:v>
                </c:pt>
                <c:pt idx="862">
                  <c:v>45764</c:v>
                </c:pt>
                <c:pt idx="863">
                  <c:v>45768</c:v>
                </c:pt>
                <c:pt idx="864">
                  <c:v>45769</c:v>
                </c:pt>
                <c:pt idx="865">
                  <c:v>45770</c:v>
                </c:pt>
                <c:pt idx="866">
                  <c:v>45771</c:v>
                </c:pt>
                <c:pt idx="867">
                  <c:v>45772</c:v>
                </c:pt>
                <c:pt idx="868">
                  <c:v>45775</c:v>
                </c:pt>
                <c:pt idx="869">
                  <c:v>45776</c:v>
                </c:pt>
                <c:pt idx="870">
                  <c:v>45777</c:v>
                </c:pt>
                <c:pt idx="871">
                  <c:v>45779</c:v>
                </c:pt>
                <c:pt idx="872">
                  <c:v>45782</c:v>
                </c:pt>
                <c:pt idx="873">
                  <c:v>45783</c:v>
                </c:pt>
                <c:pt idx="874">
                  <c:v>45784</c:v>
                </c:pt>
                <c:pt idx="875">
                  <c:v>45785</c:v>
                </c:pt>
                <c:pt idx="876">
                  <c:v>45786</c:v>
                </c:pt>
                <c:pt idx="877">
                  <c:v>45789</c:v>
                </c:pt>
                <c:pt idx="878">
                  <c:v>45790</c:v>
                </c:pt>
                <c:pt idx="879">
                  <c:v>45791</c:v>
                </c:pt>
                <c:pt idx="880">
                  <c:v>45792</c:v>
                </c:pt>
                <c:pt idx="881">
                  <c:v>45793</c:v>
                </c:pt>
                <c:pt idx="882">
                  <c:v>45796</c:v>
                </c:pt>
                <c:pt idx="883">
                  <c:v>45797</c:v>
                </c:pt>
                <c:pt idx="884">
                  <c:v>45798</c:v>
                </c:pt>
                <c:pt idx="885">
                  <c:v>45799</c:v>
                </c:pt>
                <c:pt idx="886">
                  <c:v>45800</c:v>
                </c:pt>
                <c:pt idx="887">
                  <c:v>45803</c:v>
                </c:pt>
                <c:pt idx="888">
                  <c:v>45804</c:v>
                </c:pt>
                <c:pt idx="889">
                  <c:v>45805</c:v>
                </c:pt>
                <c:pt idx="890">
                  <c:v>45806</c:v>
                </c:pt>
                <c:pt idx="891">
                  <c:v>45807</c:v>
                </c:pt>
                <c:pt idx="892">
                  <c:v>45810</c:v>
                </c:pt>
                <c:pt idx="893">
                  <c:v>45811</c:v>
                </c:pt>
                <c:pt idx="894">
                  <c:v>45812</c:v>
                </c:pt>
                <c:pt idx="895">
                  <c:v>45813</c:v>
                </c:pt>
                <c:pt idx="896">
                  <c:v>45814</c:v>
                </c:pt>
                <c:pt idx="897">
                  <c:v>45817</c:v>
                </c:pt>
                <c:pt idx="898">
                  <c:v>45818</c:v>
                </c:pt>
                <c:pt idx="899">
                  <c:v>45819</c:v>
                </c:pt>
                <c:pt idx="900">
                  <c:v>45820</c:v>
                </c:pt>
                <c:pt idx="901">
                  <c:v>45821</c:v>
                </c:pt>
                <c:pt idx="902">
                  <c:v>45824</c:v>
                </c:pt>
                <c:pt idx="903">
                  <c:v>45825</c:v>
                </c:pt>
                <c:pt idx="904">
                  <c:v>45826</c:v>
                </c:pt>
                <c:pt idx="905">
                  <c:v>45827</c:v>
                </c:pt>
                <c:pt idx="906">
                  <c:v>45828</c:v>
                </c:pt>
                <c:pt idx="907">
                  <c:v>45831</c:v>
                </c:pt>
                <c:pt idx="908">
                  <c:v>45832</c:v>
                </c:pt>
                <c:pt idx="909">
                  <c:v>45833</c:v>
                </c:pt>
                <c:pt idx="910">
                  <c:v>45834</c:v>
                </c:pt>
                <c:pt idx="911">
                  <c:v>45835</c:v>
                </c:pt>
                <c:pt idx="912">
                  <c:v>45838</c:v>
                </c:pt>
                <c:pt idx="913">
                  <c:v>45839</c:v>
                </c:pt>
                <c:pt idx="914">
                  <c:v>45840</c:v>
                </c:pt>
                <c:pt idx="915">
                  <c:v>45841</c:v>
                </c:pt>
                <c:pt idx="916">
                  <c:v>45842</c:v>
                </c:pt>
                <c:pt idx="917">
                  <c:v>45845</c:v>
                </c:pt>
                <c:pt idx="918">
                  <c:v>45846</c:v>
                </c:pt>
                <c:pt idx="919">
                  <c:v>45847</c:v>
                </c:pt>
                <c:pt idx="920">
                  <c:v>45848</c:v>
                </c:pt>
                <c:pt idx="921">
                  <c:v>45849</c:v>
                </c:pt>
                <c:pt idx="922">
                  <c:v>45852</c:v>
                </c:pt>
                <c:pt idx="923">
                  <c:v>45853</c:v>
                </c:pt>
                <c:pt idx="924">
                  <c:v>45854</c:v>
                </c:pt>
                <c:pt idx="925">
                  <c:v>45855</c:v>
                </c:pt>
                <c:pt idx="926">
                  <c:v>45856</c:v>
                </c:pt>
                <c:pt idx="927">
                  <c:v>45859</c:v>
                </c:pt>
                <c:pt idx="928">
                  <c:v>45860</c:v>
                </c:pt>
                <c:pt idx="929">
                  <c:v>45861</c:v>
                </c:pt>
                <c:pt idx="930">
                  <c:v>45862</c:v>
                </c:pt>
                <c:pt idx="931">
                  <c:v>45863</c:v>
                </c:pt>
                <c:pt idx="932">
                  <c:v>45866</c:v>
                </c:pt>
                <c:pt idx="933">
                  <c:v>45867</c:v>
                </c:pt>
                <c:pt idx="934">
                  <c:v>45868</c:v>
                </c:pt>
                <c:pt idx="935">
                  <c:v>45869</c:v>
                </c:pt>
                <c:pt idx="936">
                  <c:v>45870</c:v>
                </c:pt>
                <c:pt idx="937">
                  <c:v>45873</c:v>
                </c:pt>
                <c:pt idx="938">
                  <c:v>45874</c:v>
                </c:pt>
                <c:pt idx="939">
                  <c:v>45875</c:v>
                </c:pt>
                <c:pt idx="940">
                  <c:v>45876</c:v>
                </c:pt>
                <c:pt idx="941">
                  <c:v>45877</c:v>
                </c:pt>
                <c:pt idx="942">
                  <c:v>45880</c:v>
                </c:pt>
                <c:pt idx="943">
                  <c:v>45881</c:v>
                </c:pt>
                <c:pt idx="944">
                  <c:v>45882</c:v>
                </c:pt>
                <c:pt idx="945">
                  <c:v>45883</c:v>
                </c:pt>
                <c:pt idx="946">
                  <c:v>45887</c:v>
                </c:pt>
                <c:pt idx="947">
                  <c:v>45888</c:v>
                </c:pt>
                <c:pt idx="948">
                  <c:v>45889</c:v>
                </c:pt>
                <c:pt idx="949">
                  <c:v>45890</c:v>
                </c:pt>
                <c:pt idx="950">
                  <c:v>45891</c:v>
                </c:pt>
                <c:pt idx="951">
                  <c:v>45894</c:v>
                </c:pt>
                <c:pt idx="952">
                  <c:v>45895</c:v>
                </c:pt>
                <c:pt idx="953">
                  <c:v>45897</c:v>
                </c:pt>
                <c:pt idx="954">
                  <c:v>45898</c:v>
                </c:pt>
                <c:pt idx="955">
                  <c:v>45901</c:v>
                </c:pt>
                <c:pt idx="956">
                  <c:v>45902</c:v>
                </c:pt>
                <c:pt idx="957">
                  <c:v>45903</c:v>
                </c:pt>
                <c:pt idx="958">
                  <c:v>45904</c:v>
                </c:pt>
                <c:pt idx="959">
                  <c:v>45905</c:v>
                </c:pt>
                <c:pt idx="960">
                  <c:v>45908</c:v>
                </c:pt>
                <c:pt idx="961">
                  <c:v>45909</c:v>
                </c:pt>
                <c:pt idx="962">
                  <c:v>45910</c:v>
                </c:pt>
                <c:pt idx="963">
                  <c:v>45911</c:v>
                </c:pt>
                <c:pt idx="964">
                  <c:v>45912</c:v>
                </c:pt>
                <c:pt idx="965">
                  <c:v>45915</c:v>
                </c:pt>
                <c:pt idx="966">
                  <c:v>45916</c:v>
                </c:pt>
                <c:pt idx="967">
                  <c:v>45917</c:v>
                </c:pt>
                <c:pt idx="968">
                  <c:v>45918</c:v>
                </c:pt>
                <c:pt idx="969">
                  <c:v>45919</c:v>
                </c:pt>
                <c:pt idx="970">
                  <c:v>45922</c:v>
                </c:pt>
                <c:pt idx="971">
                  <c:v>45923</c:v>
                </c:pt>
                <c:pt idx="972">
                  <c:v>45924</c:v>
                </c:pt>
                <c:pt idx="973">
                  <c:v>45925</c:v>
                </c:pt>
                <c:pt idx="974">
                  <c:v>45926</c:v>
                </c:pt>
                <c:pt idx="975">
                  <c:v>45929</c:v>
                </c:pt>
                <c:pt idx="976">
                  <c:v>45930</c:v>
                </c:pt>
                <c:pt idx="977">
                  <c:v>45931</c:v>
                </c:pt>
                <c:pt idx="978">
                  <c:v>45933</c:v>
                </c:pt>
                <c:pt idx="979">
                  <c:v>45936</c:v>
                </c:pt>
                <c:pt idx="980">
                  <c:v>45937</c:v>
                </c:pt>
                <c:pt idx="981">
                  <c:v>45938</c:v>
                </c:pt>
                <c:pt idx="982">
                  <c:v>45939</c:v>
                </c:pt>
                <c:pt idx="983">
                  <c:v>45940</c:v>
                </c:pt>
                <c:pt idx="984">
                  <c:v>45943</c:v>
                </c:pt>
                <c:pt idx="985">
                  <c:v>45944</c:v>
                </c:pt>
                <c:pt idx="986">
                  <c:v>45945</c:v>
                </c:pt>
                <c:pt idx="987">
                  <c:v>45946</c:v>
                </c:pt>
                <c:pt idx="988">
                  <c:v>45947</c:v>
                </c:pt>
                <c:pt idx="989">
                  <c:v>45950</c:v>
                </c:pt>
                <c:pt idx="990">
                  <c:v>45951</c:v>
                </c:pt>
                <c:pt idx="991">
                  <c:v>45953</c:v>
                </c:pt>
                <c:pt idx="992">
                  <c:v>45954</c:v>
                </c:pt>
                <c:pt idx="993">
                  <c:v>45957</c:v>
                </c:pt>
                <c:pt idx="994">
                  <c:v>45958</c:v>
                </c:pt>
                <c:pt idx="995">
                  <c:v>45959</c:v>
                </c:pt>
                <c:pt idx="996">
                  <c:v>45960</c:v>
                </c:pt>
                <c:pt idx="997">
                  <c:v>45961</c:v>
                </c:pt>
                <c:pt idx="998">
                  <c:v>45964</c:v>
                </c:pt>
                <c:pt idx="999">
                  <c:v>45965</c:v>
                </c:pt>
                <c:pt idx="1000">
                  <c:v>45967</c:v>
                </c:pt>
                <c:pt idx="1001">
                  <c:v>45968</c:v>
                </c:pt>
                <c:pt idx="1002">
                  <c:v>45971</c:v>
                </c:pt>
                <c:pt idx="1003">
                  <c:v>45972</c:v>
                </c:pt>
                <c:pt idx="1004">
                  <c:v>45973</c:v>
                </c:pt>
                <c:pt idx="1005">
                  <c:v>45974</c:v>
                </c:pt>
                <c:pt idx="1006">
                  <c:v>45975</c:v>
                </c:pt>
                <c:pt idx="1007">
                  <c:v>45978</c:v>
                </c:pt>
                <c:pt idx="1008">
                  <c:v>45979</c:v>
                </c:pt>
                <c:pt idx="1009">
                  <c:v>45980</c:v>
                </c:pt>
                <c:pt idx="1010">
                  <c:v>45981</c:v>
                </c:pt>
                <c:pt idx="1011">
                  <c:v>45982</c:v>
                </c:pt>
                <c:pt idx="1012">
                  <c:v>45985</c:v>
                </c:pt>
                <c:pt idx="1013">
                  <c:v>45986</c:v>
                </c:pt>
                <c:pt idx="1014">
                  <c:v>45987</c:v>
                </c:pt>
                <c:pt idx="1015">
                  <c:v>45988</c:v>
                </c:pt>
                <c:pt idx="1016">
                  <c:v>45989</c:v>
                </c:pt>
                <c:pt idx="1017">
                  <c:v>45992</c:v>
                </c:pt>
                <c:pt idx="1018">
                  <c:v>45993</c:v>
                </c:pt>
                <c:pt idx="1019">
                  <c:v>45994</c:v>
                </c:pt>
                <c:pt idx="1020">
                  <c:v>45995</c:v>
                </c:pt>
                <c:pt idx="1021">
                  <c:v>45996</c:v>
                </c:pt>
                <c:pt idx="1022">
                  <c:v>45999</c:v>
                </c:pt>
                <c:pt idx="1023">
                  <c:v>46000</c:v>
                </c:pt>
                <c:pt idx="1024">
                  <c:v>46001</c:v>
                </c:pt>
                <c:pt idx="1025">
                  <c:v>46002</c:v>
                </c:pt>
                <c:pt idx="1026">
                  <c:v>46003</c:v>
                </c:pt>
                <c:pt idx="1027">
                  <c:v>46006</c:v>
                </c:pt>
                <c:pt idx="1028">
                  <c:v>46007</c:v>
                </c:pt>
                <c:pt idx="1029">
                  <c:v>46008</c:v>
                </c:pt>
                <c:pt idx="1030">
                  <c:v>46009</c:v>
                </c:pt>
                <c:pt idx="1031">
                  <c:v>46010</c:v>
                </c:pt>
                <c:pt idx="1032">
                  <c:v>46013</c:v>
                </c:pt>
                <c:pt idx="1033">
                  <c:v>46014</c:v>
                </c:pt>
                <c:pt idx="1034">
                  <c:v>46015</c:v>
                </c:pt>
                <c:pt idx="1035">
                  <c:v>46017</c:v>
                </c:pt>
                <c:pt idx="1036">
                  <c:v>46020</c:v>
                </c:pt>
                <c:pt idx="1037">
                  <c:v>46021</c:v>
                </c:pt>
                <c:pt idx="1038">
                  <c:v>46022</c:v>
                </c:pt>
              </c:numCache>
            </c:numRef>
          </c:cat>
          <c:val>
            <c:numRef>
              <c:f>'Price trend line table'!$B$202:$B$1241</c:f>
              <c:numCache>
                <c:formatCode>General</c:formatCode>
                <c:ptCount val="1040"/>
                <c:pt idx="0">
                  <c:v>18125.400000000001</c:v>
                </c:pt>
                <c:pt idx="1">
                  <c:v>18268.400000000001</c:v>
                </c:pt>
                <c:pt idx="2">
                  <c:v>18210.95</c:v>
                </c:pt>
                <c:pt idx="3">
                  <c:v>17857.25</c:v>
                </c:pt>
                <c:pt idx="4">
                  <c:v>17671.650000000001</c:v>
                </c:pt>
                <c:pt idx="5">
                  <c:v>17929.650000000001</c:v>
                </c:pt>
                <c:pt idx="6">
                  <c:v>17888.95</c:v>
                </c:pt>
                <c:pt idx="7">
                  <c:v>17829.2</c:v>
                </c:pt>
                <c:pt idx="8">
                  <c:v>17916.8</c:v>
                </c:pt>
                <c:pt idx="9">
                  <c:v>18068.55</c:v>
                </c:pt>
                <c:pt idx="10">
                  <c:v>18044.25</c:v>
                </c:pt>
                <c:pt idx="11">
                  <c:v>18017.2</c:v>
                </c:pt>
                <c:pt idx="12">
                  <c:v>17873.599999999999</c:v>
                </c:pt>
                <c:pt idx="13">
                  <c:v>18102.75</c:v>
                </c:pt>
                <c:pt idx="14">
                  <c:v>18109.45</c:v>
                </c:pt>
                <c:pt idx="15">
                  <c:v>17999.2</c:v>
                </c:pt>
                <c:pt idx="16">
                  <c:v>17898.650000000001</c:v>
                </c:pt>
                <c:pt idx="17">
                  <c:v>17764.8</c:v>
                </c:pt>
                <c:pt idx="18">
                  <c:v>17416.55</c:v>
                </c:pt>
                <c:pt idx="19">
                  <c:v>17503.349999999999</c:v>
                </c:pt>
                <c:pt idx="20">
                  <c:v>17415.05</c:v>
                </c:pt>
                <c:pt idx="21">
                  <c:v>17536.25</c:v>
                </c:pt>
                <c:pt idx="22">
                  <c:v>17026.45</c:v>
                </c:pt>
                <c:pt idx="23">
                  <c:v>17053.95</c:v>
                </c:pt>
                <c:pt idx="24">
                  <c:v>16983.2</c:v>
                </c:pt>
                <c:pt idx="25">
                  <c:v>17166.900000000001</c:v>
                </c:pt>
                <c:pt idx="26">
                  <c:v>17401.650000000001</c:v>
                </c:pt>
                <c:pt idx="27">
                  <c:v>17196.7</c:v>
                </c:pt>
                <c:pt idx="28">
                  <c:v>16912.25</c:v>
                </c:pt>
                <c:pt idx="29">
                  <c:v>17176.7</c:v>
                </c:pt>
                <c:pt idx="30">
                  <c:v>17469.75</c:v>
                </c:pt>
                <c:pt idx="31">
                  <c:v>17516.849999999999</c:v>
                </c:pt>
                <c:pt idx="32">
                  <c:v>17511.3</c:v>
                </c:pt>
                <c:pt idx="33">
                  <c:v>17368.25</c:v>
                </c:pt>
                <c:pt idx="34">
                  <c:v>17324.900000000001</c:v>
                </c:pt>
                <c:pt idx="35">
                  <c:v>17221.400000000001</c:v>
                </c:pt>
                <c:pt idx="36">
                  <c:v>17248.400000000001</c:v>
                </c:pt>
                <c:pt idx="37">
                  <c:v>16985.2</c:v>
                </c:pt>
                <c:pt idx="38">
                  <c:v>16614.2</c:v>
                </c:pt>
                <c:pt idx="39">
                  <c:v>16770.849999999999</c:v>
                </c:pt>
                <c:pt idx="40">
                  <c:v>16955.45</c:v>
                </c:pt>
                <c:pt idx="41">
                  <c:v>17072.599999999999</c:v>
                </c:pt>
                <c:pt idx="42">
                  <c:v>17003.75</c:v>
                </c:pt>
                <c:pt idx="43">
                  <c:v>17086.25</c:v>
                </c:pt>
                <c:pt idx="44">
                  <c:v>17233.25</c:v>
                </c:pt>
                <c:pt idx="45">
                  <c:v>17213.599999999999</c:v>
                </c:pt>
                <c:pt idx="46">
                  <c:v>17203.95</c:v>
                </c:pt>
                <c:pt idx="47">
                  <c:v>17354.05</c:v>
                </c:pt>
                <c:pt idx="48">
                  <c:v>17625.7</c:v>
                </c:pt>
                <c:pt idx="49">
                  <c:v>17805.25</c:v>
                </c:pt>
                <c:pt idx="50">
                  <c:v>17925.25</c:v>
                </c:pt>
                <c:pt idx="51">
                  <c:v>17745.900000000001</c:v>
                </c:pt>
                <c:pt idx="52">
                  <c:v>17812.7</c:v>
                </c:pt>
                <c:pt idx="53">
                  <c:v>18003.3</c:v>
                </c:pt>
                <c:pt idx="54">
                  <c:v>18055.75</c:v>
                </c:pt>
                <c:pt idx="55">
                  <c:v>18212.349999999999</c:v>
                </c:pt>
                <c:pt idx="56">
                  <c:v>18257.8</c:v>
                </c:pt>
                <c:pt idx="57">
                  <c:v>18255.75</c:v>
                </c:pt>
                <c:pt idx="58">
                  <c:v>18308.099999999999</c:v>
                </c:pt>
                <c:pt idx="59">
                  <c:v>18113.05</c:v>
                </c:pt>
                <c:pt idx="60">
                  <c:v>17938.400000000001</c:v>
                </c:pt>
                <c:pt idx="61">
                  <c:v>17757</c:v>
                </c:pt>
                <c:pt idx="62">
                  <c:v>17617.150000000001</c:v>
                </c:pt>
                <c:pt idx="63">
                  <c:v>17149.099999999999</c:v>
                </c:pt>
                <c:pt idx="64">
                  <c:v>17277.95</c:v>
                </c:pt>
                <c:pt idx="65">
                  <c:v>17110.150000000001</c:v>
                </c:pt>
                <c:pt idx="66">
                  <c:v>17101.95</c:v>
                </c:pt>
                <c:pt idx="67">
                  <c:v>17339.849999999999</c:v>
                </c:pt>
                <c:pt idx="68">
                  <c:v>17576.849999999999</c:v>
                </c:pt>
                <c:pt idx="69">
                  <c:v>17780</c:v>
                </c:pt>
                <c:pt idx="70">
                  <c:v>17560.2</c:v>
                </c:pt>
                <c:pt idx="71">
                  <c:v>17516.3</c:v>
                </c:pt>
                <c:pt idx="72">
                  <c:v>17213.599999999999</c:v>
                </c:pt>
                <c:pt idx="73">
                  <c:v>17266.75</c:v>
                </c:pt>
                <c:pt idx="74">
                  <c:v>17463.8</c:v>
                </c:pt>
                <c:pt idx="75">
                  <c:v>17605.849999999999</c:v>
                </c:pt>
                <c:pt idx="76">
                  <c:v>17374.75</c:v>
                </c:pt>
                <c:pt idx="77">
                  <c:v>16842.8</c:v>
                </c:pt>
                <c:pt idx="78">
                  <c:v>17352.45</c:v>
                </c:pt>
                <c:pt idx="79">
                  <c:v>17322.2</c:v>
                </c:pt>
                <c:pt idx="80">
                  <c:v>17304.599999999999</c:v>
                </c:pt>
                <c:pt idx="81">
                  <c:v>17276.3</c:v>
                </c:pt>
                <c:pt idx="82">
                  <c:v>17206.650000000001</c:v>
                </c:pt>
                <c:pt idx="83">
                  <c:v>17092.2</c:v>
                </c:pt>
                <c:pt idx="84">
                  <c:v>17063.25</c:v>
                </c:pt>
                <c:pt idx="85">
                  <c:v>16247.95</c:v>
                </c:pt>
                <c:pt idx="86">
                  <c:v>16658.400000000001</c:v>
                </c:pt>
                <c:pt idx="87">
                  <c:v>16793.900000000001</c:v>
                </c:pt>
                <c:pt idx="88">
                  <c:v>16605.95</c:v>
                </c:pt>
                <c:pt idx="89">
                  <c:v>16498.05</c:v>
                </c:pt>
                <c:pt idx="90">
                  <c:v>16245.35</c:v>
                </c:pt>
                <c:pt idx="91">
                  <c:v>15863.15</c:v>
                </c:pt>
                <c:pt idx="92">
                  <c:v>16013.45</c:v>
                </c:pt>
                <c:pt idx="93">
                  <c:v>16345.35</c:v>
                </c:pt>
                <c:pt idx="94">
                  <c:v>16594.900000000001</c:v>
                </c:pt>
                <c:pt idx="95">
                  <c:v>16630.45</c:v>
                </c:pt>
                <c:pt idx="96">
                  <c:v>16871.3</c:v>
                </c:pt>
                <c:pt idx="97">
                  <c:v>16663</c:v>
                </c:pt>
                <c:pt idx="98">
                  <c:v>16975.349999999999</c:v>
                </c:pt>
                <c:pt idx="99">
                  <c:v>17287.05</c:v>
                </c:pt>
                <c:pt idx="100">
                  <c:v>17117.599999999999</c:v>
                </c:pt>
                <c:pt idx="101">
                  <c:v>17315.5</c:v>
                </c:pt>
                <c:pt idx="102">
                  <c:v>17245.650000000001</c:v>
                </c:pt>
                <c:pt idx="103">
                  <c:v>17222.75</c:v>
                </c:pt>
                <c:pt idx="104">
                  <c:v>17153</c:v>
                </c:pt>
                <c:pt idx="105">
                  <c:v>17222</c:v>
                </c:pt>
                <c:pt idx="106">
                  <c:v>17325.3</c:v>
                </c:pt>
                <c:pt idx="107">
                  <c:v>17498.25</c:v>
                </c:pt>
                <c:pt idx="108">
                  <c:v>17464.75</c:v>
                </c:pt>
                <c:pt idx="109">
                  <c:v>17670.45</c:v>
                </c:pt>
                <c:pt idx="110">
                  <c:v>18053.400000000001</c:v>
                </c:pt>
                <c:pt idx="111">
                  <c:v>17957.400000000001</c:v>
                </c:pt>
                <c:pt idx="112">
                  <c:v>17807.650000000001</c:v>
                </c:pt>
                <c:pt idx="113">
                  <c:v>17639.55</c:v>
                </c:pt>
                <c:pt idx="114">
                  <c:v>17784.349999999999</c:v>
                </c:pt>
                <c:pt idx="115">
                  <c:v>17674.95</c:v>
                </c:pt>
                <c:pt idx="116">
                  <c:v>17530.3</c:v>
                </c:pt>
                <c:pt idx="117">
                  <c:v>17475.650000000001</c:v>
                </c:pt>
                <c:pt idx="118">
                  <c:v>17173.650000000001</c:v>
                </c:pt>
                <c:pt idx="119">
                  <c:v>16958.650000000001</c:v>
                </c:pt>
                <c:pt idx="120">
                  <c:v>17136.55</c:v>
                </c:pt>
                <c:pt idx="121">
                  <c:v>17392.599999999999</c:v>
                </c:pt>
                <c:pt idx="122">
                  <c:v>17171.95</c:v>
                </c:pt>
                <c:pt idx="123">
                  <c:v>16953.95</c:v>
                </c:pt>
                <c:pt idx="124">
                  <c:v>17200.8</c:v>
                </c:pt>
                <c:pt idx="125">
                  <c:v>17038.400000000001</c:v>
                </c:pt>
                <c:pt idx="126">
                  <c:v>17245.05</c:v>
                </c:pt>
                <c:pt idx="127">
                  <c:v>17102.55</c:v>
                </c:pt>
                <c:pt idx="128">
                  <c:v>17069.099999999999</c:v>
                </c:pt>
                <c:pt idx="129">
                  <c:v>16677.599999999999</c:v>
                </c:pt>
                <c:pt idx="130">
                  <c:v>16682.650000000001</c:v>
                </c:pt>
                <c:pt idx="131">
                  <c:v>16411.25</c:v>
                </c:pt>
                <c:pt idx="132">
                  <c:v>16301.85</c:v>
                </c:pt>
                <c:pt idx="133">
                  <c:v>16240.05</c:v>
                </c:pt>
                <c:pt idx="134">
                  <c:v>16167.1</c:v>
                </c:pt>
                <c:pt idx="135">
                  <c:v>15808</c:v>
                </c:pt>
                <c:pt idx="136">
                  <c:v>15782.15</c:v>
                </c:pt>
                <c:pt idx="137">
                  <c:v>15842.3</c:v>
                </c:pt>
                <c:pt idx="138">
                  <c:v>16259.3</c:v>
                </c:pt>
                <c:pt idx="139">
                  <c:v>16240.3</c:v>
                </c:pt>
                <c:pt idx="140">
                  <c:v>15809.4</c:v>
                </c:pt>
                <c:pt idx="141">
                  <c:v>16266.15</c:v>
                </c:pt>
                <c:pt idx="142">
                  <c:v>16214.7</c:v>
                </c:pt>
                <c:pt idx="143">
                  <c:v>16125.15</c:v>
                </c:pt>
                <c:pt idx="144">
                  <c:v>16025.8</c:v>
                </c:pt>
                <c:pt idx="145">
                  <c:v>16170.15</c:v>
                </c:pt>
                <c:pt idx="146">
                  <c:v>16352.45</c:v>
                </c:pt>
                <c:pt idx="147">
                  <c:v>16661.400000000001</c:v>
                </c:pt>
                <c:pt idx="148">
                  <c:v>16584.55</c:v>
                </c:pt>
                <c:pt idx="149">
                  <c:v>16522.75</c:v>
                </c:pt>
                <c:pt idx="150">
                  <c:v>16628</c:v>
                </c:pt>
                <c:pt idx="151">
                  <c:v>16584.3</c:v>
                </c:pt>
                <c:pt idx="152">
                  <c:v>16569.55</c:v>
                </c:pt>
                <c:pt idx="153">
                  <c:v>16416.349999999999</c:v>
                </c:pt>
                <c:pt idx="154">
                  <c:v>16356.25</c:v>
                </c:pt>
                <c:pt idx="155">
                  <c:v>16478.099999999999</c:v>
                </c:pt>
                <c:pt idx="156">
                  <c:v>16201.8</c:v>
                </c:pt>
                <c:pt idx="157">
                  <c:v>15774.4</c:v>
                </c:pt>
                <c:pt idx="158">
                  <c:v>15732.1</c:v>
                </c:pt>
                <c:pt idx="159">
                  <c:v>15692.15</c:v>
                </c:pt>
                <c:pt idx="160">
                  <c:v>15360.6</c:v>
                </c:pt>
                <c:pt idx="161">
                  <c:v>15293.5</c:v>
                </c:pt>
                <c:pt idx="162">
                  <c:v>15350.15</c:v>
                </c:pt>
                <c:pt idx="163">
                  <c:v>15638.8</c:v>
                </c:pt>
                <c:pt idx="164">
                  <c:v>15413.3</c:v>
                </c:pt>
                <c:pt idx="165">
                  <c:v>15556.65</c:v>
                </c:pt>
                <c:pt idx="166">
                  <c:v>15699.25</c:v>
                </c:pt>
                <c:pt idx="167">
                  <c:v>15832.05</c:v>
                </c:pt>
                <c:pt idx="168">
                  <c:v>15850.2</c:v>
                </c:pt>
                <c:pt idx="169">
                  <c:v>15799.1</c:v>
                </c:pt>
                <c:pt idx="170">
                  <c:v>15780.25</c:v>
                </c:pt>
                <c:pt idx="171">
                  <c:v>15752.05</c:v>
                </c:pt>
                <c:pt idx="172">
                  <c:v>15835.35</c:v>
                </c:pt>
                <c:pt idx="173">
                  <c:v>15810.85</c:v>
                </c:pt>
                <c:pt idx="174">
                  <c:v>15989.8</c:v>
                </c:pt>
                <c:pt idx="175">
                  <c:v>16132.9</c:v>
                </c:pt>
                <c:pt idx="176">
                  <c:v>16220.6</c:v>
                </c:pt>
                <c:pt idx="177">
                  <c:v>16216</c:v>
                </c:pt>
                <c:pt idx="178">
                  <c:v>16058.3</c:v>
                </c:pt>
                <c:pt idx="179">
                  <c:v>15966.65</c:v>
                </c:pt>
                <c:pt idx="180">
                  <c:v>15938.65</c:v>
                </c:pt>
                <c:pt idx="181">
                  <c:v>16049.2</c:v>
                </c:pt>
                <c:pt idx="182">
                  <c:v>16278.5</c:v>
                </c:pt>
                <c:pt idx="183">
                  <c:v>16340.55</c:v>
                </c:pt>
                <c:pt idx="184">
                  <c:v>16520.849999999999</c:v>
                </c:pt>
                <c:pt idx="185">
                  <c:v>16605.25</c:v>
                </c:pt>
                <c:pt idx="186">
                  <c:v>16719.45</c:v>
                </c:pt>
                <c:pt idx="187">
                  <c:v>16631</c:v>
                </c:pt>
                <c:pt idx="188">
                  <c:v>16483.849999999999</c:v>
                </c:pt>
                <c:pt idx="189">
                  <c:v>16641.8</c:v>
                </c:pt>
                <c:pt idx="190">
                  <c:v>16929.599999999999</c:v>
                </c:pt>
                <c:pt idx="191">
                  <c:v>17158.25</c:v>
                </c:pt>
                <c:pt idx="192">
                  <c:v>17340.05</c:v>
                </c:pt>
                <c:pt idx="193">
                  <c:v>17345.45</c:v>
                </c:pt>
                <c:pt idx="194">
                  <c:v>17388.150000000001</c:v>
                </c:pt>
                <c:pt idx="195">
                  <c:v>17382</c:v>
                </c:pt>
                <c:pt idx="196">
                  <c:v>17397.5</c:v>
                </c:pt>
                <c:pt idx="197">
                  <c:v>17525.099999999999</c:v>
                </c:pt>
                <c:pt idx="198">
                  <c:v>17534.75</c:v>
                </c:pt>
                <c:pt idx="199">
                  <c:v>17659</c:v>
                </c:pt>
                <c:pt idx="200">
                  <c:v>17698.150000000001</c:v>
                </c:pt>
                <c:pt idx="201">
                  <c:v>17825.25</c:v>
                </c:pt>
                <c:pt idx="202">
                  <c:v>17944.25</c:v>
                </c:pt>
                <c:pt idx="203">
                  <c:v>17956.5</c:v>
                </c:pt>
                <c:pt idx="204">
                  <c:v>17758.45</c:v>
                </c:pt>
                <c:pt idx="205">
                  <c:v>17490.7</c:v>
                </c:pt>
                <c:pt idx="206">
                  <c:v>17577.5</c:v>
                </c:pt>
                <c:pt idx="207">
                  <c:v>17604.95</c:v>
                </c:pt>
                <c:pt idx="208">
                  <c:v>17522.45</c:v>
                </c:pt>
                <c:pt idx="209">
                  <c:v>17558.900000000001</c:v>
                </c:pt>
                <c:pt idx="210">
                  <c:v>17312.900000000001</c:v>
                </c:pt>
                <c:pt idx="211">
                  <c:v>17759.3</c:v>
                </c:pt>
                <c:pt idx="212">
                  <c:v>17542.8</c:v>
                </c:pt>
                <c:pt idx="213">
                  <c:v>17539.45</c:v>
                </c:pt>
                <c:pt idx="214">
                  <c:v>17665.8</c:v>
                </c:pt>
                <c:pt idx="215">
                  <c:v>17655.599999999999</c:v>
                </c:pt>
                <c:pt idx="216">
                  <c:v>17624.400000000001</c:v>
                </c:pt>
                <c:pt idx="217">
                  <c:v>17798.75</c:v>
                </c:pt>
                <c:pt idx="218">
                  <c:v>17833.349999999999</c:v>
                </c:pt>
                <c:pt idx="219">
                  <c:v>17936.349999999999</c:v>
                </c:pt>
                <c:pt idx="220">
                  <c:v>18070.05</c:v>
                </c:pt>
                <c:pt idx="221">
                  <c:v>18003.75</c:v>
                </c:pt>
                <c:pt idx="222">
                  <c:v>17877.400000000001</c:v>
                </c:pt>
                <c:pt idx="223">
                  <c:v>17530.849999999999</c:v>
                </c:pt>
                <c:pt idx="224">
                  <c:v>17622.25</c:v>
                </c:pt>
                <c:pt idx="225">
                  <c:v>17816.25</c:v>
                </c:pt>
                <c:pt idx="226">
                  <c:v>17718.349999999999</c:v>
                </c:pt>
                <c:pt idx="227">
                  <c:v>17629.8</c:v>
                </c:pt>
                <c:pt idx="228">
                  <c:v>17327.349999999999</c:v>
                </c:pt>
                <c:pt idx="229">
                  <c:v>17016.3</c:v>
                </c:pt>
                <c:pt idx="230">
                  <c:v>17007.400000000001</c:v>
                </c:pt>
                <c:pt idx="231">
                  <c:v>16858.599999999999</c:v>
                </c:pt>
                <c:pt idx="232">
                  <c:v>16818.099999999999</c:v>
                </c:pt>
                <c:pt idx="233">
                  <c:v>17094.349999999999</c:v>
                </c:pt>
                <c:pt idx="234">
                  <c:v>16887.349999999999</c:v>
                </c:pt>
                <c:pt idx="235">
                  <c:v>17274.3</c:v>
                </c:pt>
                <c:pt idx="236">
                  <c:v>17331.8</c:v>
                </c:pt>
                <c:pt idx="237">
                  <c:v>17314.650000000001</c:v>
                </c:pt>
                <c:pt idx="238">
                  <c:v>17241</c:v>
                </c:pt>
                <c:pt idx="239">
                  <c:v>16983.55</c:v>
                </c:pt>
                <c:pt idx="240">
                  <c:v>17123.599999999999</c:v>
                </c:pt>
                <c:pt idx="241">
                  <c:v>17014.349999999999</c:v>
                </c:pt>
                <c:pt idx="242">
                  <c:v>17185.7</c:v>
                </c:pt>
                <c:pt idx="243">
                  <c:v>17311.8</c:v>
                </c:pt>
                <c:pt idx="244">
                  <c:v>17486.95</c:v>
                </c:pt>
                <c:pt idx="245">
                  <c:v>17512.25</c:v>
                </c:pt>
                <c:pt idx="246">
                  <c:v>17563.95</c:v>
                </c:pt>
                <c:pt idx="247">
                  <c:v>17576.3</c:v>
                </c:pt>
                <c:pt idx="248">
                  <c:v>17730.75</c:v>
                </c:pt>
                <c:pt idx="249">
                  <c:v>17656.349999999999</c:v>
                </c:pt>
                <c:pt idx="250">
                  <c:v>17736.95</c:v>
                </c:pt>
                <c:pt idx="251">
                  <c:v>17786.8</c:v>
                </c:pt>
                <c:pt idx="252">
                  <c:v>18012.2</c:v>
                </c:pt>
                <c:pt idx="253">
                  <c:v>18145.400000000001</c:v>
                </c:pt>
                <c:pt idx="254">
                  <c:v>18082.849999999999</c:v>
                </c:pt>
                <c:pt idx="255">
                  <c:v>18052.7</c:v>
                </c:pt>
                <c:pt idx="256">
                  <c:v>18117.150000000001</c:v>
                </c:pt>
                <c:pt idx="257">
                  <c:v>18202.8</c:v>
                </c:pt>
                <c:pt idx="258">
                  <c:v>18157</c:v>
                </c:pt>
                <c:pt idx="259">
                  <c:v>18028.2</c:v>
                </c:pt>
                <c:pt idx="260">
                  <c:v>18349.7</c:v>
                </c:pt>
                <c:pt idx="261">
                  <c:v>18329.150000000001</c:v>
                </c:pt>
                <c:pt idx="262">
                  <c:v>18403.400000000001</c:v>
                </c:pt>
                <c:pt idx="263">
                  <c:v>18409.650000000001</c:v>
                </c:pt>
                <c:pt idx="264">
                  <c:v>18343.900000000001</c:v>
                </c:pt>
                <c:pt idx="265">
                  <c:v>18307.650000000001</c:v>
                </c:pt>
                <c:pt idx="266">
                  <c:v>18159.95</c:v>
                </c:pt>
                <c:pt idx="267">
                  <c:v>18244.2</c:v>
                </c:pt>
                <c:pt idx="268">
                  <c:v>18267.25</c:v>
                </c:pt>
                <c:pt idx="269">
                  <c:v>18484.099999999999</c:v>
                </c:pt>
                <c:pt idx="270">
                  <c:v>18512.75</c:v>
                </c:pt>
                <c:pt idx="271">
                  <c:v>18562.75</c:v>
                </c:pt>
                <c:pt idx="272">
                  <c:v>18618.05</c:v>
                </c:pt>
                <c:pt idx="273">
                  <c:v>18758.349999999999</c:v>
                </c:pt>
                <c:pt idx="274">
                  <c:v>18812.5</c:v>
                </c:pt>
                <c:pt idx="275">
                  <c:v>18696.099999999999</c:v>
                </c:pt>
                <c:pt idx="276">
                  <c:v>18701.05</c:v>
                </c:pt>
                <c:pt idx="277">
                  <c:v>18642.75</c:v>
                </c:pt>
                <c:pt idx="278">
                  <c:v>18560.5</c:v>
                </c:pt>
                <c:pt idx="279">
                  <c:v>18609.349999999999</c:v>
                </c:pt>
                <c:pt idx="280">
                  <c:v>18496.599999999999</c:v>
                </c:pt>
                <c:pt idx="281">
                  <c:v>18497.150000000001</c:v>
                </c:pt>
                <c:pt idx="282">
                  <c:v>18608</c:v>
                </c:pt>
                <c:pt idx="283">
                  <c:v>18660.3</c:v>
                </c:pt>
                <c:pt idx="284">
                  <c:v>18414.900000000001</c:v>
                </c:pt>
                <c:pt idx="285">
                  <c:v>18269</c:v>
                </c:pt>
                <c:pt idx="286">
                  <c:v>18420.45</c:v>
                </c:pt>
                <c:pt idx="287">
                  <c:v>18385.3</c:v>
                </c:pt>
                <c:pt idx="288">
                  <c:v>18199.099999999999</c:v>
                </c:pt>
                <c:pt idx="289">
                  <c:v>18127.349999999999</c:v>
                </c:pt>
                <c:pt idx="290">
                  <c:v>17806.8</c:v>
                </c:pt>
                <c:pt idx="291">
                  <c:v>18014.599999999999</c:v>
                </c:pt>
                <c:pt idx="292">
                  <c:v>18132.3</c:v>
                </c:pt>
                <c:pt idx="293">
                  <c:v>18122.5</c:v>
                </c:pt>
                <c:pt idx="294">
                  <c:v>18191</c:v>
                </c:pt>
                <c:pt idx="295">
                  <c:v>18105.3</c:v>
                </c:pt>
                <c:pt idx="296">
                  <c:v>18197.45</c:v>
                </c:pt>
                <c:pt idx="297">
                  <c:v>18232.55</c:v>
                </c:pt>
                <c:pt idx="298">
                  <c:v>18042.95</c:v>
                </c:pt>
                <c:pt idx="299">
                  <c:v>17992.150000000001</c:v>
                </c:pt>
                <c:pt idx="300">
                  <c:v>17859.45</c:v>
                </c:pt>
                <c:pt idx="301">
                  <c:v>18101.2</c:v>
                </c:pt>
                <c:pt idx="302">
                  <c:v>17914.150000000001</c:v>
                </c:pt>
                <c:pt idx="303">
                  <c:v>17895.7</c:v>
                </c:pt>
                <c:pt idx="304">
                  <c:v>17858.2</c:v>
                </c:pt>
                <c:pt idx="305">
                  <c:v>17956.599999999999</c:v>
                </c:pt>
                <c:pt idx="306">
                  <c:v>17894.849999999999</c:v>
                </c:pt>
                <c:pt idx="307">
                  <c:v>18053.3</c:v>
                </c:pt>
                <c:pt idx="308">
                  <c:v>18165.349999999999</c:v>
                </c:pt>
                <c:pt idx="309">
                  <c:v>18107.849999999999</c:v>
                </c:pt>
                <c:pt idx="310">
                  <c:v>18027.650000000001</c:v>
                </c:pt>
                <c:pt idx="311">
                  <c:v>18118.55</c:v>
                </c:pt>
                <c:pt idx="312">
                  <c:v>18118.3</c:v>
                </c:pt>
                <c:pt idx="313">
                  <c:v>17891.95</c:v>
                </c:pt>
                <c:pt idx="314">
                  <c:v>17604.349999999999</c:v>
                </c:pt>
                <c:pt idx="315">
                  <c:v>17648.95</c:v>
                </c:pt>
                <c:pt idx="316">
                  <c:v>17662.150000000001</c:v>
                </c:pt>
                <c:pt idx="317">
                  <c:v>17616.3</c:v>
                </c:pt>
                <c:pt idx="318">
                  <c:v>17610.400000000001</c:v>
                </c:pt>
                <c:pt idx="319">
                  <c:v>17854.05</c:v>
                </c:pt>
                <c:pt idx="320">
                  <c:v>17764.599999999999</c:v>
                </c:pt>
                <c:pt idx="321">
                  <c:v>17721.5</c:v>
                </c:pt>
                <c:pt idx="322">
                  <c:v>17871.7</c:v>
                </c:pt>
                <c:pt idx="323">
                  <c:v>17893.45</c:v>
                </c:pt>
                <c:pt idx="324">
                  <c:v>17856.5</c:v>
                </c:pt>
                <c:pt idx="325">
                  <c:v>17770.900000000001</c:v>
                </c:pt>
                <c:pt idx="326">
                  <c:v>17929.849999999999</c:v>
                </c:pt>
                <c:pt idx="327">
                  <c:v>18015.849999999999</c:v>
                </c:pt>
                <c:pt idx="328">
                  <c:v>18035.849999999999</c:v>
                </c:pt>
                <c:pt idx="329">
                  <c:v>17944.2</c:v>
                </c:pt>
                <c:pt idx="330">
                  <c:v>17844.599999999999</c:v>
                </c:pt>
                <c:pt idx="331">
                  <c:v>17826.7</c:v>
                </c:pt>
                <c:pt idx="332">
                  <c:v>17554.3</c:v>
                </c:pt>
                <c:pt idx="333">
                  <c:v>17511.25</c:v>
                </c:pt>
                <c:pt idx="334">
                  <c:v>17465.8</c:v>
                </c:pt>
                <c:pt idx="335">
                  <c:v>17392.7</c:v>
                </c:pt>
                <c:pt idx="336">
                  <c:v>17303.95</c:v>
                </c:pt>
                <c:pt idx="337">
                  <c:v>17450.900000000001</c:v>
                </c:pt>
                <c:pt idx="338">
                  <c:v>17321.900000000001</c:v>
                </c:pt>
                <c:pt idx="339">
                  <c:v>17594.349999999999</c:v>
                </c:pt>
                <c:pt idx="340">
                  <c:v>17711.45</c:v>
                </c:pt>
                <c:pt idx="341">
                  <c:v>17754.400000000001</c:v>
                </c:pt>
                <c:pt idx="342">
                  <c:v>17589.599999999999</c:v>
                </c:pt>
                <c:pt idx="343">
                  <c:v>17412.900000000001</c:v>
                </c:pt>
                <c:pt idx="344">
                  <c:v>17154.3</c:v>
                </c:pt>
                <c:pt idx="345">
                  <c:v>17043.3</c:v>
                </c:pt>
                <c:pt idx="346">
                  <c:v>16972.150000000001</c:v>
                </c:pt>
                <c:pt idx="347">
                  <c:v>16985.599999999999</c:v>
                </c:pt>
                <c:pt idx="348">
                  <c:v>17100.05</c:v>
                </c:pt>
                <c:pt idx="349">
                  <c:v>16988.400000000001</c:v>
                </c:pt>
                <c:pt idx="350">
                  <c:v>17107.5</c:v>
                </c:pt>
                <c:pt idx="351">
                  <c:v>17151.900000000001</c:v>
                </c:pt>
                <c:pt idx="352">
                  <c:v>17076.900000000001</c:v>
                </c:pt>
                <c:pt idx="353">
                  <c:v>16945.05</c:v>
                </c:pt>
                <c:pt idx="354">
                  <c:v>16985.7</c:v>
                </c:pt>
                <c:pt idx="355">
                  <c:v>16951.7</c:v>
                </c:pt>
                <c:pt idx="356">
                  <c:v>17080.7</c:v>
                </c:pt>
                <c:pt idx="357">
                  <c:v>17359.75</c:v>
                </c:pt>
                <c:pt idx="358">
                  <c:v>17398.05</c:v>
                </c:pt>
                <c:pt idx="359">
                  <c:v>17557.05</c:v>
                </c:pt>
                <c:pt idx="360">
                  <c:v>17599.150000000001</c:v>
                </c:pt>
                <c:pt idx="361">
                  <c:v>17624.05</c:v>
                </c:pt>
                <c:pt idx="362">
                  <c:v>17722.3</c:v>
                </c:pt>
                <c:pt idx="363">
                  <c:v>17812.400000000001</c:v>
                </c:pt>
                <c:pt idx="364">
                  <c:v>17828</c:v>
                </c:pt>
                <c:pt idx="365">
                  <c:v>17706.849999999999</c:v>
                </c:pt>
                <c:pt idx="366">
                  <c:v>17660.150000000001</c:v>
                </c:pt>
                <c:pt idx="367">
                  <c:v>17618.75</c:v>
                </c:pt>
                <c:pt idx="368">
                  <c:v>17624.45</c:v>
                </c:pt>
                <c:pt idx="369">
                  <c:v>17624.05</c:v>
                </c:pt>
                <c:pt idx="370">
                  <c:v>17743.400000000001</c:v>
                </c:pt>
                <c:pt idx="371">
                  <c:v>17769.25</c:v>
                </c:pt>
                <c:pt idx="372">
                  <c:v>17813.599999999999</c:v>
                </c:pt>
                <c:pt idx="373">
                  <c:v>17915.05</c:v>
                </c:pt>
                <c:pt idx="374">
                  <c:v>18065</c:v>
                </c:pt>
                <c:pt idx="375">
                  <c:v>18147.650000000001</c:v>
                </c:pt>
                <c:pt idx="376">
                  <c:v>18089.849999999999</c:v>
                </c:pt>
                <c:pt idx="377">
                  <c:v>18255.8</c:v>
                </c:pt>
                <c:pt idx="378">
                  <c:v>18069</c:v>
                </c:pt>
                <c:pt idx="379">
                  <c:v>18264.400000000001</c:v>
                </c:pt>
                <c:pt idx="380">
                  <c:v>18265.95</c:v>
                </c:pt>
                <c:pt idx="381">
                  <c:v>18315.099999999999</c:v>
                </c:pt>
                <c:pt idx="382">
                  <c:v>18297</c:v>
                </c:pt>
                <c:pt idx="383">
                  <c:v>18314.8</c:v>
                </c:pt>
                <c:pt idx="384">
                  <c:v>18398.849999999999</c:v>
                </c:pt>
                <c:pt idx="385">
                  <c:v>18286.5</c:v>
                </c:pt>
                <c:pt idx="386">
                  <c:v>18181.75</c:v>
                </c:pt>
                <c:pt idx="387">
                  <c:v>18129.95</c:v>
                </c:pt>
                <c:pt idx="388">
                  <c:v>18203.400000000001</c:v>
                </c:pt>
                <c:pt idx="389">
                  <c:v>18314.400000000001</c:v>
                </c:pt>
                <c:pt idx="390">
                  <c:v>18348</c:v>
                </c:pt>
                <c:pt idx="391">
                  <c:v>18285.400000000001</c:v>
                </c:pt>
                <c:pt idx="392">
                  <c:v>18321.150000000001</c:v>
                </c:pt>
                <c:pt idx="393">
                  <c:v>18499.349999999999</c:v>
                </c:pt>
                <c:pt idx="394">
                  <c:v>18598.650000000001</c:v>
                </c:pt>
                <c:pt idx="395">
                  <c:v>18633.849999999999</c:v>
                </c:pt>
                <c:pt idx="396">
                  <c:v>18534.400000000001</c:v>
                </c:pt>
                <c:pt idx="397">
                  <c:v>18487.75</c:v>
                </c:pt>
                <c:pt idx="398">
                  <c:v>18534.099999999999</c:v>
                </c:pt>
                <c:pt idx="399">
                  <c:v>18593.849999999999</c:v>
                </c:pt>
                <c:pt idx="400">
                  <c:v>18599</c:v>
                </c:pt>
                <c:pt idx="401">
                  <c:v>18726.400000000001</c:v>
                </c:pt>
                <c:pt idx="402">
                  <c:v>18634.55</c:v>
                </c:pt>
                <c:pt idx="403">
                  <c:v>18563.400000000001</c:v>
                </c:pt>
                <c:pt idx="404">
                  <c:v>18601.5</c:v>
                </c:pt>
                <c:pt idx="405">
                  <c:v>18716.150000000001</c:v>
                </c:pt>
                <c:pt idx="406">
                  <c:v>18755.900000000001</c:v>
                </c:pt>
                <c:pt idx="407">
                  <c:v>18688.099999999999</c:v>
                </c:pt>
                <c:pt idx="408">
                  <c:v>18826</c:v>
                </c:pt>
                <c:pt idx="409">
                  <c:v>18755.45</c:v>
                </c:pt>
                <c:pt idx="410">
                  <c:v>18816.7</c:v>
                </c:pt>
                <c:pt idx="411">
                  <c:v>18856.849999999999</c:v>
                </c:pt>
                <c:pt idx="412">
                  <c:v>18771.25</c:v>
                </c:pt>
                <c:pt idx="413">
                  <c:v>18665.5</c:v>
                </c:pt>
                <c:pt idx="414">
                  <c:v>18691.2</c:v>
                </c:pt>
                <c:pt idx="415">
                  <c:v>18817.400000000001</c:v>
                </c:pt>
                <c:pt idx="416">
                  <c:v>18972.099999999999</c:v>
                </c:pt>
                <c:pt idx="417">
                  <c:v>19189.05</c:v>
                </c:pt>
                <c:pt idx="418">
                  <c:v>19322.55</c:v>
                </c:pt>
                <c:pt idx="419">
                  <c:v>19389</c:v>
                </c:pt>
                <c:pt idx="420">
                  <c:v>19398.5</c:v>
                </c:pt>
                <c:pt idx="421">
                  <c:v>19497.3</c:v>
                </c:pt>
                <c:pt idx="422">
                  <c:v>19331.8</c:v>
                </c:pt>
                <c:pt idx="423">
                  <c:v>19355.900000000001</c:v>
                </c:pt>
                <c:pt idx="424">
                  <c:v>19439.400000000001</c:v>
                </c:pt>
                <c:pt idx="425">
                  <c:v>19384.3</c:v>
                </c:pt>
                <c:pt idx="426">
                  <c:v>19413.75</c:v>
                </c:pt>
                <c:pt idx="427">
                  <c:v>19564.5</c:v>
                </c:pt>
                <c:pt idx="428">
                  <c:v>19711.45</c:v>
                </c:pt>
                <c:pt idx="429">
                  <c:v>19749.25</c:v>
                </c:pt>
                <c:pt idx="430">
                  <c:v>19833.150000000001</c:v>
                </c:pt>
                <c:pt idx="431">
                  <c:v>19979.150000000001</c:v>
                </c:pt>
                <c:pt idx="432">
                  <c:v>19745</c:v>
                </c:pt>
                <c:pt idx="433">
                  <c:v>19672.349999999999</c:v>
                </c:pt>
                <c:pt idx="434">
                  <c:v>19680.599999999999</c:v>
                </c:pt>
                <c:pt idx="435">
                  <c:v>19778.3</c:v>
                </c:pt>
                <c:pt idx="436">
                  <c:v>19659.900000000001</c:v>
                </c:pt>
                <c:pt idx="437">
                  <c:v>19646.05</c:v>
                </c:pt>
                <c:pt idx="438">
                  <c:v>19753.8</c:v>
                </c:pt>
                <c:pt idx="439">
                  <c:v>19733.55</c:v>
                </c:pt>
                <c:pt idx="440">
                  <c:v>19526.55</c:v>
                </c:pt>
                <c:pt idx="441">
                  <c:v>19381.650000000001</c:v>
                </c:pt>
                <c:pt idx="442">
                  <c:v>19517</c:v>
                </c:pt>
                <c:pt idx="443">
                  <c:v>19597.3</c:v>
                </c:pt>
                <c:pt idx="444">
                  <c:v>19570.849999999999</c:v>
                </c:pt>
                <c:pt idx="445">
                  <c:v>19632.55</c:v>
                </c:pt>
                <c:pt idx="446">
                  <c:v>19543.099999999999</c:v>
                </c:pt>
                <c:pt idx="447">
                  <c:v>19428.3</c:v>
                </c:pt>
                <c:pt idx="448">
                  <c:v>19434.55</c:v>
                </c:pt>
                <c:pt idx="449">
                  <c:v>19465</c:v>
                </c:pt>
                <c:pt idx="450">
                  <c:v>19365.25</c:v>
                </c:pt>
                <c:pt idx="451">
                  <c:v>19310.150000000001</c:v>
                </c:pt>
                <c:pt idx="452">
                  <c:v>19393.599999999999</c:v>
                </c:pt>
                <c:pt idx="453">
                  <c:v>19396.45</c:v>
                </c:pt>
                <c:pt idx="454">
                  <c:v>19444</c:v>
                </c:pt>
                <c:pt idx="455">
                  <c:v>19386.7</c:v>
                </c:pt>
                <c:pt idx="456">
                  <c:v>19265.8</c:v>
                </c:pt>
                <c:pt idx="457">
                  <c:v>19306.05</c:v>
                </c:pt>
                <c:pt idx="458">
                  <c:v>19342.650000000001</c:v>
                </c:pt>
                <c:pt idx="459">
                  <c:v>19347.45</c:v>
                </c:pt>
                <c:pt idx="460">
                  <c:v>19253.8</c:v>
                </c:pt>
                <c:pt idx="461">
                  <c:v>19435.3</c:v>
                </c:pt>
                <c:pt idx="462">
                  <c:v>19528.8</c:v>
                </c:pt>
                <c:pt idx="463">
                  <c:v>19574.900000000001</c:v>
                </c:pt>
                <c:pt idx="464">
                  <c:v>19611.05</c:v>
                </c:pt>
                <c:pt idx="465">
                  <c:v>19727.05</c:v>
                </c:pt>
                <c:pt idx="466">
                  <c:v>19819.95</c:v>
                </c:pt>
                <c:pt idx="467">
                  <c:v>19996.349999999999</c:v>
                </c:pt>
                <c:pt idx="468">
                  <c:v>19993.2</c:v>
                </c:pt>
                <c:pt idx="469">
                  <c:v>20070</c:v>
                </c:pt>
                <c:pt idx="470">
                  <c:v>20103.099999999999</c:v>
                </c:pt>
                <c:pt idx="471">
                  <c:v>20192.349999999999</c:v>
                </c:pt>
                <c:pt idx="472">
                  <c:v>20133.3</c:v>
                </c:pt>
                <c:pt idx="473">
                  <c:v>19901.400000000001</c:v>
                </c:pt>
                <c:pt idx="474">
                  <c:v>19742.349999999999</c:v>
                </c:pt>
                <c:pt idx="475">
                  <c:v>19674.25</c:v>
                </c:pt>
                <c:pt idx="476">
                  <c:v>19674.55</c:v>
                </c:pt>
                <c:pt idx="477">
                  <c:v>19664.7</c:v>
                </c:pt>
                <c:pt idx="478">
                  <c:v>19716.45</c:v>
                </c:pt>
                <c:pt idx="479">
                  <c:v>19523.55</c:v>
                </c:pt>
                <c:pt idx="480">
                  <c:v>19638.3</c:v>
                </c:pt>
                <c:pt idx="481">
                  <c:v>19528.75</c:v>
                </c:pt>
                <c:pt idx="482">
                  <c:v>19436.099999999999</c:v>
                </c:pt>
                <c:pt idx="483">
                  <c:v>19545.75</c:v>
                </c:pt>
                <c:pt idx="484">
                  <c:v>19653.5</c:v>
                </c:pt>
                <c:pt idx="485">
                  <c:v>19512.349999999999</c:v>
                </c:pt>
                <c:pt idx="486">
                  <c:v>19689.849999999999</c:v>
                </c:pt>
                <c:pt idx="487">
                  <c:v>19811.349999999999</c:v>
                </c:pt>
                <c:pt idx="488">
                  <c:v>19794</c:v>
                </c:pt>
                <c:pt idx="489">
                  <c:v>19751.05</c:v>
                </c:pt>
                <c:pt idx="490">
                  <c:v>19731.75</c:v>
                </c:pt>
                <c:pt idx="491">
                  <c:v>19811.5</c:v>
                </c:pt>
                <c:pt idx="492">
                  <c:v>19671.099999999999</c:v>
                </c:pt>
                <c:pt idx="493">
                  <c:v>19624.7</c:v>
                </c:pt>
                <c:pt idx="494">
                  <c:v>19542.650000000001</c:v>
                </c:pt>
                <c:pt idx="495">
                  <c:v>19281.75</c:v>
                </c:pt>
                <c:pt idx="496">
                  <c:v>19122.150000000001</c:v>
                </c:pt>
                <c:pt idx="497">
                  <c:v>18857.25</c:v>
                </c:pt>
                <c:pt idx="498">
                  <c:v>19047.25</c:v>
                </c:pt>
                <c:pt idx="499">
                  <c:v>19140.900000000001</c:v>
                </c:pt>
                <c:pt idx="500">
                  <c:v>19079.599999999999</c:v>
                </c:pt>
                <c:pt idx="501">
                  <c:v>18989.150000000001</c:v>
                </c:pt>
                <c:pt idx="502">
                  <c:v>19133.25</c:v>
                </c:pt>
                <c:pt idx="503">
                  <c:v>19230.599999999999</c:v>
                </c:pt>
                <c:pt idx="504">
                  <c:v>19411.75</c:v>
                </c:pt>
                <c:pt idx="505">
                  <c:v>19406.7</c:v>
                </c:pt>
                <c:pt idx="506">
                  <c:v>19443.5</c:v>
                </c:pt>
                <c:pt idx="507">
                  <c:v>19395.3</c:v>
                </c:pt>
                <c:pt idx="508">
                  <c:v>19425.349999999999</c:v>
                </c:pt>
                <c:pt idx="509">
                  <c:v>19525.55</c:v>
                </c:pt>
                <c:pt idx="510">
                  <c:v>19443.55</c:v>
                </c:pt>
                <c:pt idx="511">
                  <c:v>19675.45</c:v>
                </c:pt>
                <c:pt idx="512">
                  <c:v>19765.2</c:v>
                </c:pt>
                <c:pt idx="513">
                  <c:v>19731.8</c:v>
                </c:pt>
                <c:pt idx="514">
                  <c:v>19694</c:v>
                </c:pt>
                <c:pt idx="515">
                  <c:v>19783.400000000001</c:v>
                </c:pt>
                <c:pt idx="516">
                  <c:v>19811.849999999999</c:v>
                </c:pt>
                <c:pt idx="517">
                  <c:v>19802</c:v>
                </c:pt>
                <c:pt idx="518">
                  <c:v>19794.7</c:v>
                </c:pt>
                <c:pt idx="519">
                  <c:v>19889.7</c:v>
                </c:pt>
                <c:pt idx="520">
                  <c:v>20096.599999999999</c:v>
                </c:pt>
                <c:pt idx="521">
                  <c:v>20133.150000000001</c:v>
                </c:pt>
                <c:pt idx="522">
                  <c:v>20267.900000000001</c:v>
                </c:pt>
                <c:pt idx="523">
                  <c:v>20686.8</c:v>
                </c:pt>
                <c:pt idx="524">
                  <c:v>20855.099999999999</c:v>
                </c:pt>
                <c:pt idx="525">
                  <c:v>20937.7</c:v>
                </c:pt>
                <c:pt idx="526">
                  <c:v>20901.150000000001</c:v>
                </c:pt>
                <c:pt idx="527">
                  <c:v>20969.400000000001</c:v>
                </c:pt>
                <c:pt idx="528">
                  <c:v>20997.1</c:v>
                </c:pt>
                <c:pt idx="529">
                  <c:v>20906.400000000001</c:v>
                </c:pt>
                <c:pt idx="530">
                  <c:v>20926.349999999999</c:v>
                </c:pt>
                <c:pt idx="531">
                  <c:v>21182.7</c:v>
                </c:pt>
                <c:pt idx="532">
                  <c:v>21456.65</c:v>
                </c:pt>
                <c:pt idx="533">
                  <c:v>21418.65</c:v>
                </c:pt>
                <c:pt idx="534">
                  <c:v>21453.1</c:v>
                </c:pt>
                <c:pt idx="535">
                  <c:v>21150.15</c:v>
                </c:pt>
                <c:pt idx="536">
                  <c:v>21255.05</c:v>
                </c:pt>
                <c:pt idx="537">
                  <c:v>21349.4</c:v>
                </c:pt>
                <c:pt idx="538">
                  <c:v>21441.35</c:v>
                </c:pt>
                <c:pt idx="539">
                  <c:v>21654.75</c:v>
                </c:pt>
                <c:pt idx="540">
                  <c:v>21778.7</c:v>
                </c:pt>
                <c:pt idx="541">
                  <c:v>21731.4</c:v>
                </c:pt>
                <c:pt idx="542">
                  <c:v>21741.9</c:v>
                </c:pt>
                <c:pt idx="543">
                  <c:v>21665.8</c:v>
                </c:pt>
                <c:pt idx="544">
                  <c:v>21517.35</c:v>
                </c:pt>
                <c:pt idx="545">
                  <c:v>21658.6</c:v>
                </c:pt>
                <c:pt idx="546">
                  <c:v>21710.799999999999</c:v>
                </c:pt>
                <c:pt idx="547">
                  <c:v>21513</c:v>
                </c:pt>
                <c:pt idx="548">
                  <c:v>21544.85</c:v>
                </c:pt>
                <c:pt idx="549">
                  <c:v>21618.7</c:v>
                </c:pt>
                <c:pt idx="550">
                  <c:v>21647.200000000001</c:v>
                </c:pt>
                <c:pt idx="551">
                  <c:v>21894.55</c:v>
                </c:pt>
                <c:pt idx="552">
                  <c:v>22097.45</c:v>
                </c:pt>
                <c:pt idx="553">
                  <c:v>22032.3</c:v>
                </c:pt>
                <c:pt idx="554">
                  <c:v>21571.95</c:v>
                </c:pt>
                <c:pt idx="555">
                  <c:v>21462.25</c:v>
                </c:pt>
                <c:pt idx="556">
                  <c:v>21622.400000000001</c:v>
                </c:pt>
                <c:pt idx="557">
                  <c:v>21571.8</c:v>
                </c:pt>
                <c:pt idx="558">
                  <c:v>21238.799999999999</c:v>
                </c:pt>
                <c:pt idx="559">
                  <c:v>21453.95</c:v>
                </c:pt>
                <c:pt idx="560">
                  <c:v>21352.6</c:v>
                </c:pt>
                <c:pt idx="561">
                  <c:v>21737.599999999999</c:v>
                </c:pt>
                <c:pt idx="562">
                  <c:v>21522.1</c:v>
                </c:pt>
                <c:pt idx="563">
                  <c:v>21725.7</c:v>
                </c:pt>
                <c:pt idx="564">
                  <c:v>21697.45</c:v>
                </c:pt>
                <c:pt idx="565">
                  <c:v>21853.8</c:v>
                </c:pt>
                <c:pt idx="566">
                  <c:v>21771.7</c:v>
                </c:pt>
                <c:pt idx="567">
                  <c:v>21929.4</c:v>
                </c:pt>
                <c:pt idx="568">
                  <c:v>21930.5</c:v>
                </c:pt>
                <c:pt idx="569">
                  <c:v>21717.95</c:v>
                </c:pt>
                <c:pt idx="570">
                  <c:v>21782.5</c:v>
                </c:pt>
                <c:pt idx="571">
                  <c:v>21616.05</c:v>
                </c:pt>
                <c:pt idx="572">
                  <c:v>21743.25</c:v>
                </c:pt>
                <c:pt idx="573">
                  <c:v>21840.05</c:v>
                </c:pt>
                <c:pt idx="574">
                  <c:v>21910.75</c:v>
                </c:pt>
                <c:pt idx="575">
                  <c:v>22040.7</c:v>
                </c:pt>
                <c:pt idx="576">
                  <c:v>22122.25</c:v>
                </c:pt>
                <c:pt idx="577">
                  <c:v>22196.95</c:v>
                </c:pt>
                <c:pt idx="578">
                  <c:v>22055.05</c:v>
                </c:pt>
                <c:pt idx="579">
                  <c:v>22217.45</c:v>
                </c:pt>
                <c:pt idx="580">
                  <c:v>22212.7</c:v>
                </c:pt>
                <c:pt idx="581">
                  <c:v>22122.05</c:v>
                </c:pt>
                <c:pt idx="582">
                  <c:v>22198.35</c:v>
                </c:pt>
                <c:pt idx="583">
                  <c:v>21951.15</c:v>
                </c:pt>
                <c:pt idx="584">
                  <c:v>21982.799999999999</c:v>
                </c:pt>
                <c:pt idx="585">
                  <c:v>22338.75</c:v>
                </c:pt>
                <c:pt idx="586">
                  <c:v>22405.599999999999</c:v>
                </c:pt>
                <c:pt idx="587">
                  <c:v>22356.3</c:v>
                </c:pt>
                <c:pt idx="588">
                  <c:v>22474.05</c:v>
                </c:pt>
                <c:pt idx="589">
                  <c:v>22493.55</c:v>
                </c:pt>
                <c:pt idx="590">
                  <c:v>22332.65</c:v>
                </c:pt>
                <c:pt idx="591">
                  <c:v>22335.7</c:v>
                </c:pt>
                <c:pt idx="592">
                  <c:v>21997.7</c:v>
                </c:pt>
                <c:pt idx="593">
                  <c:v>22146.65</c:v>
                </c:pt>
                <c:pt idx="594">
                  <c:v>22023.35</c:v>
                </c:pt>
                <c:pt idx="595">
                  <c:v>22055.7</c:v>
                </c:pt>
                <c:pt idx="596">
                  <c:v>21817.45</c:v>
                </c:pt>
                <c:pt idx="597">
                  <c:v>21839.1</c:v>
                </c:pt>
                <c:pt idx="598">
                  <c:v>22011.95</c:v>
                </c:pt>
                <c:pt idx="599">
                  <c:v>22096.75</c:v>
                </c:pt>
                <c:pt idx="600">
                  <c:v>22004.7</c:v>
                </c:pt>
                <c:pt idx="601">
                  <c:v>22123.65</c:v>
                </c:pt>
                <c:pt idx="602">
                  <c:v>22326.9</c:v>
                </c:pt>
                <c:pt idx="603">
                  <c:v>22462</c:v>
                </c:pt>
                <c:pt idx="604">
                  <c:v>22453.3</c:v>
                </c:pt>
                <c:pt idx="605">
                  <c:v>22434.65</c:v>
                </c:pt>
                <c:pt idx="606">
                  <c:v>22514.65</c:v>
                </c:pt>
                <c:pt idx="607">
                  <c:v>22513.7</c:v>
                </c:pt>
                <c:pt idx="608">
                  <c:v>22666.3</c:v>
                </c:pt>
                <c:pt idx="609">
                  <c:v>22642.75</c:v>
                </c:pt>
                <c:pt idx="610">
                  <c:v>22753.8</c:v>
                </c:pt>
                <c:pt idx="611">
                  <c:v>22519.4</c:v>
                </c:pt>
                <c:pt idx="612">
                  <c:v>22272.5</c:v>
                </c:pt>
                <c:pt idx="613">
                  <c:v>22147.9</c:v>
                </c:pt>
                <c:pt idx="614">
                  <c:v>21995.85</c:v>
                </c:pt>
                <c:pt idx="615">
                  <c:v>22147</c:v>
                </c:pt>
                <c:pt idx="616">
                  <c:v>22336.400000000001</c:v>
                </c:pt>
                <c:pt idx="617">
                  <c:v>22368</c:v>
                </c:pt>
                <c:pt idx="618">
                  <c:v>22402.400000000001</c:v>
                </c:pt>
                <c:pt idx="619">
                  <c:v>22570.35</c:v>
                </c:pt>
                <c:pt idx="620">
                  <c:v>22419.95</c:v>
                </c:pt>
                <c:pt idx="621">
                  <c:v>22643.4</c:v>
                </c:pt>
                <c:pt idx="622">
                  <c:v>22604.85</c:v>
                </c:pt>
                <c:pt idx="623">
                  <c:v>22648.2</c:v>
                </c:pt>
                <c:pt idx="624">
                  <c:v>22475.85</c:v>
                </c:pt>
                <c:pt idx="625">
                  <c:v>22442.7</c:v>
                </c:pt>
                <c:pt idx="626">
                  <c:v>22302.5</c:v>
                </c:pt>
                <c:pt idx="627">
                  <c:v>22302.5</c:v>
                </c:pt>
                <c:pt idx="628">
                  <c:v>21957.5</c:v>
                </c:pt>
                <c:pt idx="629">
                  <c:v>22055.200000000001</c:v>
                </c:pt>
                <c:pt idx="630">
                  <c:v>22104.05</c:v>
                </c:pt>
                <c:pt idx="631">
                  <c:v>22217.85</c:v>
                </c:pt>
                <c:pt idx="632">
                  <c:v>22200.55</c:v>
                </c:pt>
                <c:pt idx="633">
                  <c:v>22403.85</c:v>
                </c:pt>
                <c:pt idx="634">
                  <c:v>22466.1</c:v>
                </c:pt>
                <c:pt idx="635">
                  <c:v>22502</c:v>
                </c:pt>
                <c:pt idx="636">
                  <c:v>22529.05</c:v>
                </c:pt>
                <c:pt idx="637">
                  <c:v>22597.8</c:v>
                </c:pt>
                <c:pt idx="638">
                  <c:v>22967.65</c:v>
                </c:pt>
                <c:pt idx="639">
                  <c:v>22957.1</c:v>
                </c:pt>
                <c:pt idx="640">
                  <c:v>22932.45</c:v>
                </c:pt>
                <c:pt idx="641">
                  <c:v>22888.15</c:v>
                </c:pt>
                <c:pt idx="642">
                  <c:v>22704.7</c:v>
                </c:pt>
                <c:pt idx="643">
                  <c:v>22488.65</c:v>
                </c:pt>
                <c:pt idx="644">
                  <c:v>22530.7</c:v>
                </c:pt>
                <c:pt idx="645">
                  <c:v>23263.9</c:v>
                </c:pt>
                <c:pt idx="646">
                  <c:v>21884.5</c:v>
                </c:pt>
                <c:pt idx="647">
                  <c:v>22620.35</c:v>
                </c:pt>
                <c:pt idx="648">
                  <c:v>22821.4</c:v>
                </c:pt>
                <c:pt idx="649">
                  <c:v>23290.15</c:v>
                </c:pt>
                <c:pt idx="650">
                  <c:v>23259.200000000001</c:v>
                </c:pt>
                <c:pt idx="651">
                  <c:v>23264.85</c:v>
                </c:pt>
                <c:pt idx="652">
                  <c:v>23322.95</c:v>
                </c:pt>
                <c:pt idx="653">
                  <c:v>23398.9</c:v>
                </c:pt>
                <c:pt idx="654">
                  <c:v>23465.599999999999</c:v>
                </c:pt>
                <c:pt idx="655">
                  <c:v>23557.9</c:v>
                </c:pt>
                <c:pt idx="656">
                  <c:v>23516</c:v>
                </c:pt>
                <c:pt idx="657">
                  <c:v>23567</c:v>
                </c:pt>
                <c:pt idx="658">
                  <c:v>23501.1</c:v>
                </c:pt>
                <c:pt idx="659">
                  <c:v>23537.85</c:v>
                </c:pt>
                <c:pt idx="660">
                  <c:v>23721.3</c:v>
                </c:pt>
                <c:pt idx="661">
                  <c:v>23868.799999999999</c:v>
                </c:pt>
                <c:pt idx="662">
                  <c:v>24044.5</c:v>
                </c:pt>
                <c:pt idx="663">
                  <c:v>24010.6</c:v>
                </c:pt>
                <c:pt idx="664">
                  <c:v>24141.95</c:v>
                </c:pt>
                <c:pt idx="665">
                  <c:v>24123.85</c:v>
                </c:pt>
                <c:pt idx="666">
                  <c:v>24286.5</c:v>
                </c:pt>
                <c:pt idx="667">
                  <c:v>24302.15</c:v>
                </c:pt>
                <c:pt idx="668">
                  <c:v>24323.85</c:v>
                </c:pt>
                <c:pt idx="669">
                  <c:v>24320.55</c:v>
                </c:pt>
                <c:pt idx="670">
                  <c:v>24433.200000000001</c:v>
                </c:pt>
                <c:pt idx="671">
                  <c:v>24324.45</c:v>
                </c:pt>
                <c:pt idx="672">
                  <c:v>24315.95</c:v>
                </c:pt>
                <c:pt idx="673">
                  <c:v>24502.15</c:v>
                </c:pt>
                <c:pt idx="674">
                  <c:v>24586.7</c:v>
                </c:pt>
                <c:pt idx="675">
                  <c:v>24613</c:v>
                </c:pt>
                <c:pt idx="676">
                  <c:v>24800.85</c:v>
                </c:pt>
                <c:pt idx="677">
                  <c:v>24530.9</c:v>
                </c:pt>
                <c:pt idx="678">
                  <c:v>24509.25</c:v>
                </c:pt>
                <c:pt idx="679">
                  <c:v>24479.05</c:v>
                </c:pt>
                <c:pt idx="680">
                  <c:v>24413.5</c:v>
                </c:pt>
                <c:pt idx="681">
                  <c:v>24406.1</c:v>
                </c:pt>
                <c:pt idx="682">
                  <c:v>24834.85</c:v>
                </c:pt>
                <c:pt idx="683">
                  <c:v>24836.1</c:v>
                </c:pt>
                <c:pt idx="684">
                  <c:v>24857.3</c:v>
                </c:pt>
                <c:pt idx="685">
                  <c:v>24951.15</c:v>
                </c:pt>
                <c:pt idx="686">
                  <c:v>25010.9</c:v>
                </c:pt>
                <c:pt idx="687">
                  <c:v>24717.7</c:v>
                </c:pt>
                <c:pt idx="688">
                  <c:v>24055.599999999999</c:v>
                </c:pt>
                <c:pt idx="689">
                  <c:v>23992.55</c:v>
                </c:pt>
                <c:pt idx="690">
                  <c:v>24297.5</c:v>
                </c:pt>
                <c:pt idx="691">
                  <c:v>24117</c:v>
                </c:pt>
                <c:pt idx="692">
                  <c:v>24367.5</c:v>
                </c:pt>
                <c:pt idx="693">
                  <c:v>24347</c:v>
                </c:pt>
                <c:pt idx="694">
                  <c:v>24139</c:v>
                </c:pt>
                <c:pt idx="695">
                  <c:v>24143.75</c:v>
                </c:pt>
                <c:pt idx="696">
                  <c:v>24541.15</c:v>
                </c:pt>
                <c:pt idx="697">
                  <c:v>24572.65</c:v>
                </c:pt>
                <c:pt idx="698">
                  <c:v>24698.85</c:v>
                </c:pt>
                <c:pt idx="699">
                  <c:v>24770.2</c:v>
                </c:pt>
                <c:pt idx="700">
                  <c:v>24811.5</c:v>
                </c:pt>
                <c:pt idx="701">
                  <c:v>24823.15</c:v>
                </c:pt>
                <c:pt idx="702">
                  <c:v>25010.6</c:v>
                </c:pt>
                <c:pt idx="703">
                  <c:v>25017.75</c:v>
                </c:pt>
                <c:pt idx="704">
                  <c:v>25052.35</c:v>
                </c:pt>
                <c:pt idx="705">
                  <c:v>25151.95</c:v>
                </c:pt>
                <c:pt idx="706">
                  <c:v>25235.9</c:v>
                </c:pt>
                <c:pt idx="707">
                  <c:v>25278.7</c:v>
                </c:pt>
                <c:pt idx="708">
                  <c:v>25279.85</c:v>
                </c:pt>
                <c:pt idx="709">
                  <c:v>25198.7</c:v>
                </c:pt>
                <c:pt idx="710">
                  <c:v>25145.1</c:v>
                </c:pt>
                <c:pt idx="711">
                  <c:v>24852.15</c:v>
                </c:pt>
                <c:pt idx="712">
                  <c:v>24936.400000000001</c:v>
                </c:pt>
                <c:pt idx="713">
                  <c:v>25041.1</c:v>
                </c:pt>
                <c:pt idx="714">
                  <c:v>24918.45</c:v>
                </c:pt>
                <c:pt idx="715">
                  <c:v>25388.9</c:v>
                </c:pt>
                <c:pt idx="716">
                  <c:v>25356.5</c:v>
                </c:pt>
                <c:pt idx="717">
                  <c:v>25383.75</c:v>
                </c:pt>
                <c:pt idx="718">
                  <c:v>25418.55</c:v>
                </c:pt>
                <c:pt idx="719">
                  <c:v>25377.55</c:v>
                </c:pt>
                <c:pt idx="720">
                  <c:v>25415.8</c:v>
                </c:pt>
                <c:pt idx="721">
                  <c:v>25790.95</c:v>
                </c:pt>
                <c:pt idx="722">
                  <c:v>25939.05</c:v>
                </c:pt>
                <c:pt idx="723">
                  <c:v>25940.400000000001</c:v>
                </c:pt>
                <c:pt idx="724">
                  <c:v>26004.15</c:v>
                </c:pt>
                <c:pt idx="725">
                  <c:v>26216.05</c:v>
                </c:pt>
                <c:pt idx="726">
                  <c:v>26178.95</c:v>
                </c:pt>
                <c:pt idx="727">
                  <c:v>25810.85</c:v>
                </c:pt>
                <c:pt idx="728">
                  <c:v>25796.9</c:v>
                </c:pt>
                <c:pt idx="729">
                  <c:v>25250.1</c:v>
                </c:pt>
                <c:pt idx="730">
                  <c:v>25014.6</c:v>
                </c:pt>
                <c:pt idx="731">
                  <c:v>24795.75</c:v>
                </c:pt>
                <c:pt idx="732">
                  <c:v>25013.15</c:v>
                </c:pt>
                <c:pt idx="733">
                  <c:v>24981.95</c:v>
                </c:pt>
                <c:pt idx="734">
                  <c:v>24998.45</c:v>
                </c:pt>
                <c:pt idx="735">
                  <c:v>24964.25</c:v>
                </c:pt>
                <c:pt idx="736">
                  <c:v>25127.95</c:v>
                </c:pt>
                <c:pt idx="737">
                  <c:v>25057.35</c:v>
                </c:pt>
                <c:pt idx="738">
                  <c:v>24971.3</c:v>
                </c:pt>
                <c:pt idx="739">
                  <c:v>24749.85</c:v>
                </c:pt>
                <c:pt idx="740">
                  <c:v>24854.05</c:v>
                </c:pt>
                <c:pt idx="741">
                  <c:v>24781.1</c:v>
                </c:pt>
                <c:pt idx="742">
                  <c:v>24472.1</c:v>
                </c:pt>
                <c:pt idx="743">
                  <c:v>24435.5</c:v>
                </c:pt>
                <c:pt idx="744">
                  <c:v>24399.4</c:v>
                </c:pt>
                <c:pt idx="745">
                  <c:v>24180.799999999999</c:v>
                </c:pt>
                <c:pt idx="746">
                  <c:v>24339.15</c:v>
                </c:pt>
                <c:pt idx="747">
                  <c:v>24466.85</c:v>
                </c:pt>
                <c:pt idx="748">
                  <c:v>24340.85</c:v>
                </c:pt>
                <c:pt idx="749">
                  <c:v>24205.35</c:v>
                </c:pt>
                <c:pt idx="750">
                  <c:v>24304.35</c:v>
                </c:pt>
                <c:pt idx="751">
                  <c:v>23995.35</c:v>
                </c:pt>
                <c:pt idx="752">
                  <c:v>24213.3</c:v>
                </c:pt>
                <c:pt idx="753">
                  <c:v>24484.05</c:v>
                </c:pt>
                <c:pt idx="754">
                  <c:v>24199.35</c:v>
                </c:pt>
                <c:pt idx="755">
                  <c:v>24148.2</c:v>
                </c:pt>
                <c:pt idx="756">
                  <c:v>24141.3</c:v>
                </c:pt>
                <c:pt idx="757">
                  <c:v>23883.45</c:v>
                </c:pt>
                <c:pt idx="758">
                  <c:v>23559.05</c:v>
                </c:pt>
                <c:pt idx="759">
                  <c:v>23532.7</c:v>
                </c:pt>
                <c:pt idx="760">
                  <c:v>23453.8</c:v>
                </c:pt>
                <c:pt idx="761">
                  <c:v>23518.5</c:v>
                </c:pt>
                <c:pt idx="762">
                  <c:v>23349.9</c:v>
                </c:pt>
                <c:pt idx="763">
                  <c:v>23907.25</c:v>
                </c:pt>
                <c:pt idx="764">
                  <c:v>24221.9</c:v>
                </c:pt>
                <c:pt idx="765">
                  <c:v>24194.5</c:v>
                </c:pt>
                <c:pt idx="766">
                  <c:v>24274.9</c:v>
                </c:pt>
                <c:pt idx="767">
                  <c:v>23914.15</c:v>
                </c:pt>
                <c:pt idx="768">
                  <c:v>24131.1</c:v>
                </c:pt>
                <c:pt idx="769">
                  <c:v>24276.05</c:v>
                </c:pt>
                <c:pt idx="770">
                  <c:v>24457.15</c:v>
                </c:pt>
                <c:pt idx="771">
                  <c:v>24467.45</c:v>
                </c:pt>
                <c:pt idx="772">
                  <c:v>24708.400000000001</c:v>
                </c:pt>
                <c:pt idx="773">
                  <c:v>24677.8</c:v>
                </c:pt>
                <c:pt idx="774">
                  <c:v>24619</c:v>
                </c:pt>
                <c:pt idx="775">
                  <c:v>24610.05</c:v>
                </c:pt>
                <c:pt idx="776">
                  <c:v>24641.8</c:v>
                </c:pt>
                <c:pt idx="777">
                  <c:v>24548.7</c:v>
                </c:pt>
                <c:pt idx="778">
                  <c:v>24768.3</c:v>
                </c:pt>
                <c:pt idx="779">
                  <c:v>24668.25</c:v>
                </c:pt>
                <c:pt idx="780">
                  <c:v>24336</c:v>
                </c:pt>
                <c:pt idx="781">
                  <c:v>24198.85</c:v>
                </c:pt>
                <c:pt idx="782">
                  <c:v>23951.7</c:v>
                </c:pt>
                <c:pt idx="783">
                  <c:v>23587.5</c:v>
                </c:pt>
                <c:pt idx="784">
                  <c:v>23753.45</c:v>
                </c:pt>
                <c:pt idx="785">
                  <c:v>23727.65</c:v>
                </c:pt>
                <c:pt idx="786">
                  <c:v>23750.2</c:v>
                </c:pt>
                <c:pt idx="787">
                  <c:v>23813.4</c:v>
                </c:pt>
                <c:pt idx="788">
                  <c:v>23644.9</c:v>
                </c:pt>
                <c:pt idx="789">
                  <c:v>23644.799999999999</c:v>
                </c:pt>
                <c:pt idx="790">
                  <c:v>23742.9</c:v>
                </c:pt>
                <c:pt idx="791">
                  <c:v>24188.65</c:v>
                </c:pt>
                <c:pt idx="792">
                  <c:v>24004.75</c:v>
                </c:pt>
                <c:pt idx="793">
                  <c:v>23616.05</c:v>
                </c:pt>
                <c:pt idx="794">
                  <c:v>23707.9</c:v>
                </c:pt>
                <c:pt idx="795">
                  <c:v>23688.95</c:v>
                </c:pt>
                <c:pt idx="796">
                  <c:v>23526.5</c:v>
                </c:pt>
                <c:pt idx="797">
                  <c:v>23431.5</c:v>
                </c:pt>
                <c:pt idx="798">
                  <c:v>23085.95</c:v>
                </c:pt>
                <c:pt idx="799">
                  <c:v>23176.05</c:v>
                </c:pt>
                <c:pt idx="800">
                  <c:v>23213.200000000001</c:v>
                </c:pt>
                <c:pt idx="801">
                  <c:v>23311.8</c:v>
                </c:pt>
                <c:pt idx="802">
                  <c:v>23203.200000000001</c:v>
                </c:pt>
                <c:pt idx="803">
                  <c:v>23344.75</c:v>
                </c:pt>
                <c:pt idx="804">
                  <c:v>23024.65</c:v>
                </c:pt>
                <c:pt idx="805">
                  <c:v>23155.35</c:v>
                </c:pt>
                <c:pt idx="806">
                  <c:v>23205.35</c:v>
                </c:pt>
                <c:pt idx="807">
                  <c:v>23092.2</c:v>
                </c:pt>
                <c:pt idx="808">
                  <c:v>22829.15</c:v>
                </c:pt>
                <c:pt idx="809">
                  <c:v>22957.25</c:v>
                </c:pt>
                <c:pt idx="810">
                  <c:v>23163.1</c:v>
                </c:pt>
                <c:pt idx="811">
                  <c:v>23249.5</c:v>
                </c:pt>
                <c:pt idx="812">
                  <c:v>23508.400000000001</c:v>
                </c:pt>
                <c:pt idx="813">
                  <c:v>23482.15</c:v>
                </c:pt>
                <c:pt idx="814">
                  <c:v>23361.05</c:v>
                </c:pt>
                <c:pt idx="815">
                  <c:v>23739.25</c:v>
                </c:pt>
                <c:pt idx="816">
                  <c:v>23696.3</c:v>
                </c:pt>
                <c:pt idx="817">
                  <c:v>23603.35</c:v>
                </c:pt>
                <c:pt idx="818">
                  <c:v>23559.95</c:v>
                </c:pt>
                <c:pt idx="819">
                  <c:v>23381.599999999999</c:v>
                </c:pt>
                <c:pt idx="820">
                  <c:v>23071.8</c:v>
                </c:pt>
                <c:pt idx="821">
                  <c:v>23045.25</c:v>
                </c:pt>
                <c:pt idx="822">
                  <c:v>23031.4</c:v>
                </c:pt>
                <c:pt idx="823">
                  <c:v>22929.25</c:v>
                </c:pt>
                <c:pt idx="824">
                  <c:v>22959.5</c:v>
                </c:pt>
                <c:pt idx="825">
                  <c:v>22945.3</c:v>
                </c:pt>
                <c:pt idx="826">
                  <c:v>22932.9</c:v>
                </c:pt>
                <c:pt idx="827">
                  <c:v>22913.15</c:v>
                </c:pt>
                <c:pt idx="828">
                  <c:v>22795.9</c:v>
                </c:pt>
                <c:pt idx="829">
                  <c:v>22553.35</c:v>
                </c:pt>
                <c:pt idx="830">
                  <c:v>22547.55</c:v>
                </c:pt>
                <c:pt idx="831">
                  <c:v>22545.05</c:v>
                </c:pt>
                <c:pt idx="832">
                  <c:v>22124.7</c:v>
                </c:pt>
                <c:pt idx="833">
                  <c:v>22119.3</c:v>
                </c:pt>
                <c:pt idx="834">
                  <c:v>22082.65</c:v>
                </c:pt>
                <c:pt idx="835">
                  <c:v>22337.3</c:v>
                </c:pt>
                <c:pt idx="836">
                  <c:v>22544.7</c:v>
                </c:pt>
                <c:pt idx="837">
                  <c:v>22552.5</c:v>
                </c:pt>
                <c:pt idx="838">
                  <c:v>22460.3</c:v>
                </c:pt>
                <c:pt idx="839">
                  <c:v>22497.9</c:v>
                </c:pt>
                <c:pt idx="840">
                  <c:v>22470.5</c:v>
                </c:pt>
                <c:pt idx="841">
                  <c:v>22397.200000000001</c:v>
                </c:pt>
                <c:pt idx="842">
                  <c:v>22508.75</c:v>
                </c:pt>
                <c:pt idx="843">
                  <c:v>22834.3</c:v>
                </c:pt>
                <c:pt idx="844">
                  <c:v>22907.599999999999</c:v>
                </c:pt>
                <c:pt idx="845">
                  <c:v>23190.65</c:v>
                </c:pt>
                <c:pt idx="846">
                  <c:v>23350.400000000001</c:v>
                </c:pt>
                <c:pt idx="847">
                  <c:v>23658.35</c:v>
                </c:pt>
                <c:pt idx="848">
                  <c:v>23668.65</c:v>
                </c:pt>
                <c:pt idx="849">
                  <c:v>23486.85</c:v>
                </c:pt>
                <c:pt idx="850">
                  <c:v>23591.95</c:v>
                </c:pt>
                <c:pt idx="851">
                  <c:v>23519.35</c:v>
                </c:pt>
                <c:pt idx="852">
                  <c:v>23165.7</c:v>
                </c:pt>
                <c:pt idx="853">
                  <c:v>23332.35</c:v>
                </c:pt>
                <c:pt idx="854">
                  <c:v>23250.1</c:v>
                </c:pt>
                <c:pt idx="855">
                  <c:v>22904.45</c:v>
                </c:pt>
                <c:pt idx="856">
                  <c:v>22161.599999999999</c:v>
                </c:pt>
                <c:pt idx="857">
                  <c:v>22535.85</c:v>
                </c:pt>
                <c:pt idx="858">
                  <c:v>22399.15</c:v>
                </c:pt>
                <c:pt idx="859">
                  <c:v>22828.55</c:v>
                </c:pt>
                <c:pt idx="860">
                  <c:v>23328.55</c:v>
                </c:pt>
                <c:pt idx="861">
                  <c:v>23437.200000000001</c:v>
                </c:pt>
                <c:pt idx="862">
                  <c:v>23851.65</c:v>
                </c:pt>
                <c:pt idx="863">
                  <c:v>24125.55</c:v>
                </c:pt>
                <c:pt idx="864">
                  <c:v>24167.25</c:v>
                </c:pt>
                <c:pt idx="865">
                  <c:v>24328.95</c:v>
                </c:pt>
                <c:pt idx="866">
                  <c:v>24246.7</c:v>
                </c:pt>
                <c:pt idx="867">
                  <c:v>24039.35</c:v>
                </c:pt>
                <c:pt idx="868">
                  <c:v>24328.5</c:v>
                </c:pt>
                <c:pt idx="869">
                  <c:v>24335.95</c:v>
                </c:pt>
                <c:pt idx="870">
                  <c:v>24334.2</c:v>
                </c:pt>
                <c:pt idx="871">
                  <c:v>24346.7</c:v>
                </c:pt>
                <c:pt idx="872">
                  <c:v>24461.15</c:v>
                </c:pt>
                <c:pt idx="873">
                  <c:v>24379.599999999999</c:v>
                </c:pt>
                <c:pt idx="874">
                  <c:v>24414.400000000001</c:v>
                </c:pt>
                <c:pt idx="875">
                  <c:v>24273.8</c:v>
                </c:pt>
                <c:pt idx="876">
                  <c:v>24008</c:v>
                </c:pt>
                <c:pt idx="877">
                  <c:v>24924.7</c:v>
                </c:pt>
                <c:pt idx="878">
                  <c:v>24578.35</c:v>
                </c:pt>
                <c:pt idx="879">
                  <c:v>24666.9</c:v>
                </c:pt>
                <c:pt idx="880">
                  <c:v>25062.1</c:v>
                </c:pt>
                <c:pt idx="881">
                  <c:v>25019.8</c:v>
                </c:pt>
                <c:pt idx="882">
                  <c:v>24945.45</c:v>
                </c:pt>
                <c:pt idx="883">
                  <c:v>24683.9</c:v>
                </c:pt>
                <c:pt idx="884">
                  <c:v>24813.45</c:v>
                </c:pt>
                <c:pt idx="885">
                  <c:v>24609.7</c:v>
                </c:pt>
                <c:pt idx="886">
                  <c:v>24853.15</c:v>
                </c:pt>
                <c:pt idx="887">
                  <c:v>25001.15</c:v>
                </c:pt>
                <c:pt idx="888">
                  <c:v>24826.2</c:v>
                </c:pt>
                <c:pt idx="889">
                  <c:v>24752.45</c:v>
                </c:pt>
                <c:pt idx="890">
                  <c:v>24833.599999999999</c:v>
                </c:pt>
                <c:pt idx="891">
                  <c:v>24750.7</c:v>
                </c:pt>
                <c:pt idx="892">
                  <c:v>24716.6</c:v>
                </c:pt>
                <c:pt idx="893">
                  <c:v>24542.5</c:v>
                </c:pt>
                <c:pt idx="894">
                  <c:v>24620.2</c:v>
                </c:pt>
                <c:pt idx="895">
                  <c:v>24750.9</c:v>
                </c:pt>
                <c:pt idx="896">
                  <c:v>25003.05</c:v>
                </c:pt>
                <c:pt idx="897">
                  <c:v>25103.200000000001</c:v>
                </c:pt>
                <c:pt idx="898">
                  <c:v>25104.25</c:v>
                </c:pt>
                <c:pt idx="899">
                  <c:v>25141.4</c:v>
                </c:pt>
                <c:pt idx="900">
                  <c:v>24888.2</c:v>
                </c:pt>
                <c:pt idx="901">
                  <c:v>24718.6</c:v>
                </c:pt>
                <c:pt idx="902">
                  <c:v>24946.5</c:v>
                </c:pt>
                <c:pt idx="903">
                  <c:v>24853.4</c:v>
                </c:pt>
                <c:pt idx="904">
                  <c:v>24812.05</c:v>
                </c:pt>
                <c:pt idx="905">
                  <c:v>24793.25</c:v>
                </c:pt>
                <c:pt idx="906">
                  <c:v>25112.400000000001</c:v>
                </c:pt>
                <c:pt idx="907">
                  <c:v>24971.9</c:v>
                </c:pt>
                <c:pt idx="908">
                  <c:v>25044.35</c:v>
                </c:pt>
                <c:pt idx="909">
                  <c:v>25244.75</c:v>
                </c:pt>
                <c:pt idx="910">
                  <c:v>25549</c:v>
                </c:pt>
                <c:pt idx="911">
                  <c:v>25637.8</c:v>
                </c:pt>
                <c:pt idx="912">
                  <c:v>25517.05</c:v>
                </c:pt>
                <c:pt idx="913">
                  <c:v>25541.8</c:v>
                </c:pt>
                <c:pt idx="914">
                  <c:v>25453.4</c:v>
                </c:pt>
                <c:pt idx="915">
                  <c:v>25405.3</c:v>
                </c:pt>
                <c:pt idx="916">
                  <c:v>25461</c:v>
                </c:pt>
                <c:pt idx="917">
                  <c:v>25461.3</c:v>
                </c:pt>
                <c:pt idx="918">
                  <c:v>25522.5</c:v>
                </c:pt>
                <c:pt idx="919">
                  <c:v>25476.1</c:v>
                </c:pt>
                <c:pt idx="920">
                  <c:v>25355.25</c:v>
                </c:pt>
                <c:pt idx="921">
                  <c:v>25149.85</c:v>
                </c:pt>
                <c:pt idx="922">
                  <c:v>25082.3</c:v>
                </c:pt>
                <c:pt idx="923">
                  <c:v>25195.8</c:v>
                </c:pt>
                <c:pt idx="924">
                  <c:v>25212.05</c:v>
                </c:pt>
                <c:pt idx="925">
                  <c:v>25111.45</c:v>
                </c:pt>
                <c:pt idx="926">
                  <c:v>24968.400000000001</c:v>
                </c:pt>
                <c:pt idx="927">
                  <c:v>25090.7</c:v>
                </c:pt>
                <c:pt idx="928">
                  <c:v>25060.9</c:v>
                </c:pt>
                <c:pt idx="929">
                  <c:v>25219.9</c:v>
                </c:pt>
                <c:pt idx="930">
                  <c:v>25062.1</c:v>
                </c:pt>
                <c:pt idx="931">
                  <c:v>24837</c:v>
                </c:pt>
                <c:pt idx="932">
                  <c:v>24680.9</c:v>
                </c:pt>
                <c:pt idx="933">
                  <c:v>24821.1</c:v>
                </c:pt>
                <c:pt idx="934">
                  <c:v>24855.05</c:v>
                </c:pt>
                <c:pt idx="935">
                  <c:v>24768.35</c:v>
                </c:pt>
                <c:pt idx="936">
                  <c:v>24565.35</c:v>
                </c:pt>
                <c:pt idx="937">
                  <c:v>24722.75</c:v>
                </c:pt>
                <c:pt idx="938">
                  <c:v>24649.55</c:v>
                </c:pt>
                <c:pt idx="939">
                  <c:v>24574.2</c:v>
                </c:pt>
                <c:pt idx="940">
                  <c:v>24596.15</c:v>
                </c:pt>
                <c:pt idx="941">
                  <c:v>24363.3</c:v>
                </c:pt>
                <c:pt idx="942">
                  <c:v>24585.05</c:v>
                </c:pt>
                <c:pt idx="943">
                  <c:v>24487.4</c:v>
                </c:pt>
                <c:pt idx="944">
                  <c:v>24619.35</c:v>
                </c:pt>
                <c:pt idx="945">
                  <c:v>24631.3</c:v>
                </c:pt>
                <c:pt idx="946">
                  <c:v>24876.95</c:v>
                </c:pt>
                <c:pt idx="947">
                  <c:v>24980.65</c:v>
                </c:pt>
                <c:pt idx="948">
                  <c:v>25050.55</c:v>
                </c:pt>
                <c:pt idx="949">
                  <c:v>25083.75</c:v>
                </c:pt>
                <c:pt idx="950">
                  <c:v>24870.1</c:v>
                </c:pt>
                <c:pt idx="951">
                  <c:v>24967.75</c:v>
                </c:pt>
                <c:pt idx="952">
                  <c:v>24712.05</c:v>
                </c:pt>
                <c:pt idx="953">
                  <c:v>24500.9</c:v>
                </c:pt>
                <c:pt idx="954">
                  <c:v>24426.85</c:v>
                </c:pt>
                <c:pt idx="955">
                  <c:v>24625.05</c:v>
                </c:pt>
                <c:pt idx="956">
                  <c:v>24579.599999999999</c:v>
                </c:pt>
                <c:pt idx="957">
                  <c:v>24715.05</c:v>
                </c:pt>
                <c:pt idx="958">
                  <c:v>24734.3</c:v>
                </c:pt>
                <c:pt idx="959">
                  <c:v>24741</c:v>
                </c:pt>
                <c:pt idx="960">
                  <c:v>24773.15</c:v>
                </c:pt>
                <c:pt idx="961">
                  <c:v>24868.6</c:v>
                </c:pt>
                <c:pt idx="962">
                  <c:v>24973.1</c:v>
                </c:pt>
                <c:pt idx="963">
                  <c:v>25005.5</c:v>
                </c:pt>
                <c:pt idx="964">
                  <c:v>25114</c:v>
                </c:pt>
                <c:pt idx="965">
                  <c:v>25069.200000000001</c:v>
                </c:pt>
                <c:pt idx="966">
                  <c:v>25239.1</c:v>
                </c:pt>
                <c:pt idx="967">
                  <c:v>25330.25</c:v>
                </c:pt>
                <c:pt idx="968">
                  <c:v>25423.599999999999</c:v>
                </c:pt>
                <c:pt idx="969">
                  <c:v>25327.05</c:v>
                </c:pt>
                <c:pt idx="970">
                  <c:v>25202.35</c:v>
                </c:pt>
                <c:pt idx="971">
                  <c:v>25169.5</c:v>
                </c:pt>
                <c:pt idx="972">
                  <c:v>25056.9</c:v>
                </c:pt>
                <c:pt idx="973">
                  <c:v>24890.85</c:v>
                </c:pt>
                <c:pt idx="974">
                  <c:v>24654.7</c:v>
                </c:pt>
                <c:pt idx="975">
                  <c:v>24634.9</c:v>
                </c:pt>
                <c:pt idx="976">
                  <c:v>24611.1</c:v>
                </c:pt>
                <c:pt idx="977">
                  <c:v>24836.3</c:v>
                </c:pt>
                <c:pt idx="978">
                  <c:v>24894.25</c:v>
                </c:pt>
                <c:pt idx="979">
                  <c:v>25077.65</c:v>
                </c:pt>
                <c:pt idx="980">
                  <c:v>25108.3</c:v>
                </c:pt>
                <c:pt idx="981">
                  <c:v>25046.15</c:v>
                </c:pt>
                <c:pt idx="982">
                  <c:v>25181.8</c:v>
                </c:pt>
                <c:pt idx="983">
                  <c:v>25285.35</c:v>
                </c:pt>
                <c:pt idx="984">
                  <c:v>25227.35</c:v>
                </c:pt>
                <c:pt idx="985">
                  <c:v>25145.5</c:v>
                </c:pt>
                <c:pt idx="986">
                  <c:v>25323.55</c:v>
                </c:pt>
                <c:pt idx="987">
                  <c:v>25585.3</c:v>
                </c:pt>
                <c:pt idx="988">
                  <c:v>25709.85</c:v>
                </c:pt>
                <c:pt idx="989">
                  <c:v>25843.15</c:v>
                </c:pt>
                <c:pt idx="990">
                  <c:v>25868.6</c:v>
                </c:pt>
                <c:pt idx="991">
                  <c:v>25891.4</c:v>
                </c:pt>
                <c:pt idx="992">
                  <c:v>25795.15</c:v>
                </c:pt>
                <c:pt idx="993">
                  <c:v>25966.05</c:v>
                </c:pt>
                <c:pt idx="994">
                  <c:v>25936.2</c:v>
                </c:pt>
                <c:pt idx="995">
                  <c:v>26053.9</c:v>
                </c:pt>
                <c:pt idx="996">
                  <c:v>25877.85</c:v>
                </c:pt>
                <c:pt idx="997">
                  <c:v>25722.1</c:v>
                </c:pt>
                <c:pt idx="998">
                  <c:v>25763.35</c:v>
                </c:pt>
                <c:pt idx="999">
                  <c:v>25597.65</c:v>
                </c:pt>
                <c:pt idx="1000">
                  <c:v>25509.7</c:v>
                </c:pt>
                <c:pt idx="1001">
                  <c:v>25492.3</c:v>
                </c:pt>
                <c:pt idx="1002">
                  <c:v>25574.35</c:v>
                </c:pt>
                <c:pt idx="1003">
                  <c:v>25694.95</c:v>
                </c:pt>
                <c:pt idx="1004">
                  <c:v>25875.8</c:v>
                </c:pt>
                <c:pt idx="1005">
                  <c:v>25879.15</c:v>
                </c:pt>
                <c:pt idx="1006">
                  <c:v>25910.05</c:v>
                </c:pt>
                <c:pt idx="1007">
                  <c:v>26013.45</c:v>
                </c:pt>
                <c:pt idx="1008">
                  <c:v>25910.05</c:v>
                </c:pt>
                <c:pt idx="1009">
                  <c:v>26052.65</c:v>
                </c:pt>
                <c:pt idx="1010">
                  <c:v>26192.15</c:v>
                </c:pt>
                <c:pt idx="1011">
                  <c:v>26068.15</c:v>
                </c:pt>
                <c:pt idx="1012">
                  <c:v>25959.5</c:v>
                </c:pt>
                <c:pt idx="1013">
                  <c:v>25884.799999999999</c:v>
                </c:pt>
                <c:pt idx="1014">
                  <c:v>26205.3</c:v>
                </c:pt>
                <c:pt idx="1015">
                  <c:v>26215.55</c:v>
                </c:pt>
                <c:pt idx="1016">
                  <c:v>26202.95</c:v>
                </c:pt>
                <c:pt idx="1017">
                  <c:v>26175.75</c:v>
                </c:pt>
                <c:pt idx="1018">
                  <c:v>26032.2</c:v>
                </c:pt>
                <c:pt idx="1019">
                  <c:v>25986</c:v>
                </c:pt>
                <c:pt idx="1020">
                  <c:v>26033.75</c:v>
                </c:pt>
                <c:pt idx="1021">
                  <c:v>26186.45</c:v>
                </c:pt>
                <c:pt idx="1022">
                  <c:v>25960.55</c:v>
                </c:pt>
                <c:pt idx="1023">
                  <c:v>25839.65</c:v>
                </c:pt>
                <c:pt idx="1024">
                  <c:v>25758</c:v>
                </c:pt>
                <c:pt idx="1025">
                  <c:v>25898.55</c:v>
                </c:pt>
                <c:pt idx="1026">
                  <c:v>26046.95</c:v>
                </c:pt>
                <c:pt idx="1027">
                  <c:v>26027.3</c:v>
                </c:pt>
                <c:pt idx="1028">
                  <c:v>25860.1</c:v>
                </c:pt>
                <c:pt idx="1029">
                  <c:v>25818.55</c:v>
                </c:pt>
                <c:pt idx="1030">
                  <c:v>25815.55</c:v>
                </c:pt>
                <c:pt idx="1031">
                  <c:v>25966.400000000001</c:v>
                </c:pt>
                <c:pt idx="1032">
                  <c:v>26172.400000000001</c:v>
                </c:pt>
                <c:pt idx="1033">
                  <c:v>26177.15</c:v>
                </c:pt>
                <c:pt idx="1034">
                  <c:v>26142.1</c:v>
                </c:pt>
                <c:pt idx="1035">
                  <c:v>26042.3</c:v>
                </c:pt>
                <c:pt idx="1036">
                  <c:v>25942.1</c:v>
                </c:pt>
                <c:pt idx="1037">
                  <c:v>25938.85</c:v>
                </c:pt>
                <c:pt idx="1038">
                  <c:v>26129.599999999999</c:v>
                </c:pt>
              </c:numCache>
            </c:numRef>
          </c:val>
          <c:smooth val="0"/>
          <c:extLst>
            <c:ext xmlns:c16="http://schemas.microsoft.com/office/drawing/2014/chart" uri="{C3380CC4-5D6E-409C-BE32-E72D297353CC}">
              <c16:uniqueId val="{00000000-DE9F-41DE-ADFB-3547966DB085}"/>
            </c:ext>
          </c:extLst>
        </c:ser>
        <c:ser>
          <c:idx val="1"/>
          <c:order val="1"/>
          <c:tx>
            <c:strRef>
              <c:f>'Price trend line table'!$C$1:$C$201</c:f>
              <c:strCache>
                <c:ptCount val="201"/>
                <c:pt idx="0">
                  <c:v>20 Day moving average</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14284.6025</c:v>
                </c:pt>
                <c:pt idx="22">
                  <c:v>14297.7375</c:v>
                </c:pt>
                <c:pt idx="23">
                  <c:v>14323.485</c:v>
                </c:pt>
                <c:pt idx="24">
                  <c:v>14353.0075</c:v>
                </c:pt>
                <c:pt idx="25">
                  <c:v>14390.4775</c:v>
                </c:pt>
                <c:pt idx="26">
                  <c:v>14429.8225</c:v>
                </c:pt>
                <c:pt idx="27">
                  <c:v>14468.25</c:v>
                </c:pt>
                <c:pt idx="28">
                  <c:v>14499.4775</c:v>
                </c:pt>
                <c:pt idx="29">
                  <c:v>14526.63</c:v>
                </c:pt>
                <c:pt idx="30">
                  <c:v>14557.0525</c:v>
                </c:pt>
                <c:pt idx="31">
                  <c:v>14585.4375</c:v>
                </c:pt>
                <c:pt idx="32">
                  <c:v>14629.4875</c:v>
                </c:pt>
                <c:pt idx="33">
                  <c:v>14681.095</c:v>
                </c:pt>
                <c:pt idx="34">
                  <c:v>14715.4825</c:v>
                </c:pt>
                <c:pt idx="35">
                  <c:v>14739.195</c:v>
                </c:pt>
                <c:pt idx="36">
                  <c:v>14758.765</c:v>
                </c:pt>
                <c:pt idx="37">
                  <c:v>14773.955</c:v>
                </c:pt>
                <c:pt idx="38">
                  <c:v>14797.4</c:v>
                </c:pt>
                <c:pt idx="39">
                  <c:v>14848.125</c:v>
                </c:pt>
                <c:pt idx="40">
                  <c:v>14912.115</c:v>
                </c:pt>
                <c:pt idx="41">
                  <c:v>14956.8425</c:v>
                </c:pt>
                <c:pt idx="42">
                  <c:v>14980.86</c:v>
                </c:pt>
                <c:pt idx="43">
                  <c:v>14994.4225</c:v>
                </c:pt>
                <c:pt idx="44">
                  <c:v>15017.205</c:v>
                </c:pt>
                <c:pt idx="45">
                  <c:v>15026.46</c:v>
                </c:pt>
                <c:pt idx="46">
                  <c:v>15027.1525</c:v>
                </c:pt>
                <c:pt idx="47">
                  <c:v>15019.1725</c:v>
                </c:pt>
                <c:pt idx="48">
                  <c:v>15018.6275</c:v>
                </c:pt>
                <c:pt idx="49">
                  <c:v>15022.0425</c:v>
                </c:pt>
                <c:pt idx="50">
                  <c:v>15014.925</c:v>
                </c:pt>
                <c:pt idx="51">
                  <c:v>15003.235</c:v>
                </c:pt>
                <c:pt idx="52">
                  <c:v>14983.0225</c:v>
                </c:pt>
                <c:pt idx="53">
                  <c:v>14953.415</c:v>
                </c:pt>
                <c:pt idx="54">
                  <c:v>14920.8625</c:v>
                </c:pt>
                <c:pt idx="55">
                  <c:v>14902.115</c:v>
                </c:pt>
                <c:pt idx="56">
                  <c:v>14889.8475</c:v>
                </c:pt>
                <c:pt idx="57">
                  <c:v>14896.8</c:v>
                </c:pt>
                <c:pt idx="58">
                  <c:v>14888.88</c:v>
                </c:pt>
                <c:pt idx="59">
                  <c:v>14856.025</c:v>
                </c:pt>
                <c:pt idx="60">
                  <c:v>14826.5225</c:v>
                </c:pt>
                <c:pt idx="61">
                  <c:v>14842.32</c:v>
                </c:pt>
                <c:pt idx="62">
                  <c:v>14838.7775</c:v>
                </c:pt>
                <c:pt idx="63">
                  <c:v>14836.19</c:v>
                </c:pt>
                <c:pt idx="64">
                  <c:v>14805.8</c:v>
                </c:pt>
                <c:pt idx="65">
                  <c:v>14785.9375</c:v>
                </c:pt>
                <c:pt idx="66">
                  <c:v>14779.985</c:v>
                </c:pt>
                <c:pt idx="67">
                  <c:v>14775.865</c:v>
                </c:pt>
                <c:pt idx="68">
                  <c:v>14762.6875</c:v>
                </c:pt>
                <c:pt idx="69">
                  <c:v>14719.4875</c:v>
                </c:pt>
                <c:pt idx="70">
                  <c:v>14693.18</c:v>
                </c:pt>
                <c:pt idx="71">
                  <c:v>14675.7775</c:v>
                </c:pt>
                <c:pt idx="72">
                  <c:v>14661.1475</c:v>
                </c:pt>
                <c:pt idx="73">
                  <c:v>14643.055</c:v>
                </c:pt>
                <c:pt idx="74">
                  <c:v>14629.9825</c:v>
                </c:pt>
                <c:pt idx="75">
                  <c:v>14613.09</c:v>
                </c:pt>
                <c:pt idx="76">
                  <c:v>14593.3375</c:v>
                </c:pt>
                <c:pt idx="77">
                  <c:v>14576.85</c:v>
                </c:pt>
                <c:pt idx="78">
                  <c:v>14582.0325</c:v>
                </c:pt>
                <c:pt idx="79">
                  <c:v>14609.015</c:v>
                </c:pt>
                <c:pt idx="80">
                  <c:v>14628.395</c:v>
                </c:pt>
                <c:pt idx="81">
                  <c:v>14617.695</c:v>
                </c:pt>
                <c:pt idx="82">
                  <c:v>14614.8675</c:v>
                </c:pt>
                <c:pt idx="83">
                  <c:v>14596.325</c:v>
                </c:pt>
                <c:pt idx="84">
                  <c:v>14595.3275</c:v>
                </c:pt>
                <c:pt idx="85">
                  <c:v>14597.3925</c:v>
                </c:pt>
                <c:pt idx="86">
                  <c:v>14597.5975</c:v>
                </c:pt>
                <c:pt idx="87">
                  <c:v>14601.025</c:v>
                </c:pt>
                <c:pt idx="88">
                  <c:v>14601.82</c:v>
                </c:pt>
                <c:pt idx="89">
                  <c:v>14621.105</c:v>
                </c:pt>
                <c:pt idx="90">
                  <c:v>14629.755</c:v>
                </c:pt>
                <c:pt idx="91">
                  <c:v>14646.84</c:v>
                </c:pt>
                <c:pt idx="92">
                  <c:v>14671.3525</c:v>
                </c:pt>
                <c:pt idx="93">
                  <c:v>14704.8875</c:v>
                </c:pt>
                <c:pt idx="94">
                  <c:v>14735.37</c:v>
                </c:pt>
                <c:pt idx="95">
                  <c:v>14773.8275</c:v>
                </c:pt>
                <c:pt idx="96">
                  <c:v>14816.645</c:v>
                </c:pt>
                <c:pt idx="97">
                  <c:v>14852.8175</c:v>
                </c:pt>
                <c:pt idx="98">
                  <c:v>14885.2375</c:v>
                </c:pt>
                <c:pt idx="99">
                  <c:v>14908.9025</c:v>
                </c:pt>
                <c:pt idx="100">
                  <c:v>14935.94</c:v>
                </c:pt>
                <c:pt idx="101">
                  <c:v>14983.525</c:v>
                </c:pt>
                <c:pt idx="102">
                  <c:v>15030.56</c:v>
                </c:pt>
                <c:pt idx="103">
                  <c:v>15084.545</c:v>
                </c:pt>
                <c:pt idx="104">
                  <c:v>15138.17</c:v>
                </c:pt>
                <c:pt idx="105">
                  <c:v>15185.4425</c:v>
                </c:pt>
                <c:pt idx="106">
                  <c:v>15231.8675</c:v>
                </c:pt>
                <c:pt idx="107">
                  <c:v>15271.755</c:v>
                </c:pt>
                <c:pt idx="108">
                  <c:v>15310.985</c:v>
                </c:pt>
                <c:pt idx="109">
                  <c:v>15363.0475</c:v>
                </c:pt>
                <c:pt idx="110">
                  <c:v>15419.125</c:v>
                </c:pt>
                <c:pt idx="111">
                  <c:v>15463.56</c:v>
                </c:pt>
                <c:pt idx="112">
                  <c:v>15501.6175</c:v>
                </c:pt>
                <c:pt idx="113">
                  <c:v>15538.4875</c:v>
                </c:pt>
                <c:pt idx="114">
                  <c:v>15577.755</c:v>
                </c:pt>
                <c:pt idx="115">
                  <c:v>15603.1575</c:v>
                </c:pt>
                <c:pt idx="116">
                  <c:v>15630.5975</c:v>
                </c:pt>
                <c:pt idx="117">
                  <c:v>15658.8125</c:v>
                </c:pt>
                <c:pt idx="118">
                  <c:v>15678.0875</c:v>
                </c:pt>
                <c:pt idx="119">
                  <c:v>15700.7175</c:v>
                </c:pt>
                <c:pt idx="120">
                  <c:v>15721.9525</c:v>
                </c:pt>
                <c:pt idx="121">
                  <c:v>15733.5475</c:v>
                </c:pt>
                <c:pt idx="122">
                  <c:v>15742.2275</c:v>
                </c:pt>
                <c:pt idx="123">
                  <c:v>15749.4925</c:v>
                </c:pt>
                <c:pt idx="124">
                  <c:v>15748.975</c:v>
                </c:pt>
                <c:pt idx="125">
                  <c:v>15751.5725</c:v>
                </c:pt>
                <c:pt idx="126">
                  <c:v>15755.7075</c:v>
                </c:pt>
                <c:pt idx="127">
                  <c:v>15759.615</c:v>
                </c:pt>
                <c:pt idx="128">
                  <c:v>15771.83</c:v>
                </c:pt>
                <c:pt idx="129">
                  <c:v>15771.3375</c:v>
                </c:pt>
                <c:pt idx="130">
                  <c:v>15765.86</c:v>
                </c:pt>
                <c:pt idx="131">
                  <c:v>15759.8975</c:v>
                </c:pt>
                <c:pt idx="132">
                  <c:v>15757.0525</c:v>
                </c:pt>
                <c:pt idx="133">
                  <c:v>15761.3725</c:v>
                </c:pt>
                <c:pt idx="134">
                  <c:v>15773.0125</c:v>
                </c:pt>
                <c:pt idx="135">
                  <c:v>15785.015</c:v>
                </c:pt>
                <c:pt idx="136">
                  <c:v>15785.31</c:v>
                </c:pt>
                <c:pt idx="137">
                  <c:v>15778.2775</c:v>
                </c:pt>
                <c:pt idx="138">
                  <c:v>15785.1325</c:v>
                </c:pt>
                <c:pt idx="139">
                  <c:v>15788.4125</c:v>
                </c:pt>
                <c:pt idx="140">
                  <c:v>15786.6175</c:v>
                </c:pt>
                <c:pt idx="141">
                  <c:v>15783.205</c:v>
                </c:pt>
                <c:pt idx="142">
                  <c:v>15781.2525</c:v>
                </c:pt>
                <c:pt idx="143">
                  <c:v>15784.1</c:v>
                </c:pt>
                <c:pt idx="144">
                  <c:v>15788.2525</c:v>
                </c:pt>
                <c:pt idx="145">
                  <c:v>15796.4</c:v>
                </c:pt>
                <c:pt idx="146">
                  <c:v>15811.22</c:v>
                </c:pt>
                <c:pt idx="147">
                  <c:v>15833.2475</c:v>
                </c:pt>
                <c:pt idx="148">
                  <c:v>15853.995</c:v>
                </c:pt>
                <c:pt idx="149">
                  <c:v>15879.51</c:v>
                </c:pt>
                <c:pt idx="150">
                  <c:v>15907.9325</c:v>
                </c:pt>
                <c:pt idx="151">
                  <c:v>15937.3075</c:v>
                </c:pt>
                <c:pt idx="152">
                  <c:v>15960.8025</c:v>
                </c:pt>
                <c:pt idx="153">
                  <c:v>15986.325</c:v>
                </c:pt>
                <c:pt idx="154">
                  <c:v>16016.57</c:v>
                </c:pt>
                <c:pt idx="155">
                  <c:v>16048.5525</c:v>
                </c:pt>
                <c:pt idx="156">
                  <c:v>16091.6625</c:v>
                </c:pt>
                <c:pt idx="157">
                  <c:v>16138.5</c:v>
                </c:pt>
                <c:pt idx="158">
                  <c:v>16169.8225</c:v>
                </c:pt>
                <c:pt idx="159">
                  <c:v>16201.8425</c:v>
                </c:pt>
                <c:pt idx="160">
                  <c:v>16241.85</c:v>
                </c:pt>
                <c:pt idx="161">
                  <c:v>16286.26</c:v>
                </c:pt>
                <c:pt idx="162">
                  <c:v>16332.635</c:v>
                </c:pt>
                <c:pt idx="163">
                  <c:v>16378.9725</c:v>
                </c:pt>
                <c:pt idx="164">
                  <c:v>16437.3725</c:v>
                </c:pt>
                <c:pt idx="165">
                  <c:v>16499.725</c:v>
                </c:pt>
                <c:pt idx="166">
                  <c:v>16547</c:v>
                </c:pt>
                <c:pt idx="167">
                  <c:v>16595.7675</c:v>
                </c:pt>
                <c:pt idx="168">
                  <c:v>16647.2175</c:v>
                </c:pt>
                <c:pt idx="169">
                  <c:v>16704.1975</c:v>
                </c:pt>
                <c:pt idx="170">
                  <c:v>16759.39</c:v>
                </c:pt>
                <c:pt idx="171">
                  <c:v>16813.06</c:v>
                </c:pt>
                <c:pt idx="172">
                  <c:v>16867.41</c:v>
                </c:pt>
                <c:pt idx="173">
                  <c:v>16916.955</c:v>
                </c:pt>
                <c:pt idx="174">
                  <c:v>16959.5</c:v>
                </c:pt>
                <c:pt idx="175">
                  <c:v>17007.32</c:v>
                </c:pt>
                <c:pt idx="176">
                  <c:v>17058.065</c:v>
                </c:pt>
                <c:pt idx="177">
                  <c:v>17108.88</c:v>
                </c:pt>
                <c:pt idx="178">
                  <c:v>17156.2</c:v>
                </c:pt>
                <c:pt idx="179">
                  <c:v>17209.4775</c:v>
                </c:pt>
                <c:pt idx="180">
                  <c:v>17255.58</c:v>
                </c:pt>
                <c:pt idx="181">
                  <c:v>17314.995</c:v>
                </c:pt>
                <c:pt idx="182">
                  <c:v>17375.81</c:v>
                </c:pt>
                <c:pt idx="183">
                  <c:v>17433.305</c:v>
                </c:pt>
                <c:pt idx="184">
                  <c:v>17474.1825</c:v>
                </c:pt>
                <c:pt idx="185">
                  <c:v>17503.1375</c:v>
                </c:pt>
                <c:pt idx="186">
                  <c:v>17530.2325</c:v>
                </c:pt>
                <c:pt idx="187">
                  <c:v>17545.1275</c:v>
                </c:pt>
                <c:pt idx="188">
                  <c:v>17563.51</c:v>
                </c:pt>
                <c:pt idx="189">
                  <c:v>17585.735</c:v>
                </c:pt>
                <c:pt idx="190">
                  <c:v>17599.93</c:v>
                </c:pt>
                <c:pt idx="191">
                  <c:v>17621.7725</c:v>
                </c:pt>
                <c:pt idx="192">
                  <c:v>17648.07</c:v>
                </c:pt>
                <c:pt idx="193">
                  <c:v>17677.6025</c:v>
                </c:pt>
                <c:pt idx="194">
                  <c:v>17708.2</c:v>
                </c:pt>
                <c:pt idx="195">
                  <c:v>17740.315</c:v>
                </c:pt>
                <c:pt idx="196">
                  <c:v>17775.7675</c:v>
                </c:pt>
                <c:pt idx="197">
                  <c:v>17820.3625</c:v>
                </c:pt>
                <c:pt idx="198">
                  <c:v>17871.455</c:v>
                </c:pt>
                <c:pt idx="199">
                  <c:v>17906.685</c:v>
                </c:pt>
                <c:pt idx="200">
                  <c:v>17938.2575</c:v>
                </c:pt>
              </c:strCache>
            </c:strRef>
          </c:tx>
          <c:spPr>
            <a:ln w="28575" cap="rnd">
              <a:solidFill>
                <a:schemeClr val="accent2"/>
              </a:solidFill>
              <a:round/>
            </a:ln>
            <a:effectLst/>
          </c:spPr>
          <c:marker>
            <c:symbol val="none"/>
          </c:marker>
          <c:cat>
            <c:numRef>
              <c:f>'Price trend line table'!$A$202:$A$1241</c:f>
              <c:numCache>
                <c:formatCode>d\-mmm\-yy</c:formatCode>
                <c:ptCount val="1040"/>
                <c:pt idx="0">
                  <c:v>44494</c:v>
                </c:pt>
                <c:pt idx="1">
                  <c:v>44495</c:v>
                </c:pt>
                <c:pt idx="2">
                  <c:v>44496</c:v>
                </c:pt>
                <c:pt idx="3">
                  <c:v>44497</c:v>
                </c:pt>
                <c:pt idx="4">
                  <c:v>44498</c:v>
                </c:pt>
                <c:pt idx="5">
                  <c:v>44501</c:v>
                </c:pt>
                <c:pt idx="6">
                  <c:v>44502</c:v>
                </c:pt>
                <c:pt idx="7">
                  <c:v>44503</c:v>
                </c:pt>
                <c:pt idx="8">
                  <c:v>44504</c:v>
                </c:pt>
                <c:pt idx="9">
                  <c:v>44508</c:v>
                </c:pt>
                <c:pt idx="10">
                  <c:v>44509</c:v>
                </c:pt>
                <c:pt idx="11">
                  <c:v>44510</c:v>
                </c:pt>
                <c:pt idx="12">
                  <c:v>44511</c:v>
                </c:pt>
                <c:pt idx="13">
                  <c:v>44512</c:v>
                </c:pt>
                <c:pt idx="14">
                  <c:v>44515</c:v>
                </c:pt>
                <c:pt idx="15">
                  <c:v>44516</c:v>
                </c:pt>
                <c:pt idx="16">
                  <c:v>44517</c:v>
                </c:pt>
                <c:pt idx="17">
                  <c:v>44518</c:v>
                </c:pt>
                <c:pt idx="18">
                  <c:v>44522</c:v>
                </c:pt>
                <c:pt idx="19">
                  <c:v>44523</c:v>
                </c:pt>
                <c:pt idx="20">
                  <c:v>44524</c:v>
                </c:pt>
                <c:pt idx="21">
                  <c:v>44525</c:v>
                </c:pt>
                <c:pt idx="22">
                  <c:v>44526</c:v>
                </c:pt>
                <c:pt idx="23">
                  <c:v>44529</c:v>
                </c:pt>
                <c:pt idx="24">
                  <c:v>44530</c:v>
                </c:pt>
                <c:pt idx="25">
                  <c:v>44531</c:v>
                </c:pt>
                <c:pt idx="26">
                  <c:v>44532</c:v>
                </c:pt>
                <c:pt idx="27">
                  <c:v>44533</c:v>
                </c:pt>
                <c:pt idx="28">
                  <c:v>44536</c:v>
                </c:pt>
                <c:pt idx="29">
                  <c:v>44537</c:v>
                </c:pt>
                <c:pt idx="30">
                  <c:v>44538</c:v>
                </c:pt>
                <c:pt idx="31">
                  <c:v>44539</c:v>
                </c:pt>
                <c:pt idx="32">
                  <c:v>44540</c:v>
                </c:pt>
                <c:pt idx="33">
                  <c:v>44543</c:v>
                </c:pt>
                <c:pt idx="34">
                  <c:v>44544</c:v>
                </c:pt>
                <c:pt idx="35">
                  <c:v>44545</c:v>
                </c:pt>
                <c:pt idx="36">
                  <c:v>44546</c:v>
                </c:pt>
                <c:pt idx="37">
                  <c:v>44547</c:v>
                </c:pt>
                <c:pt idx="38">
                  <c:v>44550</c:v>
                </c:pt>
                <c:pt idx="39">
                  <c:v>44551</c:v>
                </c:pt>
                <c:pt idx="40">
                  <c:v>44552</c:v>
                </c:pt>
                <c:pt idx="41">
                  <c:v>44553</c:v>
                </c:pt>
                <c:pt idx="42">
                  <c:v>44554</c:v>
                </c:pt>
                <c:pt idx="43">
                  <c:v>44557</c:v>
                </c:pt>
                <c:pt idx="44">
                  <c:v>44558</c:v>
                </c:pt>
                <c:pt idx="45">
                  <c:v>44559</c:v>
                </c:pt>
                <c:pt idx="46">
                  <c:v>44560</c:v>
                </c:pt>
                <c:pt idx="47">
                  <c:v>44561</c:v>
                </c:pt>
                <c:pt idx="48">
                  <c:v>44564</c:v>
                </c:pt>
                <c:pt idx="49">
                  <c:v>44565</c:v>
                </c:pt>
                <c:pt idx="50">
                  <c:v>44566</c:v>
                </c:pt>
                <c:pt idx="51">
                  <c:v>44567</c:v>
                </c:pt>
                <c:pt idx="52">
                  <c:v>44568</c:v>
                </c:pt>
                <c:pt idx="53">
                  <c:v>44571</c:v>
                </c:pt>
                <c:pt idx="54">
                  <c:v>44572</c:v>
                </c:pt>
                <c:pt idx="55">
                  <c:v>44573</c:v>
                </c:pt>
                <c:pt idx="56">
                  <c:v>44574</c:v>
                </c:pt>
                <c:pt idx="57">
                  <c:v>44575</c:v>
                </c:pt>
                <c:pt idx="58">
                  <c:v>44578</c:v>
                </c:pt>
                <c:pt idx="59">
                  <c:v>44579</c:v>
                </c:pt>
                <c:pt idx="60">
                  <c:v>44580</c:v>
                </c:pt>
                <c:pt idx="61">
                  <c:v>44581</c:v>
                </c:pt>
                <c:pt idx="62">
                  <c:v>44582</c:v>
                </c:pt>
                <c:pt idx="63">
                  <c:v>44585</c:v>
                </c:pt>
                <c:pt idx="64">
                  <c:v>44586</c:v>
                </c:pt>
                <c:pt idx="65">
                  <c:v>44588</c:v>
                </c:pt>
                <c:pt idx="66">
                  <c:v>44589</c:v>
                </c:pt>
                <c:pt idx="67">
                  <c:v>44592</c:v>
                </c:pt>
                <c:pt idx="68">
                  <c:v>44593</c:v>
                </c:pt>
                <c:pt idx="69">
                  <c:v>44594</c:v>
                </c:pt>
                <c:pt idx="70">
                  <c:v>44595</c:v>
                </c:pt>
                <c:pt idx="71">
                  <c:v>44596</c:v>
                </c:pt>
                <c:pt idx="72">
                  <c:v>44599</c:v>
                </c:pt>
                <c:pt idx="73">
                  <c:v>44600</c:v>
                </c:pt>
                <c:pt idx="74">
                  <c:v>44601</c:v>
                </c:pt>
                <c:pt idx="75">
                  <c:v>44602</c:v>
                </c:pt>
                <c:pt idx="76">
                  <c:v>44603</c:v>
                </c:pt>
                <c:pt idx="77">
                  <c:v>44606</c:v>
                </c:pt>
                <c:pt idx="78">
                  <c:v>44607</c:v>
                </c:pt>
                <c:pt idx="79">
                  <c:v>44608</c:v>
                </c:pt>
                <c:pt idx="80">
                  <c:v>44609</c:v>
                </c:pt>
                <c:pt idx="81">
                  <c:v>44610</c:v>
                </c:pt>
                <c:pt idx="82">
                  <c:v>44613</c:v>
                </c:pt>
                <c:pt idx="83">
                  <c:v>44614</c:v>
                </c:pt>
                <c:pt idx="84">
                  <c:v>44615</c:v>
                </c:pt>
                <c:pt idx="85">
                  <c:v>44616</c:v>
                </c:pt>
                <c:pt idx="86">
                  <c:v>44617</c:v>
                </c:pt>
                <c:pt idx="87">
                  <c:v>44620</c:v>
                </c:pt>
                <c:pt idx="88">
                  <c:v>44622</c:v>
                </c:pt>
                <c:pt idx="89">
                  <c:v>44623</c:v>
                </c:pt>
                <c:pt idx="90">
                  <c:v>44624</c:v>
                </c:pt>
                <c:pt idx="91">
                  <c:v>44627</c:v>
                </c:pt>
                <c:pt idx="92">
                  <c:v>44628</c:v>
                </c:pt>
                <c:pt idx="93">
                  <c:v>44629</c:v>
                </c:pt>
                <c:pt idx="94">
                  <c:v>44630</c:v>
                </c:pt>
                <c:pt idx="95">
                  <c:v>44631</c:v>
                </c:pt>
                <c:pt idx="96">
                  <c:v>44634</c:v>
                </c:pt>
                <c:pt idx="97">
                  <c:v>44635</c:v>
                </c:pt>
                <c:pt idx="98">
                  <c:v>44636</c:v>
                </c:pt>
                <c:pt idx="99">
                  <c:v>44637</c:v>
                </c:pt>
                <c:pt idx="100">
                  <c:v>44641</c:v>
                </c:pt>
                <c:pt idx="101">
                  <c:v>44642</c:v>
                </c:pt>
                <c:pt idx="102">
                  <c:v>44643</c:v>
                </c:pt>
                <c:pt idx="103">
                  <c:v>44644</c:v>
                </c:pt>
                <c:pt idx="104">
                  <c:v>44645</c:v>
                </c:pt>
                <c:pt idx="105">
                  <c:v>44648</c:v>
                </c:pt>
                <c:pt idx="106">
                  <c:v>44649</c:v>
                </c:pt>
                <c:pt idx="107">
                  <c:v>44650</c:v>
                </c:pt>
                <c:pt idx="108">
                  <c:v>44651</c:v>
                </c:pt>
                <c:pt idx="109">
                  <c:v>44652</c:v>
                </c:pt>
                <c:pt idx="110">
                  <c:v>44655</c:v>
                </c:pt>
                <c:pt idx="111">
                  <c:v>44656</c:v>
                </c:pt>
                <c:pt idx="112">
                  <c:v>44657</c:v>
                </c:pt>
                <c:pt idx="113">
                  <c:v>44658</c:v>
                </c:pt>
                <c:pt idx="114">
                  <c:v>44659</c:v>
                </c:pt>
                <c:pt idx="115">
                  <c:v>44662</c:v>
                </c:pt>
                <c:pt idx="116">
                  <c:v>44663</c:v>
                </c:pt>
                <c:pt idx="117">
                  <c:v>44664</c:v>
                </c:pt>
                <c:pt idx="118">
                  <c:v>44669</c:v>
                </c:pt>
                <c:pt idx="119">
                  <c:v>44670</c:v>
                </c:pt>
                <c:pt idx="120">
                  <c:v>44671</c:v>
                </c:pt>
                <c:pt idx="121">
                  <c:v>44672</c:v>
                </c:pt>
                <c:pt idx="122">
                  <c:v>44673</c:v>
                </c:pt>
                <c:pt idx="123">
                  <c:v>44676</c:v>
                </c:pt>
                <c:pt idx="124">
                  <c:v>44677</c:v>
                </c:pt>
                <c:pt idx="125">
                  <c:v>44678</c:v>
                </c:pt>
                <c:pt idx="126">
                  <c:v>44679</c:v>
                </c:pt>
                <c:pt idx="127">
                  <c:v>44680</c:v>
                </c:pt>
                <c:pt idx="128">
                  <c:v>44683</c:v>
                </c:pt>
                <c:pt idx="129">
                  <c:v>44685</c:v>
                </c:pt>
                <c:pt idx="130">
                  <c:v>44686</c:v>
                </c:pt>
                <c:pt idx="131">
                  <c:v>44687</c:v>
                </c:pt>
                <c:pt idx="132">
                  <c:v>44690</c:v>
                </c:pt>
                <c:pt idx="133">
                  <c:v>44691</c:v>
                </c:pt>
                <c:pt idx="134">
                  <c:v>44692</c:v>
                </c:pt>
                <c:pt idx="135">
                  <c:v>44693</c:v>
                </c:pt>
                <c:pt idx="136">
                  <c:v>44694</c:v>
                </c:pt>
                <c:pt idx="137">
                  <c:v>44697</c:v>
                </c:pt>
                <c:pt idx="138">
                  <c:v>44698</c:v>
                </c:pt>
                <c:pt idx="139">
                  <c:v>44699</c:v>
                </c:pt>
                <c:pt idx="140">
                  <c:v>44700</c:v>
                </c:pt>
                <c:pt idx="141">
                  <c:v>44701</c:v>
                </c:pt>
                <c:pt idx="142">
                  <c:v>44704</c:v>
                </c:pt>
                <c:pt idx="143">
                  <c:v>44705</c:v>
                </c:pt>
                <c:pt idx="144">
                  <c:v>44706</c:v>
                </c:pt>
                <c:pt idx="145">
                  <c:v>44707</c:v>
                </c:pt>
                <c:pt idx="146">
                  <c:v>44708</c:v>
                </c:pt>
                <c:pt idx="147">
                  <c:v>44711</c:v>
                </c:pt>
                <c:pt idx="148">
                  <c:v>44712</c:v>
                </c:pt>
                <c:pt idx="149">
                  <c:v>44713</c:v>
                </c:pt>
                <c:pt idx="150">
                  <c:v>44714</c:v>
                </c:pt>
                <c:pt idx="151">
                  <c:v>44715</c:v>
                </c:pt>
                <c:pt idx="152">
                  <c:v>44718</c:v>
                </c:pt>
                <c:pt idx="153">
                  <c:v>44719</c:v>
                </c:pt>
                <c:pt idx="154">
                  <c:v>44720</c:v>
                </c:pt>
                <c:pt idx="155">
                  <c:v>44721</c:v>
                </c:pt>
                <c:pt idx="156">
                  <c:v>44722</c:v>
                </c:pt>
                <c:pt idx="157">
                  <c:v>44725</c:v>
                </c:pt>
                <c:pt idx="158">
                  <c:v>44726</c:v>
                </c:pt>
                <c:pt idx="159">
                  <c:v>44727</c:v>
                </c:pt>
                <c:pt idx="160">
                  <c:v>44728</c:v>
                </c:pt>
                <c:pt idx="161">
                  <c:v>44729</c:v>
                </c:pt>
                <c:pt idx="162">
                  <c:v>44732</c:v>
                </c:pt>
                <c:pt idx="163">
                  <c:v>44733</c:v>
                </c:pt>
                <c:pt idx="164">
                  <c:v>44734</c:v>
                </c:pt>
                <c:pt idx="165">
                  <c:v>44735</c:v>
                </c:pt>
                <c:pt idx="166">
                  <c:v>44736</c:v>
                </c:pt>
                <c:pt idx="167">
                  <c:v>44739</c:v>
                </c:pt>
                <c:pt idx="168">
                  <c:v>44740</c:v>
                </c:pt>
                <c:pt idx="169">
                  <c:v>44741</c:v>
                </c:pt>
                <c:pt idx="170">
                  <c:v>44742</c:v>
                </c:pt>
                <c:pt idx="171">
                  <c:v>44743</c:v>
                </c:pt>
                <c:pt idx="172">
                  <c:v>44746</c:v>
                </c:pt>
                <c:pt idx="173">
                  <c:v>44747</c:v>
                </c:pt>
                <c:pt idx="174">
                  <c:v>44748</c:v>
                </c:pt>
                <c:pt idx="175">
                  <c:v>44749</c:v>
                </c:pt>
                <c:pt idx="176">
                  <c:v>44750</c:v>
                </c:pt>
                <c:pt idx="177">
                  <c:v>44753</c:v>
                </c:pt>
                <c:pt idx="178">
                  <c:v>44754</c:v>
                </c:pt>
                <c:pt idx="179">
                  <c:v>44755</c:v>
                </c:pt>
                <c:pt idx="180">
                  <c:v>44756</c:v>
                </c:pt>
                <c:pt idx="181">
                  <c:v>44757</c:v>
                </c:pt>
                <c:pt idx="182">
                  <c:v>44760</c:v>
                </c:pt>
                <c:pt idx="183">
                  <c:v>44761</c:v>
                </c:pt>
                <c:pt idx="184">
                  <c:v>44762</c:v>
                </c:pt>
                <c:pt idx="185">
                  <c:v>44763</c:v>
                </c:pt>
                <c:pt idx="186">
                  <c:v>44764</c:v>
                </c:pt>
                <c:pt idx="187">
                  <c:v>44767</c:v>
                </c:pt>
                <c:pt idx="188">
                  <c:v>44768</c:v>
                </c:pt>
                <c:pt idx="189">
                  <c:v>44769</c:v>
                </c:pt>
                <c:pt idx="190">
                  <c:v>44770</c:v>
                </c:pt>
                <c:pt idx="191">
                  <c:v>44771</c:v>
                </c:pt>
                <c:pt idx="192">
                  <c:v>44774</c:v>
                </c:pt>
                <c:pt idx="193">
                  <c:v>44775</c:v>
                </c:pt>
                <c:pt idx="194">
                  <c:v>44776</c:v>
                </c:pt>
                <c:pt idx="195">
                  <c:v>44777</c:v>
                </c:pt>
                <c:pt idx="196">
                  <c:v>44778</c:v>
                </c:pt>
                <c:pt idx="197">
                  <c:v>44781</c:v>
                </c:pt>
                <c:pt idx="198">
                  <c:v>44783</c:v>
                </c:pt>
                <c:pt idx="199">
                  <c:v>44784</c:v>
                </c:pt>
                <c:pt idx="200">
                  <c:v>44785</c:v>
                </c:pt>
                <c:pt idx="201">
                  <c:v>44789</c:v>
                </c:pt>
                <c:pt idx="202">
                  <c:v>44790</c:v>
                </c:pt>
                <c:pt idx="203">
                  <c:v>44791</c:v>
                </c:pt>
                <c:pt idx="204">
                  <c:v>44792</c:v>
                </c:pt>
                <c:pt idx="205">
                  <c:v>44795</c:v>
                </c:pt>
                <c:pt idx="206">
                  <c:v>44796</c:v>
                </c:pt>
                <c:pt idx="207">
                  <c:v>44797</c:v>
                </c:pt>
                <c:pt idx="208">
                  <c:v>44798</c:v>
                </c:pt>
                <c:pt idx="209">
                  <c:v>44799</c:v>
                </c:pt>
                <c:pt idx="210">
                  <c:v>44802</c:v>
                </c:pt>
                <c:pt idx="211">
                  <c:v>44803</c:v>
                </c:pt>
                <c:pt idx="212">
                  <c:v>44805</c:v>
                </c:pt>
                <c:pt idx="213">
                  <c:v>44806</c:v>
                </c:pt>
                <c:pt idx="214">
                  <c:v>44809</c:v>
                </c:pt>
                <c:pt idx="215">
                  <c:v>44810</c:v>
                </c:pt>
                <c:pt idx="216">
                  <c:v>44811</c:v>
                </c:pt>
                <c:pt idx="217">
                  <c:v>44812</c:v>
                </c:pt>
                <c:pt idx="218">
                  <c:v>44813</c:v>
                </c:pt>
                <c:pt idx="219">
                  <c:v>44816</c:v>
                </c:pt>
                <c:pt idx="220">
                  <c:v>44817</c:v>
                </c:pt>
                <c:pt idx="221">
                  <c:v>44818</c:v>
                </c:pt>
                <c:pt idx="222">
                  <c:v>44819</c:v>
                </c:pt>
                <c:pt idx="223">
                  <c:v>44820</c:v>
                </c:pt>
                <c:pt idx="224">
                  <c:v>44823</c:v>
                </c:pt>
                <c:pt idx="225">
                  <c:v>44824</c:v>
                </c:pt>
                <c:pt idx="226">
                  <c:v>44825</c:v>
                </c:pt>
                <c:pt idx="227">
                  <c:v>44826</c:v>
                </c:pt>
                <c:pt idx="228">
                  <c:v>44827</c:v>
                </c:pt>
                <c:pt idx="229">
                  <c:v>44830</c:v>
                </c:pt>
                <c:pt idx="230">
                  <c:v>44831</c:v>
                </c:pt>
                <c:pt idx="231">
                  <c:v>44832</c:v>
                </c:pt>
                <c:pt idx="232">
                  <c:v>44833</c:v>
                </c:pt>
                <c:pt idx="233">
                  <c:v>44834</c:v>
                </c:pt>
                <c:pt idx="234">
                  <c:v>44837</c:v>
                </c:pt>
                <c:pt idx="235">
                  <c:v>44838</c:v>
                </c:pt>
                <c:pt idx="236">
                  <c:v>44840</c:v>
                </c:pt>
                <c:pt idx="237">
                  <c:v>44841</c:v>
                </c:pt>
                <c:pt idx="238">
                  <c:v>44844</c:v>
                </c:pt>
                <c:pt idx="239">
                  <c:v>44845</c:v>
                </c:pt>
                <c:pt idx="240">
                  <c:v>44846</c:v>
                </c:pt>
                <c:pt idx="241">
                  <c:v>44847</c:v>
                </c:pt>
                <c:pt idx="242">
                  <c:v>44848</c:v>
                </c:pt>
                <c:pt idx="243">
                  <c:v>44851</c:v>
                </c:pt>
                <c:pt idx="244">
                  <c:v>44852</c:v>
                </c:pt>
                <c:pt idx="245">
                  <c:v>44853</c:v>
                </c:pt>
                <c:pt idx="246">
                  <c:v>44854</c:v>
                </c:pt>
                <c:pt idx="247">
                  <c:v>44855</c:v>
                </c:pt>
                <c:pt idx="248">
                  <c:v>44858</c:v>
                </c:pt>
                <c:pt idx="249">
                  <c:v>44859</c:v>
                </c:pt>
                <c:pt idx="250">
                  <c:v>44861</c:v>
                </c:pt>
                <c:pt idx="251">
                  <c:v>44862</c:v>
                </c:pt>
                <c:pt idx="252">
                  <c:v>44865</c:v>
                </c:pt>
                <c:pt idx="253">
                  <c:v>44866</c:v>
                </c:pt>
                <c:pt idx="254">
                  <c:v>44867</c:v>
                </c:pt>
                <c:pt idx="255">
                  <c:v>44868</c:v>
                </c:pt>
                <c:pt idx="256">
                  <c:v>44869</c:v>
                </c:pt>
                <c:pt idx="257">
                  <c:v>44872</c:v>
                </c:pt>
                <c:pt idx="258">
                  <c:v>44874</c:v>
                </c:pt>
                <c:pt idx="259">
                  <c:v>44875</c:v>
                </c:pt>
                <c:pt idx="260">
                  <c:v>44876</c:v>
                </c:pt>
                <c:pt idx="261">
                  <c:v>44879</c:v>
                </c:pt>
                <c:pt idx="262">
                  <c:v>44880</c:v>
                </c:pt>
                <c:pt idx="263">
                  <c:v>44881</c:v>
                </c:pt>
                <c:pt idx="264">
                  <c:v>44882</c:v>
                </c:pt>
                <c:pt idx="265">
                  <c:v>44883</c:v>
                </c:pt>
                <c:pt idx="266">
                  <c:v>44886</c:v>
                </c:pt>
                <c:pt idx="267">
                  <c:v>44887</c:v>
                </c:pt>
                <c:pt idx="268">
                  <c:v>44888</c:v>
                </c:pt>
                <c:pt idx="269">
                  <c:v>44889</c:v>
                </c:pt>
                <c:pt idx="270">
                  <c:v>44890</c:v>
                </c:pt>
                <c:pt idx="271">
                  <c:v>44893</c:v>
                </c:pt>
                <c:pt idx="272">
                  <c:v>44894</c:v>
                </c:pt>
                <c:pt idx="273">
                  <c:v>44895</c:v>
                </c:pt>
                <c:pt idx="274">
                  <c:v>44896</c:v>
                </c:pt>
                <c:pt idx="275">
                  <c:v>44897</c:v>
                </c:pt>
                <c:pt idx="276">
                  <c:v>44900</c:v>
                </c:pt>
                <c:pt idx="277">
                  <c:v>44901</c:v>
                </c:pt>
                <c:pt idx="278">
                  <c:v>44902</c:v>
                </c:pt>
                <c:pt idx="279">
                  <c:v>44903</c:v>
                </c:pt>
                <c:pt idx="280">
                  <c:v>44904</c:v>
                </c:pt>
                <c:pt idx="281">
                  <c:v>44907</c:v>
                </c:pt>
                <c:pt idx="282">
                  <c:v>44908</c:v>
                </c:pt>
                <c:pt idx="283">
                  <c:v>44909</c:v>
                </c:pt>
                <c:pt idx="284">
                  <c:v>44910</c:v>
                </c:pt>
                <c:pt idx="285">
                  <c:v>44911</c:v>
                </c:pt>
                <c:pt idx="286">
                  <c:v>44914</c:v>
                </c:pt>
                <c:pt idx="287">
                  <c:v>44915</c:v>
                </c:pt>
                <c:pt idx="288">
                  <c:v>44916</c:v>
                </c:pt>
                <c:pt idx="289">
                  <c:v>44917</c:v>
                </c:pt>
                <c:pt idx="290">
                  <c:v>44918</c:v>
                </c:pt>
                <c:pt idx="291">
                  <c:v>44921</c:v>
                </c:pt>
                <c:pt idx="292">
                  <c:v>44922</c:v>
                </c:pt>
                <c:pt idx="293">
                  <c:v>44923</c:v>
                </c:pt>
                <c:pt idx="294">
                  <c:v>44924</c:v>
                </c:pt>
                <c:pt idx="295">
                  <c:v>44925</c:v>
                </c:pt>
                <c:pt idx="296">
                  <c:v>44928</c:v>
                </c:pt>
                <c:pt idx="297">
                  <c:v>44929</c:v>
                </c:pt>
                <c:pt idx="298">
                  <c:v>44930</c:v>
                </c:pt>
                <c:pt idx="299">
                  <c:v>44931</c:v>
                </c:pt>
                <c:pt idx="300">
                  <c:v>44932</c:v>
                </c:pt>
                <c:pt idx="301">
                  <c:v>44935</c:v>
                </c:pt>
                <c:pt idx="302">
                  <c:v>44936</c:v>
                </c:pt>
                <c:pt idx="303">
                  <c:v>44937</c:v>
                </c:pt>
                <c:pt idx="304">
                  <c:v>44938</c:v>
                </c:pt>
                <c:pt idx="305">
                  <c:v>44939</c:v>
                </c:pt>
                <c:pt idx="306">
                  <c:v>44942</c:v>
                </c:pt>
                <c:pt idx="307">
                  <c:v>44943</c:v>
                </c:pt>
                <c:pt idx="308">
                  <c:v>44944</c:v>
                </c:pt>
                <c:pt idx="309">
                  <c:v>44945</c:v>
                </c:pt>
                <c:pt idx="310">
                  <c:v>44946</c:v>
                </c:pt>
                <c:pt idx="311">
                  <c:v>44949</c:v>
                </c:pt>
                <c:pt idx="312">
                  <c:v>44950</c:v>
                </c:pt>
                <c:pt idx="313">
                  <c:v>44951</c:v>
                </c:pt>
                <c:pt idx="314">
                  <c:v>44953</c:v>
                </c:pt>
                <c:pt idx="315">
                  <c:v>44956</c:v>
                </c:pt>
                <c:pt idx="316">
                  <c:v>44957</c:v>
                </c:pt>
                <c:pt idx="317">
                  <c:v>44958</c:v>
                </c:pt>
                <c:pt idx="318">
                  <c:v>44959</c:v>
                </c:pt>
                <c:pt idx="319">
                  <c:v>44960</c:v>
                </c:pt>
                <c:pt idx="320">
                  <c:v>44963</c:v>
                </c:pt>
                <c:pt idx="321">
                  <c:v>44964</c:v>
                </c:pt>
                <c:pt idx="322">
                  <c:v>44965</c:v>
                </c:pt>
                <c:pt idx="323">
                  <c:v>44966</c:v>
                </c:pt>
                <c:pt idx="324">
                  <c:v>44967</c:v>
                </c:pt>
                <c:pt idx="325">
                  <c:v>44970</c:v>
                </c:pt>
                <c:pt idx="326">
                  <c:v>44971</c:v>
                </c:pt>
                <c:pt idx="327">
                  <c:v>44972</c:v>
                </c:pt>
                <c:pt idx="328">
                  <c:v>44973</c:v>
                </c:pt>
                <c:pt idx="329">
                  <c:v>44974</c:v>
                </c:pt>
                <c:pt idx="330">
                  <c:v>44977</c:v>
                </c:pt>
                <c:pt idx="331">
                  <c:v>44978</c:v>
                </c:pt>
                <c:pt idx="332">
                  <c:v>44979</c:v>
                </c:pt>
                <c:pt idx="333">
                  <c:v>44980</c:v>
                </c:pt>
                <c:pt idx="334">
                  <c:v>44981</c:v>
                </c:pt>
                <c:pt idx="335">
                  <c:v>44984</c:v>
                </c:pt>
                <c:pt idx="336">
                  <c:v>44985</c:v>
                </c:pt>
                <c:pt idx="337">
                  <c:v>44986</c:v>
                </c:pt>
                <c:pt idx="338">
                  <c:v>44987</c:v>
                </c:pt>
                <c:pt idx="339">
                  <c:v>44988</c:v>
                </c:pt>
                <c:pt idx="340">
                  <c:v>44991</c:v>
                </c:pt>
                <c:pt idx="341">
                  <c:v>44993</c:v>
                </c:pt>
                <c:pt idx="342">
                  <c:v>44994</c:v>
                </c:pt>
                <c:pt idx="343">
                  <c:v>44995</c:v>
                </c:pt>
                <c:pt idx="344">
                  <c:v>44998</c:v>
                </c:pt>
                <c:pt idx="345">
                  <c:v>44999</c:v>
                </c:pt>
                <c:pt idx="346">
                  <c:v>45000</c:v>
                </c:pt>
                <c:pt idx="347">
                  <c:v>45001</c:v>
                </c:pt>
                <c:pt idx="348">
                  <c:v>45002</c:v>
                </c:pt>
                <c:pt idx="349">
                  <c:v>45005</c:v>
                </c:pt>
                <c:pt idx="350">
                  <c:v>45006</c:v>
                </c:pt>
                <c:pt idx="351">
                  <c:v>45007</c:v>
                </c:pt>
                <c:pt idx="352">
                  <c:v>45008</c:v>
                </c:pt>
                <c:pt idx="353">
                  <c:v>45009</c:v>
                </c:pt>
                <c:pt idx="354">
                  <c:v>45012</c:v>
                </c:pt>
                <c:pt idx="355">
                  <c:v>45013</c:v>
                </c:pt>
                <c:pt idx="356">
                  <c:v>45014</c:v>
                </c:pt>
                <c:pt idx="357">
                  <c:v>45016</c:v>
                </c:pt>
                <c:pt idx="358">
                  <c:v>45019</c:v>
                </c:pt>
                <c:pt idx="359">
                  <c:v>45021</c:v>
                </c:pt>
                <c:pt idx="360">
                  <c:v>45022</c:v>
                </c:pt>
                <c:pt idx="361">
                  <c:v>45026</c:v>
                </c:pt>
                <c:pt idx="362">
                  <c:v>45027</c:v>
                </c:pt>
                <c:pt idx="363">
                  <c:v>45028</c:v>
                </c:pt>
                <c:pt idx="364">
                  <c:v>45029</c:v>
                </c:pt>
                <c:pt idx="365">
                  <c:v>45033</c:v>
                </c:pt>
                <c:pt idx="366">
                  <c:v>45034</c:v>
                </c:pt>
                <c:pt idx="367">
                  <c:v>45035</c:v>
                </c:pt>
                <c:pt idx="368">
                  <c:v>45036</c:v>
                </c:pt>
                <c:pt idx="369">
                  <c:v>45037</c:v>
                </c:pt>
                <c:pt idx="370">
                  <c:v>45040</c:v>
                </c:pt>
                <c:pt idx="371">
                  <c:v>45041</c:v>
                </c:pt>
                <c:pt idx="372">
                  <c:v>45042</c:v>
                </c:pt>
                <c:pt idx="373">
                  <c:v>45043</c:v>
                </c:pt>
                <c:pt idx="374">
                  <c:v>45044</c:v>
                </c:pt>
                <c:pt idx="375">
                  <c:v>45048</c:v>
                </c:pt>
                <c:pt idx="376">
                  <c:v>45049</c:v>
                </c:pt>
                <c:pt idx="377">
                  <c:v>45050</c:v>
                </c:pt>
                <c:pt idx="378">
                  <c:v>45051</c:v>
                </c:pt>
                <c:pt idx="379">
                  <c:v>45054</c:v>
                </c:pt>
                <c:pt idx="380">
                  <c:v>45055</c:v>
                </c:pt>
                <c:pt idx="381">
                  <c:v>45056</c:v>
                </c:pt>
                <c:pt idx="382">
                  <c:v>45057</c:v>
                </c:pt>
                <c:pt idx="383">
                  <c:v>45058</c:v>
                </c:pt>
                <c:pt idx="384">
                  <c:v>45061</c:v>
                </c:pt>
                <c:pt idx="385">
                  <c:v>45062</c:v>
                </c:pt>
                <c:pt idx="386">
                  <c:v>45063</c:v>
                </c:pt>
                <c:pt idx="387">
                  <c:v>45064</c:v>
                </c:pt>
                <c:pt idx="388">
                  <c:v>45065</c:v>
                </c:pt>
                <c:pt idx="389">
                  <c:v>45068</c:v>
                </c:pt>
                <c:pt idx="390">
                  <c:v>45069</c:v>
                </c:pt>
                <c:pt idx="391">
                  <c:v>45070</c:v>
                </c:pt>
                <c:pt idx="392">
                  <c:v>45071</c:v>
                </c:pt>
                <c:pt idx="393">
                  <c:v>45072</c:v>
                </c:pt>
                <c:pt idx="394">
                  <c:v>45075</c:v>
                </c:pt>
                <c:pt idx="395">
                  <c:v>45076</c:v>
                </c:pt>
                <c:pt idx="396">
                  <c:v>45077</c:v>
                </c:pt>
                <c:pt idx="397">
                  <c:v>45078</c:v>
                </c:pt>
                <c:pt idx="398">
                  <c:v>45079</c:v>
                </c:pt>
                <c:pt idx="399">
                  <c:v>45082</c:v>
                </c:pt>
                <c:pt idx="400">
                  <c:v>45083</c:v>
                </c:pt>
                <c:pt idx="401">
                  <c:v>45084</c:v>
                </c:pt>
                <c:pt idx="402">
                  <c:v>45085</c:v>
                </c:pt>
                <c:pt idx="403">
                  <c:v>45086</c:v>
                </c:pt>
                <c:pt idx="404">
                  <c:v>45089</c:v>
                </c:pt>
                <c:pt idx="405">
                  <c:v>45090</c:v>
                </c:pt>
                <c:pt idx="406">
                  <c:v>45091</c:v>
                </c:pt>
                <c:pt idx="407">
                  <c:v>45092</c:v>
                </c:pt>
                <c:pt idx="408">
                  <c:v>45093</c:v>
                </c:pt>
                <c:pt idx="409">
                  <c:v>45096</c:v>
                </c:pt>
                <c:pt idx="410">
                  <c:v>45097</c:v>
                </c:pt>
                <c:pt idx="411">
                  <c:v>45098</c:v>
                </c:pt>
                <c:pt idx="412">
                  <c:v>45099</c:v>
                </c:pt>
                <c:pt idx="413">
                  <c:v>45100</c:v>
                </c:pt>
                <c:pt idx="414">
                  <c:v>45103</c:v>
                </c:pt>
                <c:pt idx="415">
                  <c:v>45104</c:v>
                </c:pt>
                <c:pt idx="416">
                  <c:v>45105</c:v>
                </c:pt>
                <c:pt idx="417">
                  <c:v>45107</c:v>
                </c:pt>
                <c:pt idx="418">
                  <c:v>45110</c:v>
                </c:pt>
                <c:pt idx="419">
                  <c:v>45111</c:v>
                </c:pt>
                <c:pt idx="420">
                  <c:v>45112</c:v>
                </c:pt>
                <c:pt idx="421">
                  <c:v>45113</c:v>
                </c:pt>
                <c:pt idx="422">
                  <c:v>45114</c:v>
                </c:pt>
                <c:pt idx="423">
                  <c:v>45117</c:v>
                </c:pt>
                <c:pt idx="424">
                  <c:v>45118</c:v>
                </c:pt>
                <c:pt idx="425">
                  <c:v>45119</c:v>
                </c:pt>
                <c:pt idx="426">
                  <c:v>45120</c:v>
                </c:pt>
                <c:pt idx="427">
                  <c:v>45121</c:v>
                </c:pt>
                <c:pt idx="428">
                  <c:v>45124</c:v>
                </c:pt>
                <c:pt idx="429">
                  <c:v>45125</c:v>
                </c:pt>
                <c:pt idx="430">
                  <c:v>45126</c:v>
                </c:pt>
                <c:pt idx="431">
                  <c:v>45127</c:v>
                </c:pt>
                <c:pt idx="432">
                  <c:v>45128</c:v>
                </c:pt>
                <c:pt idx="433">
                  <c:v>45131</c:v>
                </c:pt>
                <c:pt idx="434">
                  <c:v>45132</c:v>
                </c:pt>
                <c:pt idx="435">
                  <c:v>45133</c:v>
                </c:pt>
                <c:pt idx="436">
                  <c:v>45134</c:v>
                </c:pt>
                <c:pt idx="437">
                  <c:v>45135</c:v>
                </c:pt>
                <c:pt idx="438">
                  <c:v>45138</c:v>
                </c:pt>
                <c:pt idx="439">
                  <c:v>45139</c:v>
                </c:pt>
                <c:pt idx="440">
                  <c:v>45140</c:v>
                </c:pt>
                <c:pt idx="441">
                  <c:v>45141</c:v>
                </c:pt>
                <c:pt idx="442">
                  <c:v>45142</c:v>
                </c:pt>
                <c:pt idx="443">
                  <c:v>45145</c:v>
                </c:pt>
                <c:pt idx="444">
                  <c:v>45146</c:v>
                </c:pt>
                <c:pt idx="445">
                  <c:v>45147</c:v>
                </c:pt>
                <c:pt idx="446">
                  <c:v>45148</c:v>
                </c:pt>
                <c:pt idx="447">
                  <c:v>45149</c:v>
                </c:pt>
                <c:pt idx="448">
                  <c:v>45152</c:v>
                </c:pt>
                <c:pt idx="449">
                  <c:v>45154</c:v>
                </c:pt>
                <c:pt idx="450">
                  <c:v>45155</c:v>
                </c:pt>
                <c:pt idx="451">
                  <c:v>45156</c:v>
                </c:pt>
                <c:pt idx="452">
                  <c:v>45159</c:v>
                </c:pt>
                <c:pt idx="453">
                  <c:v>45160</c:v>
                </c:pt>
                <c:pt idx="454">
                  <c:v>45161</c:v>
                </c:pt>
                <c:pt idx="455">
                  <c:v>45162</c:v>
                </c:pt>
                <c:pt idx="456">
                  <c:v>45163</c:v>
                </c:pt>
                <c:pt idx="457">
                  <c:v>45166</c:v>
                </c:pt>
                <c:pt idx="458">
                  <c:v>45167</c:v>
                </c:pt>
                <c:pt idx="459">
                  <c:v>45168</c:v>
                </c:pt>
                <c:pt idx="460">
                  <c:v>45169</c:v>
                </c:pt>
                <c:pt idx="461">
                  <c:v>45170</c:v>
                </c:pt>
                <c:pt idx="462">
                  <c:v>45173</c:v>
                </c:pt>
                <c:pt idx="463">
                  <c:v>45174</c:v>
                </c:pt>
                <c:pt idx="464">
                  <c:v>45175</c:v>
                </c:pt>
                <c:pt idx="465">
                  <c:v>45176</c:v>
                </c:pt>
                <c:pt idx="466">
                  <c:v>45177</c:v>
                </c:pt>
                <c:pt idx="467">
                  <c:v>45180</c:v>
                </c:pt>
                <c:pt idx="468">
                  <c:v>45181</c:v>
                </c:pt>
                <c:pt idx="469">
                  <c:v>45182</c:v>
                </c:pt>
                <c:pt idx="470">
                  <c:v>45183</c:v>
                </c:pt>
                <c:pt idx="471">
                  <c:v>45184</c:v>
                </c:pt>
                <c:pt idx="472">
                  <c:v>45187</c:v>
                </c:pt>
                <c:pt idx="473">
                  <c:v>45189</c:v>
                </c:pt>
                <c:pt idx="474">
                  <c:v>45190</c:v>
                </c:pt>
                <c:pt idx="475">
                  <c:v>45191</c:v>
                </c:pt>
                <c:pt idx="476">
                  <c:v>45194</c:v>
                </c:pt>
                <c:pt idx="477">
                  <c:v>45195</c:v>
                </c:pt>
                <c:pt idx="478">
                  <c:v>45196</c:v>
                </c:pt>
                <c:pt idx="479">
                  <c:v>45197</c:v>
                </c:pt>
                <c:pt idx="480">
                  <c:v>45198</c:v>
                </c:pt>
                <c:pt idx="481">
                  <c:v>45202</c:v>
                </c:pt>
                <c:pt idx="482">
                  <c:v>45203</c:v>
                </c:pt>
                <c:pt idx="483">
                  <c:v>45204</c:v>
                </c:pt>
                <c:pt idx="484">
                  <c:v>45205</c:v>
                </c:pt>
                <c:pt idx="485">
                  <c:v>45208</c:v>
                </c:pt>
                <c:pt idx="486">
                  <c:v>45209</c:v>
                </c:pt>
                <c:pt idx="487">
                  <c:v>45210</c:v>
                </c:pt>
                <c:pt idx="488">
                  <c:v>45211</c:v>
                </c:pt>
                <c:pt idx="489">
                  <c:v>45212</c:v>
                </c:pt>
                <c:pt idx="490">
                  <c:v>45215</c:v>
                </c:pt>
                <c:pt idx="491">
                  <c:v>45216</c:v>
                </c:pt>
                <c:pt idx="492">
                  <c:v>45217</c:v>
                </c:pt>
                <c:pt idx="493">
                  <c:v>45218</c:v>
                </c:pt>
                <c:pt idx="494">
                  <c:v>45219</c:v>
                </c:pt>
                <c:pt idx="495">
                  <c:v>45222</c:v>
                </c:pt>
                <c:pt idx="496">
                  <c:v>45224</c:v>
                </c:pt>
                <c:pt idx="497">
                  <c:v>45225</c:v>
                </c:pt>
                <c:pt idx="498">
                  <c:v>45226</c:v>
                </c:pt>
                <c:pt idx="499">
                  <c:v>45229</c:v>
                </c:pt>
                <c:pt idx="500">
                  <c:v>45230</c:v>
                </c:pt>
                <c:pt idx="501">
                  <c:v>45231</c:v>
                </c:pt>
                <c:pt idx="502">
                  <c:v>45232</c:v>
                </c:pt>
                <c:pt idx="503">
                  <c:v>45233</c:v>
                </c:pt>
                <c:pt idx="504">
                  <c:v>45236</c:v>
                </c:pt>
                <c:pt idx="505">
                  <c:v>45237</c:v>
                </c:pt>
                <c:pt idx="506">
                  <c:v>45238</c:v>
                </c:pt>
                <c:pt idx="507">
                  <c:v>45239</c:v>
                </c:pt>
                <c:pt idx="508">
                  <c:v>45240</c:v>
                </c:pt>
                <c:pt idx="509">
                  <c:v>45242</c:v>
                </c:pt>
                <c:pt idx="510">
                  <c:v>45243</c:v>
                </c:pt>
                <c:pt idx="511">
                  <c:v>45245</c:v>
                </c:pt>
                <c:pt idx="512">
                  <c:v>45246</c:v>
                </c:pt>
                <c:pt idx="513">
                  <c:v>45247</c:v>
                </c:pt>
                <c:pt idx="514">
                  <c:v>45250</c:v>
                </c:pt>
                <c:pt idx="515">
                  <c:v>45251</c:v>
                </c:pt>
                <c:pt idx="516">
                  <c:v>45252</c:v>
                </c:pt>
                <c:pt idx="517">
                  <c:v>45253</c:v>
                </c:pt>
                <c:pt idx="518">
                  <c:v>45254</c:v>
                </c:pt>
                <c:pt idx="519">
                  <c:v>45258</c:v>
                </c:pt>
                <c:pt idx="520">
                  <c:v>45259</c:v>
                </c:pt>
                <c:pt idx="521">
                  <c:v>45260</c:v>
                </c:pt>
                <c:pt idx="522">
                  <c:v>45261</c:v>
                </c:pt>
                <c:pt idx="523">
                  <c:v>45264</c:v>
                </c:pt>
                <c:pt idx="524">
                  <c:v>45265</c:v>
                </c:pt>
                <c:pt idx="525">
                  <c:v>45266</c:v>
                </c:pt>
                <c:pt idx="526">
                  <c:v>45267</c:v>
                </c:pt>
                <c:pt idx="527">
                  <c:v>45268</c:v>
                </c:pt>
                <c:pt idx="528">
                  <c:v>45271</c:v>
                </c:pt>
                <c:pt idx="529">
                  <c:v>45272</c:v>
                </c:pt>
                <c:pt idx="530">
                  <c:v>45273</c:v>
                </c:pt>
                <c:pt idx="531">
                  <c:v>45274</c:v>
                </c:pt>
                <c:pt idx="532">
                  <c:v>45275</c:v>
                </c:pt>
                <c:pt idx="533">
                  <c:v>45278</c:v>
                </c:pt>
                <c:pt idx="534">
                  <c:v>45279</c:v>
                </c:pt>
                <c:pt idx="535">
                  <c:v>45280</c:v>
                </c:pt>
                <c:pt idx="536">
                  <c:v>45281</c:v>
                </c:pt>
                <c:pt idx="537">
                  <c:v>45282</c:v>
                </c:pt>
                <c:pt idx="538">
                  <c:v>45286</c:v>
                </c:pt>
                <c:pt idx="539">
                  <c:v>45287</c:v>
                </c:pt>
                <c:pt idx="540">
                  <c:v>45288</c:v>
                </c:pt>
                <c:pt idx="541">
                  <c:v>45289</c:v>
                </c:pt>
                <c:pt idx="542">
                  <c:v>45292</c:v>
                </c:pt>
                <c:pt idx="543">
                  <c:v>45293</c:v>
                </c:pt>
                <c:pt idx="544">
                  <c:v>45294</c:v>
                </c:pt>
                <c:pt idx="545">
                  <c:v>45295</c:v>
                </c:pt>
                <c:pt idx="546">
                  <c:v>45296</c:v>
                </c:pt>
                <c:pt idx="547">
                  <c:v>45299</c:v>
                </c:pt>
                <c:pt idx="548">
                  <c:v>45300</c:v>
                </c:pt>
                <c:pt idx="549">
                  <c:v>45301</c:v>
                </c:pt>
                <c:pt idx="550">
                  <c:v>45302</c:v>
                </c:pt>
                <c:pt idx="551">
                  <c:v>45303</c:v>
                </c:pt>
                <c:pt idx="552">
                  <c:v>45306</c:v>
                </c:pt>
                <c:pt idx="553">
                  <c:v>45307</c:v>
                </c:pt>
                <c:pt idx="554">
                  <c:v>45308</c:v>
                </c:pt>
                <c:pt idx="555">
                  <c:v>45309</c:v>
                </c:pt>
                <c:pt idx="556">
                  <c:v>45310</c:v>
                </c:pt>
                <c:pt idx="557">
                  <c:v>45311</c:v>
                </c:pt>
                <c:pt idx="558">
                  <c:v>45314</c:v>
                </c:pt>
                <c:pt idx="559">
                  <c:v>45315</c:v>
                </c:pt>
                <c:pt idx="560">
                  <c:v>45316</c:v>
                </c:pt>
                <c:pt idx="561">
                  <c:v>45320</c:v>
                </c:pt>
                <c:pt idx="562">
                  <c:v>45321</c:v>
                </c:pt>
                <c:pt idx="563">
                  <c:v>45322</c:v>
                </c:pt>
                <c:pt idx="564">
                  <c:v>45323</c:v>
                </c:pt>
                <c:pt idx="565">
                  <c:v>45324</c:v>
                </c:pt>
                <c:pt idx="566">
                  <c:v>45327</c:v>
                </c:pt>
                <c:pt idx="567">
                  <c:v>45328</c:v>
                </c:pt>
                <c:pt idx="568">
                  <c:v>45329</c:v>
                </c:pt>
                <c:pt idx="569">
                  <c:v>45330</c:v>
                </c:pt>
                <c:pt idx="570">
                  <c:v>45331</c:v>
                </c:pt>
                <c:pt idx="571">
                  <c:v>45334</c:v>
                </c:pt>
                <c:pt idx="572">
                  <c:v>45335</c:v>
                </c:pt>
                <c:pt idx="573">
                  <c:v>45336</c:v>
                </c:pt>
                <c:pt idx="574">
                  <c:v>45337</c:v>
                </c:pt>
                <c:pt idx="575">
                  <c:v>45338</c:v>
                </c:pt>
                <c:pt idx="576">
                  <c:v>45341</c:v>
                </c:pt>
                <c:pt idx="577">
                  <c:v>45342</c:v>
                </c:pt>
                <c:pt idx="578">
                  <c:v>45343</c:v>
                </c:pt>
                <c:pt idx="579">
                  <c:v>45344</c:v>
                </c:pt>
                <c:pt idx="580">
                  <c:v>45345</c:v>
                </c:pt>
                <c:pt idx="581">
                  <c:v>45348</c:v>
                </c:pt>
                <c:pt idx="582">
                  <c:v>45349</c:v>
                </c:pt>
                <c:pt idx="583">
                  <c:v>45350</c:v>
                </c:pt>
                <c:pt idx="584">
                  <c:v>45351</c:v>
                </c:pt>
                <c:pt idx="585">
                  <c:v>45352</c:v>
                </c:pt>
                <c:pt idx="586">
                  <c:v>45355</c:v>
                </c:pt>
                <c:pt idx="587">
                  <c:v>45356</c:v>
                </c:pt>
                <c:pt idx="588">
                  <c:v>45357</c:v>
                </c:pt>
                <c:pt idx="589">
                  <c:v>45358</c:v>
                </c:pt>
                <c:pt idx="590">
                  <c:v>45362</c:v>
                </c:pt>
                <c:pt idx="591">
                  <c:v>45363</c:v>
                </c:pt>
                <c:pt idx="592">
                  <c:v>45364</c:v>
                </c:pt>
                <c:pt idx="593">
                  <c:v>45365</c:v>
                </c:pt>
                <c:pt idx="594">
                  <c:v>45366</c:v>
                </c:pt>
                <c:pt idx="595">
                  <c:v>45369</c:v>
                </c:pt>
                <c:pt idx="596">
                  <c:v>45370</c:v>
                </c:pt>
                <c:pt idx="597">
                  <c:v>45371</c:v>
                </c:pt>
                <c:pt idx="598">
                  <c:v>45372</c:v>
                </c:pt>
                <c:pt idx="599">
                  <c:v>45373</c:v>
                </c:pt>
                <c:pt idx="600">
                  <c:v>45377</c:v>
                </c:pt>
                <c:pt idx="601">
                  <c:v>45378</c:v>
                </c:pt>
                <c:pt idx="602">
                  <c:v>45379</c:v>
                </c:pt>
                <c:pt idx="603">
                  <c:v>45383</c:v>
                </c:pt>
                <c:pt idx="604">
                  <c:v>45384</c:v>
                </c:pt>
                <c:pt idx="605">
                  <c:v>45385</c:v>
                </c:pt>
                <c:pt idx="606">
                  <c:v>45386</c:v>
                </c:pt>
                <c:pt idx="607">
                  <c:v>45387</c:v>
                </c:pt>
                <c:pt idx="608">
                  <c:v>45390</c:v>
                </c:pt>
                <c:pt idx="609">
                  <c:v>45391</c:v>
                </c:pt>
                <c:pt idx="610">
                  <c:v>45392</c:v>
                </c:pt>
                <c:pt idx="611">
                  <c:v>45394</c:v>
                </c:pt>
                <c:pt idx="612">
                  <c:v>45397</c:v>
                </c:pt>
                <c:pt idx="613">
                  <c:v>45398</c:v>
                </c:pt>
                <c:pt idx="614">
                  <c:v>45400</c:v>
                </c:pt>
                <c:pt idx="615">
                  <c:v>45401</c:v>
                </c:pt>
                <c:pt idx="616">
                  <c:v>45404</c:v>
                </c:pt>
                <c:pt idx="617">
                  <c:v>45405</c:v>
                </c:pt>
                <c:pt idx="618">
                  <c:v>45406</c:v>
                </c:pt>
                <c:pt idx="619">
                  <c:v>45407</c:v>
                </c:pt>
                <c:pt idx="620">
                  <c:v>45408</c:v>
                </c:pt>
                <c:pt idx="621">
                  <c:v>45411</c:v>
                </c:pt>
                <c:pt idx="622">
                  <c:v>45412</c:v>
                </c:pt>
                <c:pt idx="623">
                  <c:v>45414</c:v>
                </c:pt>
                <c:pt idx="624">
                  <c:v>45415</c:v>
                </c:pt>
                <c:pt idx="625">
                  <c:v>45418</c:v>
                </c:pt>
                <c:pt idx="626">
                  <c:v>45419</c:v>
                </c:pt>
                <c:pt idx="627">
                  <c:v>45420</c:v>
                </c:pt>
                <c:pt idx="628">
                  <c:v>45421</c:v>
                </c:pt>
                <c:pt idx="629">
                  <c:v>45422</c:v>
                </c:pt>
                <c:pt idx="630">
                  <c:v>45425</c:v>
                </c:pt>
                <c:pt idx="631">
                  <c:v>45426</c:v>
                </c:pt>
                <c:pt idx="632">
                  <c:v>45427</c:v>
                </c:pt>
                <c:pt idx="633">
                  <c:v>45428</c:v>
                </c:pt>
                <c:pt idx="634">
                  <c:v>45429</c:v>
                </c:pt>
                <c:pt idx="635">
                  <c:v>45430</c:v>
                </c:pt>
                <c:pt idx="636">
                  <c:v>45433</c:v>
                </c:pt>
                <c:pt idx="637">
                  <c:v>45434</c:v>
                </c:pt>
                <c:pt idx="638">
                  <c:v>45435</c:v>
                </c:pt>
                <c:pt idx="639">
                  <c:v>45436</c:v>
                </c:pt>
                <c:pt idx="640">
                  <c:v>45439</c:v>
                </c:pt>
                <c:pt idx="641">
                  <c:v>45440</c:v>
                </c:pt>
                <c:pt idx="642">
                  <c:v>45441</c:v>
                </c:pt>
                <c:pt idx="643">
                  <c:v>45442</c:v>
                </c:pt>
                <c:pt idx="644">
                  <c:v>45443</c:v>
                </c:pt>
                <c:pt idx="645">
                  <c:v>45446</c:v>
                </c:pt>
                <c:pt idx="646">
                  <c:v>45447</c:v>
                </c:pt>
                <c:pt idx="647">
                  <c:v>45448</c:v>
                </c:pt>
                <c:pt idx="648">
                  <c:v>45449</c:v>
                </c:pt>
                <c:pt idx="649">
                  <c:v>45450</c:v>
                </c:pt>
                <c:pt idx="650">
                  <c:v>45453</c:v>
                </c:pt>
                <c:pt idx="651">
                  <c:v>45454</c:v>
                </c:pt>
                <c:pt idx="652">
                  <c:v>45455</c:v>
                </c:pt>
                <c:pt idx="653">
                  <c:v>45456</c:v>
                </c:pt>
                <c:pt idx="654">
                  <c:v>45457</c:v>
                </c:pt>
                <c:pt idx="655">
                  <c:v>45461</c:v>
                </c:pt>
                <c:pt idx="656">
                  <c:v>45462</c:v>
                </c:pt>
                <c:pt idx="657">
                  <c:v>45463</c:v>
                </c:pt>
                <c:pt idx="658">
                  <c:v>45464</c:v>
                </c:pt>
                <c:pt idx="659">
                  <c:v>45467</c:v>
                </c:pt>
                <c:pt idx="660">
                  <c:v>45468</c:v>
                </c:pt>
                <c:pt idx="661">
                  <c:v>45469</c:v>
                </c:pt>
                <c:pt idx="662">
                  <c:v>45470</c:v>
                </c:pt>
                <c:pt idx="663">
                  <c:v>45471</c:v>
                </c:pt>
                <c:pt idx="664">
                  <c:v>45474</c:v>
                </c:pt>
                <c:pt idx="665">
                  <c:v>45475</c:v>
                </c:pt>
                <c:pt idx="666">
                  <c:v>45476</c:v>
                </c:pt>
                <c:pt idx="667">
                  <c:v>45477</c:v>
                </c:pt>
                <c:pt idx="668">
                  <c:v>45478</c:v>
                </c:pt>
                <c:pt idx="669">
                  <c:v>45481</c:v>
                </c:pt>
                <c:pt idx="670">
                  <c:v>45482</c:v>
                </c:pt>
                <c:pt idx="671">
                  <c:v>45483</c:v>
                </c:pt>
                <c:pt idx="672">
                  <c:v>45484</c:v>
                </c:pt>
                <c:pt idx="673">
                  <c:v>45485</c:v>
                </c:pt>
                <c:pt idx="674">
                  <c:v>45488</c:v>
                </c:pt>
                <c:pt idx="675">
                  <c:v>45489</c:v>
                </c:pt>
                <c:pt idx="676">
                  <c:v>45491</c:v>
                </c:pt>
                <c:pt idx="677">
                  <c:v>45492</c:v>
                </c:pt>
                <c:pt idx="678">
                  <c:v>45495</c:v>
                </c:pt>
                <c:pt idx="679">
                  <c:v>45496</c:v>
                </c:pt>
                <c:pt idx="680">
                  <c:v>45497</c:v>
                </c:pt>
                <c:pt idx="681">
                  <c:v>45498</c:v>
                </c:pt>
                <c:pt idx="682">
                  <c:v>45499</c:v>
                </c:pt>
                <c:pt idx="683">
                  <c:v>45502</c:v>
                </c:pt>
                <c:pt idx="684">
                  <c:v>45503</c:v>
                </c:pt>
                <c:pt idx="685">
                  <c:v>45504</c:v>
                </c:pt>
                <c:pt idx="686">
                  <c:v>45505</c:v>
                </c:pt>
                <c:pt idx="687">
                  <c:v>45506</c:v>
                </c:pt>
                <c:pt idx="688">
                  <c:v>45509</c:v>
                </c:pt>
                <c:pt idx="689">
                  <c:v>45510</c:v>
                </c:pt>
                <c:pt idx="690">
                  <c:v>45511</c:v>
                </c:pt>
                <c:pt idx="691">
                  <c:v>45512</c:v>
                </c:pt>
                <c:pt idx="692">
                  <c:v>45513</c:v>
                </c:pt>
                <c:pt idx="693">
                  <c:v>45516</c:v>
                </c:pt>
                <c:pt idx="694">
                  <c:v>45517</c:v>
                </c:pt>
                <c:pt idx="695">
                  <c:v>45518</c:v>
                </c:pt>
                <c:pt idx="696">
                  <c:v>45520</c:v>
                </c:pt>
                <c:pt idx="697">
                  <c:v>45523</c:v>
                </c:pt>
                <c:pt idx="698">
                  <c:v>45524</c:v>
                </c:pt>
                <c:pt idx="699">
                  <c:v>45525</c:v>
                </c:pt>
                <c:pt idx="700">
                  <c:v>45526</c:v>
                </c:pt>
                <c:pt idx="701">
                  <c:v>45527</c:v>
                </c:pt>
                <c:pt idx="702">
                  <c:v>45530</c:v>
                </c:pt>
                <c:pt idx="703">
                  <c:v>45531</c:v>
                </c:pt>
                <c:pt idx="704">
                  <c:v>45532</c:v>
                </c:pt>
                <c:pt idx="705">
                  <c:v>45533</c:v>
                </c:pt>
                <c:pt idx="706">
                  <c:v>45534</c:v>
                </c:pt>
                <c:pt idx="707">
                  <c:v>45537</c:v>
                </c:pt>
                <c:pt idx="708">
                  <c:v>45538</c:v>
                </c:pt>
                <c:pt idx="709">
                  <c:v>45539</c:v>
                </c:pt>
                <c:pt idx="710">
                  <c:v>45540</c:v>
                </c:pt>
                <c:pt idx="711">
                  <c:v>45541</c:v>
                </c:pt>
                <c:pt idx="712">
                  <c:v>45544</c:v>
                </c:pt>
                <c:pt idx="713">
                  <c:v>45545</c:v>
                </c:pt>
                <c:pt idx="714">
                  <c:v>45546</c:v>
                </c:pt>
                <c:pt idx="715">
                  <c:v>45547</c:v>
                </c:pt>
                <c:pt idx="716">
                  <c:v>45548</c:v>
                </c:pt>
                <c:pt idx="717">
                  <c:v>45551</c:v>
                </c:pt>
                <c:pt idx="718">
                  <c:v>45552</c:v>
                </c:pt>
                <c:pt idx="719">
                  <c:v>45553</c:v>
                </c:pt>
                <c:pt idx="720">
                  <c:v>45554</c:v>
                </c:pt>
                <c:pt idx="721">
                  <c:v>45555</c:v>
                </c:pt>
                <c:pt idx="722">
                  <c:v>45558</c:v>
                </c:pt>
                <c:pt idx="723">
                  <c:v>45559</c:v>
                </c:pt>
                <c:pt idx="724">
                  <c:v>45560</c:v>
                </c:pt>
                <c:pt idx="725">
                  <c:v>45561</c:v>
                </c:pt>
                <c:pt idx="726">
                  <c:v>45562</c:v>
                </c:pt>
                <c:pt idx="727">
                  <c:v>45565</c:v>
                </c:pt>
                <c:pt idx="728">
                  <c:v>45566</c:v>
                </c:pt>
                <c:pt idx="729">
                  <c:v>45568</c:v>
                </c:pt>
                <c:pt idx="730">
                  <c:v>45569</c:v>
                </c:pt>
                <c:pt idx="731">
                  <c:v>45572</c:v>
                </c:pt>
                <c:pt idx="732">
                  <c:v>45573</c:v>
                </c:pt>
                <c:pt idx="733">
                  <c:v>45574</c:v>
                </c:pt>
                <c:pt idx="734">
                  <c:v>45575</c:v>
                </c:pt>
                <c:pt idx="735">
                  <c:v>45576</c:v>
                </c:pt>
                <c:pt idx="736">
                  <c:v>45579</c:v>
                </c:pt>
                <c:pt idx="737">
                  <c:v>45580</c:v>
                </c:pt>
                <c:pt idx="738">
                  <c:v>45581</c:v>
                </c:pt>
                <c:pt idx="739">
                  <c:v>45582</c:v>
                </c:pt>
                <c:pt idx="740">
                  <c:v>45583</c:v>
                </c:pt>
                <c:pt idx="741">
                  <c:v>45586</c:v>
                </c:pt>
                <c:pt idx="742">
                  <c:v>45587</c:v>
                </c:pt>
                <c:pt idx="743">
                  <c:v>45588</c:v>
                </c:pt>
                <c:pt idx="744">
                  <c:v>45589</c:v>
                </c:pt>
                <c:pt idx="745">
                  <c:v>45590</c:v>
                </c:pt>
                <c:pt idx="746">
                  <c:v>45593</c:v>
                </c:pt>
                <c:pt idx="747">
                  <c:v>45594</c:v>
                </c:pt>
                <c:pt idx="748">
                  <c:v>45595</c:v>
                </c:pt>
                <c:pt idx="749">
                  <c:v>45596</c:v>
                </c:pt>
                <c:pt idx="750">
                  <c:v>45597</c:v>
                </c:pt>
                <c:pt idx="751">
                  <c:v>45600</c:v>
                </c:pt>
                <c:pt idx="752">
                  <c:v>45601</c:v>
                </c:pt>
                <c:pt idx="753">
                  <c:v>45602</c:v>
                </c:pt>
                <c:pt idx="754">
                  <c:v>45603</c:v>
                </c:pt>
                <c:pt idx="755">
                  <c:v>45604</c:v>
                </c:pt>
                <c:pt idx="756">
                  <c:v>45607</c:v>
                </c:pt>
                <c:pt idx="757">
                  <c:v>45608</c:v>
                </c:pt>
                <c:pt idx="758">
                  <c:v>45609</c:v>
                </c:pt>
                <c:pt idx="759">
                  <c:v>45610</c:v>
                </c:pt>
                <c:pt idx="760">
                  <c:v>45614</c:v>
                </c:pt>
                <c:pt idx="761">
                  <c:v>45615</c:v>
                </c:pt>
                <c:pt idx="762">
                  <c:v>45617</c:v>
                </c:pt>
                <c:pt idx="763">
                  <c:v>45618</c:v>
                </c:pt>
                <c:pt idx="764">
                  <c:v>45621</c:v>
                </c:pt>
                <c:pt idx="765">
                  <c:v>45622</c:v>
                </c:pt>
                <c:pt idx="766">
                  <c:v>45623</c:v>
                </c:pt>
                <c:pt idx="767">
                  <c:v>45624</c:v>
                </c:pt>
                <c:pt idx="768">
                  <c:v>45625</c:v>
                </c:pt>
                <c:pt idx="769">
                  <c:v>45628</c:v>
                </c:pt>
                <c:pt idx="770">
                  <c:v>45629</c:v>
                </c:pt>
                <c:pt idx="771">
                  <c:v>45630</c:v>
                </c:pt>
                <c:pt idx="772">
                  <c:v>45631</c:v>
                </c:pt>
                <c:pt idx="773">
                  <c:v>45632</c:v>
                </c:pt>
                <c:pt idx="774">
                  <c:v>45635</c:v>
                </c:pt>
                <c:pt idx="775">
                  <c:v>45636</c:v>
                </c:pt>
                <c:pt idx="776">
                  <c:v>45637</c:v>
                </c:pt>
                <c:pt idx="777">
                  <c:v>45638</c:v>
                </c:pt>
                <c:pt idx="778">
                  <c:v>45639</c:v>
                </c:pt>
                <c:pt idx="779">
                  <c:v>45642</c:v>
                </c:pt>
                <c:pt idx="780">
                  <c:v>45643</c:v>
                </c:pt>
                <c:pt idx="781">
                  <c:v>45644</c:v>
                </c:pt>
                <c:pt idx="782">
                  <c:v>45645</c:v>
                </c:pt>
                <c:pt idx="783">
                  <c:v>45646</c:v>
                </c:pt>
                <c:pt idx="784">
                  <c:v>45649</c:v>
                </c:pt>
                <c:pt idx="785">
                  <c:v>45650</c:v>
                </c:pt>
                <c:pt idx="786">
                  <c:v>45652</c:v>
                </c:pt>
                <c:pt idx="787">
                  <c:v>45653</c:v>
                </c:pt>
                <c:pt idx="788">
                  <c:v>45656</c:v>
                </c:pt>
                <c:pt idx="789">
                  <c:v>45657</c:v>
                </c:pt>
                <c:pt idx="790">
                  <c:v>45658</c:v>
                </c:pt>
                <c:pt idx="791">
                  <c:v>45659</c:v>
                </c:pt>
                <c:pt idx="792">
                  <c:v>45660</c:v>
                </c:pt>
                <c:pt idx="793">
                  <c:v>45663</c:v>
                </c:pt>
                <c:pt idx="794">
                  <c:v>45664</c:v>
                </c:pt>
                <c:pt idx="795">
                  <c:v>45665</c:v>
                </c:pt>
                <c:pt idx="796">
                  <c:v>45666</c:v>
                </c:pt>
                <c:pt idx="797">
                  <c:v>45667</c:v>
                </c:pt>
                <c:pt idx="798">
                  <c:v>45670</c:v>
                </c:pt>
                <c:pt idx="799">
                  <c:v>45671</c:v>
                </c:pt>
                <c:pt idx="800">
                  <c:v>45672</c:v>
                </c:pt>
                <c:pt idx="801">
                  <c:v>45673</c:v>
                </c:pt>
                <c:pt idx="802">
                  <c:v>45674</c:v>
                </c:pt>
                <c:pt idx="803">
                  <c:v>45677</c:v>
                </c:pt>
                <c:pt idx="804">
                  <c:v>45678</c:v>
                </c:pt>
                <c:pt idx="805">
                  <c:v>45679</c:v>
                </c:pt>
                <c:pt idx="806">
                  <c:v>45680</c:v>
                </c:pt>
                <c:pt idx="807">
                  <c:v>45681</c:v>
                </c:pt>
                <c:pt idx="808">
                  <c:v>45684</c:v>
                </c:pt>
                <c:pt idx="809">
                  <c:v>45685</c:v>
                </c:pt>
                <c:pt idx="810">
                  <c:v>45686</c:v>
                </c:pt>
                <c:pt idx="811">
                  <c:v>45687</c:v>
                </c:pt>
                <c:pt idx="812">
                  <c:v>45688</c:v>
                </c:pt>
                <c:pt idx="813">
                  <c:v>45689</c:v>
                </c:pt>
                <c:pt idx="814">
                  <c:v>45691</c:v>
                </c:pt>
                <c:pt idx="815">
                  <c:v>45692</c:v>
                </c:pt>
                <c:pt idx="816">
                  <c:v>45693</c:v>
                </c:pt>
                <c:pt idx="817">
                  <c:v>45694</c:v>
                </c:pt>
                <c:pt idx="818">
                  <c:v>45695</c:v>
                </c:pt>
                <c:pt idx="819">
                  <c:v>45698</c:v>
                </c:pt>
                <c:pt idx="820">
                  <c:v>45699</c:v>
                </c:pt>
                <c:pt idx="821">
                  <c:v>45700</c:v>
                </c:pt>
                <c:pt idx="822">
                  <c:v>45701</c:v>
                </c:pt>
                <c:pt idx="823">
                  <c:v>45702</c:v>
                </c:pt>
                <c:pt idx="824">
                  <c:v>45705</c:v>
                </c:pt>
                <c:pt idx="825">
                  <c:v>45706</c:v>
                </c:pt>
                <c:pt idx="826">
                  <c:v>45707</c:v>
                </c:pt>
                <c:pt idx="827">
                  <c:v>45708</c:v>
                </c:pt>
                <c:pt idx="828">
                  <c:v>45709</c:v>
                </c:pt>
                <c:pt idx="829">
                  <c:v>45712</c:v>
                </c:pt>
                <c:pt idx="830">
                  <c:v>45713</c:v>
                </c:pt>
                <c:pt idx="831">
                  <c:v>45715</c:v>
                </c:pt>
                <c:pt idx="832">
                  <c:v>45716</c:v>
                </c:pt>
                <c:pt idx="833">
                  <c:v>45719</c:v>
                </c:pt>
                <c:pt idx="834">
                  <c:v>45720</c:v>
                </c:pt>
                <c:pt idx="835">
                  <c:v>45721</c:v>
                </c:pt>
                <c:pt idx="836">
                  <c:v>45722</c:v>
                </c:pt>
                <c:pt idx="837">
                  <c:v>45723</c:v>
                </c:pt>
                <c:pt idx="838">
                  <c:v>45726</c:v>
                </c:pt>
                <c:pt idx="839">
                  <c:v>45727</c:v>
                </c:pt>
                <c:pt idx="840">
                  <c:v>45728</c:v>
                </c:pt>
                <c:pt idx="841">
                  <c:v>45729</c:v>
                </c:pt>
                <c:pt idx="842">
                  <c:v>45733</c:v>
                </c:pt>
                <c:pt idx="843">
                  <c:v>45734</c:v>
                </c:pt>
                <c:pt idx="844">
                  <c:v>45735</c:v>
                </c:pt>
                <c:pt idx="845">
                  <c:v>45736</c:v>
                </c:pt>
                <c:pt idx="846">
                  <c:v>45737</c:v>
                </c:pt>
                <c:pt idx="847">
                  <c:v>45740</c:v>
                </c:pt>
                <c:pt idx="848">
                  <c:v>45741</c:v>
                </c:pt>
                <c:pt idx="849">
                  <c:v>45742</c:v>
                </c:pt>
                <c:pt idx="850">
                  <c:v>45743</c:v>
                </c:pt>
                <c:pt idx="851">
                  <c:v>45744</c:v>
                </c:pt>
                <c:pt idx="852">
                  <c:v>45748</c:v>
                </c:pt>
                <c:pt idx="853">
                  <c:v>45749</c:v>
                </c:pt>
                <c:pt idx="854">
                  <c:v>45750</c:v>
                </c:pt>
                <c:pt idx="855">
                  <c:v>45751</c:v>
                </c:pt>
                <c:pt idx="856">
                  <c:v>45754</c:v>
                </c:pt>
                <c:pt idx="857">
                  <c:v>45755</c:v>
                </c:pt>
                <c:pt idx="858">
                  <c:v>45756</c:v>
                </c:pt>
                <c:pt idx="859">
                  <c:v>45758</c:v>
                </c:pt>
                <c:pt idx="860">
                  <c:v>45762</c:v>
                </c:pt>
                <c:pt idx="861">
                  <c:v>45763</c:v>
                </c:pt>
                <c:pt idx="862">
                  <c:v>45764</c:v>
                </c:pt>
                <c:pt idx="863">
                  <c:v>45768</c:v>
                </c:pt>
                <c:pt idx="864">
                  <c:v>45769</c:v>
                </c:pt>
                <c:pt idx="865">
                  <c:v>45770</c:v>
                </c:pt>
                <c:pt idx="866">
                  <c:v>45771</c:v>
                </c:pt>
                <c:pt idx="867">
                  <c:v>45772</c:v>
                </c:pt>
                <c:pt idx="868">
                  <c:v>45775</c:v>
                </c:pt>
                <c:pt idx="869">
                  <c:v>45776</c:v>
                </c:pt>
                <c:pt idx="870">
                  <c:v>45777</c:v>
                </c:pt>
                <c:pt idx="871">
                  <c:v>45779</c:v>
                </c:pt>
                <c:pt idx="872">
                  <c:v>45782</c:v>
                </c:pt>
                <c:pt idx="873">
                  <c:v>45783</c:v>
                </c:pt>
                <c:pt idx="874">
                  <c:v>45784</c:v>
                </c:pt>
                <c:pt idx="875">
                  <c:v>45785</c:v>
                </c:pt>
                <c:pt idx="876">
                  <c:v>45786</c:v>
                </c:pt>
                <c:pt idx="877">
                  <c:v>45789</c:v>
                </c:pt>
                <c:pt idx="878">
                  <c:v>45790</c:v>
                </c:pt>
                <c:pt idx="879">
                  <c:v>45791</c:v>
                </c:pt>
                <c:pt idx="880">
                  <c:v>45792</c:v>
                </c:pt>
                <c:pt idx="881">
                  <c:v>45793</c:v>
                </c:pt>
                <c:pt idx="882">
                  <c:v>45796</c:v>
                </c:pt>
                <c:pt idx="883">
                  <c:v>45797</c:v>
                </c:pt>
                <c:pt idx="884">
                  <c:v>45798</c:v>
                </c:pt>
                <c:pt idx="885">
                  <c:v>45799</c:v>
                </c:pt>
                <c:pt idx="886">
                  <c:v>45800</c:v>
                </c:pt>
                <c:pt idx="887">
                  <c:v>45803</c:v>
                </c:pt>
                <c:pt idx="888">
                  <c:v>45804</c:v>
                </c:pt>
                <c:pt idx="889">
                  <c:v>45805</c:v>
                </c:pt>
                <c:pt idx="890">
                  <c:v>45806</c:v>
                </c:pt>
                <c:pt idx="891">
                  <c:v>45807</c:v>
                </c:pt>
                <c:pt idx="892">
                  <c:v>45810</c:v>
                </c:pt>
                <c:pt idx="893">
                  <c:v>45811</c:v>
                </c:pt>
                <c:pt idx="894">
                  <c:v>45812</c:v>
                </c:pt>
                <c:pt idx="895">
                  <c:v>45813</c:v>
                </c:pt>
                <c:pt idx="896">
                  <c:v>45814</c:v>
                </c:pt>
                <c:pt idx="897">
                  <c:v>45817</c:v>
                </c:pt>
                <c:pt idx="898">
                  <c:v>45818</c:v>
                </c:pt>
                <c:pt idx="899">
                  <c:v>45819</c:v>
                </c:pt>
                <c:pt idx="900">
                  <c:v>45820</c:v>
                </c:pt>
                <c:pt idx="901">
                  <c:v>45821</c:v>
                </c:pt>
                <c:pt idx="902">
                  <c:v>45824</c:v>
                </c:pt>
                <c:pt idx="903">
                  <c:v>45825</c:v>
                </c:pt>
                <c:pt idx="904">
                  <c:v>45826</c:v>
                </c:pt>
                <c:pt idx="905">
                  <c:v>45827</c:v>
                </c:pt>
                <c:pt idx="906">
                  <c:v>45828</c:v>
                </c:pt>
                <c:pt idx="907">
                  <c:v>45831</c:v>
                </c:pt>
                <c:pt idx="908">
                  <c:v>45832</c:v>
                </c:pt>
                <c:pt idx="909">
                  <c:v>45833</c:v>
                </c:pt>
                <c:pt idx="910">
                  <c:v>45834</c:v>
                </c:pt>
                <c:pt idx="911">
                  <c:v>45835</c:v>
                </c:pt>
                <c:pt idx="912">
                  <c:v>45838</c:v>
                </c:pt>
                <c:pt idx="913">
                  <c:v>45839</c:v>
                </c:pt>
                <c:pt idx="914">
                  <c:v>45840</c:v>
                </c:pt>
                <c:pt idx="915">
                  <c:v>45841</c:v>
                </c:pt>
                <c:pt idx="916">
                  <c:v>45842</c:v>
                </c:pt>
                <c:pt idx="917">
                  <c:v>45845</c:v>
                </c:pt>
                <c:pt idx="918">
                  <c:v>45846</c:v>
                </c:pt>
                <c:pt idx="919">
                  <c:v>45847</c:v>
                </c:pt>
                <c:pt idx="920">
                  <c:v>45848</c:v>
                </c:pt>
                <c:pt idx="921">
                  <c:v>45849</c:v>
                </c:pt>
                <c:pt idx="922">
                  <c:v>45852</c:v>
                </c:pt>
                <c:pt idx="923">
                  <c:v>45853</c:v>
                </c:pt>
                <c:pt idx="924">
                  <c:v>45854</c:v>
                </c:pt>
                <c:pt idx="925">
                  <c:v>45855</c:v>
                </c:pt>
                <c:pt idx="926">
                  <c:v>45856</c:v>
                </c:pt>
                <c:pt idx="927">
                  <c:v>45859</c:v>
                </c:pt>
                <c:pt idx="928">
                  <c:v>45860</c:v>
                </c:pt>
                <c:pt idx="929">
                  <c:v>45861</c:v>
                </c:pt>
                <c:pt idx="930">
                  <c:v>45862</c:v>
                </c:pt>
                <c:pt idx="931">
                  <c:v>45863</c:v>
                </c:pt>
                <c:pt idx="932">
                  <c:v>45866</c:v>
                </c:pt>
                <c:pt idx="933">
                  <c:v>45867</c:v>
                </c:pt>
                <c:pt idx="934">
                  <c:v>45868</c:v>
                </c:pt>
                <c:pt idx="935">
                  <c:v>45869</c:v>
                </c:pt>
                <c:pt idx="936">
                  <c:v>45870</c:v>
                </c:pt>
                <c:pt idx="937">
                  <c:v>45873</c:v>
                </c:pt>
                <c:pt idx="938">
                  <c:v>45874</c:v>
                </c:pt>
                <c:pt idx="939">
                  <c:v>45875</c:v>
                </c:pt>
                <c:pt idx="940">
                  <c:v>45876</c:v>
                </c:pt>
                <c:pt idx="941">
                  <c:v>45877</c:v>
                </c:pt>
                <c:pt idx="942">
                  <c:v>45880</c:v>
                </c:pt>
                <c:pt idx="943">
                  <c:v>45881</c:v>
                </c:pt>
                <c:pt idx="944">
                  <c:v>45882</c:v>
                </c:pt>
                <c:pt idx="945">
                  <c:v>45883</c:v>
                </c:pt>
                <c:pt idx="946">
                  <c:v>45887</c:v>
                </c:pt>
                <c:pt idx="947">
                  <c:v>45888</c:v>
                </c:pt>
                <c:pt idx="948">
                  <c:v>45889</c:v>
                </c:pt>
                <c:pt idx="949">
                  <c:v>45890</c:v>
                </c:pt>
                <c:pt idx="950">
                  <c:v>45891</c:v>
                </c:pt>
                <c:pt idx="951">
                  <c:v>45894</c:v>
                </c:pt>
                <c:pt idx="952">
                  <c:v>45895</c:v>
                </c:pt>
                <c:pt idx="953">
                  <c:v>45897</c:v>
                </c:pt>
                <c:pt idx="954">
                  <c:v>45898</c:v>
                </c:pt>
                <c:pt idx="955">
                  <c:v>45901</c:v>
                </c:pt>
                <c:pt idx="956">
                  <c:v>45902</c:v>
                </c:pt>
                <c:pt idx="957">
                  <c:v>45903</c:v>
                </c:pt>
                <c:pt idx="958">
                  <c:v>45904</c:v>
                </c:pt>
                <c:pt idx="959">
                  <c:v>45905</c:v>
                </c:pt>
                <c:pt idx="960">
                  <c:v>45908</c:v>
                </c:pt>
                <c:pt idx="961">
                  <c:v>45909</c:v>
                </c:pt>
                <c:pt idx="962">
                  <c:v>45910</c:v>
                </c:pt>
                <c:pt idx="963">
                  <c:v>45911</c:v>
                </c:pt>
                <c:pt idx="964">
                  <c:v>45912</c:v>
                </c:pt>
                <c:pt idx="965">
                  <c:v>45915</c:v>
                </c:pt>
                <c:pt idx="966">
                  <c:v>45916</c:v>
                </c:pt>
                <c:pt idx="967">
                  <c:v>45917</c:v>
                </c:pt>
                <c:pt idx="968">
                  <c:v>45918</c:v>
                </c:pt>
                <c:pt idx="969">
                  <c:v>45919</c:v>
                </c:pt>
                <c:pt idx="970">
                  <c:v>45922</c:v>
                </c:pt>
                <c:pt idx="971">
                  <c:v>45923</c:v>
                </c:pt>
                <c:pt idx="972">
                  <c:v>45924</c:v>
                </c:pt>
                <c:pt idx="973">
                  <c:v>45925</c:v>
                </c:pt>
                <c:pt idx="974">
                  <c:v>45926</c:v>
                </c:pt>
                <c:pt idx="975">
                  <c:v>45929</c:v>
                </c:pt>
                <c:pt idx="976">
                  <c:v>45930</c:v>
                </c:pt>
                <c:pt idx="977">
                  <c:v>45931</c:v>
                </c:pt>
                <c:pt idx="978">
                  <c:v>45933</c:v>
                </c:pt>
                <c:pt idx="979">
                  <c:v>45936</c:v>
                </c:pt>
                <c:pt idx="980">
                  <c:v>45937</c:v>
                </c:pt>
                <c:pt idx="981">
                  <c:v>45938</c:v>
                </c:pt>
                <c:pt idx="982">
                  <c:v>45939</c:v>
                </c:pt>
                <c:pt idx="983">
                  <c:v>45940</c:v>
                </c:pt>
                <c:pt idx="984">
                  <c:v>45943</c:v>
                </c:pt>
                <c:pt idx="985">
                  <c:v>45944</c:v>
                </c:pt>
                <c:pt idx="986">
                  <c:v>45945</c:v>
                </c:pt>
                <c:pt idx="987">
                  <c:v>45946</c:v>
                </c:pt>
                <c:pt idx="988">
                  <c:v>45947</c:v>
                </c:pt>
                <c:pt idx="989">
                  <c:v>45950</c:v>
                </c:pt>
                <c:pt idx="990">
                  <c:v>45951</c:v>
                </c:pt>
                <c:pt idx="991">
                  <c:v>45953</c:v>
                </c:pt>
                <c:pt idx="992">
                  <c:v>45954</c:v>
                </c:pt>
                <c:pt idx="993">
                  <c:v>45957</c:v>
                </c:pt>
                <c:pt idx="994">
                  <c:v>45958</c:v>
                </c:pt>
                <c:pt idx="995">
                  <c:v>45959</c:v>
                </c:pt>
                <c:pt idx="996">
                  <c:v>45960</c:v>
                </c:pt>
                <c:pt idx="997">
                  <c:v>45961</c:v>
                </c:pt>
                <c:pt idx="998">
                  <c:v>45964</c:v>
                </c:pt>
                <c:pt idx="999">
                  <c:v>45965</c:v>
                </c:pt>
                <c:pt idx="1000">
                  <c:v>45967</c:v>
                </c:pt>
                <c:pt idx="1001">
                  <c:v>45968</c:v>
                </c:pt>
                <c:pt idx="1002">
                  <c:v>45971</c:v>
                </c:pt>
                <c:pt idx="1003">
                  <c:v>45972</c:v>
                </c:pt>
                <c:pt idx="1004">
                  <c:v>45973</c:v>
                </c:pt>
                <c:pt idx="1005">
                  <c:v>45974</c:v>
                </c:pt>
                <c:pt idx="1006">
                  <c:v>45975</c:v>
                </c:pt>
                <c:pt idx="1007">
                  <c:v>45978</c:v>
                </c:pt>
                <c:pt idx="1008">
                  <c:v>45979</c:v>
                </c:pt>
                <c:pt idx="1009">
                  <c:v>45980</c:v>
                </c:pt>
                <c:pt idx="1010">
                  <c:v>45981</c:v>
                </c:pt>
                <c:pt idx="1011">
                  <c:v>45982</c:v>
                </c:pt>
                <c:pt idx="1012">
                  <c:v>45985</c:v>
                </c:pt>
                <c:pt idx="1013">
                  <c:v>45986</c:v>
                </c:pt>
                <c:pt idx="1014">
                  <c:v>45987</c:v>
                </c:pt>
                <c:pt idx="1015">
                  <c:v>45988</c:v>
                </c:pt>
                <c:pt idx="1016">
                  <c:v>45989</c:v>
                </c:pt>
                <c:pt idx="1017">
                  <c:v>45992</c:v>
                </c:pt>
                <c:pt idx="1018">
                  <c:v>45993</c:v>
                </c:pt>
                <c:pt idx="1019">
                  <c:v>45994</c:v>
                </c:pt>
                <c:pt idx="1020">
                  <c:v>45995</c:v>
                </c:pt>
                <c:pt idx="1021">
                  <c:v>45996</c:v>
                </c:pt>
                <c:pt idx="1022">
                  <c:v>45999</c:v>
                </c:pt>
                <c:pt idx="1023">
                  <c:v>46000</c:v>
                </c:pt>
                <c:pt idx="1024">
                  <c:v>46001</c:v>
                </c:pt>
                <c:pt idx="1025">
                  <c:v>46002</c:v>
                </c:pt>
                <c:pt idx="1026">
                  <c:v>46003</c:v>
                </c:pt>
                <c:pt idx="1027">
                  <c:v>46006</c:v>
                </c:pt>
                <c:pt idx="1028">
                  <c:v>46007</c:v>
                </c:pt>
                <c:pt idx="1029">
                  <c:v>46008</c:v>
                </c:pt>
                <c:pt idx="1030">
                  <c:v>46009</c:v>
                </c:pt>
                <c:pt idx="1031">
                  <c:v>46010</c:v>
                </c:pt>
                <c:pt idx="1032">
                  <c:v>46013</c:v>
                </c:pt>
                <c:pt idx="1033">
                  <c:v>46014</c:v>
                </c:pt>
                <c:pt idx="1034">
                  <c:v>46015</c:v>
                </c:pt>
                <c:pt idx="1035">
                  <c:v>46017</c:v>
                </c:pt>
                <c:pt idx="1036">
                  <c:v>46020</c:v>
                </c:pt>
                <c:pt idx="1037">
                  <c:v>46021</c:v>
                </c:pt>
                <c:pt idx="1038">
                  <c:v>46022</c:v>
                </c:pt>
              </c:numCache>
            </c:numRef>
          </c:cat>
          <c:val>
            <c:numRef>
              <c:f>'Price trend line table'!$C$202:$C$1241</c:f>
              <c:numCache>
                <c:formatCode>General</c:formatCode>
                <c:ptCount val="1040"/>
                <c:pt idx="0">
                  <c:v>17952.855000000003</c:v>
                </c:pt>
                <c:pt idx="1">
                  <c:v>17966.465000000004</c:v>
                </c:pt>
                <c:pt idx="2">
                  <c:v>17987.13</c:v>
                </c:pt>
                <c:pt idx="3">
                  <c:v>18010.247500000005</c:v>
                </c:pt>
                <c:pt idx="4">
                  <c:v>18017.545000000006</c:v>
                </c:pt>
                <c:pt idx="5">
                  <c:v>18020.220000000005</c:v>
                </c:pt>
                <c:pt idx="6">
                  <c:v>18040.100000000002</c:v>
                </c:pt>
                <c:pt idx="7">
                  <c:v>18049.985000000004</c:v>
                </c:pt>
                <c:pt idx="8">
                  <c:v>18050.330000000002</c:v>
                </c:pt>
                <c:pt idx="9">
                  <c:v>18063.870000000003</c:v>
                </c:pt>
                <c:pt idx="10">
                  <c:v>18077.780000000002</c:v>
                </c:pt>
                <c:pt idx="11">
                  <c:v>18085.232500000002</c:v>
                </c:pt>
                <c:pt idx="12">
                  <c:v>18088.794999999998</c:v>
                </c:pt>
                <c:pt idx="13">
                  <c:v>18082.877499999999</c:v>
                </c:pt>
                <c:pt idx="14">
                  <c:v>18079.927499999998</c:v>
                </c:pt>
                <c:pt idx="15">
                  <c:v>18068.4725</c:v>
                </c:pt>
                <c:pt idx="16">
                  <c:v>18044.579999999998</c:v>
                </c:pt>
                <c:pt idx="17">
                  <c:v>18018.575000000001</c:v>
                </c:pt>
                <c:pt idx="18">
                  <c:v>17993.485000000001</c:v>
                </c:pt>
                <c:pt idx="19">
                  <c:v>17955.407500000001</c:v>
                </c:pt>
                <c:pt idx="20">
                  <c:v>17924.829999999998</c:v>
                </c:pt>
                <c:pt idx="21">
                  <c:v>17889.312499999996</c:v>
                </c:pt>
                <c:pt idx="22">
                  <c:v>17852.704999999998</c:v>
                </c:pt>
                <c:pt idx="23">
                  <c:v>17793.48</c:v>
                </c:pt>
                <c:pt idx="24">
                  <c:v>17753.314999999999</c:v>
                </c:pt>
                <c:pt idx="25">
                  <c:v>17718.892500000002</c:v>
                </c:pt>
                <c:pt idx="26">
                  <c:v>17680.755000000001</c:v>
                </c:pt>
                <c:pt idx="27">
                  <c:v>17656.390000000007</c:v>
                </c:pt>
                <c:pt idx="28">
                  <c:v>17624.765000000003</c:v>
                </c:pt>
                <c:pt idx="29">
                  <c:v>17574.537500000002</c:v>
                </c:pt>
                <c:pt idx="30">
                  <c:v>17529.945</c:v>
                </c:pt>
                <c:pt idx="31">
                  <c:v>17501.220000000005</c:v>
                </c:pt>
                <c:pt idx="32">
                  <c:v>17476.202500000003</c:v>
                </c:pt>
                <c:pt idx="33">
                  <c:v>17458.087500000001</c:v>
                </c:pt>
                <c:pt idx="34">
                  <c:v>17421.362499999999</c:v>
                </c:pt>
                <c:pt idx="35">
                  <c:v>17382.135000000002</c:v>
                </c:pt>
                <c:pt idx="36">
                  <c:v>17343.245000000003</c:v>
                </c:pt>
                <c:pt idx="37">
                  <c:v>17310.732500000006</c:v>
                </c:pt>
                <c:pt idx="38">
                  <c:v>17271.752500000006</c:v>
                </c:pt>
                <c:pt idx="39">
                  <c:v>17231.635000000002</c:v>
                </c:pt>
                <c:pt idx="40">
                  <c:v>17195.010000000002</c:v>
                </c:pt>
                <c:pt idx="41">
                  <c:v>17172.03</c:v>
                </c:pt>
                <c:pt idx="42">
                  <c:v>17148.847499999996</c:v>
                </c:pt>
                <c:pt idx="43">
                  <c:v>17147.712499999998</c:v>
                </c:pt>
                <c:pt idx="44">
                  <c:v>17149.327499999999</c:v>
                </c:pt>
                <c:pt idx="45">
                  <c:v>17161.829999999998</c:v>
                </c:pt>
                <c:pt idx="46">
                  <c:v>17164.165000000001</c:v>
                </c:pt>
                <c:pt idx="47">
                  <c:v>17154.280000000002</c:v>
                </c:pt>
                <c:pt idx="48">
                  <c:v>17162.147499999999</c:v>
                </c:pt>
                <c:pt idx="49">
                  <c:v>17197.82</c:v>
                </c:pt>
                <c:pt idx="50">
                  <c:v>17229.247500000001</c:v>
                </c:pt>
                <c:pt idx="51">
                  <c:v>17252.022499999999</c:v>
                </c:pt>
                <c:pt idx="52">
                  <c:v>17263.475000000002</c:v>
                </c:pt>
                <c:pt idx="53">
                  <c:v>17278.545000000006</c:v>
                </c:pt>
                <c:pt idx="54">
                  <c:v>17310.297500000004</c:v>
                </c:pt>
                <c:pt idx="55">
                  <c:v>17346.840000000004</c:v>
                </c:pt>
                <c:pt idx="56">
                  <c:v>17396.387500000001</c:v>
                </c:pt>
                <c:pt idx="57">
                  <c:v>17446.857499999998</c:v>
                </c:pt>
                <c:pt idx="58">
                  <c:v>17510.385000000002</c:v>
                </c:pt>
                <c:pt idx="59">
                  <c:v>17595.079999999994</c:v>
                </c:pt>
                <c:pt idx="60">
                  <c:v>17662.189999999995</c:v>
                </c:pt>
                <c:pt idx="61">
                  <c:v>17711.337500000001</c:v>
                </c:pt>
                <c:pt idx="62">
                  <c:v>17745.557499999999</c:v>
                </c:pt>
                <c:pt idx="63">
                  <c:v>17776.227500000001</c:v>
                </c:pt>
                <c:pt idx="64">
                  <c:v>17779.370000000003</c:v>
                </c:pt>
                <c:pt idx="65">
                  <c:v>17781.605000000003</c:v>
                </c:pt>
                <c:pt idx="66">
                  <c:v>17776.432500000003</c:v>
                </c:pt>
                <c:pt idx="67">
                  <c:v>17771.3325</c:v>
                </c:pt>
                <c:pt idx="68">
                  <c:v>17770.622500000001</c:v>
                </c:pt>
                <c:pt idx="69">
                  <c:v>17768.18</c:v>
                </c:pt>
                <c:pt idx="70">
                  <c:v>17766.9175</c:v>
                </c:pt>
                <c:pt idx="71">
                  <c:v>17748.665000000001</c:v>
                </c:pt>
                <c:pt idx="72">
                  <c:v>17737.184999999998</c:v>
                </c:pt>
                <c:pt idx="73">
                  <c:v>17707.23</c:v>
                </c:pt>
                <c:pt idx="74">
                  <c:v>17670.4025</c:v>
                </c:pt>
                <c:pt idx="75">
                  <c:v>17640.805</c:v>
                </c:pt>
                <c:pt idx="76">
                  <c:v>17610.48</c:v>
                </c:pt>
                <c:pt idx="77">
                  <c:v>17566.327499999999</c:v>
                </c:pt>
                <c:pt idx="78">
                  <c:v>17495.68</c:v>
                </c:pt>
                <c:pt idx="79">
                  <c:v>17447.897499999999</c:v>
                </c:pt>
                <c:pt idx="80">
                  <c:v>17408.355</c:v>
                </c:pt>
                <c:pt idx="81">
                  <c:v>17376.665000000001</c:v>
                </c:pt>
                <c:pt idx="82">
                  <c:v>17352.629999999997</c:v>
                </c:pt>
                <c:pt idx="83">
                  <c:v>17332.105</c:v>
                </c:pt>
                <c:pt idx="84">
                  <c:v>17329.260000000002</c:v>
                </c:pt>
                <c:pt idx="85">
                  <c:v>17318.525000000001</c:v>
                </c:pt>
                <c:pt idx="86">
                  <c:v>17275.415000000001</c:v>
                </c:pt>
                <c:pt idx="87">
                  <c:v>17253.237500000003</c:v>
                </c:pt>
                <c:pt idx="88">
                  <c:v>17225.940000000002</c:v>
                </c:pt>
                <c:pt idx="89">
                  <c:v>17177.395000000004</c:v>
                </c:pt>
                <c:pt idx="90">
                  <c:v>17113.297500000004</c:v>
                </c:pt>
                <c:pt idx="91">
                  <c:v>17047.555</c:v>
                </c:pt>
                <c:pt idx="92">
                  <c:v>16964.897499999999</c:v>
                </c:pt>
                <c:pt idx="93">
                  <c:v>16904.89</c:v>
                </c:pt>
                <c:pt idx="94">
                  <c:v>16858.82</c:v>
                </c:pt>
                <c:pt idx="95">
                  <c:v>16815.375000000004</c:v>
                </c:pt>
                <c:pt idx="96">
                  <c:v>16766.605000000003</c:v>
                </c:pt>
                <c:pt idx="97">
                  <c:v>16741.432500000003</c:v>
                </c:pt>
                <c:pt idx="98">
                  <c:v>16732.442500000001</c:v>
                </c:pt>
                <c:pt idx="99">
                  <c:v>16713.587500000001</c:v>
                </c:pt>
                <c:pt idx="100">
                  <c:v>16711.829999999998</c:v>
                </c:pt>
                <c:pt idx="101">
                  <c:v>16702.48</c:v>
                </c:pt>
                <c:pt idx="102">
                  <c:v>16704.439999999999</c:v>
                </c:pt>
                <c:pt idx="103">
                  <c:v>16706.39</c:v>
                </c:pt>
                <c:pt idx="104">
                  <c:v>16712.917500000003</c:v>
                </c:pt>
                <c:pt idx="105">
                  <c:v>16717.405000000002</c:v>
                </c:pt>
                <c:pt idx="106">
                  <c:v>16766.107500000002</c:v>
                </c:pt>
                <c:pt idx="107">
                  <c:v>16799.452499999999</c:v>
                </c:pt>
                <c:pt idx="108">
                  <c:v>16834.669999999998</c:v>
                </c:pt>
                <c:pt idx="109">
                  <c:v>16877.61</c:v>
                </c:pt>
                <c:pt idx="110">
                  <c:v>16936.23</c:v>
                </c:pt>
                <c:pt idx="111">
                  <c:v>17026.6325</c:v>
                </c:pt>
                <c:pt idx="112">
                  <c:v>17131.345000000005</c:v>
                </c:pt>
                <c:pt idx="113">
                  <c:v>17221.055</c:v>
                </c:pt>
                <c:pt idx="114">
                  <c:v>17285.765000000003</c:v>
                </c:pt>
                <c:pt idx="115">
                  <c:v>17345.237499999999</c:v>
                </c:pt>
                <c:pt idx="116">
                  <c:v>17397.462500000001</c:v>
                </c:pt>
                <c:pt idx="117">
                  <c:v>17430.412499999999</c:v>
                </c:pt>
                <c:pt idx="118">
                  <c:v>17471.044999999998</c:v>
                </c:pt>
                <c:pt idx="119">
                  <c:v>17480.96</c:v>
                </c:pt>
                <c:pt idx="120">
                  <c:v>17464.54</c:v>
                </c:pt>
                <c:pt idx="121">
                  <c:v>17465.487500000003</c:v>
                </c:pt>
                <c:pt idx="122">
                  <c:v>17469.342500000002</c:v>
                </c:pt>
                <c:pt idx="123">
                  <c:v>17465.657500000001</c:v>
                </c:pt>
                <c:pt idx="124">
                  <c:v>17452.217499999999</c:v>
                </c:pt>
                <c:pt idx="125">
                  <c:v>17454.607499999998</c:v>
                </c:pt>
                <c:pt idx="126">
                  <c:v>17445.427499999998</c:v>
                </c:pt>
                <c:pt idx="127">
                  <c:v>17441.415000000001</c:v>
                </c:pt>
                <c:pt idx="128">
                  <c:v>17421.629999999997</c:v>
                </c:pt>
                <c:pt idx="129">
                  <c:v>17401.847499999996</c:v>
                </c:pt>
                <c:pt idx="130">
                  <c:v>17352.204999999994</c:v>
                </c:pt>
                <c:pt idx="131">
                  <c:v>17283.6675</c:v>
                </c:pt>
                <c:pt idx="132">
                  <c:v>17206.359999999997</c:v>
                </c:pt>
                <c:pt idx="133">
                  <c:v>17131.069999999996</c:v>
                </c:pt>
                <c:pt idx="134">
                  <c:v>17061.094999999998</c:v>
                </c:pt>
                <c:pt idx="135">
                  <c:v>16980.232499999998</c:v>
                </c:pt>
                <c:pt idx="136">
                  <c:v>16886.884999999995</c:v>
                </c:pt>
                <c:pt idx="137">
                  <c:v>16799.477499999997</c:v>
                </c:pt>
                <c:pt idx="138">
                  <c:v>16717.810000000001</c:v>
                </c:pt>
                <c:pt idx="139">
                  <c:v>16672.092499999999</c:v>
                </c:pt>
                <c:pt idx="140">
                  <c:v>16636.174999999999</c:v>
                </c:pt>
                <c:pt idx="141">
                  <c:v>16569.817500000001</c:v>
                </c:pt>
                <c:pt idx="142">
                  <c:v>16513.495000000003</c:v>
                </c:pt>
                <c:pt idx="143">
                  <c:v>16465.6325</c:v>
                </c:pt>
                <c:pt idx="144">
                  <c:v>16424.192500000001</c:v>
                </c:pt>
                <c:pt idx="145">
                  <c:v>16365.442500000001</c:v>
                </c:pt>
                <c:pt idx="146">
                  <c:v>16322.029999999999</c:v>
                </c:pt>
                <c:pt idx="147">
                  <c:v>16277.4</c:v>
                </c:pt>
                <c:pt idx="148">
                  <c:v>16255.342500000002</c:v>
                </c:pt>
                <c:pt idx="149">
                  <c:v>16231.115</c:v>
                </c:pt>
                <c:pt idx="150">
                  <c:v>16223.372499999998</c:v>
                </c:pt>
                <c:pt idx="151">
                  <c:v>16220.64</c:v>
                </c:pt>
                <c:pt idx="152">
                  <c:v>16229.2925</c:v>
                </c:pt>
                <c:pt idx="153">
                  <c:v>16242.677499999996</c:v>
                </c:pt>
                <c:pt idx="154">
                  <c:v>16251.492499999997</c:v>
                </c:pt>
                <c:pt idx="155">
                  <c:v>16260.949999999997</c:v>
                </c:pt>
                <c:pt idx="156">
                  <c:v>16294.454999999996</c:v>
                </c:pt>
                <c:pt idx="157">
                  <c:v>16315.437499999996</c:v>
                </c:pt>
                <c:pt idx="158">
                  <c:v>16312.042499999996</c:v>
                </c:pt>
                <c:pt idx="159">
                  <c:v>16285.682499999999</c:v>
                </c:pt>
                <c:pt idx="160">
                  <c:v>16258.275</c:v>
                </c:pt>
                <c:pt idx="161">
                  <c:v>16235.834999999997</c:v>
                </c:pt>
                <c:pt idx="162">
                  <c:v>16187.202499999999</c:v>
                </c:pt>
                <c:pt idx="163">
                  <c:v>16143.975</c:v>
                </c:pt>
                <c:pt idx="164">
                  <c:v>16119.657499999998</c:v>
                </c:pt>
                <c:pt idx="165">
                  <c:v>16089.032500000001</c:v>
                </c:pt>
                <c:pt idx="166">
                  <c:v>16058.357500000002</c:v>
                </c:pt>
                <c:pt idx="167">
                  <c:v>16025.6975</c:v>
                </c:pt>
                <c:pt idx="168">
                  <c:v>15984.23</c:v>
                </c:pt>
                <c:pt idx="169">
                  <c:v>15947.512500000001</c:v>
                </c:pt>
                <c:pt idx="170">
                  <c:v>15911.329999999998</c:v>
                </c:pt>
                <c:pt idx="171">
                  <c:v>15868.942499999999</c:v>
                </c:pt>
                <c:pt idx="172">
                  <c:v>15827.329999999996</c:v>
                </c:pt>
                <c:pt idx="173">
                  <c:v>15790.619999999995</c:v>
                </c:pt>
                <c:pt idx="174">
                  <c:v>15760.344999999996</c:v>
                </c:pt>
                <c:pt idx="175">
                  <c:v>15742.022499999995</c:v>
                </c:pt>
                <c:pt idx="176">
                  <c:v>15724.762499999997</c:v>
                </c:pt>
                <c:pt idx="177">
                  <c:v>15725.702499999999</c:v>
                </c:pt>
                <c:pt idx="178">
                  <c:v>15747.782500000001</c:v>
                </c:pt>
                <c:pt idx="179">
                  <c:v>15764.092499999999</c:v>
                </c:pt>
                <c:pt idx="180">
                  <c:v>15777.817499999999</c:v>
                </c:pt>
                <c:pt idx="181">
                  <c:v>15806.720000000001</c:v>
                </c:pt>
                <c:pt idx="182">
                  <c:v>15844.505000000001</c:v>
                </c:pt>
                <c:pt idx="183">
                  <c:v>15890.922500000001</c:v>
                </c:pt>
                <c:pt idx="184">
                  <c:v>15926.01</c:v>
                </c:pt>
                <c:pt idx="185">
                  <c:v>15981.387499999997</c:v>
                </c:pt>
                <c:pt idx="186">
                  <c:v>16033.817499999999</c:v>
                </c:pt>
                <c:pt idx="187">
                  <c:v>16084.827499999999</c:v>
                </c:pt>
                <c:pt idx="188">
                  <c:v>16124.775</c:v>
                </c:pt>
                <c:pt idx="189">
                  <c:v>16156.457499999999</c:v>
                </c:pt>
                <c:pt idx="190">
                  <c:v>16198.592499999999</c:v>
                </c:pt>
                <c:pt idx="191">
                  <c:v>16256.059999999998</c:v>
                </c:pt>
                <c:pt idx="192">
                  <c:v>16326.369999999999</c:v>
                </c:pt>
                <c:pt idx="193">
                  <c:v>16401.605</c:v>
                </c:pt>
                <c:pt idx="194">
                  <c:v>16478.334999999999</c:v>
                </c:pt>
                <c:pt idx="195">
                  <c:v>16548.252500000002</c:v>
                </c:pt>
                <c:pt idx="196">
                  <c:v>16610.7075</c:v>
                </c:pt>
                <c:pt idx="197">
                  <c:v>16669.552500000002</c:v>
                </c:pt>
                <c:pt idx="198">
                  <c:v>16735.0075</c:v>
                </c:pt>
                <c:pt idx="199">
                  <c:v>16808.829999999998</c:v>
                </c:pt>
                <c:pt idx="200">
                  <c:v>16893.447499999998</c:v>
                </c:pt>
                <c:pt idx="201">
                  <c:v>16981.422499999997</c:v>
                </c:pt>
                <c:pt idx="202">
                  <c:v>17070.224999999999</c:v>
                </c:pt>
                <c:pt idx="203">
                  <c:v>17153.512500000001</c:v>
                </c:pt>
                <c:pt idx="204">
                  <c:v>17234.310000000001</c:v>
                </c:pt>
                <c:pt idx="205">
                  <c:v>17296.189999999999</c:v>
                </c:pt>
                <c:pt idx="206">
                  <c:v>17340.462500000001</c:v>
                </c:pt>
                <c:pt idx="207">
                  <c:v>17383.365000000002</c:v>
                </c:pt>
                <c:pt idx="208">
                  <c:v>17432.062500000004</c:v>
                </c:pt>
                <c:pt idx="209">
                  <c:v>17483.9925</c:v>
                </c:pt>
                <c:pt idx="210">
                  <c:v>17529.847500000003</c:v>
                </c:pt>
                <c:pt idx="211">
                  <c:v>17549.012500000004</c:v>
                </c:pt>
                <c:pt idx="212">
                  <c:v>17579.065000000006</c:v>
                </c:pt>
                <c:pt idx="213">
                  <c:v>17589.202500000003</c:v>
                </c:pt>
                <c:pt idx="214">
                  <c:v>17598.902500000004</c:v>
                </c:pt>
                <c:pt idx="215">
                  <c:v>17612.785000000003</c:v>
                </c:pt>
                <c:pt idx="216">
                  <c:v>17626.465</c:v>
                </c:pt>
                <c:pt idx="217">
                  <c:v>17637.810000000001</c:v>
                </c:pt>
                <c:pt idx="218">
                  <c:v>17651.4925</c:v>
                </c:pt>
                <c:pt idx="219">
                  <c:v>17666.422499999997</c:v>
                </c:pt>
                <c:pt idx="220">
                  <c:v>17680.289999999997</c:v>
                </c:pt>
                <c:pt idx="221">
                  <c:v>17698.884999999995</c:v>
                </c:pt>
                <c:pt idx="222">
                  <c:v>17707.809999999994</c:v>
                </c:pt>
                <c:pt idx="223">
                  <c:v>17704.467499999995</c:v>
                </c:pt>
                <c:pt idx="224">
                  <c:v>17683.184999999998</c:v>
                </c:pt>
                <c:pt idx="225">
                  <c:v>17676.375</c:v>
                </c:pt>
                <c:pt idx="226">
                  <c:v>17692.6525</c:v>
                </c:pt>
                <c:pt idx="227">
                  <c:v>17699.695</c:v>
                </c:pt>
                <c:pt idx="228">
                  <c:v>17700.937499999996</c:v>
                </c:pt>
                <c:pt idx="229">
                  <c:v>17691.182499999995</c:v>
                </c:pt>
                <c:pt idx="230">
                  <c:v>17664.052499999998</c:v>
                </c:pt>
                <c:pt idx="231">
                  <c:v>17648.777499999997</c:v>
                </c:pt>
                <c:pt idx="232">
                  <c:v>17603.742499999997</c:v>
                </c:pt>
                <c:pt idx="233">
                  <c:v>17567.5075</c:v>
                </c:pt>
                <c:pt idx="234">
                  <c:v>17545.252499999995</c:v>
                </c:pt>
                <c:pt idx="235">
                  <c:v>17506.329999999998</c:v>
                </c:pt>
                <c:pt idx="236">
                  <c:v>17487.264999999996</c:v>
                </c:pt>
                <c:pt idx="237">
                  <c:v>17472.634999999995</c:v>
                </c:pt>
                <c:pt idx="238">
                  <c:v>17448.429999999997</c:v>
                </c:pt>
                <c:pt idx="239">
                  <c:v>17418.812499999996</c:v>
                </c:pt>
                <c:pt idx="240">
                  <c:v>17371.172500000001</c:v>
                </c:pt>
                <c:pt idx="241">
                  <c:v>17323.849999999999</c:v>
                </c:pt>
                <c:pt idx="242">
                  <c:v>17274.379999999997</c:v>
                </c:pt>
                <c:pt idx="243">
                  <c:v>17239.794999999998</c:v>
                </c:pt>
                <c:pt idx="244">
                  <c:v>17228.842499999999</c:v>
                </c:pt>
                <c:pt idx="245">
                  <c:v>17222.077499999999</c:v>
                </c:pt>
                <c:pt idx="246">
                  <c:v>17206.877499999999</c:v>
                </c:pt>
                <c:pt idx="247">
                  <c:v>17199.157500000001</c:v>
                </c:pt>
                <c:pt idx="248">
                  <c:v>17196.482500000002</c:v>
                </c:pt>
                <c:pt idx="249">
                  <c:v>17216.6525</c:v>
                </c:pt>
                <c:pt idx="250">
                  <c:v>17248.654999999999</c:v>
                </c:pt>
                <c:pt idx="251">
                  <c:v>17285.1325</c:v>
                </c:pt>
                <c:pt idx="252">
                  <c:v>17331.5425</c:v>
                </c:pt>
                <c:pt idx="253">
                  <c:v>17391.247500000001</c:v>
                </c:pt>
                <c:pt idx="254">
                  <c:v>17443.800000000003</c:v>
                </c:pt>
                <c:pt idx="255">
                  <c:v>17503.575000000001</c:v>
                </c:pt>
                <c:pt idx="256">
                  <c:v>17542.495000000003</c:v>
                </c:pt>
                <c:pt idx="257">
                  <c:v>17581.762500000004</c:v>
                </c:pt>
                <c:pt idx="258">
                  <c:v>17626.170000000002</c:v>
                </c:pt>
                <c:pt idx="259">
                  <c:v>17671.97</c:v>
                </c:pt>
                <c:pt idx="260">
                  <c:v>17724.202500000003</c:v>
                </c:pt>
                <c:pt idx="261">
                  <c:v>17785.5075</c:v>
                </c:pt>
                <c:pt idx="262">
                  <c:v>17851.247500000005</c:v>
                </c:pt>
                <c:pt idx="263">
                  <c:v>17912.132500000003</c:v>
                </c:pt>
                <c:pt idx="264">
                  <c:v>17967.025000000005</c:v>
                </c:pt>
                <c:pt idx="265">
                  <c:v>18009.872500000005</c:v>
                </c:pt>
                <c:pt idx="266">
                  <c:v>18049.642500000009</c:v>
                </c:pt>
                <c:pt idx="267">
                  <c:v>18079.442500000008</c:v>
                </c:pt>
                <c:pt idx="268">
                  <c:v>18112.837500000005</c:v>
                </c:pt>
                <c:pt idx="269">
                  <c:v>18139.662500000006</c:v>
                </c:pt>
                <c:pt idx="270">
                  <c:v>18181.050000000003</c:v>
                </c:pt>
                <c:pt idx="271">
                  <c:v>18219.840000000004</c:v>
                </c:pt>
                <c:pt idx="272">
                  <c:v>18258.637500000001</c:v>
                </c:pt>
                <c:pt idx="273">
                  <c:v>18288.93</c:v>
                </c:pt>
                <c:pt idx="274">
                  <c:v>18319.577499999996</c:v>
                </c:pt>
                <c:pt idx="275">
                  <c:v>18356.059999999998</c:v>
                </c:pt>
                <c:pt idx="276">
                  <c:v>18388.229999999996</c:v>
                </c:pt>
                <c:pt idx="277">
                  <c:v>18417.424999999996</c:v>
                </c:pt>
                <c:pt idx="278">
                  <c:v>18439.422499999997</c:v>
                </c:pt>
                <c:pt idx="279">
                  <c:v>18459.597499999996</c:v>
                </c:pt>
                <c:pt idx="280">
                  <c:v>18488.654999999995</c:v>
                </c:pt>
                <c:pt idx="281">
                  <c:v>18495.999999999996</c:v>
                </c:pt>
                <c:pt idx="282">
                  <c:v>18504.400000000001</c:v>
                </c:pt>
                <c:pt idx="283">
                  <c:v>18514.629999999997</c:v>
                </c:pt>
                <c:pt idx="284">
                  <c:v>18527.162499999999</c:v>
                </c:pt>
                <c:pt idx="285">
                  <c:v>18530.712500000001</c:v>
                </c:pt>
                <c:pt idx="286">
                  <c:v>18528.780000000002</c:v>
                </c:pt>
                <c:pt idx="287">
                  <c:v>18541.805</c:v>
                </c:pt>
                <c:pt idx="288">
                  <c:v>18548.86</c:v>
                </c:pt>
                <c:pt idx="289">
                  <c:v>18545.452499999999</c:v>
                </c:pt>
                <c:pt idx="290">
                  <c:v>18527.614999999998</c:v>
                </c:pt>
                <c:pt idx="291">
                  <c:v>18492.317499999997</c:v>
                </c:pt>
                <c:pt idx="292">
                  <c:v>18464.909999999996</c:v>
                </c:pt>
                <c:pt idx="293">
                  <c:v>18440.622499999994</c:v>
                </c:pt>
                <c:pt idx="294">
                  <c:v>18408.829999999994</c:v>
                </c:pt>
                <c:pt idx="295">
                  <c:v>18377.754999999997</c:v>
                </c:pt>
                <c:pt idx="296">
                  <c:v>18348.214999999997</c:v>
                </c:pt>
                <c:pt idx="297">
                  <c:v>18323.035</c:v>
                </c:pt>
                <c:pt idx="298">
                  <c:v>18302.525000000001</c:v>
                </c:pt>
                <c:pt idx="299">
                  <c:v>18276.647499999999</c:v>
                </c:pt>
                <c:pt idx="300">
                  <c:v>18245.787499999999</c:v>
                </c:pt>
                <c:pt idx="301">
                  <c:v>18213.93</c:v>
                </c:pt>
                <c:pt idx="302">
                  <c:v>18194.1325</c:v>
                </c:pt>
                <c:pt idx="303">
                  <c:v>18159.440000000002</c:v>
                </c:pt>
                <c:pt idx="304">
                  <c:v>18121.210000000003</c:v>
                </c:pt>
                <c:pt idx="305">
                  <c:v>18093.375000000004</c:v>
                </c:pt>
                <c:pt idx="306">
                  <c:v>18077.755000000001</c:v>
                </c:pt>
                <c:pt idx="307">
                  <c:v>18051.474999999999</c:v>
                </c:pt>
                <c:pt idx="308">
                  <c:v>18034.875</c:v>
                </c:pt>
                <c:pt idx="309">
                  <c:v>18033.187499999996</c:v>
                </c:pt>
                <c:pt idx="310">
                  <c:v>18032.212499999998</c:v>
                </c:pt>
                <c:pt idx="311">
                  <c:v>18043.254999999997</c:v>
                </c:pt>
                <c:pt idx="312">
                  <c:v>18048.452499999999</c:v>
                </c:pt>
                <c:pt idx="313">
                  <c:v>18047.752499999999</c:v>
                </c:pt>
                <c:pt idx="314">
                  <c:v>18036.224999999999</c:v>
                </c:pt>
                <c:pt idx="315">
                  <c:v>18006.892499999998</c:v>
                </c:pt>
                <c:pt idx="316">
                  <c:v>17984.075000000001</c:v>
                </c:pt>
                <c:pt idx="317">
                  <c:v>17957.310000000001</c:v>
                </c:pt>
                <c:pt idx="318">
                  <c:v>17926.497500000001</c:v>
                </c:pt>
                <c:pt idx="319">
                  <c:v>17904.870000000003</c:v>
                </c:pt>
                <c:pt idx="320">
                  <c:v>17897.965</c:v>
                </c:pt>
                <c:pt idx="321">
                  <c:v>17893.2225</c:v>
                </c:pt>
                <c:pt idx="322">
                  <c:v>17874.237499999999</c:v>
                </c:pt>
                <c:pt idx="323">
                  <c:v>17872.114999999998</c:v>
                </c:pt>
                <c:pt idx="324">
                  <c:v>17872.002499999999</c:v>
                </c:pt>
                <c:pt idx="325">
                  <c:v>17871.917500000003</c:v>
                </c:pt>
                <c:pt idx="326">
                  <c:v>17862.6325</c:v>
                </c:pt>
                <c:pt idx="327">
                  <c:v>17864.3825</c:v>
                </c:pt>
                <c:pt idx="328">
                  <c:v>17862.509999999998</c:v>
                </c:pt>
                <c:pt idx="329">
                  <c:v>17856.034999999996</c:v>
                </c:pt>
                <c:pt idx="330">
                  <c:v>17847.852500000001</c:v>
                </c:pt>
                <c:pt idx="331">
                  <c:v>17838.699999999997</c:v>
                </c:pt>
                <c:pt idx="332">
                  <c:v>17824.107499999998</c:v>
                </c:pt>
                <c:pt idx="333">
                  <c:v>17795.907499999998</c:v>
                </c:pt>
                <c:pt idx="334">
                  <c:v>17776.872500000001</c:v>
                </c:pt>
                <c:pt idx="335">
                  <c:v>17769.945</c:v>
                </c:pt>
                <c:pt idx="336">
                  <c:v>17757.1325</c:v>
                </c:pt>
                <c:pt idx="337">
                  <c:v>17739.2225</c:v>
                </c:pt>
                <c:pt idx="338">
                  <c:v>17730.952500000003</c:v>
                </c:pt>
                <c:pt idx="339">
                  <c:v>17716.527500000004</c:v>
                </c:pt>
                <c:pt idx="340">
                  <c:v>17703.542500000003</c:v>
                </c:pt>
                <c:pt idx="341">
                  <c:v>17700.885000000002</c:v>
                </c:pt>
                <c:pt idx="342">
                  <c:v>17702.530000000006</c:v>
                </c:pt>
                <c:pt idx="343">
                  <c:v>17688.424999999999</c:v>
                </c:pt>
                <c:pt idx="344">
                  <c:v>17664.397499999999</c:v>
                </c:pt>
                <c:pt idx="345">
                  <c:v>17629.287499999999</c:v>
                </c:pt>
                <c:pt idx="346">
                  <c:v>17592.907500000001</c:v>
                </c:pt>
                <c:pt idx="347">
                  <c:v>17545.022499999999</c:v>
                </c:pt>
                <c:pt idx="348">
                  <c:v>17493.510000000002</c:v>
                </c:pt>
                <c:pt idx="349">
                  <c:v>17446.719999999998</c:v>
                </c:pt>
                <c:pt idx="350">
                  <c:v>17398.93</c:v>
                </c:pt>
                <c:pt idx="351">
                  <c:v>17362.075000000001</c:v>
                </c:pt>
                <c:pt idx="352">
                  <c:v>17328.334999999999</c:v>
                </c:pt>
                <c:pt idx="353">
                  <c:v>17304.465000000004</c:v>
                </c:pt>
                <c:pt idx="354">
                  <c:v>17276.155000000002</c:v>
                </c:pt>
                <c:pt idx="355">
                  <c:v>17252.150000000001</c:v>
                </c:pt>
                <c:pt idx="356">
                  <c:v>17230.099999999999</c:v>
                </c:pt>
                <c:pt idx="357">
                  <c:v>17218.9375</c:v>
                </c:pt>
                <c:pt idx="358">
                  <c:v>17214.38</c:v>
                </c:pt>
                <c:pt idx="359">
                  <c:v>17218.1875</c:v>
                </c:pt>
                <c:pt idx="360">
                  <c:v>17216.322499999998</c:v>
                </c:pt>
                <c:pt idx="361">
                  <c:v>17210.707499999997</c:v>
                </c:pt>
                <c:pt idx="362">
                  <c:v>17204.189999999999</c:v>
                </c:pt>
                <c:pt idx="363">
                  <c:v>17210.825000000001</c:v>
                </c:pt>
                <c:pt idx="364">
                  <c:v>17230.800000000003</c:v>
                </c:pt>
                <c:pt idx="365">
                  <c:v>17264.485000000001</c:v>
                </c:pt>
                <c:pt idx="366">
                  <c:v>17297.662499999999</c:v>
                </c:pt>
                <c:pt idx="367">
                  <c:v>17332.0625</c:v>
                </c:pt>
                <c:pt idx="368">
                  <c:v>17363.719999999998</c:v>
                </c:pt>
                <c:pt idx="369">
                  <c:v>17389.939999999999</c:v>
                </c:pt>
                <c:pt idx="370">
                  <c:v>17421.722499999996</c:v>
                </c:pt>
                <c:pt idx="371">
                  <c:v>17453.517499999998</c:v>
                </c:pt>
                <c:pt idx="372">
                  <c:v>17484.384999999998</c:v>
                </c:pt>
                <c:pt idx="373">
                  <c:v>17521.219999999998</c:v>
                </c:pt>
                <c:pt idx="374">
                  <c:v>17569.719999999998</c:v>
                </c:pt>
                <c:pt idx="375">
                  <c:v>17623.685000000001</c:v>
                </c:pt>
                <c:pt idx="376">
                  <c:v>17683.482500000002</c:v>
                </c:pt>
                <c:pt idx="377">
                  <c:v>17733.939999999999</c:v>
                </c:pt>
                <c:pt idx="378">
                  <c:v>17778.7425</c:v>
                </c:pt>
                <c:pt idx="379">
                  <c:v>17812.29</c:v>
                </c:pt>
                <c:pt idx="380">
                  <c:v>17847.657499999998</c:v>
                </c:pt>
                <c:pt idx="381">
                  <c:v>17880.997500000001</c:v>
                </c:pt>
                <c:pt idx="382">
                  <c:v>17915.549999999996</c:v>
                </c:pt>
                <c:pt idx="383">
                  <c:v>17944.285</c:v>
                </c:pt>
                <c:pt idx="384">
                  <c:v>17969.404999999999</c:v>
                </c:pt>
                <c:pt idx="385">
                  <c:v>17997.947499999998</c:v>
                </c:pt>
                <c:pt idx="386">
                  <c:v>18026.929999999997</c:v>
                </c:pt>
                <c:pt idx="387">
                  <c:v>18053.009999999998</c:v>
                </c:pt>
                <c:pt idx="388">
                  <c:v>18078.57</c:v>
                </c:pt>
                <c:pt idx="389">
                  <c:v>18107.517500000002</c:v>
                </c:pt>
                <c:pt idx="390">
                  <c:v>18142.035000000003</c:v>
                </c:pt>
                <c:pt idx="391">
                  <c:v>18172.265000000007</c:v>
                </c:pt>
                <c:pt idx="392">
                  <c:v>18198.072500000006</c:v>
                </c:pt>
                <c:pt idx="393">
                  <c:v>18223.450000000004</c:v>
                </c:pt>
                <c:pt idx="394">
                  <c:v>18252.665000000001</c:v>
                </c:pt>
                <c:pt idx="395">
                  <c:v>18279.347500000003</c:v>
                </c:pt>
                <c:pt idx="396">
                  <c:v>18303.657500000001</c:v>
                </c:pt>
                <c:pt idx="397">
                  <c:v>18325.885000000002</c:v>
                </c:pt>
                <c:pt idx="398">
                  <c:v>18337.482500000002</c:v>
                </c:pt>
                <c:pt idx="399">
                  <c:v>18360.737499999999</c:v>
                </c:pt>
                <c:pt idx="400">
                  <c:v>18377.21</c:v>
                </c:pt>
                <c:pt idx="401">
                  <c:v>18393.862499999996</c:v>
                </c:pt>
                <c:pt idx="402">
                  <c:v>18414.427499999998</c:v>
                </c:pt>
                <c:pt idx="403">
                  <c:v>18431.304999999997</c:v>
                </c:pt>
                <c:pt idx="404">
                  <c:v>18443.735000000001</c:v>
                </c:pt>
                <c:pt idx="405">
                  <c:v>18453.8675</c:v>
                </c:pt>
                <c:pt idx="406">
                  <c:v>18475.350000000002</c:v>
                </c:pt>
                <c:pt idx="407">
                  <c:v>18504.057500000003</c:v>
                </c:pt>
                <c:pt idx="408">
                  <c:v>18531.965000000004</c:v>
                </c:pt>
                <c:pt idx="409">
                  <c:v>18563.095000000001</c:v>
                </c:pt>
                <c:pt idx="410">
                  <c:v>18585.147499999999</c:v>
                </c:pt>
                <c:pt idx="411">
                  <c:v>18608.5825</c:v>
                </c:pt>
                <c:pt idx="412">
                  <c:v>18637.154999999999</c:v>
                </c:pt>
                <c:pt idx="413">
                  <c:v>18659.659999999996</c:v>
                </c:pt>
                <c:pt idx="414">
                  <c:v>18667.967499999999</c:v>
                </c:pt>
                <c:pt idx="415">
                  <c:v>18672.594999999998</c:v>
                </c:pt>
                <c:pt idx="416">
                  <c:v>18681.772499999999</c:v>
                </c:pt>
                <c:pt idx="417">
                  <c:v>18703.657500000001</c:v>
                </c:pt>
                <c:pt idx="418">
                  <c:v>18738.722500000003</c:v>
                </c:pt>
                <c:pt idx="419">
                  <c:v>18778.145</c:v>
                </c:pt>
                <c:pt idx="420">
                  <c:v>18817.9025</c:v>
                </c:pt>
                <c:pt idx="421">
                  <c:v>18857.877499999999</c:v>
                </c:pt>
                <c:pt idx="422">
                  <c:v>18896.422500000001</c:v>
                </c:pt>
                <c:pt idx="423">
                  <c:v>18931.284999999996</c:v>
                </c:pt>
                <c:pt idx="424">
                  <c:v>18970.91</c:v>
                </c:pt>
                <c:pt idx="425">
                  <c:v>19012.805</c:v>
                </c:pt>
                <c:pt idx="426">
                  <c:v>19046.212500000001</c:v>
                </c:pt>
                <c:pt idx="427">
                  <c:v>19079.105000000003</c:v>
                </c:pt>
                <c:pt idx="428">
                  <c:v>19122.924999999999</c:v>
                </c:pt>
                <c:pt idx="429">
                  <c:v>19167.197500000002</c:v>
                </c:pt>
                <c:pt idx="430">
                  <c:v>19216.887500000001</c:v>
                </c:pt>
                <c:pt idx="431">
                  <c:v>19267.71</c:v>
                </c:pt>
                <c:pt idx="432">
                  <c:v>19323.825000000004</c:v>
                </c:pt>
                <c:pt idx="433">
                  <c:v>19372.512500000001</c:v>
                </c:pt>
                <c:pt idx="434">
                  <c:v>19422.855</c:v>
                </c:pt>
                <c:pt idx="435">
                  <c:v>19472.324999999997</c:v>
                </c:pt>
                <c:pt idx="436">
                  <c:v>19520.37</c:v>
                </c:pt>
                <c:pt idx="437">
                  <c:v>19554.760000000002</c:v>
                </c:pt>
                <c:pt idx="438">
                  <c:v>19577.609999999997</c:v>
                </c:pt>
                <c:pt idx="439">
                  <c:v>19599.172499999993</c:v>
                </c:pt>
                <c:pt idx="440">
                  <c:v>19616.399999999998</c:v>
                </c:pt>
                <c:pt idx="441">
                  <c:v>19622.802499999998</c:v>
                </c:pt>
                <c:pt idx="442">
                  <c:v>19617.02</c:v>
                </c:pt>
                <c:pt idx="443">
                  <c:v>19626.28</c:v>
                </c:pt>
                <c:pt idx="444">
                  <c:v>19638.349999999999</c:v>
                </c:pt>
                <c:pt idx="445">
                  <c:v>19644.922499999997</c:v>
                </c:pt>
                <c:pt idx="446">
                  <c:v>19657.334999999999</c:v>
                </c:pt>
                <c:pt idx="447">
                  <c:v>19663.802499999998</c:v>
                </c:pt>
                <c:pt idx="448">
                  <c:v>19656.992499999993</c:v>
                </c:pt>
                <c:pt idx="449">
                  <c:v>19643.147499999992</c:v>
                </c:pt>
                <c:pt idx="450">
                  <c:v>19628.934999999994</c:v>
                </c:pt>
                <c:pt idx="451">
                  <c:v>19605.539999999994</c:v>
                </c:pt>
                <c:pt idx="452">
                  <c:v>19572.089999999997</c:v>
                </c:pt>
                <c:pt idx="453">
                  <c:v>19554.519999999997</c:v>
                </c:pt>
                <c:pt idx="454">
                  <c:v>19540.724999999999</c:v>
                </c:pt>
                <c:pt idx="455">
                  <c:v>19528.895</c:v>
                </c:pt>
                <c:pt idx="456">
                  <c:v>19509.314999999999</c:v>
                </c:pt>
                <c:pt idx="457">
                  <c:v>19489.61</c:v>
                </c:pt>
                <c:pt idx="458">
                  <c:v>19472.609999999997</c:v>
                </c:pt>
                <c:pt idx="459">
                  <c:v>19452.052499999998</c:v>
                </c:pt>
                <c:pt idx="460">
                  <c:v>19432.747500000001</c:v>
                </c:pt>
                <c:pt idx="461">
                  <c:v>19419.11</c:v>
                </c:pt>
                <c:pt idx="462">
                  <c:v>19421.7925</c:v>
                </c:pt>
                <c:pt idx="463">
                  <c:v>19422.3825</c:v>
                </c:pt>
                <c:pt idx="464">
                  <c:v>19421.262500000001</c:v>
                </c:pt>
                <c:pt idx="465">
                  <c:v>19423.272499999999</c:v>
                </c:pt>
                <c:pt idx="466">
                  <c:v>19427.997499999998</c:v>
                </c:pt>
                <c:pt idx="467">
                  <c:v>19441.84</c:v>
                </c:pt>
                <c:pt idx="468">
                  <c:v>19470.2425</c:v>
                </c:pt>
                <c:pt idx="469">
                  <c:v>19498.174999999996</c:v>
                </c:pt>
                <c:pt idx="470">
                  <c:v>19528.424999999996</c:v>
                </c:pt>
                <c:pt idx="471">
                  <c:v>19565.317499999997</c:v>
                </c:pt>
                <c:pt idx="472">
                  <c:v>19609.427499999998</c:v>
                </c:pt>
                <c:pt idx="473">
                  <c:v>19646.412499999995</c:v>
                </c:pt>
                <c:pt idx="474">
                  <c:v>19671.659999999996</c:v>
                </c:pt>
                <c:pt idx="475">
                  <c:v>19686.577499999996</c:v>
                </c:pt>
                <c:pt idx="476">
                  <c:v>19700.954999999994</c:v>
                </c:pt>
                <c:pt idx="477">
                  <c:v>19721.392499999998</c:v>
                </c:pt>
                <c:pt idx="478">
                  <c:v>19739.325000000001</c:v>
                </c:pt>
                <c:pt idx="479">
                  <c:v>19758.015000000003</c:v>
                </c:pt>
                <c:pt idx="480">
                  <c:v>19766.82</c:v>
                </c:pt>
                <c:pt idx="481">
                  <c:v>19786.044999999998</c:v>
                </c:pt>
                <c:pt idx="482">
                  <c:v>19790.717500000002</c:v>
                </c:pt>
                <c:pt idx="483">
                  <c:v>19786.082499999997</c:v>
                </c:pt>
                <c:pt idx="484">
                  <c:v>19784.624999999996</c:v>
                </c:pt>
                <c:pt idx="485">
                  <c:v>19786.747499999998</c:v>
                </c:pt>
                <c:pt idx="486">
                  <c:v>19776.012499999997</c:v>
                </c:pt>
                <c:pt idx="487">
                  <c:v>19769.5075</c:v>
                </c:pt>
                <c:pt idx="488">
                  <c:v>19760.257499999996</c:v>
                </c:pt>
                <c:pt idx="489">
                  <c:v>19750.297499999993</c:v>
                </c:pt>
                <c:pt idx="490">
                  <c:v>19734.349999999999</c:v>
                </c:pt>
                <c:pt idx="491">
                  <c:v>19715.782499999994</c:v>
                </c:pt>
                <c:pt idx="492">
                  <c:v>19696.739999999998</c:v>
                </c:pt>
                <c:pt idx="493">
                  <c:v>19673.629999999997</c:v>
                </c:pt>
                <c:pt idx="494">
                  <c:v>19659.794999999998</c:v>
                </c:pt>
                <c:pt idx="495">
                  <c:v>19649.810000000001</c:v>
                </c:pt>
                <c:pt idx="496">
                  <c:v>19630.185000000001</c:v>
                </c:pt>
                <c:pt idx="497">
                  <c:v>19602.565000000002</c:v>
                </c:pt>
                <c:pt idx="498">
                  <c:v>19562.192500000001</c:v>
                </c:pt>
                <c:pt idx="499">
                  <c:v>19528.732500000002</c:v>
                </c:pt>
                <c:pt idx="500">
                  <c:v>19509.600000000002</c:v>
                </c:pt>
                <c:pt idx="501">
                  <c:v>19481.665000000001</c:v>
                </c:pt>
                <c:pt idx="502">
                  <c:v>19454.685000000005</c:v>
                </c:pt>
                <c:pt idx="503">
                  <c:v>19439.542500000003</c:v>
                </c:pt>
                <c:pt idx="504">
                  <c:v>19423.784999999996</c:v>
                </c:pt>
                <c:pt idx="505">
                  <c:v>19411.697499999998</c:v>
                </c:pt>
                <c:pt idx="506">
                  <c:v>19406.415000000001</c:v>
                </c:pt>
                <c:pt idx="507">
                  <c:v>19394.0975</c:v>
                </c:pt>
                <c:pt idx="508">
                  <c:v>19373.294999999998</c:v>
                </c:pt>
                <c:pt idx="509">
                  <c:v>19354.862499999996</c:v>
                </c:pt>
                <c:pt idx="510">
                  <c:v>19343.587499999998</c:v>
                </c:pt>
                <c:pt idx="511">
                  <c:v>19329.177499999998</c:v>
                </c:pt>
                <c:pt idx="512">
                  <c:v>19322.374999999996</c:v>
                </c:pt>
                <c:pt idx="513">
                  <c:v>19327.079999999998</c:v>
                </c:pt>
                <c:pt idx="514">
                  <c:v>19332.435000000001</c:v>
                </c:pt>
                <c:pt idx="515">
                  <c:v>19340.002499999999</c:v>
                </c:pt>
                <c:pt idx="516">
                  <c:v>19365.084999999999</c:v>
                </c:pt>
                <c:pt idx="517">
                  <c:v>19399.57</c:v>
                </c:pt>
                <c:pt idx="518">
                  <c:v>19446.807499999999</c:v>
                </c:pt>
                <c:pt idx="519">
                  <c:v>19484.18</c:v>
                </c:pt>
                <c:pt idx="520">
                  <c:v>19521.620000000003</c:v>
                </c:pt>
                <c:pt idx="521">
                  <c:v>19572.47</c:v>
                </c:pt>
                <c:pt idx="522">
                  <c:v>19629.670000000002</c:v>
                </c:pt>
                <c:pt idx="523">
                  <c:v>19686.402500000004</c:v>
                </c:pt>
                <c:pt idx="524">
                  <c:v>19759.212500000001</c:v>
                </c:pt>
                <c:pt idx="525">
                  <c:v>19831.38</c:v>
                </c:pt>
                <c:pt idx="526">
                  <c:v>19907.93</c:v>
                </c:pt>
                <c:pt idx="527">
                  <c:v>19980.812500000004</c:v>
                </c:pt>
                <c:pt idx="528">
                  <c:v>20059.517500000005</c:v>
                </c:pt>
                <c:pt idx="529">
                  <c:v>20138.105000000003</c:v>
                </c:pt>
                <c:pt idx="530">
                  <c:v>20207.147500000003</c:v>
                </c:pt>
                <c:pt idx="531">
                  <c:v>20281.287500000002</c:v>
                </c:pt>
                <c:pt idx="532">
                  <c:v>20356.650000000001</c:v>
                </c:pt>
                <c:pt idx="533">
                  <c:v>20441.222500000003</c:v>
                </c:pt>
                <c:pt idx="534">
                  <c:v>20525.565000000002</c:v>
                </c:pt>
                <c:pt idx="535">
                  <c:v>20613.52</c:v>
                </c:pt>
                <c:pt idx="536">
                  <c:v>20681.857500000002</c:v>
                </c:pt>
                <c:pt idx="537">
                  <c:v>20754.017500000002</c:v>
                </c:pt>
                <c:pt idx="538">
                  <c:v>20831.387500000004</c:v>
                </c:pt>
                <c:pt idx="539">
                  <c:v>20913.72</c:v>
                </c:pt>
                <c:pt idx="540">
                  <c:v>21001.9725</c:v>
                </c:pt>
                <c:pt idx="541">
                  <c:v>21086.077500000003</c:v>
                </c:pt>
                <c:pt idx="542">
                  <c:v>21165.99</c:v>
                </c:pt>
                <c:pt idx="543">
                  <c:v>21239.690000000002</c:v>
                </c:pt>
                <c:pt idx="544">
                  <c:v>21288.640000000003</c:v>
                </c:pt>
                <c:pt idx="545">
                  <c:v>21321.752499999999</c:v>
                </c:pt>
                <c:pt idx="546">
                  <c:v>21357.797499999997</c:v>
                </c:pt>
                <c:pt idx="547">
                  <c:v>21398.28</c:v>
                </c:pt>
                <c:pt idx="548">
                  <c:v>21425.46</c:v>
                </c:pt>
                <c:pt idx="549">
                  <c:v>21452.847499999996</c:v>
                </c:pt>
                <c:pt idx="550">
                  <c:v>21488.462499999998</c:v>
                </c:pt>
                <c:pt idx="551">
                  <c:v>21524.504999999997</c:v>
                </c:pt>
                <c:pt idx="552">
                  <c:v>21560.097499999996</c:v>
                </c:pt>
                <c:pt idx="553">
                  <c:v>21592.137500000001</c:v>
                </c:pt>
                <c:pt idx="554">
                  <c:v>21622.82</c:v>
                </c:pt>
                <c:pt idx="555">
                  <c:v>21628.762500000001</c:v>
                </c:pt>
                <c:pt idx="556">
                  <c:v>21644.3675</c:v>
                </c:pt>
                <c:pt idx="557">
                  <c:v>21662.735000000001</c:v>
                </c:pt>
                <c:pt idx="558">
                  <c:v>21673.855000000003</c:v>
                </c:pt>
                <c:pt idx="559">
                  <c:v>21663.727500000001</c:v>
                </c:pt>
                <c:pt idx="560">
                  <c:v>21653.6875</c:v>
                </c:pt>
                <c:pt idx="561">
                  <c:v>21632.382500000003</c:v>
                </c:pt>
                <c:pt idx="562">
                  <c:v>21632.692499999997</c:v>
                </c:pt>
                <c:pt idx="563">
                  <c:v>21621.702499999999</c:v>
                </c:pt>
                <c:pt idx="564">
                  <c:v>21624.697499999998</c:v>
                </c:pt>
                <c:pt idx="565">
                  <c:v>21633.702499999996</c:v>
                </c:pt>
                <c:pt idx="566">
                  <c:v>21643.462499999998</c:v>
                </c:pt>
                <c:pt idx="567">
                  <c:v>21646.507499999996</c:v>
                </c:pt>
                <c:pt idx="568">
                  <c:v>21667.327499999999</c:v>
                </c:pt>
                <c:pt idx="569">
                  <c:v>21686.61</c:v>
                </c:pt>
                <c:pt idx="570">
                  <c:v>21691.572500000002</c:v>
                </c:pt>
                <c:pt idx="571">
                  <c:v>21698.337500000001</c:v>
                </c:pt>
                <c:pt idx="572">
                  <c:v>21684.412500000002</c:v>
                </c:pt>
                <c:pt idx="573">
                  <c:v>21666.702500000007</c:v>
                </c:pt>
                <c:pt idx="574">
                  <c:v>21657.090000000004</c:v>
                </c:pt>
                <c:pt idx="575">
                  <c:v>21674.030000000002</c:v>
                </c:pt>
                <c:pt idx="576">
                  <c:v>21702.952500000003</c:v>
                </c:pt>
                <c:pt idx="577">
                  <c:v>21727.945</c:v>
                </c:pt>
                <c:pt idx="578">
                  <c:v>21759.202499999999</c:v>
                </c:pt>
                <c:pt idx="579">
                  <c:v>21800.014999999999</c:v>
                </c:pt>
                <c:pt idx="580">
                  <c:v>21838.19</c:v>
                </c:pt>
                <c:pt idx="581">
                  <c:v>21881.195</c:v>
                </c:pt>
                <c:pt idx="582">
                  <c:v>21900.4175</c:v>
                </c:pt>
                <c:pt idx="583">
                  <c:v>21934.23</c:v>
                </c:pt>
                <c:pt idx="584">
                  <c:v>21945.502499999999</c:v>
                </c:pt>
                <c:pt idx="585">
                  <c:v>21959.77</c:v>
                </c:pt>
                <c:pt idx="586">
                  <c:v>21984.017499999998</c:v>
                </c:pt>
                <c:pt idx="587">
                  <c:v>22015.712500000001</c:v>
                </c:pt>
                <c:pt idx="588">
                  <c:v>22037.057499999999</c:v>
                </c:pt>
                <c:pt idx="589">
                  <c:v>22064.234999999997</c:v>
                </c:pt>
                <c:pt idx="590">
                  <c:v>22103.014999999996</c:v>
                </c:pt>
                <c:pt idx="591">
                  <c:v>22130.522499999999</c:v>
                </c:pt>
                <c:pt idx="592">
                  <c:v>22166.504999999997</c:v>
                </c:pt>
                <c:pt idx="593">
                  <c:v>22179.227500000001</c:v>
                </c:pt>
                <c:pt idx="594">
                  <c:v>22194.557499999999</c:v>
                </c:pt>
                <c:pt idx="595">
                  <c:v>22200.1875</c:v>
                </c:pt>
                <c:pt idx="596">
                  <c:v>22200.9375</c:v>
                </c:pt>
                <c:pt idx="597">
                  <c:v>22185.697500000002</c:v>
                </c:pt>
                <c:pt idx="598">
                  <c:v>22167.805</c:v>
                </c:pt>
                <c:pt idx="599">
                  <c:v>22165.65</c:v>
                </c:pt>
                <c:pt idx="600">
                  <c:v>22159.614999999998</c:v>
                </c:pt>
                <c:pt idx="601">
                  <c:v>22149.215</c:v>
                </c:pt>
                <c:pt idx="602">
                  <c:v>22149.295000000002</c:v>
                </c:pt>
                <c:pt idx="603">
                  <c:v>22155.722500000003</c:v>
                </c:pt>
                <c:pt idx="604">
                  <c:v>22181.265000000003</c:v>
                </c:pt>
                <c:pt idx="605">
                  <c:v>22204.79</c:v>
                </c:pt>
                <c:pt idx="606">
                  <c:v>22209.585000000006</c:v>
                </c:pt>
                <c:pt idx="607">
                  <c:v>22215.037500000006</c:v>
                </c:pt>
                <c:pt idx="608">
                  <c:v>22222.907500000008</c:v>
                </c:pt>
                <c:pt idx="609">
                  <c:v>22232.520000000008</c:v>
                </c:pt>
                <c:pt idx="610">
                  <c:v>22239.980000000007</c:v>
                </c:pt>
                <c:pt idx="611">
                  <c:v>22261.037500000002</c:v>
                </c:pt>
                <c:pt idx="612">
                  <c:v>22270.222500000003</c:v>
                </c:pt>
                <c:pt idx="613">
                  <c:v>22283.962500000001</c:v>
                </c:pt>
                <c:pt idx="614">
                  <c:v>22284.025000000001</c:v>
                </c:pt>
                <c:pt idx="615">
                  <c:v>22282.65</c:v>
                </c:pt>
                <c:pt idx="616">
                  <c:v>22287.215</c:v>
                </c:pt>
                <c:pt idx="617">
                  <c:v>22313.162499999999</c:v>
                </c:pt>
                <c:pt idx="618">
                  <c:v>22339.607499999998</c:v>
                </c:pt>
                <c:pt idx="619">
                  <c:v>22359.13</c:v>
                </c:pt>
                <c:pt idx="620">
                  <c:v>22382.81</c:v>
                </c:pt>
                <c:pt idx="621">
                  <c:v>22403.572500000002</c:v>
                </c:pt>
                <c:pt idx="622">
                  <c:v>22429.56</c:v>
                </c:pt>
                <c:pt idx="623">
                  <c:v>22443.4575</c:v>
                </c:pt>
                <c:pt idx="624">
                  <c:v>22452.767500000002</c:v>
                </c:pt>
                <c:pt idx="625">
                  <c:v>22453.895</c:v>
                </c:pt>
                <c:pt idx="626">
                  <c:v>22454.297500000001</c:v>
                </c:pt>
                <c:pt idx="627">
                  <c:v>22443.69</c:v>
                </c:pt>
                <c:pt idx="628">
                  <c:v>22433.129999999997</c:v>
                </c:pt>
                <c:pt idx="629">
                  <c:v>22397.69</c:v>
                </c:pt>
                <c:pt idx="630">
                  <c:v>22368.3125</c:v>
                </c:pt>
                <c:pt idx="631">
                  <c:v>22335.825000000001</c:v>
                </c:pt>
                <c:pt idx="632">
                  <c:v>22320.747499999998</c:v>
                </c:pt>
                <c:pt idx="633">
                  <c:v>22317.15</c:v>
                </c:pt>
                <c:pt idx="634">
                  <c:v>22329.947499999998</c:v>
                </c:pt>
                <c:pt idx="635">
                  <c:v>22353.46</c:v>
                </c:pt>
                <c:pt idx="636">
                  <c:v>22371.21</c:v>
                </c:pt>
                <c:pt idx="637">
                  <c:v>22380.842499999999</c:v>
                </c:pt>
                <c:pt idx="638">
                  <c:v>22392.332499999997</c:v>
                </c:pt>
                <c:pt idx="639">
                  <c:v>22420.594999999998</c:v>
                </c:pt>
                <c:pt idx="640">
                  <c:v>22439.932499999995</c:v>
                </c:pt>
                <c:pt idx="641">
                  <c:v>22465.557499999999</c:v>
                </c:pt>
                <c:pt idx="642">
                  <c:v>22477.794999999998</c:v>
                </c:pt>
                <c:pt idx="643">
                  <c:v>22482.787499999999</c:v>
                </c:pt>
                <c:pt idx="644">
                  <c:v>22474.810000000005</c:v>
                </c:pt>
                <c:pt idx="645">
                  <c:v>22477.552500000002</c:v>
                </c:pt>
                <c:pt idx="646">
                  <c:v>22518.612500000007</c:v>
                </c:pt>
                <c:pt idx="647">
                  <c:v>22497.712500000001</c:v>
                </c:pt>
                <c:pt idx="648">
                  <c:v>22513.605000000003</c:v>
                </c:pt>
                <c:pt idx="649">
                  <c:v>22556.800000000003</c:v>
                </c:pt>
                <c:pt idx="650">
                  <c:v>22618.547500000004</c:v>
                </c:pt>
                <c:pt idx="651">
                  <c:v>22676.305000000004</c:v>
                </c:pt>
                <c:pt idx="652">
                  <c:v>22728.655000000006</c:v>
                </c:pt>
                <c:pt idx="653">
                  <c:v>22784.775000000001</c:v>
                </c:pt>
                <c:pt idx="654">
                  <c:v>22834.527500000004</c:v>
                </c:pt>
                <c:pt idx="655">
                  <c:v>22884.502500000002</c:v>
                </c:pt>
                <c:pt idx="656">
                  <c:v>22937.297500000004</c:v>
                </c:pt>
                <c:pt idx="657">
                  <c:v>22986.645000000004</c:v>
                </c:pt>
                <c:pt idx="658">
                  <c:v>23035.105000000003</c:v>
                </c:pt>
                <c:pt idx="659">
                  <c:v>23061.7775</c:v>
                </c:pt>
                <c:pt idx="660">
                  <c:v>23090.814999999999</c:v>
                </c:pt>
                <c:pt idx="661">
                  <c:v>23130.2575</c:v>
                </c:pt>
                <c:pt idx="662">
                  <c:v>23179.29</c:v>
                </c:pt>
                <c:pt idx="663">
                  <c:v>23246.28</c:v>
                </c:pt>
                <c:pt idx="664">
                  <c:v>23322.377499999995</c:v>
                </c:pt>
                <c:pt idx="665">
                  <c:v>23402.939999999995</c:v>
                </c:pt>
                <c:pt idx="666">
                  <c:v>23445.937499999993</c:v>
                </c:pt>
                <c:pt idx="667">
                  <c:v>23566.037499999995</c:v>
                </c:pt>
                <c:pt idx="668">
                  <c:v>23650.127499999999</c:v>
                </c:pt>
                <c:pt idx="669">
                  <c:v>23725.25</c:v>
                </c:pt>
                <c:pt idx="670">
                  <c:v>23776.769999999997</c:v>
                </c:pt>
                <c:pt idx="671">
                  <c:v>23835.469999999998</c:v>
                </c:pt>
                <c:pt idx="672">
                  <c:v>23888.45</c:v>
                </c:pt>
                <c:pt idx="673">
                  <c:v>23938.1</c:v>
                </c:pt>
                <c:pt idx="674">
                  <c:v>23993.262500000004</c:v>
                </c:pt>
                <c:pt idx="675">
                  <c:v>24049.317500000001</c:v>
                </c:pt>
                <c:pt idx="676">
                  <c:v>24102.072500000006</c:v>
                </c:pt>
                <c:pt idx="677">
                  <c:v>24166.315000000002</c:v>
                </c:pt>
                <c:pt idx="678">
                  <c:v>24214.510000000002</c:v>
                </c:pt>
                <c:pt idx="679">
                  <c:v>24264.917500000003</c:v>
                </c:pt>
                <c:pt idx="680">
                  <c:v>24311.977500000001</c:v>
                </c:pt>
                <c:pt idx="681">
                  <c:v>24346.587500000001</c:v>
                </c:pt>
                <c:pt idx="682">
                  <c:v>24373.452499999999</c:v>
                </c:pt>
                <c:pt idx="683">
                  <c:v>24412.969999999998</c:v>
                </c:pt>
                <c:pt idx="684">
                  <c:v>24454.244999999999</c:v>
                </c:pt>
                <c:pt idx="685">
                  <c:v>24490.012499999997</c:v>
                </c:pt>
                <c:pt idx="686">
                  <c:v>24531.377499999999</c:v>
                </c:pt>
                <c:pt idx="687">
                  <c:v>24567.597499999996</c:v>
                </c:pt>
                <c:pt idx="688">
                  <c:v>24588.374999999996</c:v>
                </c:pt>
                <c:pt idx="689">
                  <c:v>24574.962499999998</c:v>
                </c:pt>
                <c:pt idx="690">
                  <c:v>24558.562499999996</c:v>
                </c:pt>
                <c:pt idx="691">
                  <c:v>24551.777499999997</c:v>
                </c:pt>
                <c:pt idx="692">
                  <c:v>24541.404999999999</c:v>
                </c:pt>
                <c:pt idx="693">
                  <c:v>24543.982500000002</c:v>
                </c:pt>
                <c:pt idx="694">
                  <c:v>24536.224999999999</c:v>
                </c:pt>
                <c:pt idx="695">
                  <c:v>24513.84</c:v>
                </c:pt>
                <c:pt idx="696">
                  <c:v>24490.377499999999</c:v>
                </c:pt>
                <c:pt idx="697">
                  <c:v>24477.392499999998</c:v>
                </c:pt>
                <c:pt idx="698">
                  <c:v>24479.480000000003</c:v>
                </c:pt>
                <c:pt idx="699">
                  <c:v>24488.959999999999</c:v>
                </c:pt>
                <c:pt idx="700">
                  <c:v>24503.517500000002</c:v>
                </c:pt>
                <c:pt idx="701">
                  <c:v>24523.417500000003</c:v>
                </c:pt>
                <c:pt idx="702">
                  <c:v>24544.270000000004</c:v>
                </c:pt>
                <c:pt idx="703">
                  <c:v>24553.057499999999</c:v>
                </c:pt>
                <c:pt idx="704">
                  <c:v>24562.14</c:v>
                </c:pt>
                <c:pt idx="705">
                  <c:v>24571.892500000002</c:v>
                </c:pt>
                <c:pt idx="706">
                  <c:v>24581.932500000003</c:v>
                </c:pt>
                <c:pt idx="707">
                  <c:v>24593.182500000003</c:v>
                </c:pt>
                <c:pt idx="708">
                  <c:v>24621.232500000002</c:v>
                </c:pt>
                <c:pt idx="709">
                  <c:v>24682.445</c:v>
                </c:pt>
                <c:pt idx="710">
                  <c:v>24742.752499999999</c:v>
                </c:pt>
                <c:pt idx="711">
                  <c:v>24785.1325</c:v>
                </c:pt>
                <c:pt idx="712">
                  <c:v>24821.89</c:v>
                </c:pt>
                <c:pt idx="713">
                  <c:v>24850.334999999999</c:v>
                </c:pt>
                <c:pt idx="714">
                  <c:v>24885.040000000001</c:v>
                </c:pt>
                <c:pt idx="715">
                  <c:v>24924.012500000001</c:v>
                </c:pt>
                <c:pt idx="716">
                  <c:v>24986.270000000004</c:v>
                </c:pt>
                <c:pt idx="717">
                  <c:v>25027.037500000002</c:v>
                </c:pt>
                <c:pt idx="718">
                  <c:v>25067.592500000006</c:v>
                </c:pt>
                <c:pt idx="719">
                  <c:v>25103.577500000003</c:v>
                </c:pt>
                <c:pt idx="720">
                  <c:v>25133.945000000003</c:v>
                </c:pt>
                <c:pt idx="721">
                  <c:v>25164.160000000003</c:v>
                </c:pt>
                <c:pt idx="722">
                  <c:v>25212.55</c:v>
                </c:pt>
                <c:pt idx="723">
                  <c:v>25258.9725</c:v>
                </c:pt>
                <c:pt idx="724">
                  <c:v>25305.105000000003</c:v>
                </c:pt>
                <c:pt idx="725">
                  <c:v>25352.695</c:v>
                </c:pt>
                <c:pt idx="726">
                  <c:v>25405.9</c:v>
                </c:pt>
                <c:pt idx="727">
                  <c:v>25453.052499999998</c:v>
                </c:pt>
                <c:pt idx="728">
                  <c:v>25479.66</c:v>
                </c:pt>
                <c:pt idx="729">
                  <c:v>25505.512500000004</c:v>
                </c:pt>
                <c:pt idx="730">
                  <c:v>25508.0825</c:v>
                </c:pt>
                <c:pt idx="731">
                  <c:v>25501.557499999999</c:v>
                </c:pt>
                <c:pt idx="732">
                  <c:v>25498.737499999999</c:v>
                </c:pt>
                <c:pt idx="733">
                  <c:v>25502.575000000001</c:v>
                </c:pt>
                <c:pt idx="734">
                  <c:v>25499.6175</c:v>
                </c:pt>
                <c:pt idx="735">
                  <c:v>25503.6175</c:v>
                </c:pt>
                <c:pt idx="736">
                  <c:v>25482.384999999998</c:v>
                </c:pt>
                <c:pt idx="737">
                  <c:v>25470.9575</c:v>
                </c:pt>
                <c:pt idx="738">
                  <c:v>25454.637500000001</c:v>
                </c:pt>
                <c:pt idx="739">
                  <c:v>25432.275000000001</c:v>
                </c:pt>
                <c:pt idx="740">
                  <c:v>25400.89</c:v>
                </c:pt>
                <c:pt idx="741">
                  <c:v>25372.802499999998</c:v>
                </c:pt>
                <c:pt idx="742">
                  <c:v>25322.309999999998</c:v>
                </c:pt>
                <c:pt idx="743">
                  <c:v>25248.962499999994</c:v>
                </c:pt>
                <c:pt idx="744">
                  <c:v>25173.717499999995</c:v>
                </c:pt>
                <c:pt idx="745">
                  <c:v>25093.479999999996</c:v>
                </c:pt>
                <c:pt idx="746">
                  <c:v>24991.717499999995</c:v>
                </c:pt>
                <c:pt idx="747">
                  <c:v>24899.727500000001</c:v>
                </c:pt>
                <c:pt idx="748">
                  <c:v>24832.5275</c:v>
                </c:pt>
                <c:pt idx="749">
                  <c:v>24759.724999999999</c:v>
                </c:pt>
                <c:pt idx="750">
                  <c:v>24707.487499999996</c:v>
                </c:pt>
                <c:pt idx="751">
                  <c:v>24671.974999999995</c:v>
                </c:pt>
                <c:pt idx="752">
                  <c:v>24631.954999999994</c:v>
                </c:pt>
                <c:pt idx="753">
                  <c:v>24591.962499999994</c:v>
                </c:pt>
                <c:pt idx="754">
                  <c:v>24567.067499999994</c:v>
                </c:pt>
                <c:pt idx="755">
                  <c:v>24527.112499999992</c:v>
                </c:pt>
                <c:pt idx="756">
                  <c:v>24486.30999999999</c:v>
                </c:pt>
                <c:pt idx="757">
                  <c:v>24436.97749999999</c:v>
                </c:pt>
                <c:pt idx="758">
                  <c:v>24378.282499999994</c:v>
                </c:pt>
                <c:pt idx="759">
                  <c:v>24307.669999999995</c:v>
                </c:pt>
                <c:pt idx="760">
                  <c:v>24246.812499999996</c:v>
                </c:pt>
                <c:pt idx="761">
                  <c:v>24176.799999999999</c:v>
                </c:pt>
                <c:pt idx="762">
                  <c:v>24113.670000000002</c:v>
                </c:pt>
                <c:pt idx="763">
                  <c:v>24057.56</c:v>
                </c:pt>
                <c:pt idx="764">
                  <c:v>24031.147499999999</c:v>
                </c:pt>
                <c:pt idx="765">
                  <c:v>24022.272499999999</c:v>
                </c:pt>
                <c:pt idx="766">
                  <c:v>24022.957500000004</c:v>
                </c:pt>
                <c:pt idx="767">
                  <c:v>24019.745000000003</c:v>
                </c:pt>
                <c:pt idx="768">
                  <c:v>23992.110000000008</c:v>
                </c:pt>
                <c:pt idx="769">
                  <c:v>23981.622500000005</c:v>
                </c:pt>
                <c:pt idx="770">
                  <c:v>23985.157500000005</c:v>
                </c:pt>
                <c:pt idx="771">
                  <c:v>23992.797500000004</c:v>
                </c:pt>
                <c:pt idx="772">
                  <c:v>24016.402500000004</c:v>
                </c:pt>
                <c:pt idx="773">
                  <c:v>24041.157500000005</c:v>
                </c:pt>
                <c:pt idx="774">
                  <c:v>24050.845000000005</c:v>
                </c:pt>
                <c:pt idx="775">
                  <c:v>24071.827500000003</c:v>
                </c:pt>
                <c:pt idx="776">
                  <c:v>24094.92</c:v>
                </c:pt>
                <c:pt idx="777">
                  <c:v>24119.945</c:v>
                </c:pt>
                <c:pt idx="778">
                  <c:v>24153.2075</c:v>
                </c:pt>
                <c:pt idx="779">
                  <c:v>24213.670000000002</c:v>
                </c:pt>
                <c:pt idx="780">
                  <c:v>24270.447500000002</c:v>
                </c:pt>
                <c:pt idx="781">
                  <c:v>24314.557499999999</c:v>
                </c:pt>
                <c:pt idx="782">
                  <c:v>24348.574999999997</c:v>
                </c:pt>
                <c:pt idx="783">
                  <c:v>24378.664999999997</c:v>
                </c:pt>
                <c:pt idx="784">
                  <c:v>24362.677499999998</c:v>
                </c:pt>
                <c:pt idx="785">
                  <c:v>24339.254999999997</c:v>
                </c:pt>
                <c:pt idx="786">
                  <c:v>24315.912499999999</c:v>
                </c:pt>
                <c:pt idx="787">
                  <c:v>24289.677499999998</c:v>
                </c:pt>
                <c:pt idx="788">
                  <c:v>24284.640000000003</c:v>
                </c:pt>
                <c:pt idx="789">
                  <c:v>24260.33</c:v>
                </c:pt>
                <c:pt idx="790">
                  <c:v>24228.767500000005</c:v>
                </c:pt>
                <c:pt idx="791">
                  <c:v>24193.055000000004</c:v>
                </c:pt>
                <c:pt idx="792">
                  <c:v>24179.115000000005</c:v>
                </c:pt>
                <c:pt idx="793">
                  <c:v>24143.932500000006</c:v>
                </c:pt>
                <c:pt idx="794">
                  <c:v>24090.845000000008</c:v>
                </c:pt>
                <c:pt idx="795">
                  <c:v>24045.290000000008</c:v>
                </c:pt>
                <c:pt idx="796">
                  <c:v>23999.235000000008</c:v>
                </c:pt>
                <c:pt idx="797">
                  <c:v>23943.470000000008</c:v>
                </c:pt>
                <c:pt idx="798">
                  <c:v>23887.610000000004</c:v>
                </c:pt>
                <c:pt idx="799">
                  <c:v>23803.492500000004</c:v>
                </c:pt>
                <c:pt idx="800">
                  <c:v>23728.8825</c:v>
                </c:pt>
                <c:pt idx="801">
                  <c:v>23672.7425</c:v>
                </c:pt>
                <c:pt idx="802">
                  <c:v>23628.39</c:v>
                </c:pt>
                <c:pt idx="803">
                  <c:v>23590.965</c:v>
                </c:pt>
                <c:pt idx="804">
                  <c:v>23578.827499999999</c:v>
                </c:pt>
                <c:pt idx="805">
                  <c:v>23542.387500000004</c:v>
                </c:pt>
                <c:pt idx="806">
                  <c:v>23513.772499999999</c:v>
                </c:pt>
                <c:pt idx="807">
                  <c:v>23486.53</c:v>
                </c:pt>
                <c:pt idx="808">
                  <c:v>23450.47</c:v>
                </c:pt>
                <c:pt idx="809">
                  <c:v>23409.682500000003</c:v>
                </c:pt>
                <c:pt idx="810">
                  <c:v>23375.305</c:v>
                </c:pt>
                <c:pt idx="811">
                  <c:v>23346.314999999999</c:v>
                </c:pt>
                <c:pt idx="812">
                  <c:v>23299.357500000002</c:v>
                </c:pt>
                <c:pt idx="813">
                  <c:v>23274.54</c:v>
                </c:pt>
                <c:pt idx="814">
                  <c:v>23267.845000000001</c:v>
                </c:pt>
                <c:pt idx="815">
                  <c:v>23250.502500000002</c:v>
                </c:pt>
                <c:pt idx="816">
                  <c:v>23253.017500000002</c:v>
                </c:pt>
                <c:pt idx="817">
                  <c:v>23261.5075</c:v>
                </c:pt>
                <c:pt idx="818">
                  <c:v>23270.1</c:v>
                </c:pt>
                <c:pt idx="819">
                  <c:v>23293.8</c:v>
                </c:pt>
                <c:pt idx="820">
                  <c:v>23304.077499999999</c:v>
                </c:pt>
                <c:pt idx="821">
                  <c:v>23297.0075</c:v>
                </c:pt>
                <c:pt idx="822">
                  <c:v>23283.68</c:v>
                </c:pt>
                <c:pt idx="823">
                  <c:v>23275.09</c:v>
                </c:pt>
                <c:pt idx="824">
                  <c:v>23254.314999999999</c:v>
                </c:pt>
                <c:pt idx="825">
                  <c:v>23251.057499999999</c:v>
                </c:pt>
                <c:pt idx="826">
                  <c:v>23240.555</c:v>
                </c:pt>
                <c:pt idx="827">
                  <c:v>23226.932499999999</c:v>
                </c:pt>
                <c:pt idx="828">
                  <c:v>23217.980000000003</c:v>
                </c:pt>
                <c:pt idx="829">
                  <c:v>23216.317500000005</c:v>
                </c:pt>
                <c:pt idx="830">
                  <c:v>23196.122500000005</c:v>
                </c:pt>
                <c:pt idx="831">
                  <c:v>23165.345000000001</c:v>
                </c:pt>
                <c:pt idx="832">
                  <c:v>23130.122500000001</c:v>
                </c:pt>
                <c:pt idx="833">
                  <c:v>23060.9375</c:v>
                </c:pt>
                <c:pt idx="834">
                  <c:v>22992.795000000002</c:v>
                </c:pt>
                <c:pt idx="835">
                  <c:v>22928.875</c:v>
                </c:pt>
                <c:pt idx="836">
                  <c:v>22858.7775</c:v>
                </c:pt>
                <c:pt idx="837">
                  <c:v>22801.197499999998</c:v>
                </c:pt>
                <c:pt idx="838">
                  <c:v>22748.654999999999</c:v>
                </c:pt>
                <c:pt idx="839">
                  <c:v>22693.672499999997</c:v>
                </c:pt>
                <c:pt idx="840">
                  <c:v>22649.487499999999</c:v>
                </c:pt>
                <c:pt idx="841">
                  <c:v>22619.422500000001</c:v>
                </c:pt>
                <c:pt idx="842">
                  <c:v>22587.02</c:v>
                </c:pt>
                <c:pt idx="843">
                  <c:v>22560.887500000001</c:v>
                </c:pt>
                <c:pt idx="844">
                  <c:v>22556.14</c:v>
                </c:pt>
                <c:pt idx="845">
                  <c:v>22553.544999999998</c:v>
                </c:pt>
                <c:pt idx="846">
                  <c:v>22565.812500000004</c:v>
                </c:pt>
                <c:pt idx="847">
                  <c:v>22586.687500000004</c:v>
                </c:pt>
                <c:pt idx="848">
                  <c:v>22623.947500000002</c:v>
                </c:pt>
                <c:pt idx="849">
                  <c:v>22667.584999999999</c:v>
                </c:pt>
                <c:pt idx="850">
                  <c:v>22714.26</c:v>
                </c:pt>
                <c:pt idx="851">
                  <c:v>22766.48</c:v>
                </c:pt>
                <c:pt idx="852">
                  <c:v>22815.195</c:v>
                </c:pt>
                <c:pt idx="853">
                  <c:v>22867.245000000003</c:v>
                </c:pt>
                <c:pt idx="854">
                  <c:v>22927.897499999999</c:v>
                </c:pt>
                <c:pt idx="855">
                  <c:v>22986.269999999997</c:v>
                </c:pt>
                <c:pt idx="856">
                  <c:v>23014.627499999995</c:v>
                </c:pt>
                <c:pt idx="857">
                  <c:v>22995.472499999996</c:v>
                </c:pt>
                <c:pt idx="858">
                  <c:v>22994.639999999992</c:v>
                </c:pt>
                <c:pt idx="859">
                  <c:v>22991.582499999997</c:v>
                </c:pt>
                <c:pt idx="860">
                  <c:v>23008.114999999998</c:v>
                </c:pt>
                <c:pt idx="861">
                  <c:v>23051.017499999994</c:v>
                </c:pt>
                <c:pt idx="862">
                  <c:v>23103.017499999998</c:v>
                </c:pt>
                <c:pt idx="863">
                  <c:v>23170.162499999999</c:v>
                </c:pt>
                <c:pt idx="864">
                  <c:v>23234.724999999999</c:v>
                </c:pt>
                <c:pt idx="865">
                  <c:v>23297.7075</c:v>
                </c:pt>
                <c:pt idx="866">
                  <c:v>23354.622500000005</c:v>
                </c:pt>
                <c:pt idx="867">
                  <c:v>23399.437500000004</c:v>
                </c:pt>
                <c:pt idx="868">
                  <c:v>23418.487499999999</c:v>
                </c:pt>
                <c:pt idx="869">
                  <c:v>23451.480000000003</c:v>
                </c:pt>
                <c:pt idx="870">
                  <c:v>23493.935000000001</c:v>
                </c:pt>
                <c:pt idx="871">
                  <c:v>23531.047500000001</c:v>
                </c:pt>
                <c:pt idx="872">
                  <c:v>23572.415000000001</c:v>
                </c:pt>
                <c:pt idx="873">
                  <c:v>23637.187500000004</c:v>
                </c:pt>
                <c:pt idx="874">
                  <c:v>23689.55</c:v>
                </c:pt>
                <c:pt idx="875">
                  <c:v>23747.765000000003</c:v>
                </c:pt>
                <c:pt idx="876">
                  <c:v>23816.232500000006</c:v>
                </c:pt>
                <c:pt idx="877">
                  <c:v>23908.552500000002</c:v>
                </c:pt>
                <c:pt idx="878">
                  <c:v>24027.995000000003</c:v>
                </c:pt>
                <c:pt idx="879">
                  <c:v>24136.955000000002</c:v>
                </c:pt>
                <c:pt idx="880">
                  <c:v>24228.872500000005</c:v>
                </c:pt>
                <c:pt idx="881">
                  <c:v>24315.550000000003</c:v>
                </c:pt>
                <c:pt idx="882">
                  <c:v>24394.68</c:v>
                </c:pt>
                <c:pt idx="883">
                  <c:v>24449.370000000003</c:v>
                </c:pt>
                <c:pt idx="884">
                  <c:v>24477.287500000002</c:v>
                </c:pt>
                <c:pt idx="885">
                  <c:v>24509.5975</c:v>
                </c:pt>
                <c:pt idx="886">
                  <c:v>24523.635000000002</c:v>
                </c:pt>
                <c:pt idx="887">
                  <c:v>24553.9575</c:v>
                </c:pt>
                <c:pt idx="888">
                  <c:v>24602.047500000004</c:v>
                </c:pt>
                <c:pt idx="889">
                  <c:v>24626.932500000003</c:v>
                </c:pt>
                <c:pt idx="890">
                  <c:v>24647.757500000003</c:v>
                </c:pt>
                <c:pt idx="891">
                  <c:v>24672.727500000008</c:v>
                </c:pt>
                <c:pt idx="892">
                  <c:v>24692.927500000005</c:v>
                </c:pt>
                <c:pt idx="893">
                  <c:v>24705.700000000004</c:v>
                </c:pt>
                <c:pt idx="894">
                  <c:v>24713.845000000001</c:v>
                </c:pt>
                <c:pt idx="895">
                  <c:v>24724.135000000002</c:v>
                </c:pt>
                <c:pt idx="896">
                  <c:v>24747.99</c:v>
                </c:pt>
                <c:pt idx="897">
                  <c:v>24797.7425</c:v>
                </c:pt>
                <c:pt idx="898">
                  <c:v>24806.667500000003</c:v>
                </c:pt>
                <c:pt idx="899">
                  <c:v>24832.962500000001</c:v>
                </c:pt>
                <c:pt idx="900">
                  <c:v>24856.687500000004</c:v>
                </c:pt>
                <c:pt idx="901">
                  <c:v>24847.9925</c:v>
                </c:pt>
                <c:pt idx="902">
                  <c:v>24832.932500000003</c:v>
                </c:pt>
                <c:pt idx="903">
                  <c:v>24832.985000000004</c:v>
                </c:pt>
                <c:pt idx="904">
                  <c:v>24841.460000000003</c:v>
                </c:pt>
                <c:pt idx="905">
                  <c:v>24841.390000000003</c:v>
                </c:pt>
                <c:pt idx="906">
                  <c:v>24850.567500000001</c:v>
                </c:pt>
                <c:pt idx="907">
                  <c:v>24863.530000000002</c:v>
                </c:pt>
                <c:pt idx="908">
                  <c:v>24862.067500000005</c:v>
                </c:pt>
                <c:pt idx="909">
                  <c:v>24872.975000000002</c:v>
                </c:pt>
                <c:pt idx="910">
                  <c:v>24897.59</c:v>
                </c:pt>
                <c:pt idx="911">
                  <c:v>24933.360000000001</c:v>
                </c:pt>
                <c:pt idx="912">
                  <c:v>24977.715000000004</c:v>
                </c:pt>
                <c:pt idx="913">
                  <c:v>25017.737499999999</c:v>
                </c:pt>
                <c:pt idx="914">
                  <c:v>25067.702499999999</c:v>
                </c:pt>
                <c:pt idx="915">
                  <c:v>25109.362499999999</c:v>
                </c:pt>
                <c:pt idx="916">
                  <c:v>25142.082499999997</c:v>
                </c:pt>
                <c:pt idx="917">
                  <c:v>25164.979999999996</c:v>
                </c:pt>
                <c:pt idx="918">
                  <c:v>25182.884999999998</c:v>
                </c:pt>
                <c:pt idx="919">
                  <c:v>25203.797499999997</c:v>
                </c:pt>
                <c:pt idx="920">
                  <c:v>25220.532499999998</c:v>
                </c:pt>
                <c:pt idx="921">
                  <c:v>25243.884999999998</c:v>
                </c:pt>
                <c:pt idx="922">
                  <c:v>25265.447499999998</c:v>
                </c:pt>
                <c:pt idx="923">
                  <c:v>25272.237499999996</c:v>
                </c:pt>
                <c:pt idx="924">
                  <c:v>25289.357499999995</c:v>
                </c:pt>
                <c:pt idx="925">
                  <c:v>25309.357499999991</c:v>
                </c:pt>
                <c:pt idx="926">
                  <c:v>25325.267499999994</c:v>
                </c:pt>
                <c:pt idx="927">
                  <c:v>25318.067499999997</c:v>
                </c:pt>
                <c:pt idx="928">
                  <c:v>25324.0075</c:v>
                </c:pt>
                <c:pt idx="929">
                  <c:v>25324.834999999999</c:v>
                </c:pt>
                <c:pt idx="930">
                  <c:v>25323.592500000002</c:v>
                </c:pt>
                <c:pt idx="931">
                  <c:v>25299.247500000001</c:v>
                </c:pt>
                <c:pt idx="932">
                  <c:v>25259.207500000004</c:v>
                </c:pt>
                <c:pt idx="933">
                  <c:v>25217.4</c:v>
                </c:pt>
                <c:pt idx="934">
                  <c:v>25181.365000000002</c:v>
                </c:pt>
                <c:pt idx="935">
                  <c:v>25151.447500000002</c:v>
                </c:pt>
                <c:pt idx="936">
                  <c:v>25119.599999999999</c:v>
                </c:pt>
                <c:pt idx="937">
                  <c:v>25074.817499999997</c:v>
                </c:pt>
                <c:pt idx="938">
                  <c:v>25037.89</c:v>
                </c:pt>
                <c:pt idx="939">
                  <c:v>24994.242499999997</c:v>
                </c:pt>
                <c:pt idx="940">
                  <c:v>24949.147499999999</c:v>
                </c:pt>
                <c:pt idx="941">
                  <c:v>24911.192499999997</c:v>
                </c:pt>
                <c:pt idx="942">
                  <c:v>24871.864999999998</c:v>
                </c:pt>
                <c:pt idx="943">
                  <c:v>24847.002499999995</c:v>
                </c:pt>
                <c:pt idx="944">
                  <c:v>24811.582499999997</c:v>
                </c:pt>
                <c:pt idx="945">
                  <c:v>24781.947499999998</c:v>
                </c:pt>
                <c:pt idx="946">
                  <c:v>24757.94</c:v>
                </c:pt>
                <c:pt idx="947">
                  <c:v>24753.3675</c:v>
                </c:pt>
                <c:pt idx="948">
                  <c:v>24747.865000000002</c:v>
                </c:pt>
                <c:pt idx="949">
                  <c:v>24747.3475</c:v>
                </c:pt>
                <c:pt idx="950">
                  <c:v>24740.54</c:v>
                </c:pt>
                <c:pt idx="951">
                  <c:v>24730.94</c:v>
                </c:pt>
                <c:pt idx="952">
                  <c:v>24737.477500000001</c:v>
                </c:pt>
                <c:pt idx="953">
                  <c:v>24739.034999999996</c:v>
                </c:pt>
                <c:pt idx="954">
                  <c:v>24723.024999999998</c:v>
                </c:pt>
                <c:pt idx="955">
                  <c:v>24701.614999999998</c:v>
                </c:pt>
                <c:pt idx="956">
                  <c:v>24694.449999999997</c:v>
                </c:pt>
                <c:pt idx="957">
                  <c:v>24695.162499999999</c:v>
                </c:pt>
                <c:pt idx="958">
                  <c:v>24694.777499999997</c:v>
                </c:pt>
                <c:pt idx="959">
                  <c:v>24699.014999999996</c:v>
                </c:pt>
                <c:pt idx="960">
                  <c:v>24707.354999999996</c:v>
                </c:pt>
                <c:pt idx="961">
                  <c:v>24716.204999999998</c:v>
                </c:pt>
                <c:pt idx="962">
                  <c:v>24741.469999999994</c:v>
                </c:pt>
                <c:pt idx="963">
                  <c:v>24760.872499999994</c:v>
                </c:pt>
                <c:pt idx="964">
                  <c:v>24786.777499999993</c:v>
                </c:pt>
                <c:pt idx="965">
                  <c:v>24811.509999999995</c:v>
                </c:pt>
                <c:pt idx="966">
                  <c:v>24833.404999999995</c:v>
                </c:pt>
                <c:pt idx="967">
                  <c:v>24851.512499999997</c:v>
                </c:pt>
                <c:pt idx="968">
                  <c:v>24868.9925</c:v>
                </c:pt>
                <c:pt idx="969">
                  <c:v>24887.644999999997</c:v>
                </c:pt>
                <c:pt idx="970">
                  <c:v>24899.809999999994</c:v>
                </c:pt>
                <c:pt idx="971">
                  <c:v>24916.422499999993</c:v>
                </c:pt>
                <c:pt idx="972">
                  <c:v>24926.509999999995</c:v>
                </c:pt>
                <c:pt idx="973">
                  <c:v>24943.752499999995</c:v>
                </c:pt>
                <c:pt idx="974">
                  <c:v>24963.249999999996</c:v>
                </c:pt>
                <c:pt idx="975">
                  <c:v>24974.642499999994</c:v>
                </c:pt>
                <c:pt idx="976">
                  <c:v>24975.135000000002</c:v>
                </c:pt>
                <c:pt idx="977">
                  <c:v>24976.71</c:v>
                </c:pt>
                <c:pt idx="978">
                  <c:v>24982.772499999999</c:v>
                </c:pt>
                <c:pt idx="979">
                  <c:v>24990.77</c:v>
                </c:pt>
                <c:pt idx="980">
                  <c:v>25007.602500000001</c:v>
                </c:pt>
                <c:pt idx="981">
                  <c:v>25024.36</c:v>
                </c:pt>
                <c:pt idx="982">
                  <c:v>25033.237499999999</c:v>
                </c:pt>
                <c:pt idx="983">
                  <c:v>25043.672500000001</c:v>
                </c:pt>
                <c:pt idx="984">
                  <c:v>25057.665000000001</c:v>
                </c:pt>
                <c:pt idx="985">
                  <c:v>25063.332499999997</c:v>
                </c:pt>
                <c:pt idx="986">
                  <c:v>25067.147499999999</c:v>
                </c:pt>
                <c:pt idx="987">
                  <c:v>25071.37</c:v>
                </c:pt>
                <c:pt idx="988">
                  <c:v>25084.122499999998</c:v>
                </c:pt>
                <c:pt idx="989">
                  <c:v>25098.434999999994</c:v>
                </c:pt>
                <c:pt idx="990">
                  <c:v>25124.239999999998</c:v>
                </c:pt>
                <c:pt idx="991">
                  <c:v>25157.552499999994</c:v>
                </c:pt>
                <c:pt idx="992">
                  <c:v>25193.647499999995</c:v>
                </c:pt>
                <c:pt idx="993">
                  <c:v>25230.559999999998</c:v>
                </c:pt>
                <c:pt idx="994">
                  <c:v>25284.32</c:v>
                </c:pt>
                <c:pt idx="995">
                  <c:v>25348.395</c:v>
                </c:pt>
                <c:pt idx="996">
                  <c:v>25419.345000000001</c:v>
                </c:pt>
                <c:pt idx="997">
                  <c:v>25482.682500000003</c:v>
                </c:pt>
                <c:pt idx="998">
                  <c:v>25526.9725</c:v>
                </c:pt>
                <c:pt idx="999">
                  <c:v>25570.427499999998</c:v>
                </c:pt>
                <c:pt idx="1000">
                  <c:v>25596.427499999998</c:v>
                </c:pt>
                <c:pt idx="1001">
                  <c:v>25616.497500000001</c:v>
                </c:pt>
                <c:pt idx="1002">
                  <c:v>25638.805</c:v>
                </c:pt>
                <c:pt idx="1003">
                  <c:v>25658.432499999999</c:v>
                </c:pt>
                <c:pt idx="1004">
                  <c:v>25678.912499999999</c:v>
                </c:pt>
                <c:pt idx="1005">
                  <c:v>25711.334999999999</c:v>
                </c:pt>
                <c:pt idx="1006">
                  <c:v>25748.017499999998</c:v>
                </c:pt>
                <c:pt idx="1007">
                  <c:v>25777.342499999999</c:v>
                </c:pt>
                <c:pt idx="1008">
                  <c:v>25798.75</c:v>
                </c:pt>
                <c:pt idx="1009">
                  <c:v>25808.760000000002</c:v>
                </c:pt>
                <c:pt idx="1010">
                  <c:v>25819.235000000001</c:v>
                </c:pt>
                <c:pt idx="1011">
                  <c:v>25835.412500000002</c:v>
                </c:pt>
                <c:pt idx="1012">
                  <c:v>25844.250000000004</c:v>
                </c:pt>
                <c:pt idx="1013">
                  <c:v>25852.467500000006</c:v>
                </c:pt>
                <c:pt idx="1014">
                  <c:v>25848.405000000006</c:v>
                </c:pt>
                <c:pt idx="1015">
                  <c:v>25861.860000000004</c:v>
                </c:pt>
                <c:pt idx="1016">
                  <c:v>25869.942500000001</c:v>
                </c:pt>
                <c:pt idx="1017">
                  <c:v>25886.197500000002</c:v>
                </c:pt>
                <c:pt idx="1018">
                  <c:v>25908.880000000001</c:v>
                </c:pt>
                <c:pt idx="1019">
                  <c:v>25922.322500000002</c:v>
                </c:pt>
                <c:pt idx="1020">
                  <c:v>25941.739999999998</c:v>
                </c:pt>
                <c:pt idx="1021">
                  <c:v>25967.942499999997</c:v>
                </c:pt>
                <c:pt idx="1022">
                  <c:v>26002.65</c:v>
                </c:pt>
                <c:pt idx="1023">
                  <c:v>26021.96</c:v>
                </c:pt>
                <c:pt idx="1024">
                  <c:v>26029.195</c:v>
                </c:pt>
                <c:pt idx="1025">
                  <c:v>26023.305</c:v>
                </c:pt>
                <c:pt idx="1026">
                  <c:v>26024.275000000001</c:v>
                </c:pt>
                <c:pt idx="1027">
                  <c:v>26031.119999999999</c:v>
                </c:pt>
                <c:pt idx="1028">
                  <c:v>26031.8125</c:v>
                </c:pt>
                <c:pt idx="1029">
                  <c:v>26029.314999999999</c:v>
                </c:pt>
                <c:pt idx="1030">
                  <c:v>26017.61</c:v>
                </c:pt>
                <c:pt idx="1031">
                  <c:v>25998.78</c:v>
                </c:pt>
                <c:pt idx="1032">
                  <c:v>25993.692500000001</c:v>
                </c:pt>
                <c:pt idx="1033">
                  <c:v>26004.337500000001</c:v>
                </c:pt>
                <c:pt idx="1034">
                  <c:v>26018.955000000002</c:v>
                </c:pt>
                <c:pt idx="1035">
                  <c:v>26015.795000000002</c:v>
                </c:pt>
                <c:pt idx="1036">
                  <c:v>26007.1325</c:v>
                </c:pt>
                <c:pt idx="1037">
                  <c:v>25994.089999999997</c:v>
                </c:pt>
                <c:pt idx="1038">
                  <c:v>25982.244999999999</c:v>
                </c:pt>
              </c:numCache>
            </c:numRef>
          </c:val>
          <c:smooth val="0"/>
          <c:extLst>
            <c:ext xmlns:c16="http://schemas.microsoft.com/office/drawing/2014/chart" uri="{C3380CC4-5D6E-409C-BE32-E72D297353CC}">
              <c16:uniqueId val="{00000001-DE9F-41DE-ADFB-3547966DB085}"/>
            </c:ext>
          </c:extLst>
        </c:ser>
        <c:ser>
          <c:idx val="2"/>
          <c:order val="2"/>
          <c:tx>
            <c:strRef>
              <c:f>'Price trend line table'!$D$1:$D$201</c:f>
              <c:strCache>
                <c:ptCount val="201"/>
                <c:pt idx="0">
                  <c:v>50 Day moving average</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pt idx="28">
                  <c:v>-</c:v>
                </c:pt>
                <c:pt idx="29">
                  <c:v>-</c:v>
                </c:pt>
                <c:pt idx="30">
                  <c:v>-</c:v>
                </c:pt>
                <c:pt idx="31">
                  <c:v>-</c:v>
                </c:pt>
                <c:pt idx="32">
                  <c:v>-</c:v>
                </c:pt>
                <c:pt idx="33">
                  <c:v>-</c:v>
                </c:pt>
                <c:pt idx="34">
                  <c:v>-</c:v>
                </c:pt>
                <c:pt idx="35">
                  <c:v>-</c:v>
                </c:pt>
                <c:pt idx="36">
                  <c:v>-</c:v>
                </c:pt>
                <c:pt idx="37">
                  <c:v>-</c:v>
                </c:pt>
                <c:pt idx="38">
                  <c:v>-</c:v>
                </c:pt>
                <c:pt idx="39">
                  <c:v>-</c:v>
                </c:pt>
                <c:pt idx="40">
                  <c:v>-</c:v>
                </c:pt>
                <c:pt idx="41">
                  <c:v>-</c:v>
                </c:pt>
                <c:pt idx="42">
                  <c:v>-</c:v>
                </c:pt>
                <c:pt idx="43">
                  <c:v>-</c:v>
                </c:pt>
                <c:pt idx="44">
                  <c:v>-</c:v>
                </c:pt>
                <c:pt idx="45">
                  <c:v>-</c:v>
                </c:pt>
                <c:pt idx="46">
                  <c:v>-</c:v>
                </c:pt>
                <c:pt idx="47">
                  <c:v>-</c:v>
                </c:pt>
                <c:pt idx="48">
                  <c:v>-</c:v>
                </c:pt>
                <c:pt idx="49">
                  <c:v>-</c:v>
                </c:pt>
                <c:pt idx="50">
                  <c:v>-</c:v>
                </c:pt>
                <c:pt idx="51">
                  <c:v>14699.277</c:v>
                </c:pt>
                <c:pt idx="52">
                  <c:v>14717.116</c:v>
                </c:pt>
                <c:pt idx="53">
                  <c:v>14728.884</c:v>
                </c:pt>
                <c:pt idx="54">
                  <c:v>14736.051</c:v>
                </c:pt>
                <c:pt idx="55">
                  <c:v>14748.006</c:v>
                </c:pt>
                <c:pt idx="56">
                  <c:v>14759.987</c:v>
                </c:pt>
                <c:pt idx="57">
                  <c:v>14769.337</c:v>
                </c:pt>
                <c:pt idx="58">
                  <c:v>14770.63</c:v>
                </c:pt>
                <c:pt idx="59">
                  <c:v>14765.859</c:v>
                </c:pt>
                <c:pt idx="60">
                  <c:v>14764.708</c:v>
                </c:pt>
                <c:pt idx="61">
                  <c:v>14769.698</c:v>
                </c:pt>
                <c:pt idx="62">
                  <c:v>14774.838</c:v>
                </c:pt>
                <c:pt idx="63">
                  <c:v>14786.559</c:v>
                </c:pt>
                <c:pt idx="64">
                  <c:v>14788.892</c:v>
                </c:pt>
                <c:pt idx="65">
                  <c:v>14789.668</c:v>
                </c:pt>
                <c:pt idx="66">
                  <c:v>14794.242</c:v>
                </c:pt>
                <c:pt idx="67">
                  <c:v>14804.28</c:v>
                </c:pt>
                <c:pt idx="68">
                  <c:v>14816.199</c:v>
                </c:pt>
                <c:pt idx="69">
                  <c:v>14823.065</c:v>
                </c:pt>
                <c:pt idx="70">
                  <c:v>14836.81</c:v>
                </c:pt>
                <c:pt idx="71">
                  <c:v>14855.747</c:v>
                </c:pt>
                <c:pt idx="72">
                  <c:v>14862.48</c:v>
                </c:pt>
                <c:pt idx="73">
                  <c:v>14856.712</c:v>
                </c:pt>
                <c:pt idx="74">
                  <c:v>14846.841</c:v>
                </c:pt>
                <c:pt idx="75">
                  <c:v>14837.051</c:v>
                </c:pt>
                <c:pt idx="76">
                  <c:v>14825.393</c:v>
                </c:pt>
                <c:pt idx="77">
                  <c:v>14812.777</c:v>
                </c:pt>
                <c:pt idx="78">
                  <c:v>14803.652</c:v>
                </c:pt>
                <c:pt idx="79">
                  <c:v>14798.813</c:v>
                </c:pt>
                <c:pt idx="80">
                  <c:v>14793.245</c:v>
                </c:pt>
                <c:pt idx="81">
                  <c:v>14782.601</c:v>
                </c:pt>
                <c:pt idx="82">
                  <c:v>14768.99</c:v>
                </c:pt>
                <c:pt idx="83">
                  <c:v>14752.651</c:v>
                </c:pt>
                <c:pt idx="84">
                  <c:v>14740.83</c:v>
                </c:pt>
                <c:pt idx="85">
                  <c:v>14732.947</c:v>
                </c:pt>
                <c:pt idx="86">
                  <c:v>14729.775</c:v>
                </c:pt>
                <c:pt idx="87">
                  <c:v>14735.108</c:v>
                </c:pt>
                <c:pt idx="88">
                  <c:v>14737.967</c:v>
                </c:pt>
                <c:pt idx="89">
                  <c:v>14732.257</c:v>
                </c:pt>
                <c:pt idx="90">
                  <c:v>14723.866</c:v>
                </c:pt>
                <c:pt idx="91">
                  <c:v>14731.746</c:v>
                </c:pt>
                <c:pt idx="92">
                  <c:v>14738.677</c:v>
                </c:pt>
                <c:pt idx="93">
                  <c:v>14740.898</c:v>
                </c:pt>
                <c:pt idx="94">
                  <c:v>14734.107</c:v>
                </c:pt>
                <c:pt idx="95">
                  <c:v>14735.998</c:v>
                </c:pt>
                <c:pt idx="96">
                  <c:v>14741.19</c:v>
                </c:pt>
                <c:pt idx="97">
                  <c:v>14746.235</c:v>
                </c:pt>
                <c:pt idx="98">
                  <c:v>14750.296</c:v>
                </c:pt>
                <c:pt idx="99">
                  <c:v>14753.557</c:v>
                </c:pt>
                <c:pt idx="100">
                  <c:v>14761.651</c:v>
                </c:pt>
                <c:pt idx="101">
                  <c:v>14774.717</c:v>
                </c:pt>
                <c:pt idx="102">
                  <c:v>14788.005</c:v>
                </c:pt>
                <c:pt idx="103">
                  <c:v>14805.103</c:v>
                </c:pt>
                <c:pt idx="104">
                  <c:v>14827.753</c:v>
                </c:pt>
                <c:pt idx="105">
                  <c:v>14846.278</c:v>
                </c:pt>
                <c:pt idx="106">
                  <c:v>14866.583</c:v>
                </c:pt>
                <c:pt idx="107">
                  <c:v>14885.09</c:v>
                </c:pt>
                <c:pt idx="108">
                  <c:v>14906.809</c:v>
                </c:pt>
                <c:pt idx="109">
                  <c:v>14935.066</c:v>
                </c:pt>
                <c:pt idx="110">
                  <c:v>14960.907</c:v>
                </c:pt>
                <c:pt idx="111">
                  <c:v>14980.242</c:v>
                </c:pt>
                <c:pt idx="112">
                  <c:v>15003.813</c:v>
                </c:pt>
                <c:pt idx="113">
                  <c:v>15021.817</c:v>
                </c:pt>
                <c:pt idx="114">
                  <c:v>15042.889</c:v>
                </c:pt>
                <c:pt idx="115">
                  <c:v>15062.886</c:v>
                </c:pt>
                <c:pt idx="116">
                  <c:v>15081.435</c:v>
                </c:pt>
                <c:pt idx="117">
                  <c:v>15099.414</c:v>
                </c:pt>
                <c:pt idx="118">
                  <c:v>15116.456</c:v>
                </c:pt>
                <c:pt idx="119">
                  <c:v>15146.049</c:v>
                </c:pt>
                <c:pt idx="120">
                  <c:v>15173.16</c:v>
                </c:pt>
                <c:pt idx="121">
                  <c:v>15197.825</c:v>
                </c:pt>
                <c:pt idx="122">
                  <c:v>15220.437</c:v>
                </c:pt>
                <c:pt idx="123">
                  <c:v>15247.678</c:v>
                </c:pt>
                <c:pt idx="124">
                  <c:v>15275.35</c:v>
                </c:pt>
                <c:pt idx="125">
                  <c:v>15301.671</c:v>
                </c:pt>
                <c:pt idx="126">
                  <c:v>15331.531</c:v>
                </c:pt>
                <c:pt idx="127">
                  <c:v>15358.196</c:v>
                </c:pt>
                <c:pt idx="128">
                  <c:v>15382.728</c:v>
                </c:pt>
                <c:pt idx="129">
                  <c:v>15399.995</c:v>
                </c:pt>
                <c:pt idx="130">
                  <c:v>15415.893</c:v>
                </c:pt>
                <c:pt idx="131">
                  <c:v>15437.123</c:v>
                </c:pt>
                <c:pt idx="132">
                  <c:v>15460.687</c:v>
                </c:pt>
                <c:pt idx="133">
                  <c:v>15487.836</c:v>
                </c:pt>
                <c:pt idx="134">
                  <c:v>15513.963</c:v>
                </c:pt>
                <c:pt idx="135">
                  <c:v>15537.935</c:v>
                </c:pt>
                <c:pt idx="136">
                  <c:v>15556.52</c:v>
                </c:pt>
                <c:pt idx="137">
                  <c:v>15570.315</c:v>
                </c:pt>
                <c:pt idx="138">
                  <c:v>15589.781</c:v>
                </c:pt>
                <c:pt idx="139">
                  <c:v>15612.972</c:v>
                </c:pt>
                <c:pt idx="140">
                  <c:v>15635.905</c:v>
                </c:pt>
                <c:pt idx="141">
                  <c:v>15652.371</c:v>
                </c:pt>
                <c:pt idx="142">
                  <c:v>15664.397</c:v>
                </c:pt>
                <c:pt idx="143">
                  <c:v>15679.363</c:v>
                </c:pt>
                <c:pt idx="144">
                  <c:v>15696.503</c:v>
                </c:pt>
                <c:pt idx="145">
                  <c:v>15710.7</c:v>
                </c:pt>
                <c:pt idx="146">
                  <c:v>15729.361</c:v>
                </c:pt>
                <c:pt idx="147">
                  <c:v>15750.368</c:v>
                </c:pt>
                <c:pt idx="148">
                  <c:v>15770.231</c:v>
                </c:pt>
                <c:pt idx="149">
                  <c:v>15788.238</c:v>
                </c:pt>
                <c:pt idx="150">
                  <c:v>15804.69</c:v>
                </c:pt>
                <c:pt idx="151">
                  <c:v>15818.636</c:v>
                </c:pt>
                <c:pt idx="152">
                  <c:v>15832.784</c:v>
                </c:pt>
                <c:pt idx="153">
                  <c:v>15848.548</c:v>
                </c:pt>
                <c:pt idx="154">
                  <c:v>15865.323</c:v>
                </c:pt>
                <c:pt idx="155">
                  <c:v>15883.179</c:v>
                </c:pt>
                <c:pt idx="156">
                  <c:v>15900.438</c:v>
                </c:pt>
                <c:pt idx="157">
                  <c:v>15917.013</c:v>
                </c:pt>
                <c:pt idx="158">
                  <c:v>15933.316</c:v>
                </c:pt>
                <c:pt idx="159">
                  <c:v>15948.49</c:v>
                </c:pt>
                <c:pt idx="160">
                  <c:v>15964.995</c:v>
                </c:pt>
                <c:pt idx="161">
                  <c:v>15981.451</c:v>
                </c:pt>
                <c:pt idx="162">
                  <c:v>15996.804</c:v>
                </c:pt>
                <c:pt idx="163">
                  <c:v>16015.557</c:v>
                </c:pt>
                <c:pt idx="164">
                  <c:v>16040.35</c:v>
                </c:pt>
                <c:pt idx="165">
                  <c:v>16069.327</c:v>
                </c:pt>
                <c:pt idx="166">
                  <c:v>16095.922</c:v>
                </c:pt>
                <c:pt idx="167">
                  <c:v>16125.15</c:v>
                </c:pt>
                <c:pt idx="168">
                  <c:v>16157.883</c:v>
                </c:pt>
                <c:pt idx="169">
                  <c:v>16189.63</c:v>
                </c:pt>
                <c:pt idx="170">
                  <c:v>16219.665</c:v>
                </c:pt>
                <c:pt idx="171">
                  <c:v>16250.441</c:v>
                </c:pt>
                <c:pt idx="172">
                  <c:v>16282.857</c:v>
                </c:pt>
                <c:pt idx="173">
                  <c:v>16315.533</c:v>
                </c:pt>
                <c:pt idx="174">
                  <c:v>16349.533</c:v>
                </c:pt>
                <c:pt idx="175">
                  <c:v>16385.478</c:v>
                </c:pt>
                <c:pt idx="176">
                  <c:v>16421.381</c:v>
                </c:pt>
                <c:pt idx="177">
                  <c:v>16456.719</c:v>
                </c:pt>
                <c:pt idx="178">
                  <c:v>16487.064</c:v>
                </c:pt>
                <c:pt idx="179">
                  <c:v>16523.746</c:v>
                </c:pt>
                <c:pt idx="180">
                  <c:v>16560.883</c:v>
                </c:pt>
                <c:pt idx="181">
                  <c:v>16603.49</c:v>
                </c:pt>
                <c:pt idx="182">
                  <c:v>16644.307</c:v>
                </c:pt>
                <c:pt idx="183">
                  <c:v>16684.33</c:v>
                </c:pt>
                <c:pt idx="184">
                  <c:v>16720.818</c:v>
                </c:pt>
                <c:pt idx="185">
                  <c:v>16756.576</c:v>
                </c:pt>
                <c:pt idx="186">
                  <c:v>16793.891</c:v>
                </c:pt>
                <c:pt idx="187">
                  <c:v>16831.89</c:v>
                </c:pt>
                <c:pt idx="188">
                  <c:v>16869.234</c:v>
                </c:pt>
                <c:pt idx="189">
                  <c:v>16908.559</c:v>
                </c:pt>
                <c:pt idx="190">
                  <c:v>16944.99</c:v>
                </c:pt>
                <c:pt idx="191">
                  <c:v>16985.868</c:v>
                </c:pt>
                <c:pt idx="192">
                  <c:v>17029.584</c:v>
                </c:pt>
                <c:pt idx="193">
                  <c:v>17072.934</c:v>
                </c:pt>
                <c:pt idx="194">
                  <c:v>17117.512</c:v>
                </c:pt>
                <c:pt idx="195">
                  <c:v>17163.044</c:v>
                </c:pt>
                <c:pt idx="196">
                  <c:v>17207.2</c:v>
                </c:pt>
                <c:pt idx="197">
                  <c:v>17251.565</c:v>
                </c:pt>
                <c:pt idx="198">
                  <c:v>17294.048</c:v>
                </c:pt>
                <c:pt idx="199">
                  <c:v>17334.616</c:v>
                </c:pt>
                <c:pt idx="200">
                  <c:v>17373.013</c:v>
                </c:pt>
              </c:strCache>
            </c:strRef>
          </c:tx>
          <c:spPr>
            <a:ln w="28575" cap="rnd">
              <a:solidFill>
                <a:schemeClr val="accent3"/>
              </a:solidFill>
              <a:round/>
            </a:ln>
            <a:effectLst/>
          </c:spPr>
          <c:marker>
            <c:symbol val="none"/>
          </c:marker>
          <c:cat>
            <c:numRef>
              <c:f>'Price trend line table'!$A$202:$A$1241</c:f>
              <c:numCache>
                <c:formatCode>d\-mmm\-yy</c:formatCode>
                <c:ptCount val="1040"/>
                <c:pt idx="0">
                  <c:v>44494</c:v>
                </c:pt>
                <c:pt idx="1">
                  <c:v>44495</c:v>
                </c:pt>
                <c:pt idx="2">
                  <c:v>44496</c:v>
                </c:pt>
                <c:pt idx="3">
                  <c:v>44497</c:v>
                </c:pt>
                <c:pt idx="4">
                  <c:v>44498</c:v>
                </c:pt>
                <c:pt idx="5">
                  <c:v>44501</c:v>
                </c:pt>
                <c:pt idx="6">
                  <c:v>44502</c:v>
                </c:pt>
                <c:pt idx="7">
                  <c:v>44503</c:v>
                </c:pt>
                <c:pt idx="8">
                  <c:v>44504</c:v>
                </c:pt>
                <c:pt idx="9">
                  <c:v>44508</c:v>
                </c:pt>
                <c:pt idx="10">
                  <c:v>44509</c:v>
                </c:pt>
                <c:pt idx="11">
                  <c:v>44510</c:v>
                </c:pt>
                <c:pt idx="12">
                  <c:v>44511</c:v>
                </c:pt>
                <c:pt idx="13">
                  <c:v>44512</c:v>
                </c:pt>
                <c:pt idx="14">
                  <c:v>44515</c:v>
                </c:pt>
                <c:pt idx="15">
                  <c:v>44516</c:v>
                </c:pt>
                <c:pt idx="16">
                  <c:v>44517</c:v>
                </c:pt>
                <c:pt idx="17">
                  <c:v>44518</c:v>
                </c:pt>
                <c:pt idx="18">
                  <c:v>44522</c:v>
                </c:pt>
                <c:pt idx="19">
                  <c:v>44523</c:v>
                </c:pt>
                <c:pt idx="20">
                  <c:v>44524</c:v>
                </c:pt>
                <c:pt idx="21">
                  <c:v>44525</c:v>
                </c:pt>
                <c:pt idx="22">
                  <c:v>44526</c:v>
                </c:pt>
                <c:pt idx="23">
                  <c:v>44529</c:v>
                </c:pt>
                <c:pt idx="24">
                  <c:v>44530</c:v>
                </c:pt>
                <c:pt idx="25">
                  <c:v>44531</c:v>
                </c:pt>
                <c:pt idx="26">
                  <c:v>44532</c:v>
                </c:pt>
                <c:pt idx="27">
                  <c:v>44533</c:v>
                </c:pt>
                <c:pt idx="28">
                  <c:v>44536</c:v>
                </c:pt>
                <c:pt idx="29">
                  <c:v>44537</c:v>
                </c:pt>
                <c:pt idx="30">
                  <c:v>44538</c:v>
                </c:pt>
                <c:pt idx="31">
                  <c:v>44539</c:v>
                </c:pt>
                <c:pt idx="32">
                  <c:v>44540</c:v>
                </c:pt>
                <c:pt idx="33">
                  <c:v>44543</c:v>
                </c:pt>
                <c:pt idx="34">
                  <c:v>44544</c:v>
                </c:pt>
                <c:pt idx="35">
                  <c:v>44545</c:v>
                </c:pt>
                <c:pt idx="36">
                  <c:v>44546</c:v>
                </c:pt>
                <c:pt idx="37">
                  <c:v>44547</c:v>
                </c:pt>
                <c:pt idx="38">
                  <c:v>44550</c:v>
                </c:pt>
                <c:pt idx="39">
                  <c:v>44551</c:v>
                </c:pt>
                <c:pt idx="40">
                  <c:v>44552</c:v>
                </c:pt>
                <c:pt idx="41">
                  <c:v>44553</c:v>
                </c:pt>
                <c:pt idx="42">
                  <c:v>44554</c:v>
                </c:pt>
                <c:pt idx="43">
                  <c:v>44557</c:v>
                </c:pt>
                <c:pt idx="44">
                  <c:v>44558</c:v>
                </c:pt>
                <c:pt idx="45">
                  <c:v>44559</c:v>
                </c:pt>
                <c:pt idx="46">
                  <c:v>44560</c:v>
                </c:pt>
                <c:pt idx="47">
                  <c:v>44561</c:v>
                </c:pt>
                <c:pt idx="48">
                  <c:v>44564</c:v>
                </c:pt>
                <c:pt idx="49">
                  <c:v>44565</c:v>
                </c:pt>
                <c:pt idx="50">
                  <c:v>44566</c:v>
                </c:pt>
                <c:pt idx="51">
                  <c:v>44567</c:v>
                </c:pt>
                <c:pt idx="52">
                  <c:v>44568</c:v>
                </c:pt>
                <c:pt idx="53">
                  <c:v>44571</c:v>
                </c:pt>
                <c:pt idx="54">
                  <c:v>44572</c:v>
                </c:pt>
                <c:pt idx="55">
                  <c:v>44573</c:v>
                </c:pt>
                <c:pt idx="56">
                  <c:v>44574</c:v>
                </c:pt>
                <c:pt idx="57">
                  <c:v>44575</c:v>
                </c:pt>
                <c:pt idx="58">
                  <c:v>44578</c:v>
                </c:pt>
                <c:pt idx="59">
                  <c:v>44579</c:v>
                </c:pt>
                <c:pt idx="60">
                  <c:v>44580</c:v>
                </c:pt>
                <c:pt idx="61">
                  <c:v>44581</c:v>
                </c:pt>
                <c:pt idx="62">
                  <c:v>44582</c:v>
                </c:pt>
                <c:pt idx="63">
                  <c:v>44585</c:v>
                </c:pt>
                <c:pt idx="64">
                  <c:v>44586</c:v>
                </c:pt>
                <c:pt idx="65">
                  <c:v>44588</c:v>
                </c:pt>
                <c:pt idx="66">
                  <c:v>44589</c:v>
                </c:pt>
                <c:pt idx="67">
                  <c:v>44592</c:v>
                </c:pt>
                <c:pt idx="68">
                  <c:v>44593</c:v>
                </c:pt>
                <c:pt idx="69">
                  <c:v>44594</c:v>
                </c:pt>
                <c:pt idx="70">
                  <c:v>44595</c:v>
                </c:pt>
                <c:pt idx="71">
                  <c:v>44596</c:v>
                </c:pt>
                <c:pt idx="72">
                  <c:v>44599</c:v>
                </c:pt>
                <c:pt idx="73">
                  <c:v>44600</c:v>
                </c:pt>
                <c:pt idx="74">
                  <c:v>44601</c:v>
                </c:pt>
                <c:pt idx="75">
                  <c:v>44602</c:v>
                </c:pt>
                <c:pt idx="76">
                  <c:v>44603</c:v>
                </c:pt>
                <c:pt idx="77">
                  <c:v>44606</c:v>
                </c:pt>
                <c:pt idx="78">
                  <c:v>44607</c:v>
                </c:pt>
                <c:pt idx="79">
                  <c:v>44608</c:v>
                </c:pt>
                <c:pt idx="80">
                  <c:v>44609</c:v>
                </c:pt>
                <c:pt idx="81">
                  <c:v>44610</c:v>
                </c:pt>
                <c:pt idx="82">
                  <c:v>44613</c:v>
                </c:pt>
                <c:pt idx="83">
                  <c:v>44614</c:v>
                </c:pt>
                <c:pt idx="84">
                  <c:v>44615</c:v>
                </c:pt>
                <c:pt idx="85">
                  <c:v>44616</c:v>
                </c:pt>
                <c:pt idx="86">
                  <c:v>44617</c:v>
                </c:pt>
                <c:pt idx="87">
                  <c:v>44620</c:v>
                </c:pt>
                <c:pt idx="88">
                  <c:v>44622</c:v>
                </c:pt>
                <c:pt idx="89">
                  <c:v>44623</c:v>
                </c:pt>
                <c:pt idx="90">
                  <c:v>44624</c:v>
                </c:pt>
                <c:pt idx="91">
                  <c:v>44627</c:v>
                </c:pt>
                <c:pt idx="92">
                  <c:v>44628</c:v>
                </c:pt>
                <c:pt idx="93">
                  <c:v>44629</c:v>
                </c:pt>
                <c:pt idx="94">
                  <c:v>44630</c:v>
                </c:pt>
                <c:pt idx="95">
                  <c:v>44631</c:v>
                </c:pt>
                <c:pt idx="96">
                  <c:v>44634</c:v>
                </c:pt>
                <c:pt idx="97">
                  <c:v>44635</c:v>
                </c:pt>
                <c:pt idx="98">
                  <c:v>44636</c:v>
                </c:pt>
                <c:pt idx="99">
                  <c:v>44637</c:v>
                </c:pt>
                <c:pt idx="100">
                  <c:v>44641</c:v>
                </c:pt>
                <c:pt idx="101">
                  <c:v>44642</c:v>
                </c:pt>
                <c:pt idx="102">
                  <c:v>44643</c:v>
                </c:pt>
                <c:pt idx="103">
                  <c:v>44644</c:v>
                </c:pt>
                <c:pt idx="104">
                  <c:v>44645</c:v>
                </c:pt>
                <c:pt idx="105">
                  <c:v>44648</c:v>
                </c:pt>
                <c:pt idx="106">
                  <c:v>44649</c:v>
                </c:pt>
                <c:pt idx="107">
                  <c:v>44650</c:v>
                </c:pt>
                <c:pt idx="108">
                  <c:v>44651</c:v>
                </c:pt>
                <c:pt idx="109">
                  <c:v>44652</c:v>
                </c:pt>
                <c:pt idx="110">
                  <c:v>44655</c:v>
                </c:pt>
                <c:pt idx="111">
                  <c:v>44656</c:v>
                </c:pt>
                <c:pt idx="112">
                  <c:v>44657</c:v>
                </c:pt>
                <c:pt idx="113">
                  <c:v>44658</c:v>
                </c:pt>
                <c:pt idx="114">
                  <c:v>44659</c:v>
                </c:pt>
                <c:pt idx="115">
                  <c:v>44662</c:v>
                </c:pt>
                <c:pt idx="116">
                  <c:v>44663</c:v>
                </c:pt>
                <c:pt idx="117">
                  <c:v>44664</c:v>
                </c:pt>
                <c:pt idx="118">
                  <c:v>44669</c:v>
                </c:pt>
                <c:pt idx="119">
                  <c:v>44670</c:v>
                </c:pt>
                <c:pt idx="120">
                  <c:v>44671</c:v>
                </c:pt>
                <c:pt idx="121">
                  <c:v>44672</c:v>
                </c:pt>
                <c:pt idx="122">
                  <c:v>44673</c:v>
                </c:pt>
                <c:pt idx="123">
                  <c:v>44676</c:v>
                </c:pt>
                <c:pt idx="124">
                  <c:v>44677</c:v>
                </c:pt>
                <c:pt idx="125">
                  <c:v>44678</c:v>
                </c:pt>
                <c:pt idx="126">
                  <c:v>44679</c:v>
                </c:pt>
                <c:pt idx="127">
                  <c:v>44680</c:v>
                </c:pt>
                <c:pt idx="128">
                  <c:v>44683</c:v>
                </c:pt>
                <c:pt idx="129">
                  <c:v>44685</c:v>
                </c:pt>
                <c:pt idx="130">
                  <c:v>44686</c:v>
                </c:pt>
                <c:pt idx="131">
                  <c:v>44687</c:v>
                </c:pt>
                <c:pt idx="132">
                  <c:v>44690</c:v>
                </c:pt>
                <c:pt idx="133">
                  <c:v>44691</c:v>
                </c:pt>
                <c:pt idx="134">
                  <c:v>44692</c:v>
                </c:pt>
                <c:pt idx="135">
                  <c:v>44693</c:v>
                </c:pt>
                <c:pt idx="136">
                  <c:v>44694</c:v>
                </c:pt>
                <c:pt idx="137">
                  <c:v>44697</c:v>
                </c:pt>
                <c:pt idx="138">
                  <c:v>44698</c:v>
                </c:pt>
                <c:pt idx="139">
                  <c:v>44699</c:v>
                </c:pt>
                <c:pt idx="140">
                  <c:v>44700</c:v>
                </c:pt>
                <c:pt idx="141">
                  <c:v>44701</c:v>
                </c:pt>
                <c:pt idx="142">
                  <c:v>44704</c:v>
                </c:pt>
                <c:pt idx="143">
                  <c:v>44705</c:v>
                </c:pt>
                <c:pt idx="144">
                  <c:v>44706</c:v>
                </c:pt>
                <c:pt idx="145">
                  <c:v>44707</c:v>
                </c:pt>
                <c:pt idx="146">
                  <c:v>44708</c:v>
                </c:pt>
                <c:pt idx="147">
                  <c:v>44711</c:v>
                </c:pt>
                <c:pt idx="148">
                  <c:v>44712</c:v>
                </c:pt>
                <c:pt idx="149">
                  <c:v>44713</c:v>
                </c:pt>
                <c:pt idx="150">
                  <c:v>44714</c:v>
                </c:pt>
                <c:pt idx="151">
                  <c:v>44715</c:v>
                </c:pt>
                <c:pt idx="152">
                  <c:v>44718</c:v>
                </c:pt>
                <c:pt idx="153">
                  <c:v>44719</c:v>
                </c:pt>
                <c:pt idx="154">
                  <c:v>44720</c:v>
                </c:pt>
                <c:pt idx="155">
                  <c:v>44721</c:v>
                </c:pt>
                <c:pt idx="156">
                  <c:v>44722</c:v>
                </c:pt>
                <c:pt idx="157">
                  <c:v>44725</c:v>
                </c:pt>
                <c:pt idx="158">
                  <c:v>44726</c:v>
                </c:pt>
                <c:pt idx="159">
                  <c:v>44727</c:v>
                </c:pt>
                <c:pt idx="160">
                  <c:v>44728</c:v>
                </c:pt>
                <c:pt idx="161">
                  <c:v>44729</c:v>
                </c:pt>
                <c:pt idx="162">
                  <c:v>44732</c:v>
                </c:pt>
                <c:pt idx="163">
                  <c:v>44733</c:v>
                </c:pt>
                <c:pt idx="164">
                  <c:v>44734</c:v>
                </c:pt>
                <c:pt idx="165">
                  <c:v>44735</c:v>
                </c:pt>
                <c:pt idx="166">
                  <c:v>44736</c:v>
                </c:pt>
                <c:pt idx="167">
                  <c:v>44739</c:v>
                </c:pt>
                <c:pt idx="168">
                  <c:v>44740</c:v>
                </c:pt>
                <c:pt idx="169">
                  <c:v>44741</c:v>
                </c:pt>
                <c:pt idx="170">
                  <c:v>44742</c:v>
                </c:pt>
                <c:pt idx="171">
                  <c:v>44743</c:v>
                </c:pt>
                <c:pt idx="172">
                  <c:v>44746</c:v>
                </c:pt>
                <c:pt idx="173">
                  <c:v>44747</c:v>
                </c:pt>
                <c:pt idx="174">
                  <c:v>44748</c:v>
                </c:pt>
                <c:pt idx="175">
                  <c:v>44749</c:v>
                </c:pt>
                <c:pt idx="176">
                  <c:v>44750</c:v>
                </c:pt>
                <c:pt idx="177">
                  <c:v>44753</c:v>
                </c:pt>
                <c:pt idx="178">
                  <c:v>44754</c:v>
                </c:pt>
                <c:pt idx="179">
                  <c:v>44755</c:v>
                </c:pt>
                <c:pt idx="180">
                  <c:v>44756</c:v>
                </c:pt>
                <c:pt idx="181">
                  <c:v>44757</c:v>
                </c:pt>
                <c:pt idx="182">
                  <c:v>44760</c:v>
                </c:pt>
                <c:pt idx="183">
                  <c:v>44761</c:v>
                </c:pt>
                <c:pt idx="184">
                  <c:v>44762</c:v>
                </c:pt>
                <c:pt idx="185">
                  <c:v>44763</c:v>
                </c:pt>
                <c:pt idx="186">
                  <c:v>44764</c:v>
                </c:pt>
                <c:pt idx="187">
                  <c:v>44767</c:v>
                </c:pt>
                <c:pt idx="188">
                  <c:v>44768</c:v>
                </c:pt>
                <c:pt idx="189">
                  <c:v>44769</c:v>
                </c:pt>
                <c:pt idx="190">
                  <c:v>44770</c:v>
                </c:pt>
                <c:pt idx="191">
                  <c:v>44771</c:v>
                </c:pt>
                <c:pt idx="192">
                  <c:v>44774</c:v>
                </c:pt>
                <c:pt idx="193">
                  <c:v>44775</c:v>
                </c:pt>
                <c:pt idx="194">
                  <c:v>44776</c:v>
                </c:pt>
                <c:pt idx="195">
                  <c:v>44777</c:v>
                </c:pt>
                <c:pt idx="196">
                  <c:v>44778</c:v>
                </c:pt>
                <c:pt idx="197">
                  <c:v>44781</c:v>
                </c:pt>
                <c:pt idx="198">
                  <c:v>44783</c:v>
                </c:pt>
                <c:pt idx="199">
                  <c:v>44784</c:v>
                </c:pt>
                <c:pt idx="200">
                  <c:v>44785</c:v>
                </c:pt>
                <c:pt idx="201">
                  <c:v>44789</c:v>
                </c:pt>
                <c:pt idx="202">
                  <c:v>44790</c:v>
                </c:pt>
                <c:pt idx="203">
                  <c:v>44791</c:v>
                </c:pt>
                <c:pt idx="204">
                  <c:v>44792</c:v>
                </c:pt>
                <c:pt idx="205">
                  <c:v>44795</c:v>
                </c:pt>
                <c:pt idx="206">
                  <c:v>44796</c:v>
                </c:pt>
                <c:pt idx="207">
                  <c:v>44797</c:v>
                </c:pt>
                <c:pt idx="208">
                  <c:v>44798</c:v>
                </c:pt>
                <c:pt idx="209">
                  <c:v>44799</c:v>
                </c:pt>
                <c:pt idx="210">
                  <c:v>44802</c:v>
                </c:pt>
                <c:pt idx="211">
                  <c:v>44803</c:v>
                </c:pt>
                <c:pt idx="212">
                  <c:v>44805</c:v>
                </c:pt>
                <c:pt idx="213">
                  <c:v>44806</c:v>
                </c:pt>
                <c:pt idx="214">
                  <c:v>44809</c:v>
                </c:pt>
                <c:pt idx="215">
                  <c:v>44810</c:v>
                </c:pt>
                <c:pt idx="216">
                  <c:v>44811</c:v>
                </c:pt>
                <c:pt idx="217">
                  <c:v>44812</c:v>
                </c:pt>
                <c:pt idx="218">
                  <c:v>44813</c:v>
                </c:pt>
                <c:pt idx="219">
                  <c:v>44816</c:v>
                </c:pt>
                <c:pt idx="220">
                  <c:v>44817</c:v>
                </c:pt>
                <c:pt idx="221">
                  <c:v>44818</c:v>
                </c:pt>
                <c:pt idx="222">
                  <c:v>44819</c:v>
                </c:pt>
                <c:pt idx="223">
                  <c:v>44820</c:v>
                </c:pt>
                <c:pt idx="224">
                  <c:v>44823</c:v>
                </c:pt>
                <c:pt idx="225">
                  <c:v>44824</c:v>
                </c:pt>
                <c:pt idx="226">
                  <c:v>44825</c:v>
                </c:pt>
                <c:pt idx="227">
                  <c:v>44826</c:v>
                </c:pt>
                <c:pt idx="228">
                  <c:v>44827</c:v>
                </c:pt>
                <c:pt idx="229">
                  <c:v>44830</c:v>
                </c:pt>
                <c:pt idx="230">
                  <c:v>44831</c:v>
                </c:pt>
                <c:pt idx="231">
                  <c:v>44832</c:v>
                </c:pt>
                <c:pt idx="232">
                  <c:v>44833</c:v>
                </c:pt>
                <c:pt idx="233">
                  <c:v>44834</c:v>
                </c:pt>
                <c:pt idx="234">
                  <c:v>44837</c:v>
                </c:pt>
                <c:pt idx="235">
                  <c:v>44838</c:v>
                </c:pt>
                <c:pt idx="236">
                  <c:v>44840</c:v>
                </c:pt>
                <c:pt idx="237">
                  <c:v>44841</c:v>
                </c:pt>
                <c:pt idx="238">
                  <c:v>44844</c:v>
                </c:pt>
                <c:pt idx="239">
                  <c:v>44845</c:v>
                </c:pt>
                <c:pt idx="240">
                  <c:v>44846</c:v>
                </c:pt>
                <c:pt idx="241">
                  <c:v>44847</c:v>
                </c:pt>
                <c:pt idx="242">
                  <c:v>44848</c:v>
                </c:pt>
                <c:pt idx="243">
                  <c:v>44851</c:v>
                </c:pt>
                <c:pt idx="244">
                  <c:v>44852</c:v>
                </c:pt>
                <c:pt idx="245">
                  <c:v>44853</c:v>
                </c:pt>
                <c:pt idx="246">
                  <c:v>44854</c:v>
                </c:pt>
                <c:pt idx="247">
                  <c:v>44855</c:v>
                </c:pt>
                <c:pt idx="248">
                  <c:v>44858</c:v>
                </c:pt>
                <c:pt idx="249">
                  <c:v>44859</c:v>
                </c:pt>
                <c:pt idx="250">
                  <c:v>44861</c:v>
                </c:pt>
                <c:pt idx="251">
                  <c:v>44862</c:v>
                </c:pt>
                <c:pt idx="252">
                  <c:v>44865</c:v>
                </c:pt>
                <c:pt idx="253">
                  <c:v>44866</c:v>
                </c:pt>
                <c:pt idx="254">
                  <c:v>44867</c:v>
                </c:pt>
                <c:pt idx="255">
                  <c:v>44868</c:v>
                </c:pt>
                <c:pt idx="256">
                  <c:v>44869</c:v>
                </c:pt>
                <c:pt idx="257">
                  <c:v>44872</c:v>
                </c:pt>
                <c:pt idx="258">
                  <c:v>44874</c:v>
                </c:pt>
                <c:pt idx="259">
                  <c:v>44875</c:v>
                </c:pt>
                <c:pt idx="260">
                  <c:v>44876</c:v>
                </c:pt>
                <c:pt idx="261">
                  <c:v>44879</c:v>
                </c:pt>
                <c:pt idx="262">
                  <c:v>44880</c:v>
                </c:pt>
                <c:pt idx="263">
                  <c:v>44881</c:v>
                </c:pt>
                <c:pt idx="264">
                  <c:v>44882</c:v>
                </c:pt>
                <c:pt idx="265">
                  <c:v>44883</c:v>
                </c:pt>
                <c:pt idx="266">
                  <c:v>44886</c:v>
                </c:pt>
                <c:pt idx="267">
                  <c:v>44887</c:v>
                </c:pt>
                <c:pt idx="268">
                  <c:v>44888</c:v>
                </c:pt>
                <c:pt idx="269">
                  <c:v>44889</c:v>
                </c:pt>
                <c:pt idx="270">
                  <c:v>44890</c:v>
                </c:pt>
                <c:pt idx="271">
                  <c:v>44893</c:v>
                </c:pt>
                <c:pt idx="272">
                  <c:v>44894</c:v>
                </c:pt>
                <c:pt idx="273">
                  <c:v>44895</c:v>
                </c:pt>
                <c:pt idx="274">
                  <c:v>44896</c:v>
                </c:pt>
                <c:pt idx="275">
                  <c:v>44897</c:v>
                </c:pt>
                <c:pt idx="276">
                  <c:v>44900</c:v>
                </c:pt>
                <c:pt idx="277">
                  <c:v>44901</c:v>
                </c:pt>
                <c:pt idx="278">
                  <c:v>44902</c:v>
                </c:pt>
                <c:pt idx="279">
                  <c:v>44903</c:v>
                </c:pt>
                <c:pt idx="280">
                  <c:v>44904</c:v>
                </c:pt>
                <c:pt idx="281">
                  <c:v>44907</c:v>
                </c:pt>
                <c:pt idx="282">
                  <c:v>44908</c:v>
                </c:pt>
                <c:pt idx="283">
                  <c:v>44909</c:v>
                </c:pt>
                <c:pt idx="284">
                  <c:v>44910</c:v>
                </c:pt>
                <c:pt idx="285">
                  <c:v>44911</c:v>
                </c:pt>
                <c:pt idx="286">
                  <c:v>44914</c:v>
                </c:pt>
                <c:pt idx="287">
                  <c:v>44915</c:v>
                </c:pt>
                <c:pt idx="288">
                  <c:v>44916</c:v>
                </c:pt>
                <c:pt idx="289">
                  <c:v>44917</c:v>
                </c:pt>
                <c:pt idx="290">
                  <c:v>44918</c:v>
                </c:pt>
                <c:pt idx="291">
                  <c:v>44921</c:v>
                </c:pt>
                <c:pt idx="292">
                  <c:v>44922</c:v>
                </c:pt>
                <c:pt idx="293">
                  <c:v>44923</c:v>
                </c:pt>
                <c:pt idx="294">
                  <c:v>44924</c:v>
                </c:pt>
                <c:pt idx="295">
                  <c:v>44925</c:v>
                </c:pt>
                <c:pt idx="296">
                  <c:v>44928</c:v>
                </c:pt>
                <c:pt idx="297">
                  <c:v>44929</c:v>
                </c:pt>
                <c:pt idx="298">
                  <c:v>44930</c:v>
                </c:pt>
                <c:pt idx="299">
                  <c:v>44931</c:v>
                </c:pt>
                <c:pt idx="300">
                  <c:v>44932</c:v>
                </c:pt>
                <c:pt idx="301">
                  <c:v>44935</c:v>
                </c:pt>
                <c:pt idx="302">
                  <c:v>44936</c:v>
                </c:pt>
                <c:pt idx="303">
                  <c:v>44937</c:v>
                </c:pt>
                <c:pt idx="304">
                  <c:v>44938</c:v>
                </c:pt>
                <c:pt idx="305">
                  <c:v>44939</c:v>
                </c:pt>
                <c:pt idx="306">
                  <c:v>44942</c:v>
                </c:pt>
                <c:pt idx="307">
                  <c:v>44943</c:v>
                </c:pt>
                <c:pt idx="308">
                  <c:v>44944</c:v>
                </c:pt>
                <c:pt idx="309">
                  <c:v>44945</c:v>
                </c:pt>
                <c:pt idx="310">
                  <c:v>44946</c:v>
                </c:pt>
                <c:pt idx="311">
                  <c:v>44949</c:v>
                </c:pt>
                <c:pt idx="312">
                  <c:v>44950</c:v>
                </c:pt>
                <c:pt idx="313">
                  <c:v>44951</c:v>
                </c:pt>
                <c:pt idx="314">
                  <c:v>44953</c:v>
                </c:pt>
                <c:pt idx="315">
                  <c:v>44956</c:v>
                </c:pt>
                <c:pt idx="316">
                  <c:v>44957</c:v>
                </c:pt>
                <c:pt idx="317">
                  <c:v>44958</c:v>
                </c:pt>
                <c:pt idx="318">
                  <c:v>44959</c:v>
                </c:pt>
                <c:pt idx="319">
                  <c:v>44960</c:v>
                </c:pt>
                <c:pt idx="320">
                  <c:v>44963</c:v>
                </c:pt>
                <c:pt idx="321">
                  <c:v>44964</c:v>
                </c:pt>
                <c:pt idx="322">
                  <c:v>44965</c:v>
                </c:pt>
                <c:pt idx="323">
                  <c:v>44966</c:v>
                </c:pt>
                <c:pt idx="324">
                  <c:v>44967</c:v>
                </c:pt>
                <c:pt idx="325">
                  <c:v>44970</c:v>
                </c:pt>
                <c:pt idx="326">
                  <c:v>44971</c:v>
                </c:pt>
                <c:pt idx="327">
                  <c:v>44972</c:v>
                </c:pt>
                <c:pt idx="328">
                  <c:v>44973</c:v>
                </c:pt>
                <c:pt idx="329">
                  <c:v>44974</c:v>
                </c:pt>
                <c:pt idx="330">
                  <c:v>44977</c:v>
                </c:pt>
                <c:pt idx="331">
                  <c:v>44978</c:v>
                </c:pt>
                <c:pt idx="332">
                  <c:v>44979</c:v>
                </c:pt>
                <c:pt idx="333">
                  <c:v>44980</c:v>
                </c:pt>
                <c:pt idx="334">
                  <c:v>44981</c:v>
                </c:pt>
                <c:pt idx="335">
                  <c:v>44984</c:v>
                </c:pt>
                <c:pt idx="336">
                  <c:v>44985</c:v>
                </c:pt>
                <c:pt idx="337">
                  <c:v>44986</c:v>
                </c:pt>
                <c:pt idx="338">
                  <c:v>44987</c:v>
                </c:pt>
                <c:pt idx="339">
                  <c:v>44988</c:v>
                </c:pt>
                <c:pt idx="340">
                  <c:v>44991</c:v>
                </c:pt>
                <c:pt idx="341">
                  <c:v>44993</c:v>
                </c:pt>
                <c:pt idx="342">
                  <c:v>44994</c:v>
                </c:pt>
                <c:pt idx="343">
                  <c:v>44995</c:v>
                </c:pt>
                <c:pt idx="344">
                  <c:v>44998</c:v>
                </c:pt>
                <c:pt idx="345">
                  <c:v>44999</c:v>
                </c:pt>
                <c:pt idx="346">
                  <c:v>45000</c:v>
                </c:pt>
                <c:pt idx="347">
                  <c:v>45001</c:v>
                </c:pt>
                <c:pt idx="348">
                  <c:v>45002</c:v>
                </c:pt>
                <c:pt idx="349">
                  <c:v>45005</c:v>
                </c:pt>
                <c:pt idx="350">
                  <c:v>45006</c:v>
                </c:pt>
                <c:pt idx="351">
                  <c:v>45007</c:v>
                </c:pt>
                <c:pt idx="352">
                  <c:v>45008</c:v>
                </c:pt>
                <c:pt idx="353">
                  <c:v>45009</c:v>
                </c:pt>
                <c:pt idx="354">
                  <c:v>45012</c:v>
                </c:pt>
                <c:pt idx="355">
                  <c:v>45013</c:v>
                </c:pt>
                <c:pt idx="356">
                  <c:v>45014</c:v>
                </c:pt>
                <c:pt idx="357">
                  <c:v>45016</c:v>
                </c:pt>
                <c:pt idx="358">
                  <c:v>45019</c:v>
                </c:pt>
                <c:pt idx="359">
                  <c:v>45021</c:v>
                </c:pt>
                <c:pt idx="360">
                  <c:v>45022</c:v>
                </c:pt>
                <c:pt idx="361">
                  <c:v>45026</c:v>
                </c:pt>
                <c:pt idx="362">
                  <c:v>45027</c:v>
                </c:pt>
                <c:pt idx="363">
                  <c:v>45028</c:v>
                </c:pt>
                <c:pt idx="364">
                  <c:v>45029</c:v>
                </c:pt>
                <c:pt idx="365">
                  <c:v>45033</c:v>
                </c:pt>
                <c:pt idx="366">
                  <c:v>45034</c:v>
                </c:pt>
                <c:pt idx="367">
                  <c:v>45035</c:v>
                </c:pt>
                <c:pt idx="368">
                  <c:v>45036</c:v>
                </c:pt>
                <c:pt idx="369">
                  <c:v>45037</c:v>
                </c:pt>
                <c:pt idx="370">
                  <c:v>45040</c:v>
                </c:pt>
                <c:pt idx="371">
                  <c:v>45041</c:v>
                </c:pt>
                <c:pt idx="372">
                  <c:v>45042</c:v>
                </c:pt>
                <c:pt idx="373">
                  <c:v>45043</c:v>
                </c:pt>
                <c:pt idx="374">
                  <c:v>45044</c:v>
                </c:pt>
                <c:pt idx="375">
                  <c:v>45048</c:v>
                </c:pt>
                <c:pt idx="376">
                  <c:v>45049</c:v>
                </c:pt>
                <c:pt idx="377">
                  <c:v>45050</c:v>
                </c:pt>
                <c:pt idx="378">
                  <c:v>45051</c:v>
                </c:pt>
                <c:pt idx="379">
                  <c:v>45054</c:v>
                </c:pt>
                <c:pt idx="380">
                  <c:v>45055</c:v>
                </c:pt>
                <c:pt idx="381">
                  <c:v>45056</c:v>
                </c:pt>
                <c:pt idx="382">
                  <c:v>45057</c:v>
                </c:pt>
                <c:pt idx="383">
                  <c:v>45058</c:v>
                </c:pt>
                <c:pt idx="384">
                  <c:v>45061</c:v>
                </c:pt>
                <c:pt idx="385">
                  <c:v>45062</c:v>
                </c:pt>
                <c:pt idx="386">
                  <c:v>45063</c:v>
                </c:pt>
                <c:pt idx="387">
                  <c:v>45064</c:v>
                </c:pt>
                <c:pt idx="388">
                  <c:v>45065</c:v>
                </c:pt>
                <c:pt idx="389">
                  <c:v>45068</c:v>
                </c:pt>
                <c:pt idx="390">
                  <c:v>45069</c:v>
                </c:pt>
                <c:pt idx="391">
                  <c:v>45070</c:v>
                </c:pt>
                <c:pt idx="392">
                  <c:v>45071</c:v>
                </c:pt>
                <c:pt idx="393">
                  <c:v>45072</c:v>
                </c:pt>
                <c:pt idx="394">
                  <c:v>45075</c:v>
                </c:pt>
                <c:pt idx="395">
                  <c:v>45076</c:v>
                </c:pt>
                <c:pt idx="396">
                  <c:v>45077</c:v>
                </c:pt>
                <c:pt idx="397">
                  <c:v>45078</c:v>
                </c:pt>
                <c:pt idx="398">
                  <c:v>45079</c:v>
                </c:pt>
                <c:pt idx="399">
                  <c:v>45082</c:v>
                </c:pt>
                <c:pt idx="400">
                  <c:v>45083</c:v>
                </c:pt>
                <c:pt idx="401">
                  <c:v>45084</c:v>
                </c:pt>
                <c:pt idx="402">
                  <c:v>45085</c:v>
                </c:pt>
                <c:pt idx="403">
                  <c:v>45086</c:v>
                </c:pt>
                <c:pt idx="404">
                  <c:v>45089</c:v>
                </c:pt>
                <c:pt idx="405">
                  <c:v>45090</c:v>
                </c:pt>
                <c:pt idx="406">
                  <c:v>45091</c:v>
                </c:pt>
                <c:pt idx="407">
                  <c:v>45092</c:v>
                </c:pt>
                <c:pt idx="408">
                  <c:v>45093</c:v>
                </c:pt>
                <c:pt idx="409">
                  <c:v>45096</c:v>
                </c:pt>
                <c:pt idx="410">
                  <c:v>45097</c:v>
                </c:pt>
                <c:pt idx="411">
                  <c:v>45098</c:v>
                </c:pt>
                <c:pt idx="412">
                  <c:v>45099</c:v>
                </c:pt>
                <c:pt idx="413">
                  <c:v>45100</c:v>
                </c:pt>
                <c:pt idx="414">
                  <c:v>45103</c:v>
                </c:pt>
                <c:pt idx="415">
                  <c:v>45104</c:v>
                </c:pt>
                <c:pt idx="416">
                  <c:v>45105</c:v>
                </c:pt>
                <c:pt idx="417">
                  <c:v>45107</c:v>
                </c:pt>
                <c:pt idx="418">
                  <c:v>45110</c:v>
                </c:pt>
                <c:pt idx="419">
                  <c:v>45111</c:v>
                </c:pt>
                <c:pt idx="420">
                  <c:v>45112</c:v>
                </c:pt>
                <c:pt idx="421">
                  <c:v>45113</c:v>
                </c:pt>
                <c:pt idx="422">
                  <c:v>45114</c:v>
                </c:pt>
                <c:pt idx="423">
                  <c:v>45117</c:v>
                </c:pt>
                <c:pt idx="424">
                  <c:v>45118</c:v>
                </c:pt>
                <c:pt idx="425">
                  <c:v>45119</c:v>
                </c:pt>
                <c:pt idx="426">
                  <c:v>45120</c:v>
                </c:pt>
                <c:pt idx="427">
                  <c:v>45121</c:v>
                </c:pt>
                <c:pt idx="428">
                  <c:v>45124</c:v>
                </c:pt>
                <c:pt idx="429">
                  <c:v>45125</c:v>
                </c:pt>
                <c:pt idx="430">
                  <c:v>45126</c:v>
                </c:pt>
                <c:pt idx="431">
                  <c:v>45127</c:v>
                </c:pt>
                <c:pt idx="432">
                  <c:v>45128</c:v>
                </c:pt>
                <c:pt idx="433">
                  <c:v>45131</c:v>
                </c:pt>
                <c:pt idx="434">
                  <c:v>45132</c:v>
                </c:pt>
                <c:pt idx="435">
                  <c:v>45133</c:v>
                </c:pt>
                <c:pt idx="436">
                  <c:v>45134</c:v>
                </c:pt>
                <c:pt idx="437">
                  <c:v>45135</c:v>
                </c:pt>
                <c:pt idx="438">
                  <c:v>45138</c:v>
                </c:pt>
                <c:pt idx="439">
                  <c:v>45139</c:v>
                </c:pt>
                <c:pt idx="440">
                  <c:v>45140</c:v>
                </c:pt>
                <c:pt idx="441">
                  <c:v>45141</c:v>
                </c:pt>
                <c:pt idx="442">
                  <c:v>45142</c:v>
                </c:pt>
                <c:pt idx="443">
                  <c:v>45145</c:v>
                </c:pt>
                <c:pt idx="444">
                  <c:v>45146</c:v>
                </c:pt>
                <c:pt idx="445">
                  <c:v>45147</c:v>
                </c:pt>
                <c:pt idx="446">
                  <c:v>45148</c:v>
                </c:pt>
                <c:pt idx="447">
                  <c:v>45149</c:v>
                </c:pt>
                <c:pt idx="448">
                  <c:v>45152</c:v>
                </c:pt>
                <c:pt idx="449">
                  <c:v>45154</c:v>
                </c:pt>
                <c:pt idx="450">
                  <c:v>45155</c:v>
                </c:pt>
                <c:pt idx="451">
                  <c:v>45156</c:v>
                </c:pt>
                <c:pt idx="452">
                  <c:v>45159</c:v>
                </c:pt>
                <c:pt idx="453">
                  <c:v>45160</c:v>
                </c:pt>
                <c:pt idx="454">
                  <c:v>45161</c:v>
                </c:pt>
                <c:pt idx="455">
                  <c:v>45162</c:v>
                </c:pt>
                <c:pt idx="456">
                  <c:v>45163</c:v>
                </c:pt>
                <c:pt idx="457">
                  <c:v>45166</c:v>
                </c:pt>
                <c:pt idx="458">
                  <c:v>45167</c:v>
                </c:pt>
                <c:pt idx="459">
                  <c:v>45168</c:v>
                </c:pt>
                <c:pt idx="460">
                  <c:v>45169</c:v>
                </c:pt>
                <c:pt idx="461">
                  <c:v>45170</c:v>
                </c:pt>
                <c:pt idx="462">
                  <c:v>45173</c:v>
                </c:pt>
                <c:pt idx="463">
                  <c:v>45174</c:v>
                </c:pt>
                <c:pt idx="464">
                  <c:v>45175</c:v>
                </c:pt>
                <c:pt idx="465">
                  <c:v>45176</c:v>
                </c:pt>
                <c:pt idx="466">
                  <c:v>45177</c:v>
                </c:pt>
                <c:pt idx="467">
                  <c:v>45180</c:v>
                </c:pt>
                <c:pt idx="468">
                  <c:v>45181</c:v>
                </c:pt>
                <c:pt idx="469">
                  <c:v>45182</c:v>
                </c:pt>
                <c:pt idx="470">
                  <c:v>45183</c:v>
                </c:pt>
                <c:pt idx="471">
                  <c:v>45184</c:v>
                </c:pt>
                <c:pt idx="472">
                  <c:v>45187</c:v>
                </c:pt>
                <c:pt idx="473">
                  <c:v>45189</c:v>
                </c:pt>
                <c:pt idx="474">
                  <c:v>45190</c:v>
                </c:pt>
                <c:pt idx="475">
                  <c:v>45191</c:v>
                </c:pt>
                <c:pt idx="476">
                  <c:v>45194</c:v>
                </c:pt>
                <c:pt idx="477">
                  <c:v>45195</c:v>
                </c:pt>
                <c:pt idx="478">
                  <c:v>45196</c:v>
                </c:pt>
                <c:pt idx="479">
                  <c:v>45197</c:v>
                </c:pt>
                <c:pt idx="480">
                  <c:v>45198</c:v>
                </c:pt>
                <c:pt idx="481">
                  <c:v>45202</c:v>
                </c:pt>
                <c:pt idx="482">
                  <c:v>45203</c:v>
                </c:pt>
                <c:pt idx="483">
                  <c:v>45204</c:v>
                </c:pt>
                <c:pt idx="484">
                  <c:v>45205</c:v>
                </c:pt>
                <c:pt idx="485">
                  <c:v>45208</c:v>
                </c:pt>
                <c:pt idx="486">
                  <c:v>45209</c:v>
                </c:pt>
                <c:pt idx="487">
                  <c:v>45210</c:v>
                </c:pt>
                <c:pt idx="488">
                  <c:v>45211</c:v>
                </c:pt>
                <c:pt idx="489">
                  <c:v>45212</c:v>
                </c:pt>
                <c:pt idx="490">
                  <c:v>45215</c:v>
                </c:pt>
                <c:pt idx="491">
                  <c:v>45216</c:v>
                </c:pt>
                <c:pt idx="492">
                  <c:v>45217</c:v>
                </c:pt>
                <c:pt idx="493">
                  <c:v>45218</c:v>
                </c:pt>
                <c:pt idx="494">
                  <c:v>45219</c:v>
                </c:pt>
                <c:pt idx="495">
                  <c:v>45222</c:v>
                </c:pt>
                <c:pt idx="496">
                  <c:v>45224</c:v>
                </c:pt>
                <c:pt idx="497">
                  <c:v>45225</c:v>
                </c:pt>
                <c:pt idx="498">
                  <c:v>45226</c:v>
                </c:pt>
                <c:pt idx="499">
                  <c:v>45229</c:v>
                </c:pt>
                <c:pt idx="500">
                  <c:v>45230</c:v>
                </c:pt>
                <c:pt idx="501">
                  <c:v>45231</c:v>
                </c:pt>
                <c:pt idx="502">
                  <c:v>45232</c:v>
                </c:pt>
                <c:pt idx="503">
                  <c:v>45233</c:v>
                </c:pt>
                <c:pt idx="504">
                  <c:v>45236</c:v>
                </c:pt>
                <c:pt idx="505">
                  <c:v>45237</c:v>
                </c:pt>
                <c:pt idx="506">
                  <c:v>45238</c:v>
                </c:pt>
                <c:pt idx="507">
                  <c:v>45239</c:v>
                </c:pt>
                <c:pt idx="508">
                  <c:v>45240</c:v>
                </c:pt>
                <c:pt idx="509">
                  <c:v>45242</c:v>
                </c:pt>
                <c:pt idx="510">
                  <c:v>45243</c:v>
                </c:pt>
                <c:pt idx="511">
                  <c:v>45245</c:v>
                </c:pt>
                <c:pt idx="512">
                  <c:v>45246</c:v>
                </c:pt>
                <c:pt idx="513">
                  <c:v>45247</c:v>
                </c:pt>
                <c:pt idx="514">
                  <c:v>45250</c:v>
                </c:pt>
                <c:pt idx="515">
                  <c:v>45251</c:v>
                </c:pt>
                <c:pt idx="516">
                  <c:v>45252</c:v>
                </c:pt>
                <c:pt idx="517">
                  <c:v>45253</c:v>
                </c:pt>
                <c:pt idx="518">
                  <c:v>45254</c:v>
                </c:pt>
                <c:pt idx="519">
                  <c:v>45258</c:v>
                </c:pt>
                <c:pt idx="520">
                  <c:v>45259</c:v>
                </c:pt>
                <c:pt idx="521">
                  <c:v>45260</c:v>
                </c:pt>
                <c:pt idx="522">
                  <c:v>45261</c:v>
                </c:pt>
                <c:pt idx="523">
                  <c:v>45264</c:v>
                </c:pt>
                <c:pt idx="524">
                  <c:v>45265</c:v>
                </c:pt>
                <c:pt idx="525">
                  <c:v>45266</c:v>
                </c:pt>
                <c:pt idx="526">
                  <c:v>45267</c:v>
                </c:pt>
                <c:pt idx="527">
                  <c:v>45268</c:v>
                </c:pt>
                <c:pt idx="528">
                  <c:v>45271</c:v>
                </c:pt>
                <c:pt idx="529">
                  <c:v>45272</c:v>
                </c:pt>
                <c:pt idx="530">
                  <c:v>45273</c:v>
                </c:pt>
                <c:pt idx="531">
                  <c:v>45274</c:v>
                </c:pt>
                <c:pt idx="532">
                  <c:v>45275</c:v>
                </c:pt>
                <c:pt idx="533">
                  <c:v>45278</c:v>
                </c:pt>
                <c:pt idx="534">
                  <c:v>45279</c:v>
                </c:pt>
                <c:pt idx="535">
                  <c:v>45280</c:v>
                </c:pt>
                <c:pt idx="536">
                  <c:v>45281</c:v>
                </c:pt>
                <c:pt idx="537">
                  <c:v>45282</c:v>
                </c:pt>
                <c:pt idx="538">
                  <c:v>45286</c:v>
                </c:pt>
                <c:pt idx="539">
                  <c:v>45287</c:v>
                </c:pt>
                <c:pt idx="540">
                  <c:v>45288</c:v>
                </c:pt>
                <c:pt idx="541">
                  <c:v>45289</c:v>
                </c:pt>
                <c:pt idx="542">
                  <c:v>45292</c:v>
                </c:pt>
                <c:pt idx="543">
                  <c:v>45293</c:v>
                </c:pt>
                <c:pt idx="544">
                  <c:v>45294</c:v>
                </c:pt>
                <c:pt idx="545">
                  <c:v>45295</c:v>
                </c:pt>
                <c:pt idx="546">
                  <c:v>45296</c:v>
                </c:pt>
                <c:pt idx="547">
                  <c:v>45299</c:v>
                </c:pt>
                <c:pt idx="548">
                  <c:v>45300</c:v>
                </c:pt>
                <c:pt idx="549">
                  <c:v>45301</c:v>
                </c:pt>
                <c:pt idx="550">
                  <c:v>45302</c:v>
                </c:pt>
                <c:pt idx="551">
                  <c:v>45303</c:v>
                </c:pt>
                <c:pt idx="552">
                  <c:v>45306</c:v>
                </c:pt>
                <c:pt idx="553">
                  <c:v>45307</c:v>
                </c:pt>
                <c:pt idx="554">
                  <c:v>45308</c:v>
                </c:pt>
                <c:pt idx="555">
                  <c:v>45309</c:v>
                </c:pt>
                <c:pt idx="556">
                  <c:v>45310</c:v>
                </c:pt>
                <c:pt idx="557">
                  <c:v>45311</c:v>
                </c:pt>
                <c:pt idx="558">
                  <c:v>45314</c:v>
                </c:pt>
                <c:pt idx="559">
                  <c:v>45315</c:v>
                </c:pt>
                <c:pt idx="560">
                  <c:v>45316</c:v>
                </c:pt>
                <c:pt idx="561">
                  <c:v>45320</c:v>
                </c:pt>
                <c:pt idx="562">
                  <c:v>45321</c:v>
                </c:pt>
                <c:pt idx="563">
                  <c:v>45322</c:v>
                </c:pt>
                <c:pt idx="564">
                  <c:v>45323</c:v>
                </c:pt>
                <c:pt idx="565">
                  <c:v>45324</c:v>
                </c:pt>
                <c:pt idx="566">
                  <c:v>45327</c:v>
                </c:pt>
                <c:pt idx="567">
                  <c:v>45328</c:v>
                </c:pt>
                <c:pt idx="568">
                  <c:v>45329</c:v>
                </c:pt>
                <c:pt idx="569">
                  <c:v>45330</c:v>
                </c:pt>
                <c:pt idx="570">
                  <c:v>45331</c:v>
                </c:pt>
                <c:pt idx="571">
                  <c:v>45334</c:v>
                </c:pt>
                <c:pt idx="572">
                  <c:v>45335</c:v>
                </c:pt>
                <c:pt idx="573">
                  <c:v>45336</c:v>
                </c:pt>
                <c:pt idx="574">
                  <c:v>45337</c:v>
                </c:pt>
                <c:pt idx="575">
                  <c:v>45338</c:v>
                </c:pt>
                <c:pt idx="576">
                  <c:v>45341</c:v>
                </c:pt>
                <c:pt idx="577">
                  <c:v>45342</c:v>
                </c:pt>
                <c:pt idx="578">
                  <c:v>45343</c:v>
                </c:pt>
                <c:pt idx="579">
                  <c:v>45344</c:v>
                </c:pt>
                <c:pt idx="580">
                  <c:v>45345</c:v>
                </c:pt>
                <c:pt idx="581">
                  <c:v>45348</c:v>
                </c:pt>
                <c:pt idx="582">
                  <c:v>45349</c:v>
                </c:pt>
                <c:pt idx="583">
                  <c:v>45350</c:v>
                </c:pt>
                <c:pt idx="584">
                  <c:v>45351</c:v>
                </c:pt>
                <c:pt idx="585">
                  <c:v>45352</c:v>
                </c:pt>
                <c:pt idx="586">
                  <c:v>45355</c:v>
                </c:pt>
                <c:pt idx="587">
                  <c:v>45356</c:v>
                </c:pt>
                <c:pt idx="588">
                  <c:v>45357</c:v>
                </c:pt>
                <c:pt idx="589">
                  <c:v>45358</c:v>
                </c:pt>
                <c:pt idx="590">
                  <c:v>45362</c:v>
                </c:pt>
                <c:pt idx="591">
                  <c:v>45363</c:v>
                </c:pt>
                <c:pt idx="592">
                  <c:v>45364</c:v>
                </c:pt>
                <c:pt idx="593">
                  <c:v>45365</c:v>
                </c:pt>
                <c:pt idx="594">
                  <c:v>45366</c:v>
                </c:pt>
                <c:pt idx="595">
                  <c:v>45369</c:v>
                </c:pt>
                <c:pt idx="596">
                  <c:v>45370</c:v>
                </c:pt>
                <c:pt idx="597">
                  <c:v>45371</c:v>
                </c:pt>
                <c:pt idx="598">
                  <c:v>45372</c:v>
                </c:pt>
                <c:pt idx="599">
                  <c:v>45373</c:v>
                </c:pt>
                <c:pt idx="600">
                  <c:v>45377</c:v>
                </c:pt>
                <c:pt idx="601">
                  <c:v>45378</c:v>
                </c:pt>
                <c:pt idx="602">
                  <c:v>45379</c:v>
                </c:pt>
                <c:pt idx="603">
                  <c:v>45383</c:v>
                </c:pt>
                <c:pt idx="604">
                  <c:v>45384</c:v>
                </c:pt>
                <c:pt idx="605">
                  <c:v>45385</c:v>
                </c:pt>
                <c:pt idx="606">
                  <c:v>45386</c:v>
                </c:pt>
                <c:pt idx="607">
                  <c:v>45387</c:v>
                </c:pt>
                <c:pt idx="608">
                  <c:v>45390</c:v>
                </c:pt>
                <c:pt idx="609">
                  <c:v>45391</c:v>
                </c:pt>
                <c:pt idx="610">
                  <c:v>45392</c:v>
                </c:pt>
                <c:pt idx="611">
                  <c:v>45394</c:v>
                </c:pt>
                <c:pt idx="612">
                  <c:v>45397</c:v>
                </c:pt>
                <c:pt idx="613">
                  <c:v>45398</c:v>
                </c:pt>
                <c:pt idx="614">
                  <c:v>45400</c:v>
                </c:pt>
                <c:pt idx="615">
                  <c:v>45401</c:v>
                </c:pt>
                <c:pt idx="616">
                  <c:v>45404</c:v>
                </c:pt>
                <c:pt idx="617">
                  <c:v>45405</c:v>
                </c:pt>
                <c:pt idx="618">
                  <c:v>45406</c:v>
                </c:pt>
                <c:pt idx="619">
                  <c:v>45407</c:v>
                </c:pt>
                <c:pt idx="620">
                  <c:v>45408</c:v>
                </c:pt>
                <c:pt idx="621">
                  <c:v>45411</c:v>
                </c:pt>
                <c:pt idx="622">
                  <c:v>45412</c:v>
                </c:pt>
                <c:pt idx="623">
                  <c:v>45414</c:v>
                </c:pt>
                <c:pt idx="624">
                  <c:v>45415</c:v>
                </c:pt>
                <c:pt idx="625">
                  <c:v>45418</c:v>
                </c:pt>
                <c:pt idx="626">
                  <c:v>45419</c:v>
                </c:pt>
                <c:pt idx="627">
                  <c:v>45420</c:v>
                </c:pt>
                <c:pt idx="628">
                  <c:v>45421</c:v>
                </c:pt>
                <c:pt idx="629">
                  <c:v>45422</c:v>
                </c:pt>
                <c:pt idx="630">
                  <c:v>45425</c:v>
                </c:pt>
                <c:pt idx="631">
                  <c:v>45426</c:v>
                </c:pt>
                <c:pt idx="632">
                  <c:v>45427</c:v>
                </c:pt>
                <c:pt idx="633">
                  <c:v>45428</c:v>
                </c:pt>
                <c:pt idx="634">
                  <c:v>45429</c:v>
                </c:pt>
                <c:pt idx="635">
                  <c:v>45430</c:v>
                </c:pt>
                <c:pt idx="636">
                  <c:v>45433</c:v>
                </c:pt>
                <c:pt idx="637">
                  <c:v>45434</c:v>
                </c:pt>
                <c:pt idx="638">
                  <c:v>45435</c:v>
                </c:pt>
                <c:pt idx="639">
                  <c:v>45436</c:v>
                </c:pt>
                <c:pt idx="640">
                  <c:v>45439</c:v>
                </c:pt>
                <c:pt idx="641">
                  <c:v>45440</c:v>
                </c:pt>
                <c:pt idx="642">
                  <c:v>45441</c:v>
                </c:pt>
                <c:pt idx="643">
                  <c:v>45442</c:v>
                </c:pt>
                <c:pt idx="644">
                  <c:v>45443</c:v>
                </c:pt>
                <c:pt idx="645">
                  <c:v>45446</c:v>
                </c:pt>
                <c:pt idx="646">
                  <c:v>45447</c:v>
                </c:pt>
                <c:pt idx="647">
                  <c:v>45448</c:v>
                </c:pt>
                <c:pt idx="648">
                  <c:v>45449</c:v>
                </c:pt>
                <c:pt idx="649">
                  <c:v>45450</c:v>
                </c:pt>
                <c:pt idx="650">
                  <c:v>45453</c:v>
                </c:pt>
                <c:pt idx="651">
                  <c:v>45454</c:v>
                </c:pt>
                <c:pt idx="652">
                  <c:v>45455</c:v>
                </c:pt>
                <c:pt idx="653">
                  <c:v>45456</c:v>
                </c:pt>
                <c:pt idx="654">
                  <c:v>45457</c:v>
                </c:pt>
                <c:pt idx="655">
                  <c:v>45461</c:v>
                </c:pt>
                <c:pt idx="656">
                  <c:v>45462</c:v>
                </c:pt>
                <c:pt idx="657">
                  <c:v>45463</c:v>
                </c:pt>
                <c:pt idx="658">
                  <c:v>45464</c:v>
                </c:pt>
                <c:pt idx="659">
                  <c:v>45467</c:v>
                </c:pt>
                <c:pt idx="660">
                  <c:v>45468</c:v>
                </c:pt>
                <c:pt idx="661">
                  <c:v>45469</c:v>
                </c:pt>
                <c:pt idx="662">
                  <c:v>45470</c:v>
                </c:pt>
                <c:pt idx="663">
                  <c:v>45471</c:v>
                </c:pt>
                <c:pt idx="664">
                  <c:v>45474</c:v>
                </c:pt>
                <c:pt idx="665">
                  <c:v>45475</c:v>
                </c:pt>
                <c:pt idx="666">
                  <c:v>45476</c:v>
                </c:pt>
                <c:pt idx="667">
                  <c:v>45477</c:v>
                </c:pt>
                <c:pt idx="668">
                  <c:v>45478</c:v>
                </c:pt>
                <c:pt idx="669">
                  <c:v>45481</c:v>
                </c:pt>
                <c:pt idx="670">
                  <c:v>45482</c:v>
                </c:pt>
                <c:pt idx="671">
                  <c:v>45483</c:v>
                </c:pt>
                <c:pt idx="672">
                  <c:v>45484</c:v>
                </c:pt>
                <c:pt idx="673">
                  <c:v>45485</c:v>
                </c:pt>
                <c:pt idx="674">
                  <c:v>45488</c:v>
                </c:pt>
                <c:pt idx="675">
                  <c:v>45489</c:v>
                </c:pt>
                <c:pt idx="676">
                  <c:v>45491</c:v>
                </c:pt>
                <c:pt idx="677">
                  <c:v>45492</c:v>
                </c:pt>
                <c:pt idx="678">
                  <c:v>45495</c:v>
                </c:pt>
                <c:pt idx="679">
                  <c:v>45496</c:v>
                </c:pt>
                <c:pt idx="680">
                  <c:v>45497</c:v>
                </c:pt>
                <c:pt idx="681">
                  <c:v>45498</c:v>
                </c:pt>
                <c:pt idx="682">
                  <c:v>45499</c:v>
                </c:pt>
                <c:pt idx="683">
                  <c:v>45502</c:v>
                </c:pt>
                <c:pt idx="684">
                  <c:v>45503</c:v>
                </c:pt>
                <c:pt idx="685">
                  <c:v>45504</c:v>
                </c:pt>
                <c:pt idx="686">
                  <c:v>45505</c:v>
                </c:pt>
                <c:pt idx="687">
                  <c:v>45506</c:v>
                </c:pt>
                <c:pt idx="688">
                  <c:v>45509</c:v>
                </c:pt>
                <c:pt idx="689">
                  <c:v>45510</c:v>
                </c:pt>
                <c:pt idx="690">
                  <c:v>45511</c:v>
                </c:pt>
                <c:pt idx="691">
                  <c:v>45512</c:v>
                </c:pt>
                <c:pt idx="692">
                  <c:v>45513</c:v>
                </c:pt>
                <c:pt idx="693">
                  <c:v>45516</c:v>
                </c:pt>
                <c:pt idx="694">
                  <c:v>45517</c:v>
                </c:pt>
                <c:pt idx="695">
                  <c:v>45518</c:v>
                </c:pt>
                <c:pt idx="696">
                  <c:v>45520</c:v>
                </c:pt>
                <c:pt idx="697">
                  <c:v>45523</c:v>
                </c:pt>
                <c:pt idx="698">
                  <c:v>45524</c:v>
                </c:pt>
                <c:pt idx="699">
                  <c:v>45525</c:v>
                </c:pt>
                <c:pt idx="700">
                  <c:v>45526</c:v>
                </c:pt>
                <c:pt idx="701">
                  <c:v>45527</c:v>
                </c:pt>
                <c:pt idx="702">
                  <c:v>45530</c:v>
                </c:pt>
                <c:pt idx="703">
                  <c:v>45531</c:v>
                </c:pt>
                <c:pt idx="704">
                  <c:v>45532</c:v>
                </c:pt>
                <c:pt idx="705">
                  <c:v>45533</c:v>
                </c:pt>
                <c:pt idx="706">
                  <c:v>45534</c:v>
                </c:pt>
                <c:pt idx="707">
                  <c:v>45537</c:v>
                </c:pt>
                <c:pt idx="708">
                  <c:v>45538</c:v>
                </c:pt>
                <c:pt idx="709">
                  <c:v>45539</c:v>
                </c:pt>
                <c:pt idx="710">
                  <c:v>45540</c:v>
                </c:pt>
                <c:pt idx="711">
                  <c:v>45541</c:v>
                </c:pt>
                <c:pt idx="712">
                  <c:v>45544</c:v>
                </c:pt>
                <c:pt idx="713">
                  <c:v>45545</c:v>
                </c:pt>
                <c:pt idx="714">
                  <c:v>45546</c:v>
                </c:pt>
                <c:pt idx="715">
                  <c:v>45547</c:v>
                </c:pt>
                <c:pt idx="716">
                  <c:v>45548</c:v>
                </c:pt>
                <c:pt idx="717">
                  <c:v>45551</c:v>
                </c:pt>
                <c:pt idx="718">
                  <c:v>45552</c:v>
                </c:pt>
                <c:pt idx="719">
                  <c:v>45553</c:v>
                </c:pt>
                <c:pt idx="720">
                  <c:v>45554</c:v>
                </c:pt>
                <c:pt idx="721">
                  <c:v>45555</c:v>
                </c:pt>
                <c:pt idx="722">
                  <c:v>45558</c:v>
                </c:pt>
                <c:pt idx="723">
                  <c:v>45559</c:v>
                </c:pt>
                <c:pt idx="724">
                  <c:v>45560</c:v>
                </c:pt>
                <c:pt idx="725">
                  <c:v>45561</c:v>
                </c:pt>
                <c:pt idx="726">
                  <c:v>45562</c:v>
                </c:pt>
                <c:pt idx="727">
                  <c:v>45565</c:v>
                </c:pt>
                <c:pt idx="728">
                  <c:v>45566</c:v>
                </c:pt>
                <c:pt idx="729">
                  <c:v>45568</c:v>
                </c:pt>
                <c:pt idx="730">
                  <c:v>45569</c:v>
                </c:pt>
                <c:pt idx="731">
                  <c:v>45572</c:v>
                </c:pt>
                <c:pt idx="732">
                  <c:v>45573</c:v>
                </c:pt>
                <c:pt idx="733">
                  <c:v>45574</c:v>
                </c:pt>
                <c:pt idx="734">
                  <c:v>45575</c:v>
                </c:pt>
                <c:pt idx="735">
                  <c:v>45576</c:v>
                </c:pt>
                <c:pt idx="736">
                  <c:v>45579</c:v>
                </c:pt>
                <c:pt idx="737">
                  <c:v>45580</c:v>
                </c:pt>
                <c:pt idx="738">
                  <c:v>45581</c:v>
                </c:pt>
                <c:pt idx="739">
                  <c:v>45582</c:v>
                </c:pt>
                <c:pt idx="740">
                  <c:v>45583</c:v>
                </c:pt>
                <c:pt idx="741">
                  <c:v>45586</c:v>
                </c:pt>
                <c:pt idx="742">
                  <c:v>45587</c:v>
                </c:pt>
                <c:pt idx="743">
                  <c:v>45588</c:v>
                </c:pt>
                <c:pt idx="744">
                  <c:v>45589</c:v>
                </c:pt>
                <c:pt idx="745">
                  <c:v>45590</c:v>
                </c:pt>
                <c:pt idx="746">
                  <c:v>45593</c:v>
                </c:pt>
                <c:pt idx="747">
                  <c:v>45594</c:v>
                </c:pt>
                <c:pt idx="748">
                  <c:v>45595</c:v>
                </c:pt>
                <c:pt idx="749">
                  <c:v>45596</c:v>
                </c:pt>
                <c:pt idx="750">
                  <c:v>45597</c:v>
                </c:pt>
                <c:pt idx="751">
                  <c:v>45600</c:v>
                </c:pt>
                <c:pt idx="752">
                  <c:v>45601</c:v>
                </c:pt>
                <c:pt idx="753">
                  <c:v>45602</c:v>
                </c:pt>
                <c:pt idx="754">
                  <c:v>45603</c:v>
                </c:pt>
                <c:pt idx="755">
                  <c:v>45604</c:v>
                </c:pt>
                <c:pt idx="756">
                  <c:v>45607</c:v>
                </c:pt>
                <c:pt idx="757">
                  <c:v>45608</c:v>
                </c:pt>
                <c:pt idx="758">
                  <c:v>45609</c:v>
                </c:pt>
                <c:pt idx="759">
                  <c:v>45610</c:v>
                </c:pt>
                <c:pt idx="760">
                  <c:v>45614</c:v>
                </c:pt>
                <c:pt idx="761">
                  <c:v>45615</c:v>
                </c:pt>
                <c:pt idx="762">
                  <c:v>45617</c:v>
                </c:pt>
                <c:pt idx="763">
                  <c:v>45618</c:v>
                </c:pt>
                <c:pt idx="764">
                  <c:v>45621</c:v>
                </c:pt>
                <c:pt idx="765">
                  <c:v>45622</c:v>
                </c:pt>
                <c:pt idx="766">
                  <c:v>45623</c:v>
                </c:pt>
                <c:pt idx="767">
                  <c:v>45624</c:v>
                </c:pt>
                <c:pt idx="768">
                  <c:v>45625</c:v>
                </c:pt>
                <c:pt idx="769">
                  <c:v>45628</c:v>
                </c:pt>
                <c:pt idx="770">
                  <c:v>45629</c:v>
                </c:pt>
                <c:pt idx="771">
                  <c:v>45630</c:v>
                </c:pt>
                <c:pt idx="772">
                  <c:v>45631</c:v>
                </c:pt>
                <c:pt idx="773">
                  <c:v>45632</c:v>
                </c:pt>
                <c:pt idx="774">
                  <c:v>45635</c:v>
                </c:pt>
                <c:pt idx="775">
                  <c:v>45636</c:v>
                </c:pt>
                <c:pt idx="776">
                  <c:v>45637</c:v>
                </c:pt>
                <c:pt idx="777">
                  <c:v>45638</c:v>
                </c:pt>
                <c:pt idx="778">
                  <c:v>45639</c:v>
                </c:pt>
                <c:pt idx="779">
                  <c:v>45642</c:v>
                </c:pt>
                <c:pt idx="780">
                  <c:v>45643</c:v>
                </c:pt>
                <c:pt idx="781">
                  <c:v>45644</c:v>
                </c:pt>
                <c:pt idx="782">
                  <c:v>45645</c:v>
                </c:pt>
                <c:pt idx="783">
                  <c:v>45646</c:v>
                </c:pt>
                <c:pt idx="784">
                  <c:v>45649</c:v>
                </c:pt>
                <c:pt idx="785">
                  <c:v>45650</c:v>
                </c:pt>
                <c:pt idx="786">
                  <c:v>45652</c:v>
                </c:pt>
                <c:pt idx="787">
                  <c:v>45653</c:v>
                </c:pt>
                <c:pt idx="788">
                  <c:v>45656</c:v>
                </c:pt>
                <c:pt idx="789">
                  <c:v>45657</c:v>
                </c:pt>
                <c:pt idx="790">
                  <c:v>45658</c:v>
                </c:pt>
                <c:pt idx="791">
                  <c:v>45659</c:v>
                </c:pt>
                <c:pt idx="792">
                  <c:v>45660</c:v>
                </c:pt>
                <c:pt idx="793">
                  <c:v>45663</c:v>
                </c:pt>
                <c:pt idx="794">
                  <c:v>45664</c:v>
                </c:pt>
                <c:pt idx="795">
                  <c:v>45665</c:v>
                </c:pt>
                <c:pt idx="796">
                  <c:v>45666</c:v>
                </c:pt>
                <c:pt idx="797">
                  <c:v>45667</c:v>
                </c:pt>
                <c:pt idx="798">
                  <c:v>45670</c:v>
                </c:pt>
                <c:pt idx="799">
                  <c:v>45671</c:v>
                </c:pt>
                <c:pt idx="800">
                  <c:v>45672</c:v>
                </c:pt>
                <c:pt idx="801">
                  <c:v>45673</c:v>
                </c:pt>
                <c:pt idx="802">
                  <c:v>45674</c:v>
                </c:pt>
                <c:pt idx="803">
                  <c:v>45677</c:v>
                </c:pt>
                <c:pt idx="804">
                  <c:v>45678</c:v>
                </c:pt>
                <c:pt idx="805">
                  <c:v>45679</c:v>
                </c:pt>
                <c:pt idx="806">
                  <c:v>45680</c:v>
                </c:pt>
                <c:pt idx="807">
                  <c:v>45681</c:v>
                </c:pt>
                <c:pt idx="808">
                  <c:v>45684</c:v>
                </c:pt>
                <c:pt idx="809">
                  <c:v>45685</c:v>
                </c:pt>
                <c:pt idx="810">
                  <c:v>45686</c:v>
                </c:pt>
                <c:pt idx="811">
                  <c:v>45687</c:v>
                </c:pt>
                <c:pt idx="812">
                  <c:v>45688</c:v>
                </c:pt>
                <c:pt idx="813">
                  <c:v>45689</c:v>
                </c:pt>
                <c:pt idx="814">
                  <c:v>45691</c:v>
                </c:pt>
                <c:pt idx="815">
                  <c:v>45692</c:v>
                </c:pt>
                <c:pt idx="816">
                  <c:v>45693</c:v>
                </c:pt>
                <c:pt idx="817">
                  <c:v>45694</c:v>
                </c:pt>
                <c:pt idx="818">
                  <c:v>45695</c:v>
                </c:pt>
                <c:pt idx="819">
                  <c:v>45698</c:v>
                </c:pt>
                <c:pt idx="820">
                  <c:v>45699</c:v>
                </c:pt>
                <c:pt idx="821">
                  <c:v>45700</c:v>
                </c:pt>
                <c:pt idx="822">
                  <c:v>45701</c:v>
                </c:pt>
                <c:pt idx="823">
                  <c:v>45702</c:v>
                </c:pt>
                <c:pt idx="824">
                  <c:v>45705</c:v>
                </c:pt>
                <c:pt idx="825">
                  <c:v>45706</c:v>
                </c:pt>
                <c:pt idx="826">
                  <c:v>45707</c:v>
                </c:pt>
                <c:pt idx="827">
                  <c:v>45708</c:v>
                </c:pt>
                <c:pt idx="828">
                  <c:v>45709</c:v>
                </c:pt>
                <c:pt idx="829">
                  <c:v>45712</c:v>
                </c:pt>
                <c:pt idx="830">
                  <c:v>45713</c:v>
                </c:pt>
                <c:pt idx="831">
                  <c:v>45715</c:v>
                </c:pt>
                <c:pt idx="832">
                  <c:v>45716</c:v>
                </c:pt>
                <c:pt idx="833">
                  <c:v>45719</c:v>
                </c:pt>
                <c:pt idx="834">
                  <c:v>45720</c:v>
                </c:pt>
                <c:pt idx="835">
                  <c:v>45721</c:v>
                </c:pt>
                <c:pt idx="836">
                  <c:v>45722</c:v>
                </c:pt>
                <c:pt idx="837">
                  <c:v>45723</c:v>
                </c:pt>
                <c:pt idx="838">
                  <c:v>45726</c:v>
                </c:pt>
                <c:pt idx="839">
                  <c:v>45727</c:v>
                </c:pt>
                <c:pt idx="840">
                  <c:v>45728</c:v>
                </c:pt>
                <c:pt idx="841">
                  <c:v>45729</c:v>
                </c:pt>
                <c:pt idx="842">
                  <c:v>45733</c:v>
                </c:pt>
                <c:pt idx="843">
                  <c:v>45734</c:v>
                </c:pt>
                <c:pt idx="844">
                  <c:v>45735</c:v>
                </c:pt>
                <c:pt idx="845">
                  <c:v>45736</c:v>
                </c:pt>
                <c:pt idx="846">
                  <c:v>45737</c:v>
                </c:pt>
                <c:pt idx="847">
                  <c:v>45740</c:v>
                </c:pt>
                <c:pt idx="848">
                  <c:v>45741</c:v>
                </c:pt>
                <c:pt idx="849">
                  <c:v>45742</c:v>
                </c:pt>
                <c:pt idx="850">
                  <c:v>45743</c:v>
                </c:pt>
                <c:pt idx="851">
                  <c:v>45744</c:v>
                </c:pt>
                <c:pt idx="852">
                  <c:v>45748</c:v>
                </c:pt>
                <c:pt idx="853">
                  <c:v>45749</c:v>
                </c:pt>
                <c:pt idx="854">
                  <c:v>45750</c:v>
                </c:pt>
                <c:pt idx="855">
                  <c:v>45751</c:v>
                </c:pt>
                <c:pt idx="856">
                  <c:v>45754</c:v>
                </c:pt>
                <c:pt idx="857">
                  <c:v>45755</c:v>
                </c:pt>
                <c:pt idx="858">
                  <c:v>45756</c:v>
                </c:pt>
                <c:pt idx="859">
                  <c:v>45758</c:v>
                </c:pt>
                <c:pt idx="860">
                  <c:v>45762</c:v>
                </c:pt>
                <c:pt idx="861">
                  <c:v>45763</c:v>
                </c:pt>
                <c:pt idx="862">
                  <c:v>45764</c:v>
                </c:pt>
                <c:pt idx="863">
                  <c:v>45768</c:v>
                </c:pt>
                <c:pt idx="864">
                  <c:v>45769</c:v>
                </c:pt>
                <c:pt idx="865">
                  <c:v>45770</c:v>
                </c:pt>
                <c:pt idx="866">
                  <c:v>45771</c:v>
                </c:pt>
                <c:pt idx="867">
                  <c:v>45772</c:v>
                </c:pt>
                <c:pt idx="868">
                  <c:v>45775</c:v>
                </c:pt>
                <c:pt idx="869">
                  <c:v>45776</c:v>
                </c:pt>
                <c:pt idx="870">
                  <c:v>45777</c:v>
                </c:pt>
                <c:pt idx="871">
                  <c:v>45779</c:v>
                </c:pt>
                <c:pt idx="872">
                  <c:v>45782</c:v>
                </c:pt>
                <c:pt idx="873">
                  <c:v>45783</c:v>
                </c:pt>
                <c:pt idx="874">
                  <c:v>45784</c:v>
                </c:pt>
                <c:pt idx="875">
                  <c:v>45785</c:v>
                </c:pt>
                <c:pt idx="876">
                  <c:v>45786</c:v>
                </c:pt>
                <c:pt idx="877">
                  <c:v>45789</c:v>
                </c:pt>
                <c:pt idx="878">
                  <c:v>45790</c:v>
                </c:pt>
                <c:pt idx="879">
                  <c:v>45791</c:v>
                </c:pt>
                <c:pt idx="880">
                  <c:v>45792</c:v>
                </c:pt>
                <c:pt idx="881">
                  <c:v>45793</c:v>
                </c:pt>
                <c:pt idx="882">
                  <c:v>45796</c:v>
                </c:pt>
                <c:pt idx="883">
                  <c:v>45797</c:v>
                </c:pt>
                <c:pt idx="884">
                  <c:v>45798</c:v>
                </c:pt>
                <c:pt idx="885">
                  <c:v>45799</c:v>
                </c:pt>
                <c:pt idx="886">
                  <c:v>45800</c:v>
                </c:pt>
                <c:pt idx="887">
                  <c:v>45803</c:v>
                </c:pt>
                <c:pt idx="888">
                  <c:v>45804</c:v>
                </c:pt>
                <c:pt idx="889">
                  <c:v>45805</c:v>
                </c:pt>
                <c:pt idx="890">
                  <c:v>45806</c:v>
                </c:pt>
                <c:pt idx="891">
                  <c:v>45807</c:v>
                </c:pt>
                <c:pt idx="892">
                  <c:v>45810</c:v>
                </c:pt>
                <c:pt idx="893">
                  <c:v>45811</c:v>
                </c:pt>
                <c:pt idx="894">
                  <c:v>45812</c:v>
                </c:pt>
                <c:pt idx="895">
                  <c:v>45813</c:v>
                </c:pt>
                <c:pt idx="896">
                  <c:v>45814</c:v>
                </c:pt>
                <c:pt idx="897">
                  <c:v>45817</c:v>
                </c:pt>
                <c:pt idx="898">
                  <c:v>45818</c:v>
                </c:pt>
                <c:pt idx="899">
                  <c:v>45819</c:v>
                </c:pt>
                <c:pt idx="900">
                  <c:v>45820</c:v>
                </c:pt>
                <c:pt idx="901">
                  <c:v>45821</c:v>
                </c:pt>
                <c:pt idx="902">
                  <c:v>45824</c:v>
                </c:pt>
                <c:pt idx="903">
                  <c:v>45825</c:v>
                </c:pt>
                <c:pt idx="904">
                  <c:v>45826</c:v>
                </c:pt>
                <c:pt idx="905">
                  <c:v>45827</c:v>
                </c:pt>
                <c:pt idx="906">
                  <c:v>45828</c:v>
                </c:pt>
                <c:pt idx="907">
                  <c:v>45831</c:v>
                </c:pt>
                <c:pt idx="908">
                  <c:v>45832</c:v>
                </c:pt>
                <c:pt idx="909">
                  <c:v>45833</c:v>
                </c:pt>
                <c:pt idx="910">
                  <c:v>45834</c:v>
                </c:pt>
                <c:pt idx="911">
                  <c:v>45835</c:v>
                </c:pt>
                <c:pt idx="912">
                  <c:v>45838</c:v>
                </c:pt>
                <c:pt idx="913">
                  <c:v>45839</c:v>
                </c:pt>
                <c:pt idx="914">
                  <c:v>45840</c:v>
                </c:pt>
                <c:pt idx="915">
                  <c:v>45841</c:v>
                </c:pt>
                <c:pt idx="916">
                  <c:v>45842</c:v>
                </c:pt>
                <c:pt idx="917">
                  <c:v>45845</c:v>
                </c:pt>
                <c:pt idx="918">
                  <c:v>45846</c:v>
                </c:pt>
                <c:pt idx="919">
                  <c:v>45847</c:v>
                </c:pt>
                <c:pt idx="920">
                  <c:v>45848</c:v>
                </c:pt>
                <c:pt idx="921">
                  <c:v>45849</c:v>
                </c:pt>
                <c:pt idx="922">
                  <c:v>45852</c:v>
                </c:pt>
                <c:pt idx="923">
                  <c:v>45853</c:v>
                </c:pt>
                <c:pt idx="924">
                  <c:v>45854</c:v>
                </c:pt>
                <c:pt idx="925">
                  <c:v>45855</c:v>
                </c:pt>
                <c:pt idx="926">
                  <c:v>45856</c:v>
                </c:pt>
                <c:pt idx="927">
                  <c:v>45859</c:v>
                </c:pt>
                <c:pt idx="928">
                  <c:v>45860</c:v>
                </c:pt>
                <c:pt idx="929">
                  <c:v>45861</c:v>
                </c:pt>
                <c:pt idx="930">
                  <c:v>45862</c:v>
                </c:pt>
                <c:pt idx="931">
                  <c:v>45863</c:v>
                </c:pt>
                <c:pt idx="932">
                  <c:v>45866</c:v>
                </c:pt>
                <c:pt idx="933">
                  <c:v>45867</c:v>
                </c:pt>
                <c:pt idx="934">
                  <c:v>45868</c:v>
                </c:pt>
                <c:pt idx="935">
                  <c:v>45869</c:v>
                </c:pt>
                <c:pt idx="936">
                  <c:v>45870</c:v>
                </c:pt>
                <c:pt idx="937">
                  <c:v>45873</c:v>
                </c:pt>
                <c:pt idx="938">
                  <c:v>45874</c:v>
                </c:pt>
                <c:pt idx="939">
                  <c:v>45875</c:v>
                </c:pt>
                <c:pt idx="940">
                  <c:v>45876</c:v>
                </c:pt>
                <c:pt idx="941">
                  <c:v>45877</c:v>
                </c:pt>
                <c:pt idx="942">
                  <c:v>45880</c:v>
                </c:pt>
                <c:pt idx="943">
                  <c:v>45881</c:v>
                </c:pt>
                <c:pt idx="944">
                  <c:v>45882</c:v>
                </c:pt>
                <c:pt idx="945">
                  <c:v>45883</c:v>
                </c:pt>
                <c:pt idx="946">
                  <c:v>45887</c:v>
                </c:pt>
                <c:pt idx="947">
                  <c:v>45888</c:v>
                </c:pt>
                <c:pt idx="948">
                  <c:v>45889</c:v>
                </c:pt>
                <c:pt idx="949">
                  <c:v>45890</c:v>
                </c:pt>
                <c:pt idx="950">
                  <c:v>45891</c:v>
                </c:pt>
                <c:pt idx="951">
                  <c:v>45894</c:v>
                </c:pt>
                <c:pt idx="952">
                  <c:v>45895</c:v>
                </c:pt>
                <c:pt idx="953">
                  <c:v>45897</c:v>
                </c:pt>
                <c:pt idx="954">
                  <c:v>45898</c:v>
                </c:pt>
                <c:pt idx="955">
                  <c:v>45901</c:v>
                </c:pt>
                <c:pt idx="956">
                  <c:v>45902</c:v>
                </c:pt>
                <c:pt idx="957">
                  <c:v>45903</c:v>
                </c:pt>
                <c:pt idx="958">
                  <c:v>45904</c:v>
                </c:pt>
                <c:pt idx="959">
                  <c:v>45905</c:v>
                </c:pt>
                <c:pt idx="960">
                  <c:v>45908</c:v>
                </c:pt>
                <c:pt idx="961">
                  <c:v>45909</c:v>
                </c:pt>
                <c:pt idx="962">
                  <c:v>45910</c:v>
                </c:pt>
                <c:pt idx="963">
                  <c:v>45911</c:v>
                </c:pt>
                <c:pt idx="964">
                  <c:v>45912</c:v>
                </c:pt>
                <c:pt idx="965">
                  <c:v>45915</c:v>
                </c:pt>
                <c:pt idx="966">
                  <c:v>45916</c:v>
                </c:pt>
                <c:pt idx="967">
                  <c:v>45917</c:v>
                </c:pt>
                <c:pt idx="968">
                  <c:v>45918</c:v>
                </c:pt>
                <c:pt idx="969">
                  <c:v>45919</c:v>
                </c:pt>
                <c:pt idx="970">
                  <c:v>45922</c:v>
                </c:pt>
                <c:pt idx="971">
                  <c:v>45923</c:v>
                </c:pt>
                <c:pt idx="972">
                  <c:v>45924</c:v>
                </c:pt>
                <c:pt idx="973">
                  <c:v>45925</c:v>
                </c:pt>
                <c:pt idx="974">
                  <c:v>45926</c:v>
                </c:pt>
                <c:pt idx="975">
                  <c:v>45929</c:v>
                </c:pt>
                <c:pt idx="976">
                  <c:v>45930</c:v>
                </c:pt>
                <c:pt idx="977">
                  <c:v>45931</c:v>
                </c:pt>
                <c:pt idx="978">
                  <c:v>45933</c:v>
                </c:pt>
                <c:pt idx="979">
                  <c:v>45936</c:v>
                </c:pt>
                <c:pt idx="980">
                  <c:v>45937</c:v>
                </c:pt>
                <c:pt idx="981">
                  <c:v>45938</c:v>
                </c:pt>
                <c:pt idx="982">
                  <c:v>45939</c:v>
                </c:pt>
                <c:pt idx="983">
                  <c:v>45940</c:v>
                </c:pt>
                <c:pt idx="984">
                  <c:v>45943</c:v>
                </c:pt>
                <c:pt idx="985">
                  <c:v>45944</c:v>
                </c:pt>
                <c:pt idx="986">
                  <c:v>45945</c:v>
                </c:pt>
                <c:pt idx="987">
                  <c:v>45946</c:v>
                </c:pt>
                <c:pt idx="988">
                  <c:v>45947</c:v>
                </c:pt>
                <c:pt idx="989">
                  <c:v>45950</c:v>
                </c:pt>
                <c:pt idx="990">
                  <c:v>45951</c:v>
                </c:pt>
                <c:pt idx="991">
                  <c:v>45953</c:v>
                </c:pt>
                <c:pt idx="992">
                  <c:v>45954</c:v>
                </c:pt>
                <c:pt idx="993">
                  <c:v>45957</c:v>
                </c:pt>
                <c:pt idx="994">
                  <c:v>45958</c:v>
                </c:pt>
                <c:pt idx="995">
                  <c:v>45959</c:v>
                </c:pt>
                <c:pt idx="996">
                  <c:v>45960</c:v>
                </c:pt>
                <c:pt idx="997">
                  <c:v>45961</c:v>
                </c:pt>
                <c:pt idx="998">
                  <c:v>45964</c:v>
                </c:pt>
                <c:pt idx="999">
                  <c:v>45965</c:v>
                </c:pt>
                <c:pt idx="1000">
                  <c:v>45967</c:v>
                </c:pt>
                <c:pt idx="1001">
                  <c:v>45968</c:v>
                </c:pt>
                <c:pt idx="1002">
                  <c:v>45971</c:v>
                </c:pt>
                <c:pt idx="1003">
                  <c:v>45972</c:v>
                </c:pt>
                <c:pt idx="1004">
                  <c:v>45973</c:v>
                </c:pt>
                <c:pt idx="1005">
                  <c:v>45974</c:v>
                </c:pt>
                <c:pt idx="1006">
                  <c:v>45975</c:v>
                </c:pt>
                <c:pt idx="1007">
                  <c:v>45978</c:v>
                </c:pt>
                <c:pt idx="1008">
                  <c:v>45979</c:v>
                </c:pt>
                <c:pt idx="1009">
                  <c:v>45980</c:v>
                </c:pt>
                <c:pt idx="1010">
                  <c:v>45981</c:v>
                </c:pt>
                <c:pt idx="1011">
                  <c:v>45982</c:v>
                </c:pt>
                <c:pt idx="1012">
                  <c:v>45985</c:v>
                </c:pt>
                <c:pt idx="1013">
                  <c:v>45986</c:v>
                </c:pt>
                <c:pt idx="1014">
                  <c:v>45987</c:v>
                </c:pt>
                <c:pt idx="1015">
                  <c:v>45988</c:v>
                </c:pt>
                <c:pt idx="1016">
                  <c:v>45989</c:v>
                </c:pt>
                <c:pt idx="1017">
                  <c:v>45992</c:v>
                </c:pt>
                <c:pt idx="1018">
                  <c:v>45993</c:v>
                </c:pt>
                <c:pt idx="1019">
                  <c:v>45994</c:v>
                </c:pt>
                <c:pt idx="1020">
                  <c:v>45995</c:v>
                </c:pt>
                <c:pt idx="1021">
                  <c:v>45996</c:v>
                </c:pt>
                <c:pt idx="1022">
                  <c:v>45999</c:v>
                </c:pt>
                <c:pt idx="1023">
                  <c:v>46000</c:v>
                </c:pt>
                <c:pt idx="1024">
                  <c:v>46001</c:v>
                </c:pt>
                <c:pt idx="1025">
                  <c:v>46002</c:v>
                </c:pt>
                <c:pt idx="1026">
                  <c:v>46003</c:v>
                </c:pt>
                <c:pt idx="1027">
                  <c:v>46006</c:v>
                </c:pt>
                <c:pt idx="1028">
                  <c:v>46007</c:v>
                </c:pt>
                <c:pt idx="1029">
                  <c:v>46008</c:v>
                </c:pt>
                <c:pt idx="1030">
                  <c:v>46009</c:v>
                </c:pt>
                <c:pt idx="1031">
                  <c:v>46010</c:v>
                </c:pt>
                <c:pt idx="1032">
                  <c:v>46013</c:v>
                </c:pt>
                <c:pt idx="1033">
                  <c:v>46014</c:v>
                </c:pt>
                <c:pt idx="1034">
                  <c:v>46015</c:v>
                </c:pt>
                <c:pt idx="1035">
                  <c:v>46017</c:v>
                </c:pt>
                <c:pt idx="1036">
                  <c:v>46020</c:v>
                </c:pt>
                <c:pt idx="1037">
                  <c:v>46021</c:v>
                </c:pt>
                <c:pt idx="1038">
                  <c:v>46022</c:v>
                </c:pt>
              </c:numCache>
            </c:numRef>
          </c:cat>
          <c:val>
            <c:numRef>
              <c:f>'Price trend line table'!$D$202:$D$1241</c:f>
              <c:numCache>
                <c:formatCode>General</c:formatCode>
                <c:ptCount val="1040"/>
                <c:pt idx="0">
                  <c:v>17409.709000000003</c:v>
                </c:pt>
                <c:pt idx="1">
                  <c:v>17446.572</c:v>
                </c:pt>
                <c:pt idx="2">
                  <c:v>17484.652000000006</c:v>
                </c:pt>
                <c:pt idx="3">
                  <c:v>17518.289000000001</c:v>
                </c:pt>
                <c:pt idx="4">
                  <c:v>17544.172999999999</c:v>
                </c:pt>
                <c:pt idx="5">
                  <c:v>17565.314000000002</c:v>
                </c:pt>
                <c:pt idx="6">
                  <c:v>17592.53</c:v>
                </c:pt>
                <c:pt idx="7">
                  <c:v>17621.298999999999</c:v>
                </c:pt>
                <c:pt idx="8">
                  <c:v>17647.953999999998</c:v>
                </c:pt>
                <c:pt idx="9">
                  <c:v>17673.797999999999</c:v>
                </c:pt>
                <c:pt idx="10">
                  <c:v>17702.476000000002</c:v>
                </c:pt>
                <c:pt idx="11">
                  <c:v>17730.623</c:v>
                </c:pt>
                <c:pt idx="12">
                  <c:v>17756.862999999998</c:v>
                </c:pt>
                <c:pt idx="13">
                  <c:v>17775.714</c:v>
                </c:pt>
                <c:pt idx="14">
                  <c:v>17795.125</c:v>
                </c:pt>
                <c:pt idx="15">
                  <c:v>17815.789000000001</c:v>
                </c:pt>
                <c:pt idx="16">
                  <c:v>17831.089999999997</c:v>
                </c:pt>
                <c:pt idx="17">
                  <c:v>17842.590999999997</c:v>
                </c:pt>
                <c:pt idx="18">
                  <c:v>17850.330999999998</c:v>
                </c:pt>
                <c:pt idx="19">
                  <c:v>17851.419999999998</c:v>
                </c:pt>
                <c:pt idx="20">
                  <c:v>17854.416999999998</c:v>
                </c:pt>
                <c:pt idx="21">
                  <c:v>17855.332999999999</c:v>
                </c:pt>
                <c:pt idx="22">
                  <c:v>17858.952000000001</c:v>
                </c:pt>
                <c:pt idx="23">
                  <c:v>17851.880999999998</c:v>
                </c:pt>
                <c:pt idx="24">
                  <c:v>17842.571</c:v>
                </c:pt>
                <c:pt idx="25">
                  <c:v>17829.644999999997</c:v>
                </c:pt>
                <c:pt idx="26">
                  <c:v>17821.28</c:v>
                </c:pt>
                <c:pt idx="27">
                  <c:v>17821.375</c:v>
                </c:pt>
                <c:pt idx="28">
                  <c:v>17814.069</c:v>
                </c:pt>
                <c:pt idx="29">
                  <c:v>17801.381000000001</c:v>
                </c:pt>
                <c:pt idx="30">
                  <c:v>17788.455999999998</c:v>
                </c:pt>
                <c:pt idx="31">
                  <c:v>17780.787</c:v>
                </c:pt>
                <c:pt idx="32">
                  <c:v>17774.021999999997</c:v>
                </c:pt>
                <c:pt idx="33">
                  <c:v>17769.276000000002</c:v>
                </c:pt>
                <c:pt idx="34">
                  <c:v>17762.415000000001</c:v>
                </c:pt>
                <c:pt idx="35">
                  <c:v>17756.55</c:v>
                </c:pt>
                <c:pt idx="36">
                  <c:v>17750.337000000003</c:v>
                </c:pt>
                <c:pt idx="37">
                  <c:v>17741.480000000003</c:v>
                </c:pt>
                <c:pt idx="38">
                  <c:v>17724.738000000001</c:v>
                </c:pt>
                <c:pt idx="39">
                  <c:v>17704.101999999999</c:v>
                </c:pt>
                <c:pt idx="40">
                  <c:v>17683.711999999996</c:v>
                </c:pt>
                <c:pt idx="41">
                  <c:v>17664.916999999994</c:v>
                </c:pt>
                <c:pt idx="42">
                  <c:v>17647.449999999993</c:v>
                </c:pt>
                <c:pt idx="43">
                  <c:v>17627.685999999994</c:v>
                </c:pt>
                <c:pt idx="44">
                  <c:v>17606.175999999996</c:v>
                </c:pt>
                <c:pt idx="45">
                  <c:v>17584.069999999996</c:v>
                </c:pt>
                <c:pt idx="46">
                  <c:v>17558.800999999996</c:v>
                </c:pt>
                <c:pt idx="47">
                  <c:v>17534.504999999994</c:v>
                </c:pt>
                <c:pt idx="48">
                  <c:v>17516.253999999997</c:v>
                </c:pt>
                <c:pt idx="49">
                  <c:v>17505.205999999998</c:v>
                </c:pt>
                <c:pt idx="50">
                  <c:v>17499.012999999999</c:v>
                </c:pt>
                <c:pt idx="51">
                  <c:v>17495.009999999998</c:v>
                </c:pt>
                <c:pt idx="52">
                  <c:v>17484.560000000001</c:v>
                </c:pt>
                <c:pt idx="53">
                  <c:v>17476.594999999998</c:v>
                </c:pt>
                <c:pt idx="54">
                  <c:v>17479.516</c:v>
                </c:pt>
                <c:pt idx="55">
                  <c:v>17487.197999999997</c:v>
                </c:pt>
                <c:pt idx="56">
                  <c:v>17492.851999999999</c:v>
                </c:pt>
                <c:pt idx="57">
                  <c:v>17500.228999999999</c:v>
                </c:pt>
                <c:pt idx="58">
                  <c:v>17508.759999999998</c:v>
                </c:pt>
                <c:pt idx="59">
                  <c:v>17516.585999999999</c:v>
                </c:pt>
                <c:pt idx="60">
                  <c:v>17517.476000000002</c:v>
                </c:pt>
                <c:pt idx="61">
                  <c:v>17515.359000000004</c:v>
                </c:pt>
                <c:pt idx="62">
                  <c:v>17510.155000000002</c:v>
                </c:pt>
                <c:pt idx="63">
                  <c:v>17505.026000000002</c:v>
                </c:pt>
                <c:pt idx="64">
                  <c:v>17485.953000000001</c:v>
                </c:pt>
                <c:pt idx="65">
                  <c:v>17469.323</c:v>
                </c:pt>
                <c:pt idx="66">
                  <c:v>17451.542000000001</c:v>
                </c:pt>
                <c:pt idx="67">
                  <c:v>17435.608</c:v>
                </c:pt>
                <c:pt idx="68">
                  <c:v>17427.109</c:v>
                </c:pt>
                <c:pt idx="69">
                  <c:v>17430.314999999999</c:v>
                </c:pt>
                <c:pt idx="70">
                  <c:v>17435.848000000002</c:v>
                </c:pt>
                <c:pt idx="71">
                  <c:v>17438.750999999997</c:v>
                </c:pt>
                <c:pt idx="72">
                  <c:v>17438.351999999999</c:v>
                </c:pt>
                <c:pt idx="73">
                  <c:v>17442.094999999998</c:v>
                </c:pt>
                <c:pt idx="74">
                  <c:v>17446.350999999999</c:v>
                </c:pt>
                <c:pt idx="75">
                  <c:v>17455.963</c:v>
                </c:pt>
                <c:pt idx="76">
                  <c:v>17464.741999999998</c:v>
                </c:pt>
                <c:pt idx="77">
                  <c:v>17464.203999999998</c:v>
                </c:pt>
                <c:pt idx="78">
                  <c:v>17457.126</c:v>
                </c:pt>
                <c:pt idx="79">
                  <c:v>17465.93</c:v>
                </c:pt>
                <c:pt idx="80">
                  <c:v>17468.839999999997</c:v>
                </c:pt>
                <c:pt idx="81">
                  <c:v>17465.536999999997</c:v>
                </c:pt>
                <c:pt idx="82">
                  <c:v>17460.725999999995</c:v>
                </c:pt>
                <c:pt idx="83">
                  <c:v>17454.632999999998</c:v>
                </c:pt>
                <c:pt idx="84">
                  <c:v>17449.111999999997</c:v>
                </c:pt>
                <c:pt idx="85">
                  <c:v>17443.878999999997</c:v>
                </c:pt>
                <c:pt idx="86">
                  <c:v>17424.409999999996</c:v>
                </c:pt>
                <c:pt idx="87">
                  <c:v>17412.609999999997</c:v>
                </c:pt>
                <c:pt idx="88">
                  <c:v>17408.784</c:v>
                </c:pt>
                <c:pt idx="89">
                  <c:v>17408.618999999995</c:v>
                </c:pt>
                <c:pt idx="90">
                  <c:v>17403.162999999997</c:v>
                </c:pt>
                <c:pt idx="91">
                  <c:v>17388.960999999999</c:v>
                </c:pt>
                <c:pt idx="92">
                  <c:v>17364.772000000001</c:v>
                </c:pt>
                <c:pt idx="93">
                  <c:v>17344.966</c:v>
                </c:pt>
                <c:pt idx="94">
                  <c:v>17330.147999999997</c:v>
                </c:pt>
                <c:pt idx="95">
                  <c:v>17317.380999999998</c:v>
                </c:pt>
                <c:pt idx="96">
                  <c:v>17305.717999999997</c:v>
                </c:pt>
                <c:pt idx="97">
                  <c:v>17299.064999999995</c:v>
                </c:pt>
                <c:pt idx="98">
                  <c:v>17285.243999999995</c:v>
                </c:pt>
                <c:pt idx="99">
                  <c:v>17272.236999999994</c:v>
                </c:pt>
                <c:pt idx="100">
                  <c:v>17261.873</c:v>
                </c:pt>
                <c:pt idx="101">
                  <c:v>17245.719999999998</c:v>
                </c:pt>
                <c:pt idx="102">
                  <c:v>17237.111999999997</c:v>
                </c:pt>
                <c:pt idx="103">
                  <c:v>17225.770999999997</c:v>
                </c:pt>
                <c:pt idx="104">
                  <c:v>17210.159999999996</c:v>
                </c:pt>
                <c:pt idx="105">
                  <c:v>17192.105</c:v>
                </c:pt>
                <c:pt idx="106">
                  <c:v>17172.297999999999</c:v>
                </c:pt>
                <c:pt idx="107">
                  <c:v>17153.648000000001</c:v>
                </c:pt>
                <c:pt idx="108">
                  <c:v>17138.498000000003</c:v>
                </c:pt>
                <c:pt idx="109">
                  <c:v>17121.631000000005</c:v>
                </c:pt>
                <c:pt idx="110">
                  <c:v>17112.779000000002</c:v>
                </c:pt>
                <c:pt idx="111">
                  <c:v>17115.079000000002</c:v>
                </c:pt>
                <c:pt idx="112">
                  <c:v>17119.087000000003</c:v>
                </c:pt>
                <c:pt idx="113">
                  <c:v>17122.897000000004</c:v>
                </c:pt>
                <c:pt idx="114">
                  <c:v>17132.706000000002</c:v>
                </c:pt>
                <c:pt idx="115">
                  <c:v>17142.834000000003</c:v>
                </c:pt>
                <c:pt idx="116">
                  <c:v>17154.130000000005</c:v>
                </c:pt>
                <c:pt idx="117">
                  <c:v>17162.697000000004</c:v>
                </c:pt>
                <c:pt idx="118">
                  <c:v>17165.413000000004</c:v>
                </c:pt>
                <c:pt idx="119">
                  <c:v>17157.349000000002</c:v>
                </c:pt>
                <c:pt idx="120">
                  <c:v>17140.922000000006</c:v>
                </c:pt>
                <c:pt idx="121">
                  <c:v>17132.449000000004</c:v>
                </c:pt>
                <c:pt idx="122">
                  <c:v>17129.975000000002</c:v>
                </c:pt>
                <c:pt idx="123">
                  <c:v>17129.142000000003</c:v>
                </c:pt>
                <c:pt idx="124">
                  <c:v>17122.886000000002</c:v>
                </c:pt>
                <c:pt idx="125">
                  <c:v>17117.626000000004</c:v>
                </c:pt>
                <c:pt idx="126">
                  <c:v>17106.277000000002</c:v>
                </c:pt>
                <c:pt idx="127">
                  <c:v>17103.683000000005</c:v>
                </c:pt>
                <c:pt idx="128">
                  <c:v>17108.878000000004</c:v>
                </c:pt>
                <c:pt idx="129">
                  <c:v>17103.211000000003</c:v>
                </c:pt>
                <c:pt idx="130">
                  <c:v>17090.319000000003</c:v>
                </c:pt>
                <c:pt idx="131">
                  <c:v>17077.880000000005</c:v>
                </c:pt>
                <c:pt idx="132">
                  <c:v>17060.579000000005</c:v>
                </c:pt>
                <c:pt idx="133">
                  <c:v>17042.483000000004</c:v>
                </c:pt>
                <c:pt idx="134">
                  <c:v>17025.440000000006</c:v>
                </c:pt>
                <c:pt idx="135">
                  <c:v>17007.517000000003</c:v>
                </c:pt>
                <c:pt idx="136">
                  <c:v>16998.718000000004</c:v>
                </c:pt>
                <c:pt idx="137">
                  <c:v>16981.193000000003</c:v>
                </c:pt>
                <c:pt idx="138">
                  <c:v>16962.161000000004</c:v>
                </c:pt>
                <c:pt idx="139">
                  <c:v>16955.228000000006</c:v>
                </c:pt>
                <c:pt idx="140">
                  <c:v>16950.073000000004</c:v>
                </c:pt>
                <c:pt idx="141">
                  <c:v>16941.354000000007</c:v>
                </c:pt>
                <c:pt idx="142">
                  <c:v>16949.414000000008</c:v>
                </c:pt>
                <c:pt idx="143">
                  <c:v>16953.439000000006</c:v>
                </c:pt>
                <c:pt idx="144">
                  <c:v>16949.035000000007</c:v>
                </c:pt>
                <c:pt idx="145">
                  <c:v>16937.653000000006</c:v>
                </c:pt>
                <c:pt idx="146">
                  <c:v>16928.447000000007</c:v>
                </c:pt>
                <c:pt idx="147">
                  <c:v>16918.070000000003</c:v>
                </c:pt>
                <c:pt idx="148">
                  <c:v>16918.038000000004</c:v>
                </c:pt>
                <c:pt idx="149">
                  <c:v>16910.222000000005</c:v>
                </c:pt>
                <c:pt idx="150">
                  <c:v>16894.936000000005</c:v>
                </c:pt>
                <c:pt idx="151">
                  <c:v>16885.144000000008</c:v>
                </c:pt>
                <c:pt idx="152">
                  <c:v>16870.520000000008</c:v>
                </c:pt>
                <c:pt idx="153">
                  <c:v>16856.998000000007</c:v>
                </c:pt>
                <c:pt idx="154">
                  <c:v>16840.870000000006</c:v>
                </c:pt>
                <c:pt idx="155">
                  <c:v>16824.935000000005</c:v>
                </c:pt>
                <c:pt idx="156">
                  <c:v>16810.057000000004</c:v>
                </c:pt>
                <c:pt idx="157">
                  <c:v>16787.587000000003</c:v>
                </c:pt>
                <c:pt idx="158">
                  <c:v>16753.110000000004</c:v>
                </c:pt>
                <c:pt idx="159">
                  <c:v>16718.457000000002</c:v>
                </c:pt>
                <c:pt idx="160">
                  <c:v>16678.891</c:v>
                </c:pt>
                <c:pt idx="161">
                  <c:v>16625.035000000003</c:v>
                </c:pt>
                <c:pt idx="162">
                  <c:v>16571.757000000001</c:v>
                </c:pt>
                <c:pt idx="163">
                  <c:v>16522.607000000004</c:v>
                </c:pt>
                <c:pt idx="164">
                  <c:v>16482.592000000004</c:v>
                </c:pt>
                <c:pt idx="165">
                  <c:v>16435.171000000006</c:v>
                </c:pt>
                <c:pt idx="166">
                  <c:v>16392.805000000004</c:v>
                </c:pt>
                <c:pt idx="167">
                  <c:v>16356.184000000007</c:v>
                </c:pt>
                <c:pt idx="168">
                  <c:v>16323.312000000007</c:v>
                </c:pt>
                <c:pt idx="169">
                  <c:v>16296.843000000008</c:v>
                </c:pt>
                <c:pt idx="170">
                  <c:v>16273.652000000007</c:v>
                </c:pt>
                <c:pt idx="171">
                  <c:v>16246.526000000005</c:v>
                </c:pt>
                <c:pt idx="172">
                  <c:v>16213.715000000004</c:v>
                </c:pt>
                <c:pt idx="173">
                  <c:v>16186.983000000006</c:v>
                </c:pt>
                <c:pt idx="174">
                  <c:v>16164.121000000003</c:v>
                </c:pt>
                <c:pt idx="175">
                  <c:v>16139.901000000003</c:v>
                </c:pt>
                <c:pt idx="176">
                  <c:v>16121.791000000003</c:v>
                </c:pt>
                <c:pt idx="177">
                  <c:v>16101.302000000001</c:v>
                </c:pt>
                <c:pt idx="178">
                  <c:v>16083.571000000004</c:v>
                </c:pt>
                <c:pt idx="179">
                  <c:v>16063.355000000003</c:v>
                </c:pt>
                <c:pt idx="180">
                  <c:v>16049.136</c:v>
                </c:pt>
                <c:pt idx="181">
                  <c:v>16034.256000000003</c:v>
                </c:pt>
                <c:pt idx="182">
                  <c:v>16027.014999999999</c:v>
                </c:pt>
                <c:pt idx="183">
                  <c:v>16026.547999999999</c:v>
                </c:pt>
                <c:pt idx="184">
                  <c:v>16028.558000000001</c:v>
                </c:pt>
                <c:pt idx="185">
                  <c:v>16035.633</c:v>
                </c:pt>
                <c:pt idx="186">
                  <c:v>16051.578000000001</c:v>
                </c:pt>
                <c:pt idx="187">
                  <c:v>16070.324000000001</c:v>
                </c:pt>
                <c:pt idx="188">
                  <c:v>16086.098</c:v>
                </c:pt>
                <c:pt idx="189">
                  <c:v>16090.589</c:v>
                </c:pt>
                <c:pt idx="190">
                  <c:v>16098.619000000001</c:v>
                </c:pt>
                <c:pt idx="191">
                  <c:v>16121.023000000001</c:v>
                </c:pt>
                <c:pt idx="192">
                  <c:v>16138.865</c:v>
                </c:pt>
                <c:pt idx="193">
                  <c:v>16161.371999999999</c:v>
                </c:pt>
                <c:pt idx="194">
                  <c:v>16185.777999999998</c:v>
                </c:pt>
                <c:pt idx="195">
                  <c:v>16213.025</c:v>
                </c:pt>
                <c:pt idx="196">
                  <c:v>16237.261999999999</c:v>
                </c:pt>
                <c:pt idx="197">
                  <c:v>16258.162999999999</c:v>
                </c:pt>
                <c:pt idx="198">
                  <c:v>16275.436999999998</c:v>
                </c:pt>
                <c:pt idx="199">
                  <c:v>16294.440999999999</c:v>
                </c:pt>
                <c:pt idx="200">
                  <c:v>16317.165999999999</c:v>
                </c:pt>
                <c:pt idx="201">
                  <c:v>16338.569</c:v>
                </c:pt>
                <c:pt idx="202">
                  <c:v>16363.387999999999</c:v>
                </c:pt>
                <c:pt idx="203">
                  <c:v>16390.881999999998</c:v>
                </c:pt>
                <c:pt idx="204">
                  <c:v>16421.684999999998</c:v>
                </c:pt>
                <c:pt idx="205">
                  <c:v>16449.728999999996</c:v>
                </c:pt>
                <c:pt idx="206">
                  <c:v>16469.981</c:v>
                </c:pt>
                <c:pt idx="207">
                  <c:v>16497.494999999999</c:v>
                </c:pt>
                <c:pt idx="208">
                  <c:v>16534.106</c:v>
                </c:pt>
                <c:pt idx="209">
                  <c:v>16569.912999999997</c:v>
                </c:pt>
                <c:pt idx="210">
                  <c:v>16607.247999999996</c:v>
                </c:pt>
                <c:pt idx="211">
                  <c:v>16646.293999999998</c:v>
                </c:pt>
                <c:pt idx="212">
                  <c:v>16695.609999999997</c:v>
                </c:pt>
                <c:pt idx="213">
                  <c:v>16739.463</c:v>
                </c:pt>
                <c:pt idx="214">
                  <c:v>16777.475999999995</c:v>
                </c:pt>
                <c:pt idx="215">
                  <c:v>16822.525999999998</c:v>
                </c:pt>
                <c:pt idx="216">
                  <c:v>16864.504999999997</c:v>
                </c:pt>
                <c:pt idx="217">
                  <c:v>16903.007999999998</c:v>
                </c:pt>
                <c:pt idx="218">
                  <c:v>16942.342000000001</c:v>
                </c:pt>
                <c:pt idx="219">
                  <c:v>16982.004999999997</c:v>
                </c:pt>
                <c:pt idx="220">
                  <c:v>17024.749999999996</c:v>
                </c:pt>
                <c:pt idx="221">
                  <c:v>17070.545999999998</c:v>
                </c:pt>
                <c:pt idx="222">
                  <c:v>17115.580000000002</c:v>
                </c:pt>
                <c:pt idx="223">
                  <c:v>17156.421000000002</c:v>
                </c:pt>
                <c:pt idx="224">
                  <c:v>17190.821</c:v>
                </c:pt>
                <c:pt idx="225">
                  <c:v>17223.47</c:v>
                </c:pt>
                <c:pt idx="226">
                  <c:v>17257.137000000002</c:v>
                </c:pt>
                <c:pt idx="227">
                  <c:v>17287.092000000001</c:v>
                </c:pt>
                <c:pt idx="228">
                  <c:v>17315.368000000006</c:v>
                </c:pt>
                <c:pt idx="229">
                  <c:v>17340.749000000003</c:v>
                </c:pt>
                <c:pt idx="230">
                  <c:v>17361.742000000006</c:v>
                </c:pt>
                <c:pt idx="231">
                  <c:v>17383.117000000006</c:v>
                </c:pt>
                <c:pt idx="232">
                  <c:v>17399.305000000004</c:v>
                </c:pt>
                <c:pt idx="233">
                  <c:v>17410.097000000002</c:v>
                </c:pt>
                <c:pt idx="234">
                  <c:v>17425.173000000003</c:v>
                </c:pt>
                <c:pt idx="235">
                  <c:v>17432.503000000001</c:v>
                </c:pt>
                <c:pt idx="236">
                  <c:v>17445.884000000002</c:v>
                </c:pt>
                <c:pt idx="237">
                  <c:v>17458.131000000005</c:v>
                </c:pt>
                <c:pt idx="238">
                  <c:v>17471.804000000004</c:v>
                </c:pt>
                <c:pt idx="239">
                  <c:v>17486.947000000004</c:v>
                </c:pt>
                <c:pt idx="240">
                  <c:v>17493.782000000003</c:v>
                </c:pt>
                <c:pt idx="241">
                  <c:v>17497.662</c:v>
                </c:pt>
                <c:pt idx="242">
                  <c:v>17494.784000000003</c:v>
                </c:pt>
                <c:pt idx="243">
                  <c:v>17491.697</c:v>
                </c:pt>
                <c:pt idx="244">
                  <c:v>17491.024000000001</c:v>
                </c:pt>
                <c:pt idx="245">
                  <c:v>17493</c:v>
                </c:pt>
                <c:pt idx="246">
                  <c:v>17495.605</c:v>
                </c:pt>
                <c:pt idx="247">
                  <c:v>17498.933999999997</c:v>
                </c:pt>
                <c:pt idx="248">
                  <c:v>17499.957999999999</c:v>
                </c:pt>
                <c:pt idx="249">
                  <c:v>17503.877999999997</c:v>
                </c:pt>
                <c:pt idx="250">
                  <c:v>17503.824999999997</c:v>
                </c:pt>
                <c:pt idx="251">
                  <c:v>17504.600999999995</c:v>
                </c:pt>
                <c:pt idx="252">
                  <c:v>17503.831999999999</c:v>
                </c:pt>
                <c:pt idx="253">
                  <c:v>17505.190999999995</c:v>
                </c:pt>
                <c:pt idx="254">
                  <c:v>17508.968999999997</c:v>
                </c:pt>
                <c:pt idx="255">
                  <c:v>17515.456999999999</c:v>
                </c:pt>
                <c:pt idx="256">
                  <c:v>17526.696999999996</c:v>
                </c:pt>
                <c:pt idx="257">
                  <c:v>17537.489999999994</c:v>
                </c:pt>
                <c:pt idx="258">
                  <c:v>17549.446999999996</c:v>
                </c:pt>
                <c:pt idx="259">
                  <c:v>17562.137999999992</c:v>
                </c:pt>
                <c:pt idx="260">
                  <c:v>17571.523999999994</c:v>
                </c:pt>
                <c:pt idx="261">
                  <c:v>17592.259999999995</c:v>
                </c:pt>
                <c:pt idx="262">
                  <c:v>17603.656999999992</c:v>
                </c:pt>
                <c:pt idx="263">
                  <c:v>17620.868999999995</c:v>
                </c:pt>
                <c:pt idx="264">
                  <c:v>17638.272999999997</c:v>
                </c:pt>
                <c:pt idx="265">
                  <c:v>17651.834999999999</c:v>
                </c:pt>
                <c:pt idx="266">
                  <c:v>17664.876</c:v>
                </c:pt>
                <c:pt idx="267">
                  <c:v>17675.586999999996</c:v>
                </c:pt>
                <c:pt idx="268">
                  <c:v>17684.495999999996</c:v>
                </c:pt>
                <c:pt idx="269">
                  <c:v>17693.173999999995</c:v>
                </c:pt>
                <c:pt idx="270">
                  <c:v>17704.128999999997</c:v>
                </c:pt>
                <c:pt idx="271">
                  <c:v>17712.982999999997</c:v>
                </c:pt>
                <c:pt idx="272">
                  <c:v>17724.162999999997</c:v>
                </c:pt>
                <c:pt idx="273">
                  <c:v>17738.975999999999</c:v>
                </c:pt>
                <c:pt idx="274">
                  <c:v>17763.525999999998</c:v>
                </c:pt>
                <c:pt idx="275">
                  <c:v>17787.330999999998</c:v>
                </c:pt>
                <c:pt idx="276">
                  <c:v>17804.928</c:v>
                </c:pt>
                <c:pt idx="277">
                  <c:v>17824.581999999999</c:v>
                </c:pt>
                <c:pt idx="278">
                  <c:v>17844.841</c:v>
                </c:pt>
                <c:pt idx="279">
                  <c:v>17869.504000000001</c:v>
                </c:pt>
                <c:pt idx="280">
                  <c:v>17901.365000000002</c:v>
                </c:pt>
                <c:pt idx="281">
                  <c:v>17931.148999999998</c:v>
                </c:pt>
                <c:pt idx="282">
                  <c:v>17963.919999999998</c:v>
                </c:pt>
                <c:pt idx="283">
                  <c:v>17999.718000000001</c:v>
                </c:pt>
                <c:pt idx="284">
                  <c:v>18031.037</c:v>
                </c:pt>
                <c:pt idx="285">
                  <c:v>18061.588000000003</c:v>
                </c:pt>
                <c:pt idx="286">
                  <c:v>18081.482000000004</c:v>
                </c:pt>
                <c:pt idx="287">
                  <c:v>18103.255000000001</c:v>
                </c:pt>
                <c:pt idx="288">
                  <c:v>18124.668000000005</c:v>
                </c:pt>
                <c:pt idx="289">
                  <c:v>18143.830000000005</c:v>
                </c:pt>
                <c:pt idx="290">
                  <c:v>18166.706000000006</c:v>
                </c:pt>
                <c:pt idx="291">
                  <c:v>18180.370000000006</c:v>
                </c:pt>
                <c:pt idx="292">
                  <c:v>18200.375000000004</c:v>
                </c:pt>
                <c:pt idx="293">
                  <c:v>18219.307000000004</c:v>
                </c:pt>
                <c:pt idx="294">
                  <c:v>18235.521000000004</c:v>
                </c:pt>
                <c:pt idx="295">
                  <c:v>18249.602000000003</c:v>
                </c:pt>
                <c:pt idx="296">
                  <c:v>18261.463000000003</c:v>
                </c:pt>
                <c:pt idx="297">
                  <c:v>18274.133000000005</c:v>
                </c:pt>
                <c:pt idx="298">
                  <c:v>18287.258000000002</c:v>
                </c:pt>
                <c:pt idx="299">
                  <c:v>18293.502</c:v>
                </c:pt>
                <c:pt idx="300">
                  <c:v>18300.218000000004</c:v>
                </c:pt>
                <c:pt idx="301">
                  <c:v>18302.668000000001</c:v>
                </c:pt>
                <c:pt idx="302">
                  <c:v>18308.955999999998</c:v>
                </c:pt>
                <c:pt idx="303">
                  <c:v>18306.994999999999</c:v>
                </c:pt>
                <c:pt idx="304">
                  <c:v>18302.000999999997</c:v>
                </c:pt>
                <c:pt idx="305">
                  <c:v>18297.507999999994</c:v>
                </c:pt>
                <c:pt idx="306">
                  <c:v>18295.585999999996</c:v>
                </c:pt>
                <c:pt idx="307">
                  <c:v>18291.139999999996</c:v>
                </c:pt>
                <c:pt idx="308">
                  <c:v>18288.149999999998</c:v>
                </c:pt>
                <c:pt idx="309">
                  <c:v>18288.316999999995</c:v>
                </c:pt>
                <c:pt idx="310">
                  <c:v>18289.909999999996</c:v>
                </c:pt>
                <c:pt idx="311">
                  <c:v>18283.468999999997</c:v>
                </c:pt>
                <c:pt idx="312">
                  <c:v>18279.256999999998</c:v>
                </c:pt>
                <c:pt idx="313">
                  <c:v>18273.554999999997</c:v>
                </c:pt>
                <c:pt idx="314">
                  <c:v>18263.200999999997</c:v>
                </c:pt>
                <c:pt idx="315">
                  <c:v>18248.409999999996</c:v>
                </c:pt>
                <c:pt idx="316">
                  <c:v>18235.235999999997</c:v>
                </c:pt>
                <c:pt idx="317">
                  <c:v>18225.279999999995</c:v>
                </c:pt>
                <c:pt idx="318">
                  <c:v>18212.721999999994</c:v>
                </c:pt>
                <c:pt idx="319">
                  <c:v>18199.584999999995</c:v>
                </c:pt>
                <c:pt idx="320">
                  <c:v>18186.983999999997</c:v>
                </c:pt>
                <c:pt idx="321">
                  <c:v>18172.020999999997</c:v>
                </c:pt>
                <c:pt idx="322">
                  <c:v>18155.195999999996</c:v>
                </c:pt>
                <c:pt idx="323">
                  <c:v>18140.268999999997</c:v>
                </c:pt>
                <c:pt idx="324">
                  <c:v>18122.970999999998</c:v>
                </c:pt>
                <c:pt idx="325">
                  <c:v>18103.850999999999</c:v>
                </c:pt>
                <c:pt idx="326">
                  <c:v>18085.346999999998</c:v>
                </c:pt>
                <c:pt idx="327">
                  <c:v>18069.923000000003</c:v>
                </c:pt>
                <c:pt idx="328">
                  <c:v>18057.385000000002</c:v>
                </c:pt>
                <c:pt idx="329">
                  <c:v>18046.892</c:v>
                </c:pt>
                <c:pt idx="330">
                  <c:v>18033.589</c:v>
                </c:pt>
                <c:pt idx="331">
                  <c:v>18020.548999999999</c:v>
                </c:pt>
                <c:pt idx="332">
                  <c:v>18007.139999999996</c:v>
                </c:pt>
                <c:pt idx="333">
                  <c:v>17986.065999999995</c:v>
                </c:pt>
                <c:pt idx="334">
                  <c:v>17963.084999999995</c:v>
                </c:pt>
                <c:pt idx="335">
                  <c:v>17944.102999999999</c:v>
                </c:pt>
                <c:pt idx="336">
                  <c:v>17926.576999999997</c:v>
                </c:pt>
                <c:pt idx="337">
                  <c:v>17904.246999999996</c:v>
                </c:pt>
                <c:pt idx="338">
                  <c:v>17885.558999999997</c:v>
                </c:pt>
                <c:pt idx="339">
                  <c:v>17868.014999999996</c:v>
                </c:pt>
                <c:pt idx="340">
                  <c:v>17857.354999999996</c:v>
                </c:pt>
                <c:pt idx="341">
                  <c:v>17855.447999999993</c:v>
                </c:pt>
                <c:pt idx="342">
                  <c:v>17850.243999999995</c:v>
                </c:pt>
                <c:pt idx="343">
                  <c:v>17839.389999999996</c:v>
                </c:pt>
                <c:pt idx="344">
                  <c:v>17825.197999999997</c:v>
                </c:pt>
                <c:pt idx="345">
                  <c:v>17804.463999999996</c:v>
                </c:pt>
                <c:pt idx="346">
                  <c:v>17783.223999999998</c:v>
                </c:pt>
                <c:pt idx="347">
                  <c:v>17758.718000000001</c:v>
                </c:pt>
                <c:pt idx="348">
                  <c:v>17733.778999999999</c:v>
                </c:pt>
                <c:pt idx="349">
                  <c:v>17714.921000000002</c:v>
                </c:pt>
                <c:pt idx="350">
                  <c:v>17694.846000000001</c:v>
                </c:pt>
                <c:pt idx="351">
                  <c:v>17679.807000000001</c:v>
                </c:pt>
                <c:pt idx="352">
                  <c:v>17660.821000000004</c:v>
                </c:pt>
                <c:pt idx="353">
                  <c:v>17644.076000000005</c:v>
                </c:pt>
                <c:pt idx="354">
                  <c:v>17625.063000000002</c:v>
                </c:pt>
                <c:pt idx="355">
                  <c:v>17607.613000000001</c:v>
                </c:pt>
                <c:pt idx="356">
                  <c:v>17587.514999999999</c:v>
                </c:pt>
                <c:pt idx="357">
                  <c:v>17571.232000000004</c:v>
                </c:pt>
                <c:pt idx="358">
                  <c:v>17557.361000000001</c:v>
                </c:pt>
                <c:pt idx="359">
                  <c:v>17542.015000000003</c:v>
                </c:pt>
                <c:pt idx="360">
                  <c:v>17530.999000000003</c:v>
                </c:pt>
                <c:pt idx="361">
                  <c:v>17522.429000000004</c:v>
                </c:pt>
                <c:pt idx="362">
                  <c:v>17512.539000000004</c:v>
                </c:pt>
                <c:pt idx="363">
                  <c:v>17504.61900000001</c:v>
                </c:pt>
                <c:pt idx="364">
                  <c:v>17503.028000000006</c:v>
                </c:pt>
                <c:pt idx="365">
                  <c:v>17507.501000000007</c:v>
                </c:pt>
                <c:pt idx="366">
                  <c:v>17508.659000000007</c:v>
                </c:pt>
                <c:pt idx="367">
                  <c:v>17508.619000000006</c:v>
                </c:pt>
                <c:pt idx="368">
                  <c:v>17508.668000000009</c:v>
                </c:pt>
                <c:pt idx="369">
                  <c:v>17508.949000000008</c:v>
                </c:pt>
                <c:pt idx="370">
                  <c:v>17504.349000000006</c:v>
                </c:pt>
                <c:pt idx="371">
                  <c:v>17503.925000000007</c:v>
                </c:pt>
                <c:pt idx="372">
                  <c:v>17504.880000000005</c:v>
                </c:pt>
                <c:pt idx="373">
                  <c:v>17503.718000000004</c:v>
                </c:pt>
                <c:pt idx="374">
                  <c:v>17504.150000000005</c:v>
                </c:pt>
                <c:pt idx="375">
                  <c:v>17508.320000000003</c:v>
                </c:pt>
                <c:pt idx="376">
                  <c:v>17515.855000000007</c:v>
                </c:pt>
                <c:pt idx="377">
                  <c:v>17519.055000000008</c:v>
                </c:pt>
                <c:pt idx="378">
                  <c:v>17523.854000000007</c:v>
                </c:pt>
                <c:pt idx="379">
                  <c:v>17524.517000000007</c:v>
                </c:pt>
                <c:pt idx="380">
                  <c:v>17530.921000000006</c:v>
                </c:pt>
                <c:pt idx="381">
                  <c:v>17539.348000000005</c:v>
                </c:pt>
                <c:pt idx="382">
                  <c:v>17549.116000000002</c:v>
                </c:pt>
                <c:pt idx="383">
                  <c:v>17563.97</c:v>
                </c:pt>
                <c:pt idx="384">
                  <c:v>17580.041000000005</c:v>
                </c:pt>
                <c:pt idx="385">
                  <c:v>17598.702000000001</c:v>
                </c:pt>
                <c:pt idx="386">
                  <c:v>17616.578000000001</c:v>
                </c:pt>
                <c:pt idx="387">
                  <c:v>17634.134000000002</c:v>
                </c:pt>
                <c:pt idx="388">
                  <c:v>17647.715000000004</c:v>
                </c:pt>
                <c:pt idx="389">
                  <c:v>17665.345000000001</c:v>
                </c:pt>
                <c:pt idx="390">
                  <c:v>17679.745999999999</c:v>
                </c:pt>
                <c:pt idx="391">
                  <c:v>17692.477000000003</c:v>
                </c:pt>
                <c:pt idx="392">
                  <c:v>17703.097000000002</c:v>
                </c:pt>
                <c:pt idx="393">
                  <c:v>17717.728000000003</c:v>
                </c:pt>
                <c:pt idx="394">
                  <c:v>17739.457000000002</c:v>
                </c:pt>
                <c:pt idx="395">
                  <c:v>17768.344000000001</c:v>
                </c:pt>
                <c:pt idx="396">
                  <c:v>17800.155000000002</c:v>
                </c:pt>
                <c:pt idx="397">
                  <c:v>17831.400000000001</c:v>
                </c:pt>
                <c:pt idx="398">
                  <c:v>17861.442999999999</c:v>
                </c:pt>
                <c:pt idx="399">
                  <c:v>17890.124</c:v>
                </c:pt>
                <c:pt idx="400">
                  <c:v>17922.232999999997</c:v>
                </c:pt>
                <c:pt idx="401">
                  <c:v>17952.062999999998</c:v>
                </c:pt>
                <c:pt idx="402">
                  <c:v>17983.553</c:v>
                </c:pt>
                <c:pt idx="403">
                  <c:v>18014.706000000002</c:v>
                </c:pt>
                <c:pt idx="404">
                  <c:v>18047.073</c:v>
                </c:pt>
                <c:pt idx="405">
                  <c:v>18079.389000000003</c:v>
                </c:pt>
                <c:pt idx="406">
                  <c:v>18114.678</c:v>
                </c:pt>
                <c:pt idx="407">
                  <c:v>18148.182000000001</c:v>
                </c:pt>
                <c:pt idx="408">
                  <c:v>18174.749</c:v>
                </c:pt>
                <c:pt idx="409">
                  <c:v>18203.308000000005</c:v>
                </c:pt>
                <c:pt idx="410">
                  <c:v>18227.276000000002</c:v>
                </c:pt>
                <c:pt idx="411">
                  <c:v>18251.627</c:v>
                </c:pt>
                <c:pt idx="412">
                  <c:v>18276.282999999999</c:v>
                </c:pt>
                <c:pt idx="413">
                  <c:v>18297.261999999999</c:v>
                </c:pt>
                <c:pt idx="414">
                  <c:v>18314.324000000001</c:v>
                </c:pt>
                <c:pt idx="415">
                  <c:v>18331.588</c:v>
                </c:pt>
                <c:pt idx="416">
                  <c:v>18353.798999999999</c:v>
                </c:pt>
                <c:pt idx="417">
                  <c:v>18380.038</c:v>
                </c:pt>
                <c:pt idx="418">
                  <c:v>18411.444000000003</c:v>
                </c:pt>
                <c:pt idx="419">
                  <c:v>18445.406000000003</c:v>
                </c:pt>
                <c:pt idx="420">
                  <c:v>18480.705000000002</c:v>
                </c:pt>
                <c:pt idx="421">
                  <c:v>18513.807000000004</c:v>
                </c:pt>
                <c:pt idx="422">
                  <c:v>18548.368000000002</c:v>
                </c:pt>
                <c:pt idx="423">
                  <c:v>18578.732000000004</c:v>
                </c:pt>
                <c:pt idx="424">
                  <c:v>18607.549000000003</c:v>
                </c:pt>
                <c:pt idx="425">
                  <c:v>18635.037</c:v>
                </c:pt>
                <c:pt idx="426">
                  <c:v>18659.770000000004</c:v>
                </c:pt>
                <c:pt idx="427">
                  <c:v>18686.248000000003</c:v>
                </c:pt>
                <c:pt idx="428">
                  <c:v>18712.422000000002</c:v>
                </c:pt>
                <c:pt idx="429">
                  <c:v>18745.271000000004</c:v>
                </c:pt>
                <c:pt idx="430">
                  <c:v>18774.968000000001</c:v>
                </c:pt>
                <c:pt idx="431">
                  <c:v>18806.312000000002</c:v>
                </c:pt>
                <c:pt idx="432">
                  <c:v>18839.593000000004</c:v>
                </c:pt>
                <c:pt idx="433">
                  <c:v>18868.553000000004</c:v>
                </c:pt>
                <c:pt idx="434">
                  <c:v>18895.704000000005</c:v>
                </c:pt>
                <c:pt idx="435">
                  <c:v>18921.339000000004</c:v>
                </c:pt>
                <c:pt idx="436">
                  <c:v>18951.175000000007</c:v>
                </c:pt>
                <c:pt idx="437">
                  <c:v>18980.738000000008</c:v>
                </c:pt>
                <c:pt idx="438">
                  <c:v>19011.060000000009</c:v>
                </c:pt>
                <c:pt idx="439">
                  <c:v>19042.068000000007</c:v>
                </c:pt>
                <c:pt idx="440">
                  <c:v>19070.451000000008</c:v>
                </c:pt>
                <c:pt idx="441">
                  <c:v>19094.022000000008</c:v>
                </c:pt>
                <c:pt idx="442">
                  <c:v>19115.947000000007</c:v>
                </c:pt>
                <c:pt idx="443">
                  <c:v>19139.864000000009</c:v>
                </c:pt>
                <c:pt idx="444">
                  <c:v>19161.823000000008</c:v>
                </c:pt>
                <c:pt idx="445">
                  <c:v>19181.267000000007</c:v>
                </c:pt>
                <c:pt idx="446">
                  <c:v>19201.241000000005</c:v>
                </c:pt>
                <c:pt idx="447">
                  <c:v>19221.415000000008</c:v>
                </c:pt>
                <c:pt idx="448">
                  <c:v>19240.22600000001</c:v>
                </c:pt>
                <c:pt idx="449">
                  <c:v>19258.235000000008</c:v>
                </c:pt>
                <c:pt idx="450">
                  <c:v>19275.658000000007</c:v>
                </c:pt>
                <c:pt idx="451">
                  <c:v>19290.983000000007</c:v>
                </c:pt>
                <c:pt idx="452">
                  <c:v>19302.65800000001</c:v>
                </c:pt>
                <c:pt idx="453">
                  <c:v>19317.839000000007</c:v>
                </c:pt>
                <c:pt idx="454">
                  <c:v>19334.500000000007</c:v>
                </c:pt>
                <c:pt idx="455">
                  <c:v>19351.350000000009</c:v>
                </c:pt>
                <c:pt idx="456">
                  <c:v>19364.76100000001</c:v>
                </c:pt>
                <c:pt idx="457">
                  <c:v>19374.95900000001</c:v>
                </c:pt>
                <c:pt idx="458">
                  <c:v>19387.318000000007</c:v>
                </c:pt>
                <c:pt idx="459">
                  <c:v>19397.651000000009</c:v>
                </c:pt>
                <c:pt idx="460">
                  <c:v>19409.491000000005</c:v>
                </c:pt>
                <c:pt idx="461">
                  <c:v>19418.233000000004</c:v>
                </c:pt>
                <c:pt idx="462">
                  <c:v>19429.802000000007</c:v>
                </c:pt>
                <c:pt idx="463">
                  <c:v>19444.953000000005</c:v>
                </c:pt>
                <c:pt idx="464">
                  <c:v>19463.141000000007</c:v>
                </c:pt>
                <c:pt idx="465">
                  <c:v>19481.538000000004</c:v>
                </c:pt>
                <c:pt idx="466">
                  <c:v>19499.731000000007</c:v>
                </c:pt>
                <c:pt idx="467">
                  <c:v>19516.688000000006</c:v>
                </c:pt>
                <c:pt idx="468">
                  <c:v>19532.834000000003</c:v>
                </c:pt>
                <c:pt idx="469">
                  <c:v>19546.247000000003</c:v>
                </c:pt>
                <c:pt idx="470">
                  <c:v>19559.867000000002</c:v>
                </c:pt>
                <c:pt idx="471">
                  <c:v>19573.959000000003</c:v>
                </c:pt>
                <c:pt idx="472">
                  <c:v>19587.86</c:v>
                </c:pt>
                <c:pt idx="473">
                  <c:v>19603.89</c:v>
                </c:pt>
                <c:pt idx="474">
                  <c:v>19614.8</c:v>
                </c:pt>
                <c:pt idx="475">
                  <c:v>19620.859</c:v>
                </c:pt>
                <c:pt idx="476">
                  <c:v>19626.657999999999</c:v>
                </c:pt>
                <c:pt idx="477">
                  <c:v>19631.874</c:v>
                </c:pt>
                <c:pt idx="478">
                  <c:v>19633.878000000001</c:v>
                </c:pt>
                <c:pt idx="479">
                  <c:v>19633.977999999999</c:v>
                </c:pt>
                <c:pt idx="480">
                  <c:v>19629.464</c:v>
                </c:pt>
                <c:pt idx="481">
                  <c:v>19625.567000000003</c:v>
                </c:pt>
                <c:pt idx="482">
                  <c:v>19616.559000000001</c:v>
                </c:pt>
                <c:pt idx="483">
                  <c:v>19610.381000000001</c:v>
                </c:pt>
                <c:pt idx="484">
                  <c:v>19607.849000000002</c:v>
                </c:pt>
                <c:pt idx="485">
                  <c:v>19607.307000000001</c:v>
                </c:pt>
                <c:pt idx="486">
                  <c:v>19601.988000000001</c:v>
                </c:pt>
                <c:pt idx="487">
                  <c:v>19602.587</c:v>
                </c:pt>
                <c:pt idx="488">
                  <c:v>19605.892999999996</c:v>
                </c:pt>
                <c:pt idx="489">
                  <c:v>19606.696999999996</c:v>
                </c:pt>
                <c:pt idx="490">
                  <c:v>19607.046999999999</c:v>
                </c:pt>
                <c:pt idx="491">
                  <c:v>19611.150999999998</c:v>
                </c:pt>
                <c:pt idx="492">
                  <c:v>19619.748</c:v>
                </c:pt>
                <c:pt idx="493">
                  <c:v>19622.830000000002</c:v>
                </c:pt>
                <c:pt idx="494">
                  <c:v>19623.377999999997</c:v>
                </c:pt>
                <c:pt idx="495">
                  <c:v>19622.813999999998</c:v>
                </c:pt>
                <c:pt idx="496">
                  <c:v>19615.797999999999</c:v>
                </c:pt>
                <c:pt idx="497">
                  <c:v>19607.378999999997</c:v>
                </c:pt>
                <c:pt idx="498">
                  <c:v>19595.957999999999</c:v>
                </c:pt>
                <c:pt idx="499">
                  <c:v>19588.211999999996</c:v>
                </c:pt>
                <c:pt idx="500">
                  <c:v>19581.729999999996</c:v>
                </c:pt>
                <c:pt idx="501">
                  <c:v>19576.016999999996</c:v>
                </c:pt>
                <c:pt idx="502">
                  <c:v>19569.596999999998</c:v>
                </c:pt>
                <c:pt idx="503">
                  <c:v>19564.39</c:v>
                </c:pt>
                <c:pt idx="504">
                  <c:v>19561.072999999997</c:v>
                </c:pt>
                <c:pt idx="505">
                  <c:v>19560.427999999996</c:v>
                </c:pt>
                <c:pt idx="506">
                  <c:v>19560.827999999994</c:v>
                </c:pt>
                <c:pt idx="507">
                  <c:v>19564.381999999998</c:v>
                </c:pt>
                <c:pt idx="508">
                  <c:v>19566.166999999998</c:v>
                </c:pt>
                <c:pt idx="509">
                  <c:v>19567.821</c:v>
                </c:pt>
                <c:pt idx="510">
                  <c:v>19571.383000000002</c:v>
                </c:pt>
                <c:pt idx="511">
                  <c:v>19575.178</c:v>
                </c:pt>
                <c:pt idx="512">
                  <c:v>19579.981</c:v>
                </c:pt>
                <c:pt idx="513">
                  <c:v>19584.708999999995</c:v>
                </c:pt>
                <c:pt idx="514">
                  <c:v>19587.846999999998</c:v>
                </c:pt>
                <c:pt idx="515">
                  <c:v>19589.505999999998</c:v>
                </c:pt>
                <c:pt idx="516">
                  <c:v>19590.632999999998</c:v>
                </c:pt>
                <c:pt idx="517">
                  <c:v>19590.470999999998</c:v>
                </c:pt>
                <c:pt idx="518">
                  <c:v>19586.583999999999</c:v>
                </c:pt>
                <c:pt idx="519">
                  <c:v>19582.613999999998</c:v>
                </c:pt>
                <c:pt idx="520">
                  <c:v>19579.007999999998</c:v>
                </c:pt>
                <c:pt idx="521">
                  <c:v>19578.877999999997</c:v>
                </c:pt>
                <c:pt idx="522">
                  <c:v>19577.693999999996</c:v>
                </c:pt>
                <c:pt idx="523">
                  <c:v>19580.385999999999</c:v>
                </c:pt>
                <c:pt idx="524">
                  <c:v>19596.094000000001</c:v>
                </c:pt>
                <c:pt idx="525">
                  <c:v>19618.348999999998</c:v>
                </c:pt>
                <c:pt idx="526">
                  <c:v>19643.617999999999</c:v>
                </c:pt>
                <c:pt idx="527">
                  <c:v>19668.150000000001</c:v>
                </c:pt>
                <c:pt idx="528">
                  <c:v>19694.244000000002</c:v>
                </c:pt>
                <c:pt idx="529">
                  <c:v>19719.857</c:v>
                </c:pt>
                <c:pt idx="530">
                  <c:v>19747.514000000003</c:v>
                </c:pt>
                <c:pt idx="531">
                  <c:v>19773.275000000001</c:v>
                </c:pt>
                <c:pt idx="532">
                  <c:v>19806.353999999999</c:v>
                </c:pt>
                <c:pt idx="533">
                  <c:v>19846.764999999999</c:v>
                </c:pt>
                <c:pt idx="534">
                  <c:v>19884.222999999994</c:v>
                </c:pt>
                <c:pt idx="535">
                  <c:v>19920.214999999997</c:v>
                </c:pt>
                <c:pt idx="536">
                  <c:v>19952.970999999998</c:v>
                </c:pt>
                <c:pt idx="537">
                  <c:v>19984.275000000001</c:v>
                </c:pt>
                <c:pt idx="538">
                  <c:v>20015.036</c:v>
                </c:pt>
                <c:pt idx="539">
                  <c:v>20047.982999999997</c:v>
                </c:pt>
                <c:pt idx="540">
                  <c:v>20086.057000000001</c:v>
                </c:pt>
                <c:pt idx="541">
                  <c:v>20126.995999999999</c:v>
                </c:pt>
                <c:pt idx="542">
                  <c:v>20165.394</c:v>
                </c:pt>
                <c:pt idx="543">
                  <c:v>20206.810000000001</c:v>
                </c:pt>
                <c:pt idx="544">
                  <c:v>20247.632000000005</c:v>
                </c:pt>
                <c:pt idx="545">
                  <c:v>20287.126</c:v>
                </c:pt>
                <c:pt idx="546">
                  <c:v>20334.663</c:v>
                </c:pt>
                <c:pt idx="547">
                  <c:v>20386.436000000002</c:v>
                </c:pt>
                <c:pt idx="548">
                  <c:v>20439.550999999999</c:v>
                </c:pt>
                <c:pt idx="549">
                  <c:v>20489.503000000001</c:v>
                </c:pt>
                <c:pt idx="550">
                  <c:v>20539.059000000001</c:v>
                </c:pt>
                <c:pt idx="551">
                  <c:v>20590.411</c:v>
                </c:pt>
                <c:pt idx="552">
                  <c:v>20648.519</c:v>
                </c:pt>
                <c:pt idx="553">
                  <c:v>20707.803</c:v>
                </c:pt>
                <c:pt idx="554">
                  <c:v>20763.837000000003</c:v>
                </c:pt>
                <c:pt idx="555">
                  <c:v>20807.041000000001</c:v>
                </c:pt>
                <c:pt idx="556">
                  <c:v>20848.151999999998</c:v>
                </c:pt>
                <c:pt idx="557">
                  <c:v>20891.730000000003</c:v>
                </c:pt>
                <c:pt idx="558">
                  <c:v>20935.260000000002</c:v>
                </c:pt>
                <c:pt idx="559">
                  <c:v>20971.529000000002</c:v>
                </c:pt>
                <c:pt idx="560">
                  <c:v>21010.097000000002</c:v>
                </c:pt>
                <c:pt idx="561">
                  <c:v>21048.278000000002</c:v>
                </c:pt>
                <c:pt idx="562">
                  <c:v>21089.521000000001</c:v>
                </c:pt>
                <c:pt idx="563">
                  <c:v>21124.659000000003</c:v>
                </c:pt>
                <c:pt idx="564">
                  <c:v>21164.537</c:v>
                </c:pt>
                <c:pt idx="565">
                  <c:v>21204.606</c:v>
                </c:pt>
                <c:pt idx="566">
                  <c:v>21246.013999999999</c:v>
                </c:pt>
                <c:pt idx="567">
                  <c:v>21285.210999999999</c:v>
                </c:pt>
                <c:pt idx="568">
                  <c:v>21327.758999999998</c:v>
                </c:pt>
                <c:pt idx="569">
                  <c:v>21370.474999999999</c:v>
                </c:pt>
                <c:pt idx="570">
                  <c:v>21407.039999999994</c:v>
                </c:pt>
                <c:pt idx="571">
                  <c:v>21440.757999999998</c:v>
                </c:pt>
                <c:pt idx="572">
                  <c:v>21470.415999999997</c:v>
                </c:pt>
                <c:pt idx="573">
                  <c:v>21499.922999999995</c:v>
                </c:pt>
                <c:pt idx="574">
                  <c:v>21522.987999999998</c:v>
                </c:pt>
                <c:pt idx="575">
                  <c:v>21544.100999999995</c:v>
                </c:pt>
                <c:pt idx="576">
                  <c:v>21566.160999999996</c:v>
                </c:pt>
                <c:pt idx="577">
                  <c:v>21590.582999999999</c:v>
                </c:pt>
                <c:pt idx="578">
                  <c:v>21615.133999999998</c:v>
                </c:pt>
                <c:pt idx="579">
                  <c:v>21636.292999999998</c:v>
                </c:pt>
                <c:pt idx="580">
                  <c:v>21662.513999999996</c:v>
                </c:pt>
                <c:pt idx="581">
                  <c:v>21688.240999999995</c:v>
                </c:pt>
                <c:pt idx="582">
                  <c:v>21707.027999999998</c:v>
                </c:pt>
                <c:pt idx="583">
                  <c:v>21721.861999999997</c:v>
                </c:pt>
                <c:pt idx="584">
                  <c:v>21732.511999999999</c:v>
                </c:pt>
                <c:pt idx="585">
                  <c:v>21743.105999999996</c:v>
                </c:pt>
                <c:pt idx="586">
                  <c:v>21766.877999999997</c:v>
                </c:pt>
                <c:pt idx="587">
                  <c:v>21789.888999999999</c:v>
                </c:pt>
                <c:pt idx="588">
                  <c:v>21810.027000000002</c:v>
                </c:pt>
                <c:pt idx="589">
                  <c:v>21830.681</c:v>
                </c:pt>
                <c:pt idx="590">
                  <c:v>21847.457000000002</c:v>
                </c:pt>
                <c:pt idx="591">
                  <c:v>21858.536</c:v>
                </c:pt>
                <c:pt idx="592">
                  <c:v>21870.621999999996</c:v>
                </c:pt>
                <c:pt idx="593">
                  <c:v>21875.737999999998</c:v>
                </c:pt>
                <c:pt idx="594">
                  <c:v>21885.355</c:v>
                </c:pt>
                <c:pt idx="595">
                  <c:v>21895.474999999999</c:v>
                </c:pt>
                <c:pt idx="596">
                  <c:v>21903.417000000001</c:v>
                </c:pt>
                <c:pt idx="597">
                  <c:v>21905.55</c:v>
                </c:pt>
                <c:pt idx="598">
                  <c:v>21912.072</c:v>
                </c:pt>
                <c:pt idx="599">
                  <c:v>21921.414000000001</c:v>
                </c:pt>
                <c:pt idx="600">
                  <c:v>21930.974999999999</c:v>
                </c:pt>
                <c:pt idx="601">
                  <c:v>21938.125</c:v>
                </c:pt>
                <c:pt idx="602">
                  <c:v>21942.706999999999</c:v>
                </c:pt>
                <c:pt idx="603">
                  <c:v>21947.295999999995</c:v>
                </c:pt>
                <c:pt idx="604">
                  <c:v>21955.889999999996</c:v>
                </c:pt>
                <c:pt idx="605">
                  <c:v>21973.516999999996</c:v>
                </c:pt>
                <c:pt idx="606">
                  <c:v>21992.965</c:v>
                </c:pt>
                <c:pt idx="607">
                  <c:v>22010.809999999994</c:v>
                </c:pt>
                <c:pt idx="608">
                  <c:v>22029.647999999997</c:v>
                </c:pt>
                <c:pt idx="609">
                  <c:v>22058.197999999997</c:v>
                </c:pt>
                <c:pt idx="610">
                  <c:v>22081.973999999998</c:v>
                </c:pt>
                <c:pt idx="611">
                  <c:v>22109.998</c:v>
                </c:pt>
                <c:pt idx="612">
                  <c:v>22125.633999999998</c:v>
                </c:pt>
                <c:pt idx="613">
                  <c:v>22140.641999999996</c:v>
                </c:pt>
                <c:pt idx="614">
                  <c:v>22149.085999999996</c:v>
                </c:pt>
                <c:pt idx="615">
                  <c:v>22155.054</c:v>
                </c:pt>
                <c:pt idx="616">
                  <c:v>22160.917999999998</c:v>
                </c:pt>
                <c:pt idx="617">
                  <c:v>22172.211999999996</c:v>
                </c:pt>
                <c:pt idx="618">
                  <c:v>22180.983999999993</c:v>
                </c:pt>
                <c:pt idx="619">
                  <c:v>22190.421999999999</c:v>
                </c:pt>
                <c:pt idx="620">
                  <c:v>22207.47</c:v>
                </c:pt>
                <c:pt idx="621">
                  <c:v>22220.218999999997</c:v>
                </c:pt>
                <c:pt idx="622">
                  <c:v>22240.766</c:v>
                </c:pt>
                <c:pt idx="623">
                  <c:v>22257.998000000003</c:v>
                </c:pt>
                <c:pt idx="624">
                  <c:v>22274.161</c:v>
                </c:pt>
                <c:pt idx="625">
                  <c:v>22285.463000000003</c:v>
                </c:pt>
                <c:pt idx="626">
                  <c:v>22293.503000000004</c:v>
                </c:pt>
                <c:pt idx="627">
                  <c:v>22297.108000000004</c:v>
                </c:pt>
                <c:pt idx="628">
                  <c:v>22299.219000000005</c:v>
                </c:pt>
                <c:pt idx="629">
                  <c:v>22297.267999999996</c:v>
                </c:pt>
                <c:pt idx="630">
                  <c:v>22294.023000000001</c:v>
                </c:pt>
                <c:pt idx="631">
                  <c:v>22291.85</c:v>
                </c:pt>
                <c:pt idx="632">
                  <c:v>22293.766</c:v>
                </c:pt>
                <c:pt idx="633">
                  <c:v>22293.81</c:v>
                </c:pt>
                <c:pt idx="634">
                  <c:v>22302.864000000005</c:v>
                </c:pt>
                <c:pt idx="635">
                  <c:v>22312.530000000006</c:v>
                </c:pt>
                <c:pt idx="636">
                  <c:v>22315.795000000006</c:v>
                </c:pt>
                <c:pt idx="637">
                  <c:v>22318.264000000003</c:v>
                </c:pt>
                <c:pt idx="638">
                  <c:v>22323.094000000005</c:v>
                </c:pt>
                <c:pt idx="639">
                  <c:v>22332.965999999997</c:v>
                </c:pt>
                <c:pt idx="640">
                  <c:v>22342.237000000001</c:v>
                </c:pt>
                <c:pt idx="641">
                  <c:v>22354.232999999997</c:v>
                </c:pt>
                <c:pt idx="642">
                  <c:v>22365.281999999996</c:v>
                </c:pt>
                <c:pt idx="643">
                  <c:v>22379.421999999999</c:v>
                </c:pt>
                <c:pt idx="644">
                  <c:v>22386.261999999992</c:v>
                </c:pt>
                <c:pt idx="645">
                  <c:v>22396.408999999996</c:v>
                </c:pt>
                <c:pt idx="646">
                  <c:v>22420.572999999993</c:v>
                </c:pt>
                <c:pt idx="647">
                  <c:v>22421.913999999993</c:v>
                </c:pt>
                <c:pt idx="648">
                  <c:v>22437.539000000001</c:v>
                </c:pt>
                <c:pt idx="649">
                  <c:v>22453.727999999999</c:v>
                </c:pt>
                <c:pt idx="650">
                  <c:v>22477.595999999998</c:v>
                </c:pt>
                <c:pt idx="651">
                  <c:v>22502.685999999998</c:v>
                </c:pt>
                <c:pt idx="652">
                  <c:v>22525.509999999995</c:v>
                </c:pt>
                <c:pt idx="653">
                  <c:v>22545.431</c:v>
                </c:pt>
                <c:pt idx="654">
                  <c:v>22564.168999999998</c:v>
                </c:pt>
                <c:pt idx="655">
                  <c:v>22584.415000000001</c:v>
                </c:pt>
                <c:pt idx="656">
                  <c:v>22606.880000000001</c:v>
                </c:pt>
                <c:pt idx="657">
                  <c:v>22626.906999999996</c:v>
                </c:pt>
                <c:pt idx="658">
                  <c:v>22647.972999999998</c:v>
                </c:pt>
                <c:pt idx="659">
                  <c:v>22664.668999999998</c:v>
                </c:pt>
                <c:pt idx="660">
                  <c:v>22682.571</c:v>
                </c:pt>
                <c:pt idx="661">
                  <c:v>22701.921000000002</c:v>
                </c:pt>
                <c:pt idx="662">
                  <c:v>22728.909000000003</c:v>
                </c:pt>
                <c:pt idx="663">
                  <c:v>22764.348999999998</c:v>
                </c:pt>
                <c:pt idx="664">
                  <c:v>22801.602999999999</c:v>
                </c:pt>
                <c:pt idx="665">
                  <c:v>22844.524999999994</c:v>
                </c:pt>
                <c:pt idx="666">
                  <c:v>22884.061999999998</c:v>
                </c:pt>
                <c:pt idx="667">
                  <c:v>22923.063999999998</c:v>
                </c:pt>
                <c:pt idx="668">
                  <c:v>22961.746999999996</c:v>
                </c:pt>
                <c:pt idx="669">
                  <c:v>23000.175999999999</c:v>
                </c:pt>
                <c:pt idx="670">
                  <c:v>23035.18</c:v>
                </c:pt>
                <c:pt idx="671">
                  <c:v>23075.445</c:v>
                </c:pt>
                <c:pt idx="672">
                  <c:v>23109.065999999995</c:v>
                </c:pt>
                <c:pt idx="673">
                  <c:v>23143.287999999997</c:v>
                </c:pt>
                <c:pt idx="674">
                  <c:v>23180.366999999998</c:v>
                </c:pt>
                <c:pt idx="675">
                  <c:v>23222.583999999995</c:v>
                </c:pt>
                <c:pt idx="676">
                  <c:v>23265.989999999994</c:v>
                </c:pt>
                <c:pt idx="677">
                  <c:v>23315.956999999999</c:v>
                </c:pt>
                <c:pt idx="678">
                  <c:v>23360.524999999994</c:v>
                </c:pt>
                <c:pt idx="679">
                  <c:v>23411.56</c:v>
                </c:pt>
                <c:pt idx="680">
                  <c:v>23460.037</c:v>
                </c:pt>
                <c:pt idx="681">
                  <c:v>23506.226000000002</c:v>
                </c:pt>
                <c:pt idx="682">
                  <c:v>23549.991000000002</c:v>
                </c:pt>
                <c:pt idx="683">
                  <c:v>23602.677000000003</c:v>
                </c:pt>
                <c:pt idx="684">
                  <c:v>23651.322000000007</c:v>
                </c:pt>
                <c:pt idx="685">
                  <c:v>23699.146000000004</c:v>
                </c:pt>
                <c:pt idx="686">
                  <c:v>23748.129000000004</c:v>
                </c:pt>
                <c:pt idx="687">
                  <c:v>23797.766</c:v>
                </c:pt>
                <c:pt idx="688">
                  <c:v>23840.163999999993</c:v>
                </c:pt>
                <c:pt idx="689">
                  <c:v>23861.922999999995</c:v>
                </c:pt>
                <c:pt idx="690">
                  <c:v>23882.631999999994</c:v>
                </c:pt>
                <c:pt idx="691">
                  <c:v>23909.932999999994</c:v>
                </c:pt>
                <c:pt idx="692">
                  <c:v>23934.509999999995</c:v>
                </c:pt>
                <c:pt idx="693">
                  <c:v>23967.766</c:v>
                </c:pt>
                <c:pt idx="694">
                  <c:v>24004.932999999997</c:v>
                </c:pt>
                <c:pt idx="695">
                  <c:v>24037.098999999998</c:v>
                </c:pt>
                <c:pt idx="696">
                  <c:v>24054.695999999996</c:v>
                </c:pt>
                <c:pt idx="697">
                  <c:v>24107.828999999994</c:v>
                </c:pt>
                <c:pt idx="698">
                  <c:v>24146.874999999989</c:v>
                </c:pt>
                <c:pt idx="699">
                  <c:v>24184.423999999995</c:v>
                </c:pt>
                <c:pt idx="700">
                  <c:v>24214.024999999994</c:v>
                </c:pt>
                <c:pt idx="701">
                  <c:v>24245.070999999996</c:v>
                </c:pt>
                <c:pt idx="702">
                  <c:v>24276.236999999997</c:v>
                </c:pt>
                <c:pt idx="703">
                  <c:v>24309.99</c:v>
                </c:pt>
                <c:pt idx="704">
                  <c:v>24342.367000000002</c:v>
                </c:pt>
                <c:pt idx="705">
                  <c:v>24374.102000000006</c:v>
                </c:pt>
                <c:pt idx="706">
                  <c:v>24405.983000000004</c:v>
                </c:pt>
                <c:pt idx="707">
                  <c:v>24440.381000000001</c:v>
                </c:pt>
                <c:pt idx="708">
                  <c:v>24474.615000000002</c:v>
                </c:pt>
                <c:pt idx="709">
                  <c:v>24510.190000000006</c:v>
                </c:pt>
                <c:pt idx="710">
                  <c:v>24543.407000000003</c:v>
                </c:pt>
                <c:pt idx="711">
                  <c:v>24571.883000000002</c:v>
                </c:pt>
                <c:pt idx="712">
                  <c:v>24591.55</c:v>
                </c:pt>
                <c:pt idx="713">
                  <c:v>24609.387999999992</c:v>
                </c:pt>
                <c:pt idx="714">
                  <c:v>24629.998</c:v>
                </c:pt>
                <c:pt idx="715">
                  <c:v>24645.527999999998</c:v>
                </c:pt>
                <c:pt idx="716">
                  <c:v>24670.828999999994</c:v>
                </c:pt>
                <c:pt idx="717">
                  <c:v>24692.228999999996</c:v>
                </c:pt>
                <c:pt idx="718">
                  <c:v>24713.86099999999</c:v>
                </c:pt>
                <c:pt idx="719">
                  <c:v>24735.75499999999</c:v>
                </c:pt>
                <c:pt idx="720">
                  <c:v>24756.894999999997</c:v>
                </c:pt>
                <c:pt idx="721">
                  <c:v>24776.546999999999</c:v>
                </c:pt>
                <c:pt idx="722">
                  <c:v>24805.876999999997</c:v>
                </c:pt>
                <c:pt idx="723">
                  <c:v>24838.339</c:v>
                </c:pt>
                <c:pt idx="724">
                  <c:v>24867.103999999999</c:v>
                </c:pt>
                <c:pt idx="725">
                  <c:v>24895.452999999994</c:v>
                </c:pt>
                <c:pt idx="726">
                  <c:v>24927.513999999996</c:v>
                </c:pt>
                <c:pt idx="727">
                  <c:v>24955.07599999999</c:v>
                </c:pt>
                <c:pt idx="728">
                  <c:v>24980.674999999996</c:v>
                </c:pt>
                <c:pt idx="729">
                  <c:v>25006.428</c:v>
                </c:pt>
                <c:pt idx="730">
                  <c:v>25021.848999999995</c:v>
                </c:pt>
                <c:pt idx="731">
                  <c:v>25033.870999999999</c:v>
                </c:pt>
                <c:pt idx="732">
                  <c:v>25041.664000000004</c:v>
                </c:pt>
                <c:pt idx="733">
                  <c:v>25045.23</c:v>
                </c:pt>
                <c:pt idx="734">
                  <c:v>25048.147000000001</c:v>
                </c:pt>
                <c:pt idx="735">
                  <c:v>25050.970000000005</c:v>
                </c:pt>
                <c:pt idx="736">
                  <c:v>25051.232000000004</c:v>
                </c:pt>
                <c:pt idx="737">
                  <c:v>25053.573000000004</c:v>
                </c:pt>
                <c:pt idx="738">
                  <c:v>25060.366000000002</c:v>
                </c:pt>
                <c:pt idx="739">
                  <c:v>25078.68</c:v>
                </c:pt>
                <c:pt idx="740">
                  <c:v>25093.826000000001</c:v>
                </c:pt>
                <c:pt idx="741">
                  <c:v>25104.957000000002</c:v>
                </c:pt>
                <c:pt idx="742">
                  <c:v>25118.239000000009</c:v>
                </c:pt>
                <c:pt idx="743">
                  <c:v>25120.331000000009</c:v>
                </c:pt>
                <c:pt idx="744">
                  <c:v>25122.10100000001</c:v>
                </c:pt>
                <c:pt idx="745">
                  <c:v>25127.309000000008</c:v>
                </c:pt>
                <c:pt idx="746">
                  <c:v>25128.05000000001</c:v>
                </c:pt>
                <c:pt idx="747">
                  <c:v>25124.010000000006</c:v>
                </c:pt>
                <c:pt idx="748">
                  <c:v>25121.894000000008</c:v>
                </c:pt>
                <c:pt idx="749">
                  <c:v>25114.734000000004</c:v>
                </c:pt>
                <c:pt idx="750">
                  <c:v>25103.437000000005</c:v>
                </c:pt>
                <c:pt idx="751">
                  <c:v>25093.294000000005</c:v>
                </c:pt>
                <c:pt idx="752">
                  <c:v>25076.738000000001</c:v>
                </c:pt>
                <c:pt idx="753">
                  <c:v>25060.792000000005</c:v>
                </c:pt>
                <c:pt idx="754">
                  <c:v>25050.118000000006</c:v>
                </c:pt>
                <c:pt idx="755">
                  <c:v>25033.058000000012</c:v>
                </c:pt>
                <c:pt idx="756">
                  <c:v>25012.983000000007</c:v>
                </c:pt>
                <c:pt idx="757">
                  <c:v>24991.091000000011</c:v>
                </c:pt>
                <c:pt idx="758">
                  <c:v>24963.186000000005</c:v>
                </c:pt>
                <c:pt idx="759">
                  <c:v>24928.770000000004</c:v>
                </c:pt>
                <c:pt idx="760">
                  <c:v>24895.45</c:v>
                </c:pt>
                <c:pt idx="761">
                  <c:v>24861.624</c:v>
                </c:pt>
                <c:pt idx="762">
                  <c:v>24834.951000000001</c:v>
                </c:pt>
                <c:pt idx="763">
                  <c:v>24803.220999999998</c:v>
                </c:pt>
                <c:pt idx="764">
                  <c:v>24780.543999999998</c:v>
                </c:pt>
                <c:pt idx="765">
                  <c:v>24766.612999999994</c:v>
                </c:pt>
                <c:pt idx="766">
                  <c:v>24742.724999999995</c:v>
                </c:pt>
                <c:pt idx="767">
                  <c:v>24721.092999999997</c:v>
                </c:pt>
                <c:pt idx="768">
                  <c:v>24691.70099999999</c:v>
                </c:pt>
                <c:pt idx="769">
                  <c:v>24665.951999999994</c:v>
                </c:pt>
                <c:pt idx="770">
                  <c:v>24643.921999999999</c:v>
                </c:pt>
                <c:pt idx="771">
                  <c:v>24624.749</c:v>
                </c:pt>
                <c:pt idx="772">
                  <c:v>24598.278999999995</c:v>
                </c:pt>
                <c:pt idx="773">
                  <c:v>24573.665999999997</c:v>
                </c:pt>
                <c:pt idx="774">
                  <c:v>24548.413999999993</c:v>
                </c:pt>
                <c:pt idx="775">
                  <c:v>24520.710999999996</c:v>
                </c:pt>
                <c:pt idx="776">
                  <c:v>24488.591</c:v>
                </c:pt>
                <c:pt idx="777">
                  <c:v>24457.847999999998</c:v>
                </c:pt>
                <c:pt idx="778">
                  <c:v>24432.605</c:v>
                </c:pt>
                <c:pt idx="779">
                  <c:v>24412.033000000003</c:v>
                </c:pt>
                <c:pt idx="780">
                  <c:v>24400.396000000004</c:v>
                </c:pt>
                <c:pt idx="781">
                  <c:v>24386.824000000004</c:v>
                </c:pt>
                <c:pt idx="782">
                  <c:v>24374.886000000006</c:v>
                </c:pt>
                <c:pt idx="783">
                  <c:v>24353.657000000003</c:v>
                </c:pt>
                <c:pt idx="784">
                  <c:v>24325.768000000004</c:v>
                </c:pt>
                <c:pt idx="785">
                  <c:v>24300.868000000002</c:v>
                </c:pt>
                <c:pt idx="786">
                  <c:v>24276.136000000002</c:v>
                </c:pt>
                <c:pt idx="787">
                  <c:v>24248.581000000002</c:v>
                </c:pt>
                <c:pt idx="788">
                  <c:v>24223.701999999997</c:v>
                </c:pt>
                <c:pt idx="789">
                  <c:v>24197.173999999995</c:v>
                </c:pt>
                <c:pt idx="790">
                  <c:v>24175.072999999993</c:v>
                </c:pt>
                <c:pt idx="791">
                  <c:v>24152.849999999995</c:v>
                </c:pt>
                <c:pt idx="792">
                  <c:v>24141.000999999997</c:v>
                </c:pt>
                <c:pt idx="793">
                  <c:v>24131.653999999995</c:v>
                </c:pt>
                <c:pt idx="794">
                  <c:v>24115.264999999999</c:v>
                </c:pt>
                <c:pt idx="795">
                  <c:v>24101.434999999994</c:v>
                </c:pt>
                <c:pt idx="796">
                  <c:v>24091.597999999998</c:v>
                </c:pt>
                <c:pt idx="797">
                  <c:v>24075.345000000001</c:v>
                </c:pt>
                <c:pt idx="798">
                  <c:v>24054.638000000003</c:v>
                </c:pt>
                <c:pt idx="799">
                  <c:v>24029.54</c:v>
                </c:pt>
                <c:pt idx="800">
                  <c:v>24008.954000000005</c:v>
                </c:pt>
                <c:pt idx="801">
                  <c:v>23987.131000000001</c:v>
                </c:pt>
                <c:pt idx="802">
                  <c:v>23973.460000000006</c:v>
                </c:pt>
                <c:pt idx="803">
                  <c:v>23953.258000000002</c:v>
                </c:pt>
                <c:pt idx="804">
                  <c:v>23930.472000000002</c:v>
                </c:pt>
                <c:pt idx="805">
                  <c:v>23906.977999999999</c:v>
                </c:pt>
                <c:pt idx="806">
                  <c:v>23887.120999999996</c:v>
                </c:pt>
                <c:pt idx="807">
                  <c:v>23868.402000000002</c:v>
                </c:pt>
                <c:pt idx="808">
                  <c:v>23852.576999999997</c:v>
                </c:pt>
                <c:pt idx="809">
                  <c:v>23837.978999999999</c:v>
                </c:pt>
                <c:pt idx="810">
                  <c:v>23826.47</c:v>
                </c:pt>
                <c:pt idx="811">
                  <c:v>23820.656000000003</c:v>
                </c:pt>
                <c:pt idx="812">
                  <c:v>23815.276000000002</c:v>
                </c:pt>
                <c:pt idx="813">
                  <c:v>23818.445999999996</c:v>
                </c:pt>
                <c:pt idx="814">
                  <c:v>23809.944</c:v>
                </c:pt>
                <c:pt idx="815">
                  <c:v>23792.726999999999</c:v>
                </c:pt>
                <c:pt idx="816">
                  <c:v>23783.621999999996</c:v>
                </c:pt>
                <c:pt idx="817">
                  <c:v>23772.05</c:v>
                </c:pt>
                <c:pt idx="818">
                  <c:v>23765.834000000003</c:v>
                </c:pt>
                <c:pt idx="819">
                  <c:v>23754.411</c:v>
                </c:pt>
                <c:pt idx="820">
                  <c:v>23736.522000000008</c:v>
                </c:pt>
                <c:pt idx="821">
                  <c:v>23708.815000000006</c:v>
                </c:pt>
                <c:pt idx="822">
                  <c:v>23680.371000000006</c:v>
                </c:pt>
                <c:pt idx="823">
                  <c:v>23646.831000000002</c:v>
                </c:pt>
                <c:pt idx="824">
                  <c:v>23611.860000000004</c:v>
                </c:pt>
                <c:pt idx="825">
                  <c:v>23578.670000000006</c:v>
                </c:pt>
                <c:pt idx="826">
                  <c:v>23545.375</c:v>
                </c:pt>
                <c:pt idx="827">
                  <c:v>23511.196999999996</c:v>
                </c:pt>
                <c:pt idx="828">
                  <c:v>23478.485999999997</c:v>
                </c:pt>
                <c:pt idx="829">
                  <c:v>23439.037999999997</c:v>
                </c:pt>
                <c:pt idx="830">
                  <c:v>23396.739999999994</c:v>
                </c:pt>
                <c:pt idx="831">
                  <c:v>23360.971000000001</c:v>
                </c:pt>
                <c:pt idx="832">
                  <c:v>23327.895</c:v>
                </c:pt>
                <c:pt idx="833">
                  <c:v>23291.355000000003</c:v>
                </c:pt>
                <c:pt idx="834">
                  <c:v>23261.991000000005</c:v>
                </c:pt>
                <c:pt idx="835">
                  <c:v>23228.575000000004</c:v>
                </c:pt>
                <c:pt idx="836">
                  <c:v>23200.768000000004</c:v>
                </c:pt>
                <c:pt idx="837">
                  <c:v>23176.658000000003</c:v>
                </c:pt>
                <c:pt idx="838">
                  <c:v>23151.440000000006</c:v>
                </c:pt>
                <c:pt idx="839">
                  <c:v>23127.748000000007</c:v>
                </c:pt>
                <c:pt idx="840">
                  <c:v>23104.810000000005</c:v>
                </c:pt>
                <c:pt idx="841">
                  <c:v>23079.362000000008</c:v>
                </c:pt>
                <c:pt idx="842">
                  <c:v>23043.533000000007</c:v>
                </c:pt>
                <c:pt idx="843">
                  <c:v>23013.613000000001</c:v>
                </c:pt>
                <c:pt idx="844">
                  <c:v>22997.978000000003</c:v>
                </c:pt>
                <c:pt idx="845">
                  <c:v>22981.972000000012</c:v>
                </c:pt>
                <c:pt idx="846">
                  <c:v>22972.006000000005</c:v>
                </c:pt>
                <c:pt idx="847">
                  <c:v>22968.484000000008</c:v>
                </c:pt>
                <c:pt idx="848">
                  <c:v>22973.021000000004</c:v>
                </c:pt>
                <c:pt idx="849">
                  <c:v>22984.674999999999</c:v>
                </c:pt>
                <c:pt idx="850">
                  <c:v>22990.891000000007</c:v>
                </c:pt>
                <c:pt idx="851">
                  <c:v>22998.466000000004</c:v>
                </c:pt>
                <c:pt idx="852">
                  <c:v>23002.617000000006</c:v>
                </c:pt>
                <c:pt idx="853">
                  <c:v>23001.867000000006</c:v>
                </c:pt>
                <c:pt idx="854">
                  <c:v>23001.61900000001</c:v>
                </c:pt>
                <c:pt idx="855">
                  <c:v>23006.128000000008</c:v>
                </c:pt>
                <c:pt idx="856">
                  <c:v>23001.110000000004</c:v>
                </c:pt>
                <c:pt idx="857">
                  <c:v>22980.235000000008</c:v>
                </c:pt>
                <c:pt idx="858">
                  <c:v>22969.108000000007</c:v>
                </c:pt>
                <c:pt idx="859">
                  <c:v>22960.508000000002</c:v>
                </c:pt>
                <c:pt idx="860">
                  <c:v>22957.934000000005</c:v>
                </c:pt>
                <c:pt idx="861">
                  <c:v>22961.243000000002</c:v>
                </c:pt>
                <c:pt idx="862">
                  <c:v>22964.996999999996</c:v>
                </c:pt>
                <c:pt idx="863">
                  <c:v>22971.861999999994</c:v>
                </c:pt>
                <c:pt idx="864">
                  <c:v>22984.729999999996</c:v>
                </c:pt>
                <c:pt idx="865">
                  <c:v>23000.853999999996</c:v>
                </c:pt>
                <c:pt idx="866">
                  <c:v>23012.647999999997</c:v>
                </c:pt>
                <c:pt idx="867">
                  <c:v>23023.655999999992</c:v>
                </c:pt>
                <c:pt idx="868">
                  <c:v>23032.375999999997</c:v>
                </c:pt>
                <c:pt idx="869">
                  <c:v>23047.747000000003</c:v>
                </c:pt>
                <c:pt idx="870">
                  <c:v>23066.833999999999</c:v>
                </c:pt>
                <c:pt idx="871">
                  <c:v>23092.081999999999</c:v>
                </c:pt>
                <c:pt idx="872">
                  <c:v>23118.11099999999</c:v>
                </c:pt>
                <c:pt idx="873">
                  <c:v>23146.705999999991</c:v>
                </c:pt>
                <c:pt idx="874">
                  <c:v>23175.712999999992</c:v>
                </c:pt>
                <c:pt idx="875">
                  <c:v>23204.810999999991</c:v>
                </c:pt>
                <c:pt idx="876">
                  <c:v>23231.380999999998</c:v>
                </c:pt>
                <c:pt idx="877">
                  <c:v>23252.882999999994</c:v>
                </c:pt>
                <c:pt idx="878">
                  <c:v>23293.113999999994</c:v>
                </c:pt>
                <c:pt idx="879">
                  <c:v>23328.762999999992</c:v>
                </c:pt>
                <c:pt idx="880">
                  <c:v>23371.033999999996</c:v>
                </c:pt>
                <c:pt idx="881">
                  <c:v>23421.324999999997</c:v>
                </c:pt>
                <c:pt idx="882">
                  <c:v>23470.82</c:v>
                </c:pt>
                <c:pt idx="883">
                  <c:v>23527.235000000001</c:v>
                </c:pt>
                <c:pt idx="884">
                  <c:v>23578.526999999998</c:v>
                </c:pt>
                <c:pt idx="885">
                  <c:v>23633.142999999993</c:v>
                </c:pt>
                <c:pt idx="886">
                  <c:v>23678.590999999993</c:v>
                </c:pt>
                <c:pt idx="887">
                  <c:v>23724.759999999991</c:v>
                </c:pt>
                <c:pt idx="888">
                  <c:v>23773.732999999989</c:v>
                </c:pt>
                <c:pt idx="889">
                  <c:v>23821.050999999989</c:v>
                </c:pt>
                <c:pt idx="890">
                  <c:v>23866.141999999989</c:v>
                </c:pt>
                <c:pt idx="891">
                  <c:v>23913.403999999991</c:v>
                </c:pt>
                <c:pt idx="892">
                  <c:v>23960.473999999991</c:v>
                </c:pt>
                <c:pt idx="893">
                  <c:v>24004.63099999999</c:v>
                </c:pt>
                <c:pt idx="894">
                  <c:v>24038.794999999995</c:v>
                </c:pt>
                <c:pt idx="895">
                  <c:v>24073.046999999999</c:v>
                </c:pt>
                <c:pt idx="896">
                  <c:v>24104.251999999997</c:v>
                </c:pt>
                <c:pt idx="897">
                  <c:v>24137.304999999997</c:v>
                </c:pt>
                <c:pt idx="898">
                  <c:v>24166.201999999997</c:v>
                </c:pt>
                <c:pt idx="899">
                  <c:v>24194.913999999993</c:v>
                </c:pt>
                <c:pt idx="900">
                  <c:v>24228.00499999999</c:v>
                </c:pt>
                <c:pt idx="901">
                  <c:v>24253.929999999989</c:v>
                </c:pt>
                <c:pt idx="902">
                  <c:v>24277.91499999999</c:v>
                </c:pt>
                <c:pt idx="903">
                  <c:v>24313.530999999992</c:v>
                </c:pt>
                <c:pt idx="904">
                  <c:v>24343.951999999994</c:v>
                </c:pt>
                <c:pt idx="905">
                  <c:v>24375.190999999995</c:v>
                </c:pt>
                <c:pt idx="906">
                  <c:v>24412.966999999997</c:v>
                </c:pt>
                <c:pt idx="907">
                  <c:v>24471.982999999993</c:v>
                </c:pt>
                <c:pt idx="908">
                  <c:v>24520.703999999994</c:v>
                </c:pt>
                <c:pt idx="909">
                  <c:v>24573.607999999993</c:v>
                </c:pt>
                <c:pt idx="910">
                  <c:v>24621.931999999993</c:v>
                </c:pt>
                <c:pt idx="911">
                  <c:v>24666.340999999993</c:v>
                </c:pt>
                <c:pt idx="912">
                  <c:v>24710.352999999992</c:v>
                </c:pt>
                <c:pt idx="913">
                  <c:v>24743.660999999996</c:v>
                </c:pt>
                <c:pt idx="914">
                  <c:v>24771.986000000001</c:v>
                </c:pt>
                <c:pt idx="915">
                  <c:v>24797.708999999999</c:v>
                </c:pt>
                <c:pt idx="916">
                  <c:v>24819.236000000001</c:v>
                </c:pt>
                <c:pt idx="917">
                  <c:v>24843.522000000001</c:v>
                </c:pt>
                <c:pt idx="918">
                  <c:v>24871.960999999999</c:v>
                </c:pt>
                <c:pt idx="919">
                  <c:v>24895.841</c:v>
                </c:pt>
                <c:pt idx="920">
                  <c:v>24918.644000000004</c:v>
                </c:pt>
                <c:pt idx="921">
                  <c:v>24939.06500000001</c:v>
                </c:pt>
                <c:pt idx="922">
                  <c:v>24955.128000000012</c:v>
                </c:pt>
                <c:pt idx="923">
                  <c:v>24967.55100000001</c:v>
                </c:pt>
                <c:pt idx="924">
                  <c:v>24983.875000000015</c:v>
                </c:pt>
                <c:pt idx="925">
                  <c:v>24999.828000000012</c:v>
                </c:pt>
                <c:pt idx="926">
                  <c:v>25016.581000000009</c:v>
                </c:pt>
                <c:pt idx="927">
                  <c:v>25035.789000000012</c:v>
                </c:pt>
                <c:pt idx="928">
                  <c:v>25039.109000000008</c:v>
                </c:pt>
                <c:pt idx="929">
                  <c:v>25048.760000000006</c:v>
                </c:pt>
                <c:pt idx="930">
                  <c:v>25059.820000000003</c:v>
                </c:pt>
                <c:pt idx="931">
                  <c:v>25059.82</c:v>
                </c:pt>
                <c:pt idx="932">
                  <c:v>25056.164000000004</c:v>
                </c:pt>
                <c:pt idx="933">
                  <c:v>25050.873000000003</c:v>
                </c:pt>
                <c:pt idx="934">
                  <c:v>25053.617000000002</c:v>
                </c:pt>
                <c:pt idx="935">
                  <c:v>25054.449000000004</c:v>
                </c:pt>
                <c:pt idx="936">
                  <c:v>25057.622000000007</c:v>
                </c:pt>
                <c:pt idx="937">
                  <c:v>25051.866000000009</c:v>
                </c:pt>
                <c:pt idx="938">
                  <c:v>25046.298000000013</c:v>
                </c:pt>
                <c:pt idx="939">
                  <c:v>25042.765000000014</c:v>
                </c:pt>
                <c:pt idx="940">
                  <c:v>25039.200000000008</c:v>
                </c:pt>
                <c:pt idx="941">
                  <c:v>25034.451000000012</c:v>
                </c:pt>
                <c:pt idx="942">
                  <c:v>25026.703000000012</c:v>
                </c:pt>
                <c:pt idx="943">
                  <c:v>25024.072000000007</c:v>
                </c:pt>
                <c:pt idx="944">
                  <c:v>25022.970000000005</c:v>
                </c:pt>
                <c:pt idx="945">
                  <c:v>25022.953000000001</c:v>
                </c:pt>
                <c:pt idx="946">
                  <c:v>25020.561000000002</c:v>
                </c:pt>
                <c:pt idx="947">
                  <c:v>25018.039000000001</c:v>
                </c:pt>
                <c:pt idx="948">
                  <c:v>25015.588</c:v>
                </c:pt>
                <c:pt idx="949">
                  <c:v>25014.513999999999</c:v>
                </c:pt>
                <c:pt idx="950">
                  <c:v>25013.361000000001</c:v>
                </c:pt>
                <c:pt idx="951">
                  <c:v>25012.999000000003</c:v>
                </c:pt>
                <c:pt idx="952">
                  <c:v>25017.982000000007</c:v>
                </c:pt>
                <c:pt idx="953">
                  <c:v>25013.293000000001</c:v>
                </c:pt>
                <c:pt idx="954">
                  <c:v>25006.242999999999</c:v>
                </c:pt>
                <c:pt idx="955">
                  <c:v>24998.539000000004</c:v>
                </c:pt>
                <c:pt idx="956">
                  <c:v>24995.175000000003</c:v>
                </c:pt>
                <c:pt idx="957">
                  <c:v>24984.519000000008</c:v>
                </c:pt>
                <c:pt idx="958">
                  <c:v>24979.382000000005</c:v>
                </c:pt>
                <c:pt idx="959">
                  <c:v>24973.181000000011</c:v>
                </c:pt>
                <c:pt idx="960">
                  <c:v>24963.106000000011</c:v>
                </c:pt>
                <c:pt idx="961">
                  <c:v>24947.589000000004</c:v>
                </c:pt>
                <c:pt idx="962">
                  <c:v>24932.205000000009</c:v>
                </c:pt>
                <c:pt idx="963">
                  <c:v>24921.326000000012</c:v>
                </c:pt>
                <c:pt idx="964">
                  <c:v>24910.600000000009</c:v>
                </c:pt>
                <c:pt idx="965">
                  <c:v>24903.812000000005</c:v>
                </c:pt>
                <c:pt idx="966">
                  <c:v>24897.090000000004</c:v>
                </c:pt>
                <c:pt idx="967">
                  <c:v>24892.652000000006</c:v>
                </c:pt>
                <c:pt idx="968">
                  <c:v>24890.03100000001</c:v>
                </c:pt>
                <c:pt idx="969">
                  <c:v>24888.053000000011</c:v>
                </c:pt>
                <c:pt idx="970">
                  <c:v>24885.072000000011</c:v>
                </c:pt>
                <c:pt idx="971">
                  <c:v>24882.01400000001</c:v>
                </c:pt>
                <c:pt idx="972">
                  <c:v>24882.407000000007</c:v>
                </c:pt>
                <c:pt idx="973">
                  <c:v>24881.899000000009</c:v>
                </c:pt>
                <c:pt idx="974">
                  <c:v>24875.800000000003</c:v>
                </c:pt>
                <c:pt idx="975">
                  <c:v>24864.653000000006</c:v>
                </c:pt>
                <c:pt idx="976">
                  <c:v>24855.122000000003</c:v>
                </c:pt>
                <c:pt idx="977">
                  <c:v>24847.976000000002</c:v>
                </c:pt>
                <c:pt idx="978">
                  <c:v>24842.888000000003</c:v>
                </c:pt>
                <c:pt idx="979">
                  <c:v>24839.555</c:v>
                </c:pt>
                <c:pt idx="980">
                  <c:v>24836.71</c:v>
                </c:pt>
                <c:pt idx="981">
                  <c:v>24837.633999999998</c:v>
                </c:pt>
                <c:pt idx="982">
                  <c:v>24841.816999999995</c:v>
                </c:pt>
                <c:pt idx="983">
                  <c:v>24851.834999999999</c:v>
                </c:pt>
                <c:pt idx="984">
                  <c:v>24861.119999999999</c:v>
                </c:pt>
                <c:pt idx="985">
                  <c:v>24868.566000000003</c:v>
                </c:pt>
                <c:pt idx="986">
                  <c:v>24876.109</c:v>
                </c:pt>
                <c:pt idx="987">
                  <c:v>24891.273000000001</c:v>
                </c:pt>
                <c:pt idx="988">
                  <c:v>24908.523999999998</c:v>
                </c:pt>
                <c:pt idx="989">
                  <c:v>24929.730000000003</c:v>
                </c:pt>
                <c:pt idx="990">
                  <c:v>24955.109000000004</c:v>
                </c:pt>
                <c:pt idx="991">
                  <c:v>24980.558000000008</c:v>
                </c:pt>
                <c:pt idx="992">
                  <c:v>25011.119999999999</c:v>
                </c:pt>
                <c:pt idx="993">
                  <c:v>25035.322</c:v>
                </c:pt>
                <c:pt idx="994">
                  <c:v>25064.895</c:v>
                </c:pt>
                <c:pt idx="995">
                  <c:v>25091.231999999996</c:v>
                </c:pt>
                <c:pt idx="996">
                  <c:v>25119.683999999997</c:v>
                </c:pt>
                <c:pt idx="997">
                  <c:v>25139.702000000001</c:v>
                </c:pt>
                <c:pt idx="998">
                  <c:v>25154.531000000003</c:v>
                </c:pt>
                <c:pt idx="999">
                  <c:v>25168.787</c:v>
                </c:pt>
                <c:pt idx="1000">
                  <c:v>25179.064999999999</c:v>
                </c:pt>
                <c:pt idx="1001">
                  <c:v>25191.857000000004</c:v>
                </c:pt>
                <c:pt idx="1002">
                  <c:v>25202.348000000002</c:v>
                </c:pt>
                <c:pt idx="1003">
                  <c:v>25219.594000000008</c:v>
                </c:pt>
                <c:pt idx="1004">
                  <c:v>25243.475000000009</c:v>
                </c:pt>
                <c:pt idx="1005">
                  <c:v>25272.454000000009</c:v>
                </c:pt>
                <c:pt idx="1006">
                  <c:v>25297.536000000007</c:v>
                </c:pt>
                <c:pt idx="1007">
                  <c:v>25324.145000000004</c:v>
                </c:pt>
                <c:pt idx="1008">
                  <c:v>25350.113000000001</c:v>
                </c:pt>
                <c:pt idx="1009">
                  <c:v>25373.628000000008</c:v>
                </c:pt>
                <c:pt idx="1010">
                  <c:v>25399.861000000001</c:v>
                </c:pt>
                <c:pt idx="1011">
                  <c:v>25428.240999999995</c:v>
                </c:pt>
                <c:pt idx="1012">
                  <c:v>25452.231999999996</c:v>
                </c:pt>
                <c:pt idx="1013">
                  <c:v>25471.959999999995</c:v>
                </c:pt>
                <c:pt idx="1014">
                  <c:v>25489.545999999995</c:v>
                </c:pt>
                <c:pt idx="1015">
                  <c:v>25511.371999999996</c:v>
                </c:pt>
                <c:pt idx="1016">
                  <c:v>25534.298999999999</c:v>
                </c:pt>
                <c:pt idx="1017">
                  <c:v>25553.575999999997</c:v>
                </c:pt>
                <c:pt idx="1018">
                  <c:v>25570.485999999997</c:v>
                </c:pt>
                <c:pt idx="1019">
                  <c:v>25582.657999999999</c:v>
                </c:pt>
                <c:pt idx="1020">
                  <c:v>25595.837000000003</c:v>
                </c:pt>
                <c:pt idx="1021">
                  <c:v>25612.465</c:v>
                </c:pt>
                <c:pt idx="1022">
                  <c:v>25632.804</c:v>
                </c:pt>
                <c:pt idx="1023">
                  <c:v>25650.877</c:v>
                </c:pt>
                <c:pt idx="1024">
                  <c:v>25669.852999999999</c:v>
                </c:pt>
                <c:pt idx="1025">
                  <c:v>25691.918999999998</c:v>
                </c:pt>
                <c:pt idx="1026">
                  <c:v>25717.192000000003</c:v>
                </c:pt>
                <c:pt idx="1027">
                  <c:v>25745.909</c:v>
                </c:pt>
                <c:pt idx="1028">
                  <c:v>25769.729000000003</c:v>
                </c:pt>
                <c:pt idx="1029">
                  <c:v>25789.046000000002</c:v>
                </c:pt>
                <c:pt idx="1030">
                  <c:v>25803.864000000005</c:v>
                </c:pt>
                <c:pt idx="1031">
                  <c:v>25818.009000000009</c:v>
                </c:pt>
                <c:pt idx="1032">
                  <c:v>25836.414000000004</c:v>
                </c:pt>
                <c:pt idx="1033">
                  <c:v>25856.226000000006</c:v>
                </c:pt>
                <c:pt idx="1034">
                  <c:v>25874.062000000002</c:v>
                </c:pt>
                <c:pt idx="1035">
                  <c:v>25892.357000000004</c:v>
                </c:pt>
                <c:pt idx="1036">
                  <c:v>25910.293000000009</c:v>
                </c:pt>
                <c:pt idx="1037">
                  <c:v>25922.664000000004</c:v>
                </c:pt>
                <c:pt idx="1038">
                  <c:v>25929.735000000008</c:v>
                </c:pt>
              </c:numCache>
            </c:numRef>
          </c:val>
          <c:smooth val="0"/>
          <c:extLst>
            <c:ext xmlns:c16="http://schemas.microsoft.com/office/drawing/2014/chart" uri="{C3380CC4-5D6E-409C-BE32-E72D297353CC}">
              <c16:uniqueId val="{00000002-DE9F-41DE-ADFB-3547966DB085}"/>
            </c:ext>
          </c:extLst>
        </c:ser>
        <c:ser>
          <c:idx val="3"/>
          <c:order val="3"/>
          <c:tx>
            <c:strRef>
              <c:f>'Price trend line table'!$E$1:$E$201</c:f>
              <c:strCache>
                <c:ptCount val="201"/>
                <c:pt idx="0">
                  <c:v>200 Day moving average</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pt idx="28">
                  <c:v>-</c:v>
                </c:pt>
                <c:pt idx="29">
                  <c:v>-</c:v>
                </c:pt>
                <c:pt idx="30">
                  <c:v>-</c:v>
                </c:pt>
                <c:pt idx="31">
                  <c:v>-</c:v>
                </c:pt>
                <c:pt idx="32">
                  <c:v>-</c:v>
                </c:pt>
                <c:pt idx="33">
                  <c:v>-</c:v>
                </c:pt>
                <c:pt idx="34">
                  <c:v>-</c:v>
                </c:pt>
                <c:pt idx="35">
                  <c:v>-</c:v>
                </c:pt>
                <c:pt idx="36">
                  <c:v>-</c:v>
                </c:pt>
                <c:pt idx="37">
                  <c:v>-</c:v>
                </c:pt>
                <c:pt idx="38">
                  <c:v>-</c:v>
                </c:pt>
                <c:pt idx="39">
                  <c:v>-</c:v>
                </c:pt>
                <c:pt idx="40">
                  <c:v>-</c:v>
                </c:pt>
                <c:pt idx="41">
                  <c:v>-</c:v>
                </c:pt>
                <c:pt idx="42">
                  <c:v>-</c:v>
                </c:pt>
                <c:pt idx="43">
                  <c:v>-</c:v>
                </c:pt>
                <c:pt idx="44">
                  <c:v>-</c:v>
                </c:pt>
                <c:pt idx="45">
                  <c:v>-</c:v>
                </c:pt>
                <c:pt idx="46">
                  <c:v>-</c:v>
                </c:pt>
                <c:pt idx="47">
                  <c:v>-</c:v>
                </c:pt>
                <c:pt idx="48">
                  <c:v>-</c:v>
                </c:pt>
                <c:pt idx="49">
                  <c:v>-</c:v>
                </c:pt>
                <c:pt idx="50">
                  <c:v>-</c:v>
                </c:pt>
                <c:pt idx="51">
                  <c:v>-</c:v>
                </c:pt>
                <c:pt idx="52">
                  <c:v>-</c:v>
                </c:pt>
                <c:pt idx="53">
                  <c:v>-</c:v>
                </c:pt>
                <c:pt idx="54">
                  <c:v>-</c:v>
                </c:pt>
                <c:pt idx="55">
                  <c:v>-</c:v>
                </c:pt>
                <c:pt idx="56">
                  <c:v>-</c:v>
                </c:pt>
                <c:pt idx="57">
                  <c:v>-</c:v>
                </c:pt>
                <c:pt idx="58">
                  <c:v>-</c:v>
                </c:pt>
                <c:pt idx="59">
                  <c:v>-</c:v>
                </c:pt>
                <c:pt idx="60">
                  <c:v>-</c:v>
                </c:pt>
                <c:pt idx="61">
                  <c:v>-</c:v>
                </c:pt>
                <c:pt idx="62">
                  <c:v>-</c:v>
                </c:pt>
                <c:pt idx="63">
                  <c:v>-</c:v>
                </c:pt>
                <c:pt idx="64">
                  <c:v>-</c:v>
                </c:pt>
                <c:pt idx="65">
                  <c:v>-</c:v>
                </c:pt>
                <c:pt idx="66">
                  <c:v>-</c:v>
                </c:pt>
                <c:pt idx="67">
                  <c:v>-</c:v>
                </c:pt>
                <c:pt idx="68">
                  <c:v>-</c:v>
                </c:pt>
                <c:pt idx="69">
                  <c:v>-</c:v>
                </c:pt>
                <c:pt idx="70">
                  <c:v>-</c:v>
                </c:pt>
                <c:pt idx="71">
                  <c:v>-</c:v>
                </c:pt>
                <c:pt idx="72">
                  <c:v>-</c:v>
                </c:pt>
                <c:pt idx="73">
                  <c:v>-</c:v>
                </c:pt>
                <c:pt idx="74">
                  <c:v>-</c:v>
                </c:pt>
                <c:pt idx="75">
                  <c:v>-</c:v>
                </c:pt>
                <c:pt idx="76">
                  <c:v>-</c:v>
                </c:pt>
                <c:pt idx="77">
                  <c:v>-</c:v>
                </c:pt>
                <c:pt idx="78">
                  <c:v>-</c:v>
                </c:pt>
                <c:pt idx="79">
                  <c:v>-</c:v>
                </c:pt>
                <c:pt idx="80">
                  <c:v>-</c:v>
                </c:pt>
                <c:pt idx="81">
                  <c:v>-</c:v>
                </c:pt>
                <c:pt idx="82">
                  <c:v>-</c:v>
                </c:pt>
                <c:pt idx="83">
                  <c:v>-</c:v>
                </c:pt>
                <c:pt idx="84">
                  <c:v>-</c:v>
                </c:pt>
                <c:pt idx="85">
                  <c:v>-</c:v>
                </c:pt>
                <c:pt idx="86">
                  <c:v>-</c:v>
                </c:pt>
                <c:pt idx="87">
                  <c:v>-</c:v>
                </c:pt>
                <c:pt idx="88">
                  <c:v>-</c:v>
                </c:pt>
                <c:pt idx="89">
                  <c:v>-</c:v>
                </c:pt>
                <c:pt idx="90">
                  <c:v>-</c:v>
                </c:pt>
                <c:pt idx="91">
                  <c:v>-</c:v>
                </c:pt>
                <c:pt idx="92">
                  <c:v>-</c:v>
                </c:pt>
                <c:pt idx="93">
                  <c:v>-</c:v>
                </c:pt>
                <c:pt idx="94">
                  <c:v>-</c:v>
                </c:pt>
                <c:pt idx="95">
                  <c:v>-</c:v>
                </c:pt>
                <c:pt idx="96">
                  <c:v>-</c:v>
                </c:pt>
                <c:pt idx="97">
                  <c:v>-</c:v>
                </c:pt>
                <c:pt idx="98">
                  <c:v>-</c:v>
                </c:pt>
                <c:pt idx="99">
                  <c:v>-</c:v>
                </c:pt>
                <c:pt idx="100">
                  <c:v>-</c:v>
                </c:pt>
                <c:pt idx="101">
                  <c:v>-</c:v>
                </c:pt>
                <c:pt idx="102">
                  <c:v>-</c:v>
                </c:pt>
                <c:pt idx="103">
                  <c:v>-</c:v>
                </c:pt>
                <c:pt idx="104">
                  <c:v>-</c:v>
                </c:pt>
                <c:pt idx="105">
                  <c:v>-</c:v>
                </c:pt>
                <c:pt idx="106">
                  <c:v>-</c:v>
                </c:pt>
                <c:pt idx="107">
                  <c:v>-</c:v>
                </c:pt>
                <c:pt idx="108">
                  <c:v>-</c:v>
                </c:pt>
                <c:pt idx="109">
                  <c:v>-</c:v>
                </c:pt>
                <c:pt idx="110">
                  <c:v>-</c:v>
                </c:pt>
                <c:pt idx="111">
                  <c:v>-</c:v>
                </c:pt>
                <c:pt idx="112">
                  <c:v>-</c:v>
                </c:pt>
                <c:pt idx="113">
                  <c:v>-</c:v>
                </c:pt>
                <c:pt idx="114">
                  <c:v>-</c:v>
                </c:pt>
                <c:pt idx="115">
                  <c:v>-</c:v>
                </c:pt>
                <c:pt idx="116">
                  <c:v>-</c:v>
                </c:pt>
                <c:pt idx="117">
                  <c:v>-</c:v>
                </c:pt>
                <c:pt idx="118">
                  <c:v>-</c:v>
                </c:pt>
                <c:pt idx="119">
                  <c:v>-</c:v>
                </c:pt>
                <c:pt idx="120">
                  <c:v>-</c:v>
                </c:pt>
                <c:pt idx="121">
                  <c:v>-</c:v>
                </c:pt>
                <c:pt idx="122">
                  <c:v>-</c:v>
                </c:pt>
                <c:pt idx="123">
                  <c:v>-</c:v>
                </c:pt>
                <c:pt idx="124">
                  <c:v>-</c:v>
                </c:pt>
                <c:pt idx="125">
                  <c:v>-</c:v>
                </c:pt>
                <c:pt idx="126">
                  <c:v>-</c:v>
                </c:pt>
                <c:pt idx="127">
                  <c:v>-</c:v>
                </c:pt>
                <c:pt idx="128">
                  <c:v>-</c:v>
                </c:pt>
                <c:pt idx="129">
                  <c:v>-</c:v>
                </c:pt>
                <c:pt idx="130">
                  <c:v>-</c:v>
                </c:pt>
                <c:pt idx="131">
                  <c:v>-</c:v>
                </c:pt>
                <c:pt idx="132">
                  <c:v>-</c:v>
                </c:pt>
                <c:pt idx="133">
                  <c:v>-</c:v>
                </c:pt>
                <c:pt idx="134">
                  <c:v>-</c:v>
                </c:pt>
                <c:pt idx="135">
                  <c:v>-</c:v>
                </c:pt>
                <c:pt idx="136">
                  <c:v>-</c:v>
                </c:pt>
                <c:pt idx="137">
                  <c:v>-</c:v>
                </c:pt>
                <c:pt idx="138">
                  <c:v>-</c:v>
                </c:pt>
                <c:pt idx="139">
                  <c:v>-</c:v>
                </c:pt>
                <c:pt idx="140">
                  <c:v>-</c:v>
                </c:pt>
                <c:pt idx="141">
                  <c:v>-</c:v>
                </c:pt>
                <c:pt idx="142">
                  <c:v>-</c:v>
                </c:pt>
                <c:pt idx="143">
                  <c:v>-</c:v>
                </c:pt>
                <c:pt idx="144">
                  <c:v>-</c:v>
                </c:pt>
                <c:pt idx="145">
                  <c:v>-</c:v>
                </c:pt>
                <c:pt idx="146">
                  <c:v>-</c:v>
                </c:pt>
                <c:pt idx="147">
                  <c:v>-</c:v>
                </c:pt>
                <c:pt idx="148">
                  <c:v>-</c:v>
                </c:pt>
                <c:pt idx="149">
                  <c:v>-</c:v>
                </c:pt>
                <c:pt idx="150">
                  <c:v>-</c:v>
                </c:pt>
                <c:pt idx="151">
                  <c:v>-</c:v>
                </c:pt>
                <c:pt idx="152">
                  <c:v>-</c:v>
                </c:pt>
                <c:pt idx="153">
                  <c:v>-</c:v>
                </c:pt>
                <c:pt idx="154">
                  <c:v>-</c:v>
                </c:pt>
                <c:pt idx="155">
                  <c:v>-</c:v>
                </c:pt>
                <c:pt idx="156">
                  <c:v>-</c:v>
                </c:pt>
                <c:pt idx="157">
                  <c:v>-</c:v>
                </c:pt>
                <c:pt idx="158">
                  <c:v>-</c:v>
                </c:pt>
                <c:pt idx="159">
                  <c:v>-</c:v>
                </c:pt>
                <c:pt idx="160">
                  <c:v>-</c:v>
                </c:pt>
                <c:pt idx="161">
                  <c:v>-</c:v>
                </c:pt>
                <c:pt idx="162">
                  <c:v>-</c:v>
                </c:pt>
                <c:pt idx="163">
                  <c:v>-</c:v>
                </c:pt>
                <c:pt idx="164">
                  <c:v>-</c:v>
                </c:pt>
                <c:pt idx="165">
                  <c:v>-</c:v>
                </c:pt>
                <c:pt idx="166">
                  <c:v>-</c:v>
                </c:pt>
                <c:pt idx="167">
                  <c:v>-</c:v>
                </c:pt>
                <c:pt idx="168">
                  <c:v>-</c:v>
                </c:pt>
                <c:pt idx="169">
                  <c:v>-</c:v>
                </c:pt>
                <c:pt idx="170">
                  <c:v>-</c:v>
                </c:pt>
                <c:pt idx="171">
                  <c:v>-</c:v>
                </c:pt>
                <c:pt idx="172">
                  <c:v>-</c:v>
                </c:pt>
                <c:pt idx="173">
                  <c:v>-</c:v>
                </c:pt>
                <c:pt idx="174">
                  <c:v>-</c:v>
                </c:pt>
                <c:pt idx="175">
                  <c:v>-</c:v>
                </c:pt>
                <c:pt idx="176">
                  <c:v>-</c:v>
                </c:pt>
                <c:pt idx="177">
                  <c:v>-</c:v>
                </c:pt>
                <c:pt idx="178">
                  <c:v>-</c:v>
                </c:pt>
                <c:pt idx="179">
                  <c:v>-</c:v>
                </c:pt>
                <c:pt idx="180">
                  <c:v>-</c:v>
                </c:pt>
                <c:pt idx="181">
                  <c:v>-</c:v>
                </c:pt>
                <c:pt idx="182">
                  <c:v>-</c:v>
                </c:pt>
                <c:pt idx="183">
                  <c:v>-</c:v>
                </c:pt>
                <c:pt idx="184">
                  <c:v>-</c:v>
                </c:pt>
                <c:pt idx="185">
                  <c:v>-</c:v>
                </c:pt>
                <c:pt idx="186">
                  <c:v>-</c:v>
                </c:pt>
                <c:pt idx="187">
                  <c:v>-</c:v>
                </c:pt>
                <c:pt idx="188">
                  <c:v>-</c:v>
                </c:pt>
                <c:pt idx="189">
                  <c:v>-</c:v>
                </c:pt>
                <c:pt idx="190">
                  <c:v>-</c:v>
                </c:pt>
                <c:pt idx="191">
                  <c:v>-</c:v>
                </c:pt>
                <c:pt idx="192">
                  <c:v>-</c:v>
                </c:pt>
                <c:pt idx="193">
                  <c:v>-</c:v>
                </c:pt>
                <c:pt idx="194">
                  <c:v>-</c:v>
                </c:pt>
                <c:pt idx="195">
                  <c:v>-</c:v>
                </c:pt>
                <c:pt idx="196">
                  <c:v>-</c:v>
                </c:pt>
                <c:pt idx="197">
                  <c:v>-</c:v>
                </c:pt>
                <c:pt idx="198">
                  <c:v>-</c:v>
                </c:pt>
                <c:pt idx="199">
                  <c:v>-</c:v>
                </c:pt>
                <c:pt idx="200">
                  <c:v>-</c:v>
                </c:pt>
              </c:strCache>
            </c:strRef>
          </c:tx>
          <c:spPr>
            <a:ln w="28575" cap="rnd">
              <a:solidFill>
                <a:schemeClr val="accent4"/>
              </a:solidFill>
              <a:round/>
            </a:ln>
            <a:effectLst/>
          </c:spPr>
          <c:marker>
            <c:symbol val="none"/>
          </c:marker>
          <c:cat>
            <c:numRef>
              <c:f>'Price trend line table'!$A$202:$A$1241</c:f>
              <c:numCache>
                <c:formatCode>d\-mmm\-yy</c:formatCode>
                <c:ptCount val="1040"/>
                <c:pt idx="0">
                  <c:v>44494</c:v>
                </c:pt>
                <c:pt idx="1">
                  <c:v>44495</c:v>
                </c:pt>
                <c:pt idx="2">
                  <c:v>44496</c:v>
                </c:pt>
                <c:pt idx="3">
                  <c:v>44497</c:v>
                </c:pt>
                <c:pt idx="4">
                  <c:v>44498</c:v>
                </c:pt>
                <c:pt idx="5">
                  <c:v>44501</c:v>
                </c:pt>
                <c:pt idx="6">
                  <c:v>44502</c:v>
                </c:pt>
                <c:pt idx="7">
                  <c:v>44503</c:v>
                </c:pt>
                <c:pt idx="8">
                  <c:v>44504</c:v>
                </c:pt>
                <c:pt idx="9">
                  <c:v>44508</c:v>
                </c:pt>
                <c:pt idx="10">
                  <c:v>44509</c:v>
                </c:pt>
                <c:pt idx="11">
                  <c:v>44510</c:v>
                </c:pt>
                <c:pt idx="12">
                  <c:v>44511</c:v>
                </c:pt>
                <c:pt idx="13">
                  <c:v>44512</c:v>
                </c:pt>
                <c:pt idx="14">
                  <c:v>44515</c:v>
                </c:pt>
                <c:pt idx="15">
                  <c:v>44516</c:v>
                </c:pt>
                <c:pt idx="16">
                  <c:v>44517</c:v>
                </c:pt>
                <c:pt idx="17">
                  <c:v>44518</c:v>
                </c:pt>
                <c:pt idx="18">
                  <c:v>44522</c:v>
                </c:pt>
                <c:pt idx="19">
                  <c:v>44523</c:v>
                </c:pt>
                <c:pt idx="20">
                  <c:v>44524</c:v>
                </c:pt>
                <c:pt idx="21">
                  <c:v>44525</c:v>
                </c:pt>
                <c:pt idx="22">
                  <c:v>44526</c:v>
                </c:pt>
                <c:pt idx="23">
                  <c:v>44529</c:v>
                </c:pt>
                <c:pt idx="24">
                  <c:v>44530</c:v>
                </c:pt>
                <c:pt idx="25">
                  <c:v>44531</c:v>
                </c:pt>
                <c:pt idx="26">
                  <c:v>44532</c:v>
                </c:pt>
                <c:pt idx="27">
                  <c:v>44533</c:v>
                </c:pt>
                <c:pt idx="28">
                  <c:v>44536</c:v>
                </c:pt>
                <c:pt idx="29">
                  <c:v>44537</c:v>
                </c:pt>
                <c:pt idx="30">
                  <c:v>44538</c:v>
                </c:pt>
                <c:pt idx="31">
                  <c:v>44539</c:v>
                </c:pt>
                <c:pt idx="32">
                  <c:v>44540</c:v>
                </c:pt>
                <c:pt idx="33">
                  <c:v>44543</c:v>
                </c:pt>
                <c:pt idx="34">
                  <c:v>44544</c:v>
                </c:pt>
                <c:pt idx="35">
                  <c:v>44545</c:v>
                </c:pt>
                <c:pt idx="36">
                  <c:v>44546</c:v>
                </c:pt>
                <c:pt idx="37">
                  <c:v>44547</c:v>
                </c:pt>
                <c:pt idx="38">
                  <c:v>44550</c:v>
                </c:pt>
                <c:pt idx="39">
                  <c:v>44551</c:v>
                </c:pt>
                <c:pt idx="40">
                  <c:v>44552</c:v>
                </c:pt>
                <c:pt idx="41">
                  <c:v>44553</c:v>
                </c:pt>
                <c:pt idx="42">
                  <c:v>44554</c:v>
                </c:pt>
                <c:pt idx="43">
                  <c:v>44557</c:v>
                </c:pt>
                <c:pt idx="44">
                  <c:v>44558</c:v>
                </c:pt>
                <c:pt idx="45">
                  <c:v>44559</c:v>
                </c:pt>
                <c:pt idx="46">
                  <c:v>44560</c:v>
                </c:pt>
                <c:pt idx="47">
                  <c:v>44561</c:v>
                </c:pt>
                <c:pt idx="48">
                  <c:v>44564</c:v>
                </c:pt>
                <c:pt idx="49">
                  <c:v>44565</c:v>
                </c:pt>
                <c:pt idx="50">
                  <c:v>44566</c:v>
                </c:pt>
                <c:pt idx="51">
                  <c:v>44567</c:v>
                </c:pt>
                <c:pt idx="52">
                  <c:v>44568</c:v>
                </c:pt>
                <c:pt idx="53">
                  <c:v>44571</c:v>
                </c:pt>
                <c:pt idx="54">
                  <c:v>44572</c:v>
                </c:pt>
                <c:pt idx="55">
                  <c:v>44573</c:v>
                </c:pt>
                <c:pt idx="56">
                  <c:v>44574</c:v>
                </c:pt>
                <c:pt idx="57">
                  <c:v>44575</c:v>
                </c:pt>
                <c:pt idx="58">
                  <c:v>44578</c:v>
                </c:pt>
                <c:pt idx="59">
                  <c:v>44579</c:v>
                </c:pt>
                <c:pt idx="60">
                  <c:v>44580</c:v>
                </c:pt>
                <c:pt idx="61">
                  <c:v>44581</c:v>
                </c:pt>
                <c:pt idx="62">
                  <c:v>44582</c:v>
                </c:pt>
                <c:pt idx="63">
                  <c:v>44585</c:v>
                </c:pt>
                <c:pt idx="64">
                  <c:v>44586</c:v>
                </c:pt>
                <c:pt idx="65">
                  <c:v>44588</c:v>
                </c:pt>
                <c:pt idx="66">
                  <c:v>44589</c:v>
                </c:pt>
                <c:pt idx="67">
                  <c:v>44592</c:v>
                </c:pt>
                <c:pt idx="68">
                  <c:v>44593</c:v>
                </c:pt>
                <c:pt idx="69">
                  <c:v>44594</c:v>
                </c:pt>
                <c:pt idx="70">
                  <c:v>44595</c:v>
                </c:pt>
                <c:pt idx="71">
                  <c:v>44596</c:v>
                </c:pt>
                <c:pt idx="72">
                  <c:v>44599</c:v>
                </c:pt>
                <c:pt idx="73">
                  <c:v>44600</c:v>
                </c:pt>
                <c:pt idx="74">
                  <c:v>44601</c:v>
                </c:pt>
                <c:pt idx="75">
                  <c:v>44602</c:v>
                </c:pt>
                <c:pt idx="76">
                  <c:v>44603</c:v>
                </c:pt>
                <c:pt idx="77">
                  <c:v>44606</c:v>
                </c:pt>
                <c:pt idx="78">
                  <c:v>44607</c:v>
                </c:pt>
                <c:pt idx="79">
                  <c:v>44608</c:v>
                </c:pt>
                <c:pt idx="80">
                  <c:v>44609</c:v>
                </c:pt>
                <c:pt idx="81">
                  <c:v>44610</c:v>
                </c:pt>
                <c:pt idx="82">
                  <c:v>44613</c:v>
                </c:pt>
                <c:pt idx="83">
                  <c:v>44614</c:v>
                </c:pt>
                <c:pt idx="84">
                  <c:v>44615</c:v>
                </c:pt>
                <c:pt idx="85">
                  <c:v>44616</c:v>
                </c:pt>
                <c:pt idx="86">
                  <c:v>44617</c:v>
                </c:pt>
                <c:pt idx="87">
                  <c:v>44620</c:v>
                </c:pt>
                <c:pt idx="88">
                  <c:v>44622</c:v>
                </c:pt>
                <c:pt idx="89">
                  <c:v>44623</c:v>
                </c:pt>
                <c:pt idx="90">
                  <c:v>44624</c:v>
                </c:pt>
                <c:pt idx="91">
                  <c:v>44627</c:v>
                </c:pt>
                <c:pt idx="92">
                  <c:v>44628</c:v>
                </c:pt>
                <c:pt idx="93">
                  <c:v>44629</c:v>
                </c:pt>
                <c:pt idx="94">
                  <c:v>44630</c:v>
                </c:pt>
                <c:pt idx="95">
                  <c:v>44631</c:v>
                </c:pt>
                <c:pt idx="96">
                  <c:v>44634</c:v>
                </c:pt>
                <c:pt idx="97">
                  <c:v>44635</c:v>
                </c:pt>
                <c:pt idx="98">
                  <c:v>44636</c:v>
                </c:pt>
                <c:pt idx="99">
                  <c:v>44637</c:v>
                </c:pt>
                <c:pt idx="100">
                  <c:v>44641</c:v>
                </c:pt>
                <c:pt idx="101">
                  <c:v>44642</c:v>
                </c:pt>
                <c:pt idx="102">
                  <c:v>44643</c:v>
                </c:pt>
                <c:pt idx="103">
                  <c:v>44644</c:v>
                </c:pt>
                <c:pt idx="104">
                  <c:v>44645</c:v>
                </c:pt>
                <c:pt idx="105">
                  <c:v>44648</c:v>
                </c:pt>
                <c:pt idx="106">
                  <c:v>44649</c:v>
                </c:pt>
                <c:pt idx="107">
                  <c:v>44650</c:v>
                </c:pt>
                <c:pt idx="108">
                  <c:v>44651</c:v>
                </c:pt>
                <c:pt idx="109">
                  <c:v>44652</c:v>
                </c:pt>
                <c:pt idx="110">
                  <c:v>44655</c:v>
                </c:pt>
                <c:pt idx="111">
                  <c:v>44656</c:v>
                </c:pt>
                <c:pt idx="112">
                  <c:v>44657</c:v>
                </c:pt>
                <c:pt idx="113">
                  <c:v>44658</c:v>
                </c:pt>
                <c:pt idx="114">
                  <c:v>44659</c:v>
                </c:pt>
                <c:pt idx="115">
                  <c:v>44662</c:v>
                </c:pt>
                <c:pt idx="116">
                  <c:v>44663</c:v>
                </c:pt>
                <c:pt idx="117">
                  <c:v>44664</c:v>
                </c:pt>
                <c:pt idx="118">
                  <c:v>44669</c:v>
                </c:pt>
                <c:pt idx="119">
                  <c:v>44670</c:v>
                </c:pt>
                <c:pt idx="120">
                  <c:v>44671</c:v>
                </c:pt>
                <c:pt idx="121">
                  <c:v>44672</c:v>
                </c:pt>
                <c:pt idx="122">
                  <c:v>44673</c:v>
                </c:pt>
                <c:pt idx="123">
                  <c:v>44676</c:v>
                </c:pt>
                <c:pt idx="124">
                  <c:v>44677</c:v>
                </c:pt>
                <c:pt idx="125">
                  <c:v>44678</c:v>
                </c:pt>
                <c:pt idx="126">
                  <c:v>44679</c:v>
                </c:pt>
                <c:pt idx="127">
                  <c:v>44680</c:v>
                </c:pt>
                <c:pt idx="128">
                  <c:v>44683</c:v>
                </c:pt>
                <c:pt idx="129">
                  <c:v>44685</c:v>
                </c:pt>
                <c:pt idx="130">
                  <c:v>44686</c:v>
                </c:pt>
                <c:pt idx="131">
                  <c:v>44687</c:v>
                </c:pt>
                <c:pt idx="132">
                  <c:v>44690</c:v>
                </c:pt>
                <c:pt idx="133">
                  <c:v>44691</c:v>
                </c:pt>
                <c:pt idx="134">
                  <c:v>44692</c:v>
                </c:pt>
                <c:pt idx="135">
                  <c:v>44693</c:v>
                </c:pt>
                <c:pt idx="136">
                  <c:v>44694</c:v>
                </c:pt>
                <c:pt idx="137">
                  <c:v>44697</c:v>
                </c:pt>
                <c:pt idx="138">
                  <c:v>44698</c:v>
                </c:pt>
                <c:pt idx="139">
                  <c:v>44699</c:v>
                </c:pt>
                <c:pt idx="140">
                  <c:v>44700</c:v>
                </c:pt>
                <c:pt idx="141">
                  <c:v>44701</c:v>
                </c:pt>
                <c:pt idx="142">
                  <c:v>44704</c:v>
                </c:pt>
                <c:pt idx="143">
                  <c:v>44705</c:v>
                </c:pt>
                <c:pt idx="144">
                  <c:v>44706</c:v>
                </c:pt>
                <c:pt idx="145">
                  <c:v>44707</c:v>
                </c:pt>
                <c:pt idx="146">
                  <c:v>44708</c:v>
                </c:pt>
                <c:pt idx="147">
                  <c:v>44711</c:v>
                </c:pt>
                <c:pt idx="148">
                  <c:v>44712</c:v>
                </c:pt>
                <c:pt idx="149">
                  <c:v>44713</c:v>
                </c:pt>
                <c:pt idx="150">
                  <c:v>44714</c:v>
                </c:pt>
                <c:pt idx="151">
                  <c:v>44715</c:v>
                </c:pt>
                <c:pt idx="152">
                  <c:v>44718</c:v>
                </c:pt>
                <c:pt idx="153">
                  <c:v>44719</c:v>
                </c:pt>
                <c:pt idx="154">
                  <c:v>44720</c:v>
                </c:pt>
                <c:pt idx="155">
                  <c:v>44721</c:v>
                </c:pt>
                <c:pt idx="156">
                  <c:v>44722</c:v>
                </c:pt>
                <c:pt idx="157">
                  <c:v>44725</c:v>
                </c:pt>
                <c:pt idx="158">
                  <c:v>44726</c:v>
                </c:pt>
                <c:pt idx="159">
                  <c:v>44727</c:v>
                </c:pt>
                <c:pt idx="160">
                  <c:v>44728</c:v>
                </c:pt>
                <c:pt idx="161">
                  <c:v>44729</c:v>
                </c:pt>
                <c:pt idx="162">
                  <c:v>44732</c:v>
                </c:pt>
                <c:pt idx="163">
                  <c:v>44733</c:v>
                </c:pt>
                <c:pt idx="164">
                  <c:v>44734</c:v>
                </c:pt>
                <c:pt idx="165">
                  <c:v>44735</c:v>
                </c:pt>
                <c:pt idx="166">
                  <c:v>44736</c:v>
                </c:pt>
                <c:pt idx="167">
                  <c:v>44739</c:v>
                </c:pt>
                <c:pt idx="168">
                  <c:v>44740</c:v>
                </c:pt>
                <c:pt idx="169">
                  <c:v>44741</c:v>
                </c:pt>
                <c:pt idx="170">
                  <c:v>44742</c:v>
                </c:pt>
                <c:pt idx="171">
                  <c:v>44743</c:v>
                </c:pt>
                <c:pt idx="172">
                  <c:v>44746</c:v>
                </c:pt>
                <c:pt idx="173">
                  <c:v>44747</c:v>
                </c:pt>
                <c:pt idx="174">
                  <c:v>44748</c:v>
                </c:pt>
                <c:pt idx="175">
                  <c:v>44749</c:v>
                </c:pt>
                <c:pt idx="176">
                  <c:v>44750</c:v>
                </c:pt>
                <c:pt idx="177">
                  <c:v>44753</c:v>
                </c:pt>
                <c:pt idx="178">
                  <c:v>44754</c:v>
                </c:pt>
                <c:pt idx="179">
                  <c:v>44755</c:v>
                </c:pt>
                <c:pt idx="180">
                  <c:v>44756</c:v>
                </c:pt>
                <c:pt idx="181">
                  <c:v>44757</c:v>
                </c:pt>
                <c:pt idx="182">
                  <c:v>44760</c:v>
                </c:pt>
                <c:pt idx="183">
                  <c:v>44761</c:v>
                </c:pt>
                <c:pt idx="184">
                  <c:v>44762</c:v>
                </c:pt>
                <c:pt idx="185">
                  <c:v>44763</c:v>
                </c:pt>
                <c:pt idx="186">
                  <c:v>44764</c:v>
                </c:pt>
                <c:pt idx="187">
                  <c:v>44767</c:v>
                </c:pt>
                <c:pt idx="188">
                  <c:v>44768</c:v>
                </c:pt>
                <c:pt idx="189">
                  <c:v>44769</c:v>
                </c:pt>
                <c:pt idx="190">
                  <c:v>44770</c:v>
                </c:pt>
                <c:pt idx="191">
                  <c:v>44771</c:v>
                </c:pt>
                <c:pt idx="192">
                  <c:v>44774</c:v>
                </c:pt>
                <c:pt idx="193">
                  <c:v>44775</c:v>
                </c:pt>
                <c:pt idx="194">
                  <c:v>44776</c:v>
                </c:pt>
                <c:pt idx="195">
                  <c:v>44777</c:v>
                </c:pt>
                <c:pt idx="196">
                  <c:v>44778</c:v>
                </c:pt>
                <c:pt idx="197">
                  <c:v>44781</c:v>
                </c:pt>
                <c:pt idx="198">
                  <c:v>44783</c:v>
                </c:pt>
                <c:pt idx="199">
                  <c:v>44784</c:v>
                </c:pt>
                <c:pt idx="200">
                  <c:v>44785</c:v>
                </c:pt>
                <c:pt idx="201">
                  <c:v>44789</c:v>
                </c:pt>
                <c:pt idx="202">
                  <c:v>44790</c:v>
                </c:pt>
                <c:pt idx="203">
                  <c:v>44791</c:v>
                </c:pt>
                <c:pt idx="204">
                  <c:v>44792</c:v>
                </c:pt>
                <c:pt idx="205">
                  <c:v>44795</c:v>
                </c:pt>
                <c:pt idx="206">
                  <c:v>44796</c:v>
                </c:pt>
                <c:pt idx="207">
                  <c:v>44797</c:v>
                </c:pt>
                <c:pt idx="208">
                  <c:v>44798</c:v>
                </c:pt>
                <c:pt idx="209">
                  <c:v>44799</c:v>
                </c:pt>
                <c:pt idx="210">
                  <c:v>44802</c:v>
                </c:pt>
                <c:pt idx="211">
                  <c:v>44803</c:v>
                </c:pt>
                <c:pt idx="212">
                  <c:v>44805</c:v>
                </c:pt>
                <c:pt idx="213">
                  <c:v>44806</c:v>
                </c:pt>
                <c:pt idx="214">
                  <c:v>44809</c:v>
                </c:pt>
                <c:pt idx="215">
                  <c:v>44810</c:v>
                </c:pt>
                <c:pt idx="216">
                  <c:v>44811</c:v>
                </c:pt>
                <c:pt idx="217">
                  <c:v>44812</c:v>
                </c:pt>
                <c:pt idx="218">
                  <c:v>44813</c:v>
                </c:pt>
                <c:pt idx="219">
                  <c:v>44816</c:v>
                </c:pt>
                <c:pt idx="220">
                  <c:v>44817</c:v>
                </c:pt>
                <c:pt idx="221">
                  <c:v>44818</c:v>
                </c:pt>
                <c:pt idx="222">
                  <c:v>44819</c:v>
                </c:pt>
                <c:pt idx="223">
                  <c:v>44820</c:v>
                </c:pt>
                <c:pt idx="224">
                  <c:v>44823</c:v>
                </c:pt>
                <c:pt idx="225">
                  <c:v>44824</c:v>
                </c:pt>
                <c:pt idx="226">
                  <c:v>44825</c:v>
                </c:pt>
                <c:pt idx="227">
                  <c:v>44826</c:v>
                </c:pt>
                <c:pt idx="228">
                  <c:v>44827</c:v>
                </c:pt>
                <c:pt idx="229">
                  <c:v>44830</c:v>
                </c:pt>
                <c:pt idx="230">
                  <c:v>44831</c:v>
                </c:pt>
                <c:pt idx="231">
                  <c:v>44832</c:v>
                </c:pt>
                <c:pt idx="232">
                  <c:v>44833</c:v>
                </c:pt>
                <c:pt idx="233">
                  <c:v>44834</c:v>
                </c:pt>
                <c:pt idx="234">
                  <c:v>44837</c:v>
                </c:pt>
                <c:pt idx="235">
                  <c:v>44838</c:v>
                </c:pt>
                <c:pt idx="236">
                  <c:v>44840</c:v>
                </c:pt>
                <c:pt idx="237">
                  <c:v>44841</c:v>
                </c:pt>
                <c:pt idx="238">
                  <c:v>44844</c:v>
                </c:pt>
                <c:pt idx="239">
                  <c:v>44845</c:v>
                </c:pt>
                <c:pt idx="240">
                  <c:v>44846</c:v>
                </c:pt>
                <c:pt idx="241">
                  <c:v>44847</c:v>
                </c:pt>
                <c:pt idx="242">
                  <c:v>44848</c:v>
                </c:pt>
                <c:pt idx="243">
                  <c:v>44851</c:v>
                </c:pt>
                <c:pt idx="244">
                  <c:v>44852</c:v>
                </c:pt>
                <c:pt idx="245">
                  <c:v>44853</c:v>
                </c:pt>
                <c:pt idx="246">
                  <c:v>44854</c:v>
                </c:pt>
                <c:pt idx="247">
                  <c:v>44855</c:v>
                </c:pt>
                <c:pt idx="248">
                  <c:v>44858</c:v>
                </c:pt>
                <c:pt idx="249">
                  <c:v>44859</c:v>
                </c:pt>
                <c:pt idx="250">
                  <c:v>44861</c:v>
                </c:pt>
                <c:pt idx="251">
                  <c:v>44862</c:v>
                </c:pt>
                <c:pt idx="252">
                  <c:v>44865</c:v>
                </c:pt>
                <c:pt idx="253">
                  <c:v>44866</c:v>
                </c:pt>
                <c:pt idx="254">
                  <c:v>44867</c:v>
                </c:pt>
                <c:pt idx="255">
                  <c:v>44868</c:v>
                </c:pt>
                <c:pt idx="256">
                  <c:v>44869</c:v>
                </c:pt>
                <c:pt idx="257">
                  <c:v>44872</c:v>
                </c:pt>
                <c:pt idx="258">
                  <c:v>44874</c:v>
                </c:pt>
                <c:pt idx="259">
                  <c:v>44875</c:v>
                </c:pt>
                <c:pt idx="260">
                  <c:v>44876</c:v>
                </c:pt>
                <c:pt idx="261">
                  <c:v>44879</c:v>
                </c:pt>
                <c:pt idx="262">
                  <c:v>44880</c:v>
                </c:pt>
                <c:pt idx="263">
                  <c:v>44881</c:v>
                </c:pt>
                <c:pt idx="264">
                  <c:v>44882</c:v>
                </c:pt>
                <c:pt idx="265">
                  <c:v>44883</c:v>
                </c:pt>
                <c:pt idx="266">
                  <c:v>44886</c:v>
                </c:pt>
                <c:pt idx="267">
                  <c:v>44887</c:v>
                </c:pt>
                <c:pt idx="268">
                  <c:v>44888</c:v>
                </c:pt>
                <c:pt idx="269">
                  <c:v>44889</c:v>
                </c:pt>
                <c:pt idx="270">
                  <c:v>44890</c:v>
                </c:pt>
                <c:pt idx="271">
                  <c:v>44893</c:v>
                </c:pt>
                <c:pt idx="272">
                  <c:v>44894</c:v>
                </c:pt>
                <c:pt idx="273">
                  <c:v>44895</c:v>
                </c:pt>
                <c:pt idx="274">
                  <c:v>44896</c:v>
                </c:pt>
                <c:pt idx="275">
                  <c:v>44897</c:v>
                </c:pt>
                <c:pt idx="276">
                  <c:v>44900</c:v>
                </c:pt>
                <c:pt idx="277">
                  <c:v>44901</c:v>
                </c:pt>
                <c:pt idx="278">
                  <c:v>44902</c:v>
                </c:pt>
                <c:pt idx="279">
                  <c:v>44903</c:v>
                </c:pt>
                <c:pt idx="280">
                  <c:v>44904</c:v>
                </c:pt>
                <c:pt idx="281">
                  <c:v>44907</c:v>
                </c:pt>
                <c:pt idx="282">
                  <c:v>44908</c:v>
                </c:pt>
                <c:pt idx="283">
                  <c:v>44909</c:v>
                </c:pt>
                <c:pt idx="284">
                  <c:v>44910</c:v>
                </c:pt>
                <c:pt idx="285">
                  <c:v>44911</c:v>
                </c:pt>
                <c:pt idx="286">
                  <c:v>44914</c:v>
                </c:pt>
                <c:pt idx="287">
                  <c:v>44915</c:v>
                </c:pt>
                <c:pt idx="288">
                  <c:v>44916</c:v>
                </c:pt>
                <c:pt idx="289">
                  <c:v>44917</c:v>
                </c:pt>
                <c:pt idx="290">
                  <c:v>44918</c:v>
                </c:pt>
                <c:pt idx="291">
                  <c:v>44921</c:v>
                </c:pt>
                <c:pt idx="292">
                  <c:v>44922</c:v>
                </c:pt>
                <c:pt idx="293">
                  <c:v>44923</c:v>
                </c:pt>
                <c:pt idx="294">
                  <c:v>44924</c:v>
                </c:pt>
                <c:pt idx="295">
                  <c:v>44925</c:v>
                </c:pt>
                <c:pt idx="296">
                  <c:v>44928</c:v>
                </c:pt>
                <c:pt idx="297">
                  <c:v>44929</c:v>
                </c:pt>
                <c:pt idx="298">
                  <c:v>44930</c:v>
                </c:pt>
                <c:pt idx="299">
                  <c:v>44931</c:v>
                </c:pt>
                <c:pt idx="300">
                  <c:v>44932</c:v>
                </c:pt>
                <c:pt idx="301">
                  <c:v>44935</c:v>
                </c:pt>
                <c:pt idx="302">
                  <c:v>44936</c:v>
                </c:pt>
                <c:pt idx="303">
                  <c:v>44937</c:v>
                </c:pt>
                <c:pt idx="304">
                  <c:v>44938</c:v>
                </c:pt>
                <c:pt idx="305">
                  <c:v>44939</c:v>
                </c:pt>
                <c:pt idx="306">
                  <c:v>44942</c:v>
                </c:pt>
                <c:pt idx="307">
                  <c:v>44943</c:v>
                </c:pt>
                <c:pt idx="308">
                  <c:v>44944</c:v>
                </c:pt>
                <c:pt idx="309">
                  <c:v>44945</c:v>
                </c:pt>
                <c:pt idx="310">
                  <c:v>44946</c:v>
                </c:pt>
                <c:pt idx="311">
                  <c:v>44949</c:v>
                </c:pt>
                <c:pt idx="312">
                  <c:v>44950</c:v>
                </c:pt>
                <c:pt idx="313">
                  <c:v>44951</c:v>
                </c:pt>
                <c:pt idx="314">
                  <c:v>44953</c:v>
                </c:pt>
                <c:pt idx="315">
                  <c:v>44956</c:v>
                </c:pt>
                <c:pt idx="316">
                  <c:v>44957</c:v>
                </c:pt>
                <c:pt idx="317">
                  <c:v>44958</c:v>
                </c:pt>
                <c:pt idx="318">
                  <c:v>44959</c:v>
                </c:pt>
                <c:pt idx="319">
                  <c:v>44960</c:v>
                </c:pt>
                <c:pt idx="320">
                  <c:v>44963</c:v>
                </c:pt>
                <c:pt idx="321">
                  <c:v>44964</c:v>
                </c:pt>
                <c:pt idx="322">
                  <c:v>44965</c:v>
                </c:pt>
                <c:pt idx="323">
                  <c:v>44966</c:v>
                </c:pt>
                <c:pt idx="324">
                  <c:v>44967</c:v>
                </c:pt>
                <c:pt idx="325">
                  <c:v>44970</c:v>
                </c:pt>
                <c:pt idx="326">
                  <c:v>44971</c:v>
                </c:pt>
                <c:pt idx="327">
                  <c:v>44972</c:v>
                </c:pt>
                <c:pt idx="328">
                  <c:v>44973</c:v>
                </c:pt>
                <c:pt idx="329">
                  <c:v>44974</c:v>
                </c:pt>
                <c:pt idx="330">
                  <c:v>44977</c:v>
                </c:pt>
                <c:pt idx="331">
                  <c:v>44978</c:v>
                </c:pt>
                <c:pt idx="332">
                  <c:v>44979</c:v>
                </c:pt>
                <c:pt idx="333">
                  <c:v>44980</c:v>
                </c:pt>
                <c:pt idx="334">
                  <c:v>44981</c:v>
                </c:pt>
                <c:pt idx="335">
                  <c:v>44984</c:v>
                </c:pt>
                <c:pt idx="336">
                  <c:v>44985</c:v>
                </c:pt>
                <c:pt idx="337">
                  <c:v>44986</c:v>
                </c:pt>
                <c:pt idx="338">
                  <c:v>44987</c:v>
                </c:pt>
                <c:pt idx="339">
                  <c:v>44988</c:v>
                </c:pt>
                <c:pt idx="340">
                  <c:v>44991</c:v>
                </c:pt>
                <c:pt idx="341">
                  <c:v>44993</c:v>
                </c:pt>
                <c:pt idx="342">
                  <c:v>44994</c:v>
                </c:pt>
                <c:pt idx="343">
                  <c:v>44995</c:v>
                </c:pt>
                <c:pt idx="344">
                  <c:v>44998</c:v>
                </c:pt>
                <c:pt idx="345">
                  <c:v>44999</c:v>
                </c:pt>
                <c:pt idx="346">
                  <c:v>45000</c:v>
                </c:pt>
                <c:pt idx="347">
                  <c:v>45001</c:v>
                </c:pt>
                <c:pt idx="348">
                  <c:v>45002</c:v>
                </c:pt>
                <c:pt idx="349">
                  <c:v>45005</c:v>
                </c:pt>
                <c:pt idx="350">
                  <c:v>45006</c:v>
                </c:pt>
                <c:pt idx="351">
                  <c:v>45007</c:v>
                </c:pt>
                <c:pt idx="352">
                  <c:v>45008</c:v>
                </c:pt>
                <c:pt idx="353">
                  <c:v>45009</c:v>
                </c:pt>
                <c:pt idx="354">
                  <c:v>45012</c:v>
                </c:pt>
                <c:pt idx="355">
                  <c:v>45013</c:v>
                </c:pt>
                <c:pt idx="356">
                  <c:v>45014</c:v>
                </c:pt>
                <c:pt idx="357">
                  <c:v>45016</c:v>
                </c:pt>
                <c:pt idx="358">
                  <c:v>45019</c:v>
                </c:pt>
                <c:pt idx="359">
                  <c:v>45021</c:v>
                </c:pt>
                <c:pt idx="360">
                  <c:v>45022</c:v>
                </c:pt>
                <c:pt idx="361">
                  <c:v>45026</c:v>
                </c:pt>
                <c:pt idx="362">
                  <c:v>45027</c:v>
                </c:pt>
                <c:pt idx="363">
                  <c:v>45028</c:v>
                </c:pt>
                <c:pt idx="364">
                  <c:v>45029</c:v>
                </c:pt>
                <c:pt idx="365">
                  <c:v>45033</c:v>
                </c:pt>
                <c:pt idx="366">
                  <c:v>45034</c:v>
                </c:pt>
                <c:pt idx="367">
                  <c:v>45035</c:v>
                </c:pt>
                <c:pt idx="368">
                  <c:v>45036</c:v>
                </c:pt>
                <c:pt idx="369">
                  <c:v>45037</c:v>
                </c:pt>
                <c:pt idx="370">
                  <c:v>45040</c:v>
                </c:pt>
                <c:pt idx="371">
                  <c:v>45041</c:v>
                </c:pt>
                <c:pt idx="372">
                  <c:v>45042</c:v>
                </c:pt>
                <c:pt idx="373">
                  <c:v>45043</c:v>
                </c:pt>
                <c:pt idx="374">
                  <c:v>45044</c:v>
                </c:pt>
                <c:pt idx="375">
                  <c:v>45048</c:v>
                </c:pt>
                <c:pt idx="376">
                  <c:v>45049</c:v>
                </c:pt>
                <c:pt idx="377">
                  <c:v>45050</c:v>
                </c:pt>
                <c:pt idx="378">
                  <c:v>45051</c:v>
                </c:pt>
                <c:pt idx="379">
                  <c:v>45054</c:v>
                </c:pt>
                <c:pt idx="380">
                  <c:v>45055</c:v>
                </c:pt>
                <c:pt idx="381">
                  <c:v>45056</c:v>
                </c:pt>
                <c:pt idx="382">
                  <c:v>45057</c:v>
                </c:pt>
                <c:pt idx="383">
                  <c:v>45058</c:v>
                </c:pt>
                <c:pt idx="384">
                  <c:v>45061</c:v>
                </c:pt>
                <c:pt idx="385">
                  <c:v>45062</c:v>
                </c:pt>
                <c:pt idx="386">
                  <c:v>45063</c:v>
                </c:pt>
                <c:pt idx="387">
                  <c:v>45064</c:v>
                </c:pt>
                <c:pt idx="388">
                  <c:v>45065</c:v>
                </c:pt>
                <c:pt idx="389">
                  <c:v>45068</c:v>
                </c:pt>
                <c:pt idx="390">
                  <c:v>45069</c:v>
                </c:pt>
                <c:pt idx="391">
                  <c:v>45070</c:v>
                </c:pt>
                <c:pt idx="392">
                  <c:v>45071</c:v>
                </c:pt>
                <c:pt idx="393">
                  <c:v>45072</c:v>
                </c:pt>
                <c:pt idx="394">
                  <c:v>45075</c:v>
                </c:pt>
                <c:pt idx="395">
                  <c:v>45076</c:v>
                </c:pt>
                <c:pt idx="396">
                  <c:v>45077</c:v>
                </c:pt>
                <c:pt idx="397">
                  <c:v>45078</c:v>
                </c:pt>
                <c:pt idx="398">
                  <c:v>45079</c:v>
                </c:pt>
                <c:pt idx="399">
                  <c:v>45082</c:v>
                </c:pt>
                <c:pt idx="400">
                  <c:v>45083</c:v>
                </c:pt>
                <c:pt idx="401">
                  <c:v>45084</c:v>
                </c:pt>
                <c:pt idx="402">
                  <c:v>45085</c:v>
                </c:pt>
                <c:pt idx="403">
                  <c:v>45086</c:v>
                </c:pt>
                <c:pt idx="404">
                  <c:v>45089</c:v>
                </c:pt>
                <c:pt idx="405">
                  <c:v>45090</c:v>
                </c:pt>
                <c:pt idx="406">
                  <c:v>45091</c:v>
                </c:pt>
                <c:pt idx="407">
                  <c:v>45092</c:v>
                </c:pt>
                <c:pt idx="408">
                  <c:v>45093</c:v>
                </c:pt>
                <c:pt idx="409">
                  <c:v>45096</c:v>
                </c:pt>
                <c:pt idx="410">
                  <c:v>45097</c:v>
                </c:pt>
                <c:pt idx="411">
                  <c:v>45098</c:v>
                </c:pt>
                <c:pt idx="412">
                  <c:v>45099</c:v>
                </c:pt>
                <c:pt idx="413">
                  <c:v>45100</c:v>
                </c:pt>
                <c:pt idx="414">
                  <c:v>45103</c:v>
                </c:pt>
                <c:pt idx="415">
                  <c:v>45104</c:v>
                </c:pt>
                <c:pt idx="416">
                  <c:v>45105</c:v>
                </c:pt>
                <c:pt idx="417">
                  <c:v>45107</c:v>
                </c:pt>
                <c:pt idx="418">
                  <c:v>45110</c:v>
                </c:pt>
                <c:pt idx="419">
                  <c:v>45111</c:v>
                </c:pt>
                <c:pt idx="420">
                  <c:v>45112</c:v>
                </c:pt>
                <c:pt idx="421">
                  <c:v>45113</c:v>
                </c:pt>
                <c:pt idx="422">
                  <c:v>45114</c:v>
                </c:pt>
                <c:pt idx="423">
                  <c:v>45117</c:v>
                </c:pt>
                <c:pt idx="424">
                  <c:v>45118</c:v>
                </c:pt>
                <c:pt idx="425">
                  <c:v>45119</c:v>
                </c:pt>
                <c:pt idx="426">
                  <c:v>45120</c:v>
                </c:pt>
                <c:pt idx="427">
                  <c:v>45121</c:v>
                </c:pt>
                <c:pt idx="428">
                  <c:v>45124</c:v>
                </c:pt>
                <c:pt idx="429">
                  <c:v>45125</c:v>
                </c:pt>
                <c:pt idx="430">
                  <c:v>45126</c:v>
                </c:pt>
                <c:pt idx="431">
                  <c:v>45127</c:v>
                </c:pt>
                <c:pt idx="432">
                  <c:v>45128</c:v>
                </c:pt>
                <c:pt idx="433">
                  <c:v>45131</c:v>
                </c:pt>
                <c:pt idx="434">
                  <c:v>45132</c:v>
                </c:pt>
                <c:pt idx="435">
                  <c:v>45133</c:v>
                </c:pt>
                <c:pt idx="436">
                  <c:v>45134</c:v>
                </c:pt>
                <c:pt idx="437">
                  <c:v>45135</c:v>
                </c:pt>
                <c:pt idx="438">
                  <c:v>45138</c:v>
                </c:pt>
                <c:pt idx="439">
                  <c:v>45139</c:v>
                </c:pt>
                <c:pt idx="440">
                  <c:v>45140</c:v>
                </c:pt>
                <c:pt idx="441">
                  <c:v>45141</c:v>
                </c:pt>
                <c:pt idx="442">
                  <c:v>45142</c:v>
                </c:pt>
                <c:pt idx="443">
                  <c:v>45145</c:v>
                </c:pt>
                <c:pt idx="444">
                  <c:v>45146</c:v>
                </c:pt>
                <c:pt idx="445">
                  <c:v>45147</c:v>
                </c:pt>
                <c:pt idx="446">
                  <c:v>45148</c:v>
                </c:pt>
                <c:pt idx="447">
                  <c:v>45149</c:v>
                </c:pt>
                <c:pt idx="448">
                  <c:v>45152</c:v>
                </c:pt>
                <c:pt idx="449">
                  <c:v>45154</c:v>
                </c:pt>
                <c:pt idx="450">
                  <c:v>45155</c:v>
                </c:pt>
                <c:pt idx="451">
                  <c:v>45156</c:v>
                </c:pt>
                <c:pt idx="452">
                  <c:v>45159</c:v>
                </c:pt>
                <c:pt idx="453">
                  <c:v>45160</c:v>
                </c:pt>
                <c:pt idx="454">
                  <c:v>45161</c:v>
                </c:pt>
                <c:pt idx="455">
                  <c:v>45162</c:v>
                </c:pt>
                <c:pt idx="456">
                  <c:v>45163</c:v>
                </c:pt>
                <c:pt idx="457">
                  <c:v>45166</c:v>
                </c:pt>
                <c:pt idx="458">
                  <c:v>45167</c:v>
                </c:pt>
                <c:pt idx="459">
                  <c:v>45168</c:v>
                </c:pt>
                <c:pt idx="460">
                  <c:v>45169</c:v>
                </c:pt>
                <c:pt idx="461">
                  <c:v>45170</c:v>
                </c:pt>
                <c:pt idx="462">
                  <c:v>45173</c:v>
                </c:pt>
                <c:pt idx="463">
                  <c:v>45174</c:v>
                </c:pt>
                <c:pt idx="464">
                  <c:v>45175</c:v>
                </c:pt>
                <c:pt idx="465">
                  <c:v>45176</c:v>
                </c:pt>
                <c:pt idx="466">
                  <c:v>45177</c:v>
                </c:pt>
                <c:pt idx="467">
                  <c:v>45180</c:v>
                </c:pt>
                <c:pt idx="468">
                  <c:v>45181</c:v>
                </c:pt>
                <c:pt idx="469">
                  <c:v>45182</c:v>
                </c:pt>
                <c:pt idx="470">
                  <c:v>45183</c:v>
                </c:pt>
                <c:pt idx="471">
                  <c:v>45184</c:v>
                </c:pt>
                <c:pt idx="472">
                  <c:v>45187</c:v>
                </c:pt>
                <c:pt idx="473">
                  <c:v>45189</c:v>
                </c:pt>
                <c:pt idx="474">
                  <c:v>45190</c:v>
                </c:pt>
                <c:pt idx="475">
                  <c:v>45191</c:v>
                </c:pt>
                <c:pt idx="476">
                  <c:v>45194</c:v>
                </c:pt>
                <c:pt idx="477">
                  <c:v>45195</c:v>
                </c:pt>
                <c:pt idx="478">
                  <c:v>45196</c:v>
                </c:pt>
                <c:pt idx="479">
                  <c:v>45197</c:v>
                </c:pt>
                <c:pt idx="480">
                  <c:v>45198</c:v>
                </c:pt>
                <c:pt idx="481">
                  <c:v>45202</c:v>
                </c:pt>
                <c:pt idx="482">
                  <c:v>45203</c:v>
                </c:pt>
                <c:pt idx="483">
                  <c:v>45204</c:v>
                </c:pt>
                <c:pt idx="484">
                  <c:v>45205</c:v>
                </c:pt>
                <c:pt idx="485">
                  <c:v>45208</c:v>
                </c:pt>
                <c:pt idx="486">
                  <c:v>45209</c:v>
                </c:pt>
                <c:pt idx="487">
                  <c:v>45210</c:v>
                </c:pt>
                <c:pt idx="488">
                  <c:v>45211</c:v>
                </c:pt>
                <c:pt idx="489">
                  <c:v>45212</c:v>
                </c:pt>
                <c:pt idx="490">
                  <c:v>45215</c:v>
                </c:pt>
                <c:pt idx="491">
                  <c:v>45216</c:v>
                </c:pt>
                <c:pt idx="492">
                  <c:v>45217</c:v>
                </c:pt>
                <c:pt idx="493">
                  <c:v>45218</c:v>
                </c:pt>
                <c:pt idx="494">
                  <c:v>45219</c:v>
                </c:pt>
                <c:pt idx="495">
                  <c:v>45222</c:v>
                </c:pt>
                <c:pt idx="496">
                  <c:v>45224</c:v>
                </c:pt>
                <c:pt idx="497">
                  <c:v>45225</c:v>
                </c:pt>
                <c:pt idx="498">
                  <c:v>45226</c:v>
                </c:pt>
                <c:pt idx="499">
                  <c:v>45229</c:v>
                </c:pt>
                <c:pt idx="500">
                  <c:v>45230</c:v>
                </c:pt>
                <c:pt idx="501">
                  <c:v>45231</c:v>
                </c:pt>
                <c:pt idx="502">
                  <c:v>45232</c:v>
                </c:pt>
                <c:pt idx="503">
                  <c:v>45233</c:v>
                </c:pt>
                <c:pt idx="504">
                  <c:v>45236</c:v>
                </c:pt>
                <c:pt idx="505">
                  <c:v>45237</c:v>
                </c:pt>
                <c:pt idx="506">
                  <c:v>45238</c:v>
                </c:pt>
                <c:pt idx="507">
                  <c:v>45239</c:v>
                </c:pt>
                <c:pt idx="508">
                  <c:v>45240</c:v>
                </c:pt>
                <c:pt idx="509">
                  <c:v>45242</c:v>
                </c:pt>
                <c:pt idx="510">
                  <c:v>45243</c:v>
                </c:pt>
                <c:pt idx="511">
                  <c:v>45245</c:v>
                </c:pt>
                <c:pt idx="512">
                  <c:v>45246</c:v>
                </c:pt>
                <c:pt idx="513">
                  <c:v>45247</c:v>
                </c:pt>
                <c:pt idx="514">
                  <c:v>45250</c:v>
                </c:pt>
                <c:pt idx="515">
                  <c:v>45251</c:v>
                </c:pt>
                <c:pt idx="516">
                  <c:v>45252</c:v>
                </c:pt>
                <c:pt idx="517">
                  <c:v>45253</c:v>
                </c:pt>
                <c:pt idx="518">
                  <c:v>45254</c:v>
                </c:pt>
                <c:pt idx="519">
                  <c:v>45258</c:v>
                </c:pt>
                <c:pt idx="520">
                  <c:v>45259</c:v>
                </c:pt>
                <c:pt idx="521">
                  <c:v>45260</c:v>
                </c:pt>
                <c:pt idx="522">
                  <c:v>45261</c:v>
                </c:pt>
                <c:pt idx="523">
                  <c:v>45264</c:v>
                </c:pt>
                <c:pt idx="524">
                  <c:v>45265</c:v>
                </c:pt>
                <c:pt idx="525">
                  <c:v>45266</c:v>
                </c:pt>
                <c:pt idx="526">
                  <c:v>45267</c:v>
                </c:pt>
                <c:pt idx="527">
                  <c:v>45268</c:v>
                </c:pt>
                <c:pt idx="528">
                  <c:v>45271</c:v>
                </c:pt>
                <c:pt idx="529">
                  <c:v>45272</c:v>
                </c:pt>
                <c:pt idx="530">
                  <c:v>45273</c:v>
                </c:pt>
                <c:pt idx="531">
                  <c:v>45274</c:v>
                </c:pt>
                <c:pt idx="532">
                  <c:v>45275</c:v>
                </c:pt>
                <c:pt idx="533">
                  <c:v>45278</c:v>
                </c:pt>
                <c:pt idx="534">
                  <c:v>45279</c:v>
                </c:pt>
                <c:pt idx="535">
                  <c:v>45280</c:v>
                </c:pt>
                <c:pt idx="536">
                  <c:v>45281</c:v>
                </c:pt>
                <c:pt idx="537">
                  <c:v>45282</c:v>
                </c:pt>
                <c:pt idx="538">
                  <c:v>45286</c:v>
                </c:pt>
                <c:pt idx="539">
                  <c:v>45287</c:v>
                </c:pt>
                <c:pt idx="540">
                  <c:v>45288</c:v>
                </c:pt>
                <c:pt idx="541">
                  <c:v>45289</c:v>
                </c:pt>
                <c:pt idx="542">
                  <c:v>45292</c:v>
                </c:pt>
                <c:pt idx="543">
                  <c:v>45293</c:v>
                </c:pt>
                <c:pt idx="544">
                  <c:v>45294</c:v>
                </c:pt>
                <c:pt idx="545">
                  <c:v>45295</c:v>
                </c:pt>
                <c:pt idx="546">
                  <c:v>45296</c:v>
                </c:pt>
                <c:pt idx="547">
                  <c:v>45299</c:v>
                </c:pt>
                <c:pt idx="548">
                  <c:v>45300</c:v>
                </c:pt>
                <c:pt idx="549">
                  <c:v>45301</c:v>
                </c:pt>
                <c:pt idx="550">
                  <c:v>45302</c:v>
                </c:pt>
                <c:pt idx="551">
                  <c:v>45303</c:v>
                </c:pt>
                <c:pt idx="552">
                  <c:v>45306</c:v>
                </c:pt>
                <c:pt idx="553">
                  <c:v>45307</c:v>
                </c:pt>
                <c:pt idx="554">
                  <c:v>45308</c:v>
                </c:pt>
                <c:pt idx="555">
                  <c:v>45309</c:v>
                </c:pt>
                <c:pt idx="556">
                  <c:v>45310</c:v>
                </c:pt>
                <c:pt idx="557">
                  <c:v>45311</c:v>
                </c:pt>
                <c:pt idx="558">
                  <c:v>45314</c:v>
                </c:pt>
                <c:pt idx="559">
                  <c:v>45315</c:v>
                </c:pt>
                <c:pt idx="560">
                  <c:v>45316</c:v>
                </c:pt>
                <c:pt idx="561">
                  <c:v>45320</c:v>
                </c:pt>
                <c:pt idx="562">
                  <c:v>45321</c:v>
                </c:pt>
                <c:pt idx="563">
                  <c:v>45322</c:v>
                </c:pt>
                <c:pt idx="564">
                  <c:v>45323</c:v>
                </c:pt>
                <c:pt idx="565">
                  <c:v>45324</c:v>
                </c:pt>
                <c:pt idx="566">
                  <c:v>45327</c:v>
                </c:pt>
                <c:pt idx="567">
                  <c:v>45328</c:v>
                </c:pt>
                <c:pt idx="568">
                  <c:v>45329</c:v>
                </c:pt>
                <c:pt idx="569">
                  <c:v>45330</c:v>
                </c:pt>
                <c:pt idx="570">
                  <c:v>45331</c:v>
                </c:pt>
                <c:pt idx="571">
                  <c:v>45334</c:v>
                </c:pt>
                <c:pt idx="572">
                  <c:v>45335</c:v>
                </c:pt>
                <c:pt idx="573">
                  <c:v>45336</c:v>
                </c:pt>
                <c:pt idx="574">
                  <c:v>45337</c:v>
                </c:pt>
                <c:pt idx="575">
                  <c:v>45338</c:v>
                </c:pt>
                <c:pt idx="576">
                  <c:v>45341</c:v>
                </c:pt>
                <c:pt idx="577">
                  <c:v>45342</c:v>
                </c:pt>
                <c:pt idx="578">
                  <c:v>45343</c:v>
                </c:pt>
                <c:pt idx="579">
                  <c:v>45344</c:v>
                </c:pt>
                <c:pt idx="580">
                  <c:v>45345</c:v>
                </c:pt>
                <c:pt idx="581">
                  <c:v>45348</c:v>
                </c:pt>
                <c:pt idx="582">
                  <c:v>45349</c:v>
                </c:pt>
                <c:pt idx="583">
                  <c:v>45350</c:v>
                </c:pt>
                <c:pt idx="584">
                  <c:v>45351</c:v>
                </c:pt>
                <c:pt idx="585">
                  <c:v>45352</c:v>
                </c:pt>
                <c:pt idx="586">
                  <c:v>45355</c:v>
                </c:pt>
                <c:pt idx="587">
                  <c:v>45356</c:v>
                </c:pt>
                <c:pt idx="588">
                  <c:v>45357</c:v>
                </c:pt>
                <c:pt idx="589">
                  <c:v>45358</c:v>
                </c:pt>
                <c:pt idx="590">
                  <c:v>45362</c:v>
                </c:pt>
                <c:pt idx="591">
                  <c:v>45363</c:v>
                </c:pt>
                <c:pt idx="592">
                  <c:v>45364</c:v>
                </c:pt>
                <c:pt idx="593">
                  <c:v>45365</c:v>
                </c:pt>
                <c:pt idx="594">
                  <c:v>45366</c:v>
                </c:pt>
                <c:pt idx="595">
                  <c:v>45369</c:v>
                </c:pt>
                <c:pt idx="596">
                  <c:v>45370</c:v>
                </c:pt>
                <c:pt idx="597">
                  <c:v>45371</c:v>
                </c:pt>
                <c:pt idx="598">
                  <c:v>45372</c:v>
                </c:pt>
                <c:pt idx="599">
                  <c:v>45373</c:v>
                </c:pt>
                <c:pt idx="600">
                  <c:v>45377</c:v>
                </c:pt>
                <c:pt idx="601">
                  <c:v>45378</c:v>
                </c:pt>
                <c:pt idx="602">
                  <c:v>45379</c:v>
                </c:pt>
                <c:pt idx="603">
                  <c:v>45383</c:v>
                </c:pt>
                <c:pt idx="604">
                  <c:v>45384</c:v>
                </c:pt>
                <c:pt idx="605">
                  <c:v>45385</c:v>
                </c:pt>
                <c:pt idx="606">
                  <c:v>45386</c:v>
                </c:pt>
                <c:pt idx="607">
                  <c:v>45387</c:v>
                </c:pt>
                <c:pt idx="608">
                  <c:v>45390</c:v>
                </c:pt>
                <c:pt idx="609">
                  <c:v>45391</c:v>
                </c:pt>
                <c:pt idx="610">
                  <c:v>45392</c:v>
                </c:pt>
                <c:pt idx="611">
                  <c:v>45394</c:v>
                </c:pt>
                <c:pt idx="612">
                  <c:v>45397</c:v>
                </c:pt>
                <c:pt idx="613">
                  <c:v>45398</c:v>
                </c:pt>
                <c:pt idx="614">
                  <c:v>45400</c:v>
                </c:pt>
                <c:pt idx="615">
                  <c:v>45401</c:v>
                </c:pt>
                <c:pt idx="616">
                  <c:v>45404</c:v>
                </c:pt>
                <c:pt idx="617">
                  <c:v>45405</c:v>
                </c:pt>
                <c:pt idx="618">
                  <c:v>45406</c:v>
                </c:pt>
                <c:pt idx="619">
                  <c:v>45407</c:v>
                </c:pt>
                <c:pt idx="620">
                  <c:v>45408</c:v>
                </c:pt>
                <c:pt idx="621">
                  <c:v>45411</c:v>
                </c:pt>
                <c:pt idx="622">
                  <c:v>45412</c:v>
                </c:pt>
                <c:pt idx="623">
                  <c:v>45414</c:v>
                </c:pt>
                <c:pt idx="624">
                  <c:v>45415</c:v>
                </c:pt>
                <c:pt idx="625">
                  <c:v>45418</c:v>
                </c:pt>
                <c:pt idx="626">
                  <c:v>45419</c:v>
                </c:pt>
                <c:pt idx="627">
                  <c:v>45420</c:v>
                </c:pt>
                <c:pt idx="628">
                  <c:v>45421</c:v>
                </c:pt>
                <c:pt idx="629">
                  <c:v>45422</c:v>
                </c:pt>
                <c:pt idx="630">
                  <c:v>45425</c:v>
                </c:pt>
                <c:pt idx="631">
                  <c:v>45426</c:v>
                </c:pt>
                <c:pt idx="632">
                  <c:v>45427</c:v>
                </c:pt>
                <c:pt idx="633">
                  <c:v>45428</c:v>
                </c:pt>
                <c:pt idx="634">
                  <c:v>45429</c:v>
                </c:pt>
                <c:pt idx="635">
                  <c:v>45430</c:v>
                </c:pt>
                <c:pt idx="636">
                  <c:v>45433</c:v>
                </c:pt>
                <c:pt idx="637">
                  <c:v>45434</c:v>
                </c:pt>
                <c:pt idx="638">
                  <c:v>45435</c:v>
                </c:pt>
                <c:pt idx="639">
                  <c:v>45436</c:v>
                </c:pt>
                <c:pt idx="640">
                  <c:v>45439</c:v>
                </c:pt>
                <c:pt idx="641">
                  <c:v>45440</c:v>
                </c:pt>
                <c:pt idx="642">
                  <c:v>45441</c:v>
                </c:pt>
                <c:pt idx="643">
                  <c:v>45442</c:v>
                </c:pt>
                <c:pt idx="644">
                  <c:v>45443</c:v>
                </c:pt>
                <c:pt idx="645">
                  <c:v>45446</c:v>
                </c:pt>
                <c:pt idx="646">
                  <c:v>45447</c:v>
                </c:pt>
                <c:pt idx="647">
                  <c:v>45448</c:v>
                </c:pt>
                <c:pt idx="648">
                  <c:v>45449</c:v>
                </c:pt>
                <c:pt idx="649">
                  <c:v>45450</c:v>
                </c:pt>
                <c:pt idx="650">
                  <c:v>45453</c:v>
                </c:pt>
                <c:pt idx="651">
                  <c:v>45454</c:v>
                </c:pt>
                <c:pt idx="652">
                  <c:v>45455</c:v>
                </c:pt>
                <c:pt idx="653">
                  <c:v>45456</c:v>
                </c:pt>
                <c:pt idx="654">
                  <c:v>45457</c:v>
                </c:pt>
                <c:pt idx="655">
                  <c:v>45461</c:v>
                </c:pt>
                <c:pt idx="656">
                  <c:v>45462</c:v>
                </c:pt>
                <c:pt idx="657">
                  <c:v>45463</c:v>
                </c:pt>
                <c:pt idx="658">
                  <c:v>45464</c:v>
                </c:pt>
                <c:pt idx="659">
                  <c:v>45467</c:v>
                </c:pt>
                <c:pt idx="660">
                  <c:v>45468</c:v>
                </c:pt>
                <c:pt idx="661">
                  <c:v>45469</c:v>
                </c:pt>
                <c:pt idx="662">
                  <c:v>45470</c:v>
                </c:pt>
                <c:pt idx="663">
                  <c:v>45471</c:v>
                </c:pt>
                <c:pt idx="664">
                  <c:v>45474</c:v>
                </c:pt>
                <c:pt idx="665">
                  <c:v>45475</c:v>
                </c:pt>
                <c:pt idx="666">
                  <c:v>45476</c:v>
                </c:pt>
                <c:pt idx="667">
                  <c:v>45477</c:v>
                </c:pt>
                <c:pt idx="668">
                  <c:v>45478</c:v>
                </c:pt>
                <c:pt idx="669">
                  <c:v>45481</c:v>
                </c:pt>
                <c:pt idx="670">
                  <c:v>45482</c:v>
                </c:pt>
                <c:pt idx="671">
                  <c:v>45483</c:v>
                </c:pt>
                <c:pt idx="672">
                  <c:v>45484</c:v>
                </c:pt>
                <c:pt idx="673">
                  <c:v>45485</c:v>
                </c:pt>
                <c:pt idx="674">
                  <c:v>45488</c:v>
                </c:pt>
                <c:pt idx="675">
                  <c:v>45489</c:v>
                </c:pt>
                <c:pt idx="676">
                  <c:v>45491</c:v>
                </c:pt>
                <c:pt idx="677">
                  <c:v>45492</c:v>
                </c:pt>
                <c:pt idx="678">
                  <c:v>45495</c:v>
                </c:pt>
                <c:pt idx="679">
                  <c:v>45496</c:v>
                </c:pt>
                <c:pt idx="680">
                  <c:v>45497</c:v>
                </c:pt>
                <c:pt idx="681">
                  <c:v>45498</c:v>
                </c:pt>
                <c:pt idx="682">
                  <c:v>45499</c:v>
                </c:pt>
                <c:pt idx="683">
                  <c:v>45502</c:v>
                </c:pt>
                <c:pt idx="684">
                  <c:v>45503</c:v>
                </c:pt>
                <c:pt idx="685">
                  <c:v>45504</c:v>
                </c:pt>
                <c:pt idx="686">
                  <c:v>45505</c:v>
                </c:pt>
                <c:pt idx="687">
                  <c:v>45506</c:v>
                </c:pt>
                <c:pt idx="688">
                  <c:v>45509</c:v>
                </c:pt>
                <c:pt idx="689">
                  <c:v>45510</c:v>
                </c:pt>
                <c:pt idx="690">
                  <c:v>45511</c:v>
                </c:pt>
                <c:pt idx="691">
                  <c:v>45512</c:v>
                </c:pt>
                <c:pt idx="692">
                  <c:v>45513</c:v>
                </c:pt>
                <c:pt idx="693">
                  <c:v>45516</c:v>
                </c:pt>
                <c:pt idx="694">
                  <c:v>45517</c:v>
                </c:pt>
                <c:pt idx="695">
                  <c:v>45518</c:v>
                </c:pt>
                <c:pt idx="696">
                  <c:v>45520</c:v>
                </c:pt>
                <c:pt idx="697">
                  <c:v>45523</c:v>
                </c:pt>
                <c:pt idx="698">
                  <c:v>45524</c:v>
                </c:pt>
                <c:pt idx="699">
                  <c:v>45525</c:v>
                </c:pt>
                <c:pt idx="700">
                  <c:v>45526</c:v>
                </c:pt>
                <c:pt idx="701">
                  <c:v>45527</c:v>
                </c:pt>
                <c:pt idx="702">
                  <c:v>45530</c:v>
                </c:pt>
                <c:pt idx="703">
                  <c:v>45531</c:v>
                </c:pt>
                <c:pt idx="704">
                  <c:v>45532</c:v>
                </c:pt>
                <c:pt idx="705">
                  <c:v>45533</c:v>
                </c:pt>
                <c:pt idx="706">
                  <c:v>45534</c:v>
                </c:pt>
                <c:pt idx="707">
                  <c:v>45537</c:v>
                </c:pt>
                <c:pt idx="708">
                  <c:v>45538</c:v>
                </c:pt>
                <c:pt idx="709">
                  <c:v>45539</c:v>
                </c:pt>
                <c:pt idx="710">
                  <c:v>45540</c:v>
                </c:pt>
                <c:pt idx="711">
                  <c:v>45541</c:v>
                </c:pt>
                <c:pt idx="712">
                  <c:v>45544</c:v>
                </c:pt>
                <c:pt idx="713">
                  <c:v>45545</c:v>
                </c:pt>
                <c:pt idx="714">
                  <c:v>45546</c:v>
                </c:pt>
                <c:pt idx="715">
                  <c:v>45547</c:v>
                </c:pt>
                <c:pt idx="716">
                  <c:v>45548</c:v>
                </c:pt>
                <c:pt idx="717">
                  <c:v>45551</c:v>
                </c:pt>
                <c:pt idx="718">
                  <c:v>45552</c:v>
                </c:pt>
                <c:pt idx="719">
                  <c:v>45553</c:v>
                </c:pt>
                <c:pt idx="720">
                  <c:v>45554</c:v>
                </c:pt>
                <c:pt idx="721">
                  <c:v>45555</c:v>
                </c:pt>
                <c:pt idx="722">
                  <c:v>45558</c:v>
                </c:pt>
                <c:pt idx="723">
                  <c:v>45559</c:v>
                </c:pt>
                <c:pt idx="724">
                  <c:v>45560</c:v>
                </c:pt>
                <c:pt idx="725">
                  <c:v>45561</c:v>
                </c:pt>
                <c:pt idx="726">
                  <c:v>45562</c:v>
                </c:pt>
                <c:pt idx="727">
                  <c:v>45565</c:v>
                </c:pt>
                <c:pt idx="728">
                  <c:v>45566</c:v>
                </c:pt>
                <c:pt idx="729">
                  <c:v>45568</c:v>
                </c:pt>
                <c:pt idx="730">
                  <c:v>45569</c:v>
                </c:pt>
                <c:pt idx="731">
                  <c:v>45572</c:v>
                </c:pt>
                <c:pt idx="732">
                  <c:v>45573</c:v>
                </c:pt>
                <c:pt idx="733">
                  <c:v>45574</c:v>
                </c:pt>
                <c:pt idx="734">
                  <c:v>45575</c:v>
                </c:pt>
                <c:pt idx="735">
                  <c:v>45576</c:v>
                </c:pt>
                <c:pt idx="736">
                  <c:v>45579</c:v>
                </c:pt>
                <c:pt idx="737">
                  <c:v>45580</c:v>
                </c:pt>
                <c:pt idx="738">
                  <c:v>45581</c:v>
                </c:pt>
                <c:pt idx="739">
                  <c:v>45582</c:v>
                </c:pt>
                <c:pt idx="740">
                  <c:v>45583</c:v>
                </c:pt>
                <c:pt idx="741">
                  <c:v>45586</c:v>
                </c:pt>
                <c:pt idx="742">
                  <c:v>45587</c:v>
                </c:pt>
                <c:pt idx="743">
                  <c:v>45588</c:v>
                </c:pt>
                <c:pt idx="744">
                  <c:v>45589</c:v>
                </c:pt>
                <c:pt idx="745">
                  <c:v>45590</c:v>
                </c:pt>
                <c:pt idx="746">
                  <c:v>45593</c:v>
                </c:pt>
                <c:pt idx="747">
                  <c:v>45594</c:v>
                </c:pt>
                <c:pt idx="748">
                  <c:v>45595</c:v>
                </c:pt>
                <c:pt idx="749">
                  <c:v>45596</c:v>
                </c:pt>
                <c:pt idx="750">
                  <c:v>45597</c:v>
                </c:pt>
                <c:pt idx="751">
                  <c:v>45600</c:v>
                </c:pt>
                <c:pt idx="752">
                  <c:v>45601</c:v>
                </c:pt>
                <c:pt idx="753">
                  <c:v>45602</c:v>
                </c:pt>
                <c:pt idx="754">
                  <c:v>45603</c:v>
                </c:pt>
                <c:pt idx="755">
                  <c:v>45604</c:v>
                </c:pt>
                <c:pt idx="756">
                  <c:v>45607</c:v>
                </c:pt>
                <c:pt idx="757">
                  <c:v>45608</c:v>
                </c:pt>
                <c:pt idx="758">
                  <c:v>45609</c:v>
                </c:pt>
                <c:pt idx="759">
                  <c:v>45610</c:v>
                </c:pt>
                <c:pt idx="760">
                  <c:v>45614</c:v>
                </c:pt>
                <c:pt idx="761">
                  <c:v>45615</c:v>
                </c:pt>
                <c:pt idx="762">
                  <c:v>45617</c:v>
                </c:pt>
                <c:pt idx="763">
                  <c:v>45618</c:v>
                </c:pt>
                <c:pt idx="764">
                  <c:v>45621</c:v>
                </c:pt>
                <c:pt idx="765">
                  <c:v>45622</c:v>
                </c:pt>
                <c:pt idx="766">
                  <c:v>45623</c:v>
                </c:pt>
                <c:pt idx="767">
                  <c:v>45624</c:v>
                </c:pt>
                <c:pt idx="768">
                  <c:v>45625</c:v>
                </c:pt>
                <c:pt idx="769">
                  <c:v>45628</c:v>
                </c:pt>
                <c:pt idx="770">
                  <c:v>45629</c:v>
                </c:pt>
                <c:pt idx="771">
                  <c:v>45630</c:v>
                </c:pt>
                <c:pt idx="772">
                  <c:v>45631</c:v>
                </c:pt>
                <c:pt idx="773">
                  <c:v>45632</c:v>
                </c:pt>
                <c:pt idx="774">
                  <c:v>45635</c:v>
                </c:pt>
                <c:pt idx="775">
                  <c:v>45636</c:v>
                </c:pt>
                <c:pt idx="776">
                  <c:v>45637</c:v>
                </c:pt>
                <c:pt idx="777">
                  <c:v>45638</c:v>
                </c:pt>
                <c:pt idx="778">
                  <c:v>45639</c:v>
                </c:pt>
                <c:pt idx="779">
                  <c:v>45642</c:v>
                </c:pt>
                <c:pt idx="780">
                  <c:v>45643</c:v>
                </c:pt>
                <c:pt idx="781">
                  <c:v>45644</c:v>
                </c:pt>
                <c:pt idx="782">
                  <c:v>45645</c:v>
                </c:pt>
                <c:pt idx="783">
                  <c:v>45646</c:v>
                </c:pt>
                <c:pt idx="784">
                  <c:v>45649</c:v>
                </c:pt>
                <c:pt idx="785">
                  <c:v>45650</c:v>
                </c:pt>
                <c:pt idx="786">
                  <c:v>45652</c:v>
                </c:pt>
                <c:pt idx="787">
                  <c:v>45653</c:v>
                </c:pt>
                <c:pt idx="788">
                  <c:v>45656</c:v>
                </c:pt>
                <c:pt idx="789">
                  <c:v>45657</c:v>
                </c:pt>
                <c:pt idx="790">
                  <c:v>45658</c:v>
                </c:pt>
                <c:pt idx="791">
                  <c:v>45659</c:v>
                </c:pt>
                <c:pt idx="792">
                  <c:v>45660</c:v>
                </c:pt>
                <c:pt idx="793">
                  <c:v>45663</c:v>
                </c:pt>
                <c:pt idx="794">
                  <c:v>45664</c:v>
                </c:pt>
                <c:pt idx="795">
                  <c:v>45665</c:v>
                </c:pt>
                <c:pt idx="796">
                  <c:v>45666</c:v>
                </c:pt>
                <c:pt idx="797">
                  <c:v>45667</c:v>
                </c:pt>
                <c:pt idx="798">
                  <c:v>45670</c:v>
                </c:pt>
                <c:pt idx="799">
                  <c:v>45671</c:v>
                </c:pt>
                <c:pt idx="800">
                  <c:v>45672</c:v>
                </c:pt>
                <c:pt idx="801">
                  <c:v>45673</c:v>
                </c:pt>
                <c:pt idx="802">
                  <c:v>45674</c:v>
                </c:pt>
                <c:pt idx="803">
                  <c:v>45677</c:v>
                </c:pt>
                <c:pt idx="804">
                  <c:v>45678</c:v>
                </c:pt>
                <c:pt idx="805">
                  <c:v>45679</c:v>
                </c:pt>
                <c:pt idx="806">
                  <c:v>45680</c:v>
                </c:pt>
                <c:pt idx="807">
                  <c:v>45681</c:v>
                </c:pt>
                <c:pt idx="808">
                  <c:v>45684</c:v>
                </c:pt>
                <c:pt idx="809">
                  <c:v>45685</c:v>
                </c:pt>
                <c:pt idx="810">
                  <c:v>45686</c:v>
                </c:pt>
                <c:pt idx="811">
                  <c:v>45687</c:v>
                </c:pt>
                <c:pt idx="812">
                  <c:v>45688</c:v>
                </c:pt>
                <c:pt idx="813">
                  <c:v>45689</c:v>
                </c:pt>
                <c:pt idx="814">
                  <c:v>45691</c:v>
                </c:pt>
                <c:pt idx="815">
                  <c:v>45692</c:v>
                </c:pt>
                <c:pt idx="816">
                  <c:v>45693</c:v>
                </c:pt>
                <c:pt idx="817">
                  <c:v>45694</c:v>
                </c:pt>
                <c:pt idx="818">
                  <c:v>45695</c:v>
                </c:pt>
                <c:pt idx="819">
                  <c:v>45698</c:v>
                </c:pt>
                <c:pt idx="820">
                  <c:v>45699</c:v>
                </c:pt>
                <c:pt idx="821">
                  <c:v>45700</c:v>
                </c:pt>
                <c:pt idx="822">
                  <c:v>45701</c:v>
                </c:pt>
                <c:pt idx="823">
                  <c:v>45702</c:v>
                </c:pt>
                <c:pt idx="824">
                  <c:v>45705</c:v>
                </c:pt>
                <c:pt idx="825">
                  <c:v>45706</c:v>
                </c:pt>
                <c:pt idx="826">
                  <c:v>45707</c:v>
                </c:pt>
                <c:pt idx="827">
                  <c:v>45708</c:v>
                </c:pt>
                <c:pt idx="828">
                  <c:v>45709</c:v>
                </c:pt>
                <c:pt idx="829">
                  <c:v>45712</c:v>
                </c:pt>
                <c:pt idx="830">
                  <c:v>45713</c:v>
                </c:pt>
                <c:pt idx="831">
                  <c:v>45715</c:v>
                </c:pt>
                <c:pt idx="832">
                  <c:v>45716</c:v>
                </c:pt>
                <c:pt idx="833">
                  <c:v>45719</c:v>
                </c:pt>
                <c:pt idx="834">
                  <c:v>45720</c:v>
                </c:pt>
                <c:pt idx="835">
                  <c:v>45721</c:v>
                </c:pt>
                <c:pt idx="836">
                  <c:v>45722</c:v>
                </c:pt>
                <c:pt idx="837">
                  <c:v>45723</c:v>
                </c:pt>
                <c:pt idx="838">
                  <c:v>45726</c:v>
                </c:pt>
                <c:pt idx="839">
                  <c:v>45727</c:v>
                </c:pt>
                <c:pt idx="840">
                  <c:v>45728</c:v>
                </c:pt>
                <c:pt idx="841">
                  <c:v>45729</c:v>
                </c:pt>
                <c:pt idx="842">
                  <c:v>45733</c:v>
                </c:pt>
                <c:pt idx="843">
                  <c:v>45734</c:v>
                </c:pt>
                <c:pt idx="844">
                  <c:v>45735</c:v>
                </c:pt>
                <c:pt idx="845">
                  <c:v>45736</c:v>
                </c:pt>
                <c:pt idx="846">
                  <c:v>45737</c:v>
                </c:pt>
                <c:pt idx="847">
                  <c:v>45740</c:v>
                </c:pt>
                <c:pt idx="848">
                  <c:v>45741</c:v>
                </c:pt>
                <c:pt idx="849">
                  <c:v>45742</c:v>
                </c:pt>
                <c:pt idx="850">
                  <c:v>45743</c:v>
                </c:pt>
                <c:pt idx="851">
                  <c:v>45744</c:v>
                </c:pt>
                <c:pt idx="852">
                  <c:v>45748</c:v>
                </c:pt>
                <c:pt idx="853">
                  <c:v>45749</c:v>
                </c:pt>
                <c:pt idx="854">
                  <c:v>45750</c:v>
                </c:pt>
                <c:pt idx="855">
                  <c:v>45751</c:v>
                </c:pt>
                <c:pt idx="856">
                  <c:v>45754</c:v>
                </c:pt>
                <c:pt idx="857">
                  <c:v>45755</c:v>
                </c:pt>
                <c:pt idx="858">
                  <c:v>45756</c:v>
                </c:pt>
                <c:pt idx="859">
                  <c:v>45758</c:v>
                </c:pt>
                <c:pt idx="860">
                  <c:v>45762</c:v>
                </c:pt>
                <c:pt idx="861">
                  <c:v>45763</c:v>
                </c:pt>
                <c:pt idx="862">
                  <c:v>45764</c:v>
                </c:pt>
                <c:pt idx="863">
                  <c:v>45768</c:v>
                </c:pt>
                <c:pt idx="864">
                  <c:v>45769</c:v>
                </c:pt>
                <c:pt idx="865">
                  <c:v>45770</c:v>
                </c:pt>
                <c:pt idx="866">
                  <c:v>45771</c:v>
                </c:pt>
                <c:pt idx="867">
                  <c:v>45772</c:v>
                </c:pt>
                <c:pt idx="868">
                  <c:v>45775</c:v>
                </c:pt>
                <c:pt idx="869">
                  <c:v>45776</c:v>
                </c:pt>
                <c:pt idx="870">
                  <c:v>45777</c:v>
                </c:pt>
                <c:pt idx="871">
                  <c:v>45779</c:v>
                </c:pt>
                <c:pt idx="872">
                  <c:v>45782</c:v>
                </c:pt>
                <c:pt idx="873">
                  <c:v>45783</c:v>
                </c:pt>
                <c:pt idx="874">
                  <c:v>45784</c:v>
                </c:pt>
                <c:pt idx="875">
                  <c:v>45785</c:v>
                </c:pt>
                <c:pt idx="876">
                  <c:v>45786</c:v>
                </c:pt>
                <c:pt idx="877">
                  <c:v>45789</c:v>
                </c:pt>
                <c:pt idx="878">
                  <c:v>45790</c:v>
                </c:pt>
                <c:pt idx="879">
                  <c:v>45791</c:v>
                </c:pt>
                <c:pt idx="880">
                  <c:v>45792</c:v>
                </c:pt>
                <c:pt idx="881">
                  <c:v>45793</c:v>
                </c:pt>
                <c:pt idx="882">
                  <c:v>45796</c:v>
                </c:pt>
                <c:pt idx="883">
                  <c:v>45797</c:v>
                </c:pt>
                <c:pt idx="884">
                  <c:v>45798</c:v>
                </c:pt>
                <c:pt idx="885">
                  <c:v>45799</c:v>
                </c:pt>
                <c:pt idx="886">
                  <c:v>45800</c:v>
                </c:pt>
                <c:pt idx="887">
                  <c:v>45803</c:v>
                </c:pt>
                <c:pt idx="888">
                  <c:v>45804</c:v>
                </c:pt>
                <c:pt idx="889">
                  <c:v>45805</c:v>
                </c:pt>
                <c:pt idx="890">
                  <c:v>45806</c:v>
                </c:pt>
                <c:pt idx="891">
                  <c:v>45807</c:v>
                </c:pt>
                <c:pt idx="892">
                  <c:v>45810</c:v>
                </c:pt>
                <c:pt idx="893">
                  <c:v>45811</c:v>
                </c:pt>
                <c:pt idx="894">
                  <c:v>45812</c:v>
                </c:pt>
                <c:pt idx="895">
                  <c:v>45813</c:v>
                </c:pt>
                <c:pt idx="896">
                  <c:v>45814</c:v>
                </c:pt>
                <c:pt idx="897">
                  <c:v>45817</c:v>
                </c:pt>
                <c:pt idx="898">
                  <c:v>45818</c:v>
                </c:pt>
                <c:pt idx="899">
                  <c:v>45819</c:v>
                </c:pt>
                <c:pt idx="900">
                  <c:v>45820</c:v>
                </c:pt>
                <c:pt idx="901">
                  <c:v>45821</c:v>
                </c:pt>
                <c:pt idx="902">
                  <c:v>45824</c:v>
                </c:pt>
                <c:pt idx="903">
                  <c:v>45825</c:v>
                </c:pt>
                <c:pt idx="904">
                  <c:v>45826</c:v>
                </c:pt>
                <c:pt idx="905">
                  <c:v>45827</c:v>
                </c:pt>
                <c:pt idx="906">
                  <c:v>45828</c:v>
                </c:pt>
                <c:pt idx="907">
                  <c:v>45831</c:v>
                </c:pt>
                <c:pt idx="908">
                  <c:v>45832</c:v>
                </c:pt>
                <c:pt idx="909">
                  <c:v>45833</c:v>
                </c:pt>
                <c:pt idx="910">
                  <c:v>45834</c:v>
                </c:pt>
                <c:pt idx="911">
                  <c:v>45835</c:v>
                </c:pt>
                <c:pt idx="912">
                  <c:v>45838</c:v>
                </c:pt>
                <c:pt idx="913">
                  <c:v>45839</c:v>
                </c:pt>
                <c:pt idx="914">
                  <c:v>45840</c:v>
                </c:pt>
                <c:pt idx="915">
                  <c:v>45841</c:v>
                </c:pt>
                <c:pt idx="916">
                  <c:v>45842</c:v>
                </c:pt>
                <c:pt idx="917">
                  <c:v>45845</c:v>
                </c:pt>
                <c:pt idx="918">
                  <c:v>45846</c:v>
                </c:pt>
                <c:pt idx="919">
                  <c:v>45847</c:v>
                </c:pt>
                <c:pt idx="920">
                  <c:v>45848</c:v>
                </c:pt>
                <c:pt idx="921">
                  <c:v>45849</c:v>
                </c:pt>
                <c:pt idx="922">
                  <c:v>45852</c:v>
                </c:pt>
                <c:pt idx="923">
                  <c:v>45853</c:v>
                </c:pt>
                <c:pt idx="924">
                  <c:v>45854</c:v>
                </c:pt>
                <c:pt idx="925">
                  <c:v>45855</c:v>
                </c:pt>
                <c:pt idx="926">
                  <c:v>45856</c:v>
                </c:pt>
                <c:pt idx="927">
                  <c:v>45859</c:v>
                </c:pt>
                <c:pt idx="928">
                  <c:v>45860</c:v>
                </c:pt>
                <c:pt idx="929">
                  <c:v>45861</c:v>
                </c:pt>
                <c:pt idx="930">
                  <c:v>45862</c:v>
                </c:pt>
                <c:pt idx="931">
                  <c:v>45863</c:v>
                </c:pt>
                <c:pt idx="932">
                  <c:v>45866</c:v>
                </c:pt>
                <c:pt idx="933">
                  <c:v>45867</c:v>
                </c:pt>
                <c:pt idx="934">
                  <c:v>45868</c:v>
                </c:pt>
                <c:pt idx="935">
                  <c:v>45869</c:v>
                </c:pt>
                <c:pt idx="936">
                  <c:v>45870</c:v>
                </c:pt>
                <c:pt idx="937">
                  <c:v>45873</c:v>
                </c:pt>
                <c:pt idx="938">
                  <c:v>45874</c:v>
                </c:pt>
                <c:pt idx="939">
                  <c:v>45875</c:v>
                </c:pt>
                <c:pt idx="940">
                  <c:v>45876</c:v>
                </c:pt>
                <c:pt idx="941">
                  <c:v>45877</c:v>
                </c:pt>
                <c:pt idx="942">
                  <c:v>45880</c:v>
                </c:pt>
                <c:pt idx="943">
                  <c:v>45881</c:v>
                </c:pt>
                <c:pt idx="944">
                  <c:v>45882</c:v>
                </c:pt>
                <c:pt idx="945">
                  <c:v>45883</c:v>
                </c:pt>
                <c:pt idx="946">
                  <c:v>45887</c:v>
                </c:pt>
                <c:pt idx="947">
                  <c:v>45888</c:v>
                </c:pt>
                <c:pt idx="948">
                  <c:v>45889</c:v>
                </c:pt>
                <c:pt idx="949">
                  <c:v>45890</c:v>
                </c:pt>
                <c:pt idx="950">
                  <c:v>45891</c:v>
                </c:pt>
                <c:pt idx="951">
                  <c:v>45894</c:v>
                </c:pt>
                <c:pt idx="952">
                  <c:v>45895</c:v>
                </c:pt>
                <c:pt idx="953">
                  <c:v>45897</c:v>
                </c:pt>
                <c:pt idx="954">
                  <c:v>45898</c:v>
                </c:pt>
                <c:pt idx="955">
                  <c:v>45901</c:v>
                </c:pt>
                <c:pt idx="956">
                  <c:v>45902</c:v>
                </c:pt>
                <c:pt idx="957">
                  <c:v>45903</c:v>
                </c:pt>
                <c:pt idx="958">
                  <c:v>45904</c:v>
                </c:pt>
                <c:pt idx="959">
                  <c:v>45905</c:v>
                </c:pt>
                <c:pt idx="960">
                  <c:v>45908</c:v>
                </c:pt>
                <c:pt idx="961">
                  <c:v>45909</c:v>
                </c:pt>
                <c:pt idx="962">
                  <c:v>45910</c:v>
                </c:pt>
                <c:pt idx="963">
                  <c:v>45911</c:v>
                </c:pt>
                <c:pt idx="964">
                  <c:v>45912</c:v>
                </c:pt>
                <c:pt idx="965">
                  <c:v>45915</c:v>
                </c:pt>
                <c:pt idx="966">
                  <c:v>45916</c:v>
                </c:pt>
                <c:pt idx="967">
                  <c:v>45917</c:v>
                </c:pt>
                <c:pt idx="968">
                  <c:v>45918</c:v>
                </c:pt>
                <c:pt idx="969">
                  <c:v>45919</c:v>
                </c:pt>
                <c:pt idx="970">
                  <c:v>45922</c:v>
                </c:pt>
                <c:pt idx="971">
                  <c:v>45923</c:v>
                </c:pt>
                <c:pt idx="972">
                  <c:v>45924</c:v>
                </c:pt>
                <c:pt idx="973">
                  <c:v>45925</c:v>
                </c:pt>
                <c:pt idx="974">
                  <c:v>45926</c:v>
                </c:pt>
                <c:pt idx="975">
                  <c:v>45929</c:v>
                </c:pt>
                <c:pt idx="976">
                  <c:v>45930</c:v>
                </c:pt>
                <c:pt idx="977">
                  <c:v>45931</c:v>
                </c:pt>
                <c:pt idx="978">
                  <c:v>45933</c:v>
                </c:pt>
                <c:pt idx="979">
                  <c:v>45936</c:v>
                </c:pt>
                <c:pt idx="980">
                  <c:v>45937</c:v>
                </c:pt>
                <c:pt idx="981">
                  <c:v>45938</c:v>
                </c:pt>
                <c:pt idx="982">
                  <c:v>45939</c:v>
                </c:pt>
                <c:pt idx="983">
                  <c:v>45940</c:v>
                </c:pt>
                <c:pt idx="984">
                  <c:v>45943</c:v>
                </c:pt>
                <c:pt idx="985">
                  <c:v>45944</c:v>
                </c:pt>
                <c:pt idx="986">
                  <c:v>45945</c:v>
                </c:pt>
                <c:pt idx="987">
                  <c:v>45946</c:v>
                </c:pt>
                <c:pt idx="988">
                  <c:v>45947</c:v>
                </c:pt>
                <c:pt idx="989">
                  <c:v>45950</c:v>
                </c:pt>
                <c:pt idx="990">
                  <c:v>45951</c:v>
                </c:pt>
                <c:pt idx="991">
                  <c:v>45953</c:v>
                </c:pt>
                <c:pt idx="992">
                  <c:v>45954</c:v>
                </c:pt>
                <c:pt idx="993">
                  <c:v>45957</c:v>
                </c:pt>
                <c:pt idx="994">
                  <c:v>45958</c:v>
                </c:pt>
                <c:pt idx="995">
                  <c:v>45959</c:v>
                </c:pt>
                <c:pt idx="996">
                  <c:v>45960</c:v>
                </c:pt>
                <c:pt idx="997">
                  <c:v>45961</c:v>
                </c:pt>
                <c:pt idx="998">
                  <c:v>45964</c:v>
                </c:pt>
                <c:pt idx="999">
                  <c:v>45965</c:v>
                </c:pt>
                <c:pt idx="1000">
                  <c:v>45967</c:v>
                </c:pt>
                <c:pt idx="1001">
                  <c:v>45968</c:v>
                </c:pt>
                <c:pt idx="1002">
                  <c:v>45971</c:v>
                </c:pt>
                <c:pt idx="1003">
                  <c:v>45972</c:v>
                </c:pt>
                <c:pt idx="1004">
                  <c:v>45973</c:v>
                </c:pt>
                <c:pt idx="1005">
                  <c:v>45974</c:v>
                </c:pt>
                <c:pt idx="1006">
                  <c:v>45975</c:v>
                </c:pt>
                <c:pt idx="1007">
                  <c:v>45978</c:v>
                </c:pt>
                <c:pt idx="1008">
                  <c:v>45979</c:v>
                </c:pt>
                <c:pt idx="1009">
                  <c:v>45980</c:v>
                </c:pt>
                <c:pt idx="1010">
                  <c:v>45981</c:v>
                </c:pt>
                <c:pt idx="1011">
                  <c:v>45982</c:v>
                </c:pt>
                <c:pt idx="1012">
                  <c:v>45985</c:v>
                </c:pt>
                <c:pt idx="1013">
                  <c:v>45986</c:v>
                </c:pt>
                <c:pt idx="1014">
                  <c:v>45987</c:v>
                </c:pt>
                <c:pt idx="1015">
                  <c:v>45988</c:v>
                </c:pt>
                <c:pt idx="1016">
                  <c:v>45989</c:v>
                </c:pt>
                <c:pt idx="1017">
                  <c:v>45992</c:v>
                </c:pt>
                <c:pt idx="1018">
                  <c:v>45993</c:v>
                </c:pt>
                <c:pt idx="1019">
                  <c:v>45994</c:v>
                </c:pt>
                <c:pt idx="1020">
                  <c:v>45995</c:v>
                </c:pt>
                <c:pt idx="1021">
                  <c:v>45996</c:v>
                </c:pt>
                <c:pt idx="1022">
                  <c:v>45999</c:v>
                </c:pt>
                <c:pt idx="1023">
                  <c:v>46000</c:v>
                </c:pt>
                <c:pt idx="1024">
                  <c:v>46001</c:v>
                </c:pt>
                <c:pt idx="1025">
                  <c:v>46002</c:v>
                </c:pt>
                <c:pt idx="1026">
                  <c:v>46003</c:v>
                </c:pt>
                <c:pt idx="1027">
                  <c:v>46006</c:v>
                </c:pt>
                <c:pt idx="1028">
                  <c:v>46007</c:v>
                </c:pt>
                <c:pt idx="1029">
                  <c:v>46008</c:v>
                </c:pt>
                <c:pt idx="1030">
                  <c:v>46009</c:v>
                </c:pt>
                <c:pt idx="1031">
                  <c:v>46010</c:v>
                </c:pt>
                <c:pt idx="1032">
                  <c:v>46013</c:v>
                </c:pt>
                <c:pt idx="1033">
                  <c:v>46014</c:v>
                </c:pt>
                <c:pt idx="1034">
                  <c:v>46015</c:v>
                </c:pt>
                <c:pt idx="1035">
                  <c:v>46017</c:v>
                </c:pt>
                <c:pt idx="1036">
                  <c:v>46020</c:v>
                </c:pt>
                <c:pt idx="1037">
                  <c:v>46021</c:v>
                </c:pt>
                <c:pt idx="1038">
                  <c:v>46022</c:v>
                </c:pt>
              </c:numCache>
            </c:numRef>
          </c:cat>
          <c:val>
            <c:numRef>
              <c:f>'Price trend line table'!$E$202:$E$1241</c:f>
              <c:numCache>
                <c:formatCode>General</c:formatCode>
                <c:ptCount val="1040"/>
                <c:pt idx="0">
                  <c:v>15675.584750000004</c:v>
                </c:pt>
                <c:pt idx="1">
                  <c:v>15696.119250000003</c:v>
                </c:pt>
                <c:pt idx="2">
                  <c:v>15716.796750000003</c:v>
                </c:pt>
                <c:pt idx="3">
                  <c:v>15736.854000000003</c:v>
                </c:pt>
                <c:pt idx="4">
                  <c:v>15755.409000000003</c:v>
                </c:pt>
                <c:pt idx="5">
                  <c:v>15773.080500000004</c:v>
                </c:pt>
                <c:pt idx="6">
                  <c:v>15790.992500000002</c:v>
                </c:pt>
                <c:pt idx="7">
                  <c:v>15808.013500000003</c:v>
                </c:pt>
                <c:pt idx="8">
                  <c:v>15824.342250000005</c:v>
                </c:pt>
                <c:pt idx="9">
                  <c:v>15841.102000000004</c:v>
                </c:pt>
                <c:pt idx="10">
                  <c:v>15858.466750000003</c:v>
                </c:pt>
                <c:pt idx="11">
                  <c:v>15876.519500000002</c:v>
                </c:pt>
                <c:pt idx="12">
                  <c:v>15895.199000000004</c:v>
                </c:pt>
                <c:pt idx="13">
                  <c:v>15911.961250000004</c:v>
                </c:pt>
                <c:pt idx="14">
                  <c:v>15929.251500000004</c:v>
                </c:pt>
                <c:pt idx="15">
                  <c:v>15946.847000000003</c:v>
                </c:pt>
                <c:pt idx="16">
                  <c:v>15964.983500000006</c:v>
                </c:pt>
                <c:pt idx="17">
                  <c:v>15983.282250000006</c:v>
                </c:pt>
                <c:pt idx="18">
                  <c:v>16002.268750000005</c:v>
                </c:pt>
                <c:pt idx="19">
                  <c:v>16020.263750000006</c:v>
                </c:pt>
                <c:pt idx="20">
                  <c:v>16039.607500000006</c:v>
                </c:pt>
                <c:pt idx="21">
                  <c:v>16055.276750000003</c:v>
                </c:pt>
                <c:pt idx="22">
                  <c:v>16069.718750000002</c:v>
                </c:pt>
                <c:pt idx="23">
                  <c:v>16080.901250000004</c:v>
                </c:pt>
                <c:pt idx="24">
                  <c:v>16091.692750000006</c:v>
                </c:pt>
                <c:pt idx="25">
                  <c:v>16101.987500000005</c:v>
                </c:pt>
                <c:pt idx="26">
                  <c:v>16112.243000000006</c:v>
                </c:pt>
                <c:pt idx="27">
                  <c:v>16123.704750000003</c:v>
                </c:pt>
                <c:pt idx="28">
                  <c:v>16134.155750000004</c:v>
                </c:pt>
                <c:pt idx="29">
                  <c:v>16142.850500000006</c:v>
                </c:pt>
                <c:pt idx="30">
                  <c:v>16152.917500000005</c:v>
                </c:pt>
                <c:pt idx="31">
                  <c:v>16163.692750000004</c:v>
                </c:pt>
                <c:pt idx="32">
                  <c:v>16174.709750000005</c:v>
                </c:pt>
                <c:pt idx="33">
                  <c:v>16186.221750000002</c:v>
                </c:pt>
                <c:pt idx="34">
                  <c:v>16197.468250000004</c:v>
                </c:pt>
                <c:pt idx="35">
                  <c:v>16209.184000000007</c:v>
                </c:pt>
                <c:pt idx="36">
                  <c:v>16221.912500000004</c:v>
                </c:pt>
                <c:pt idx="37">
                  <c:v>16234.615500000005</c:v>
                </c:pt>
                <c:pt idx="38">
                  <c:v>16244.631500000007</c:v>
                </c:pt>
                <c:pt idx="39">
                  <c:v>16252.215750000005</c:v>
                </c:pt>
                <c:pt idx="40">
                  <c:v>16263.424250000004</c:v>
                </c:pt>
                <c:pt idx="41">
                  <c:v>16274.393750000005</c:v>
                </c:pt>
                <c:pt idx="42">
                  <c:v>16285.161250000005</c:v>
                </c:pt>
                <c:pt idx="43">
                  <c:v>16293.952000000005</c:v>
                </c:pt>
                <c:pt idx="44">
                  <c:v>16303.979500000007</c:v>
                </c:pt>
                <c:pt idx="45">
                  <c:v>16315.455250000006</c:v>
                </c:pt>
                <c:pt idx="46">
                  <c:v>16326.742250000005</c:v>
                </c:pt>
                <c:pt idx="47">
                  <c:v>16337.270000000004</c:v>
                </c:pt>
                <c:pt idx="48">
                  <c:v>16348.166250000002</c:v>
                </c:pt>
                <c:pt idx="49">
                  <c:v>16361.140000000003</c:v>
                </c:pt>
                <c:pt idx="50">
                  <c:v>16375.518750000005</c:v>
                </c:pt>
                <c:pt idx="51">
                  <c:v>16390.592750000003</c:v>
                </c:pt>
                <c:pt idx="52">
                  <c:v>16405.715750000003</c:v>
                </c:pt>
                <c:pt idx="53">
                  <c:v>16421.990000000005</c:v>
                </c:pt>
                <c:pt idx="54">
                  <c:v>16438.286500000006</c:v>
                </c:pt>
                <c:pt idx="55">
                  <c:v>16454.883250000003</c:v>
                </c:pt>
                <c:pt idx="56">
                  <c:v>16471.871250000004</c:v>
                </c:pt>
                <c:pt idx="57">
                  <c:v>16490.413250000005</c:v>
                </c:pt>
                <c:pt idx="58">
                  <c:v>16510.067500000005</c:v>
                </c:pt>
                <c:pt idx="59">
                  <c:v>16529.071500000005</c:v>
                </c:pt>
                <c:pt idx="60">
                  <c:v>16545.411250000005</c:v>
                </c:pt>
                <c:pt idx="61">
                  <c:v>16561.649750000004</c:v>
                </c:pt>
                <c:pt idx="62">
                  <c:v>16576.098000000002</c:v>
                </c:pt>
                <c:pt idx="63">
                  <c:v>16590.994750000002</c:v>
                </c:pt>
                <c:pt idx="64">
                  <c:v>16603.322750000003</c:v>
                </c:pt>
                <c:pt idx="65">
                  <c:v>16615.617250000003</c:v>
                </c:pt>
                <c:pt idx="66">
                  <c:v>16626.799000000003</c:v>
                </c:pt>
                <c:pt idx="67">
                  <c:v>16638.134500000004</c:v>
                </c:pt>
                <c:pt idx="68">
                  <c:v>16653.279750000005</c:v>
                </c:pt>
                <c:pt idx="69">
                  <c:v>16668.640000000003</c:v>
                </c:pt>
                <c:pt idx="70">
                  <c:v>16684.632750000004</c:v>
                </c:pt>
                <c:pt idx="71">
                  <c:v>16699.34450000001</c:v>
                </c:pt>
                <c:pt idx="72">
                  <c:v>16715.128750000007</c:v>
                </c:pt>
                <c:pt idx="73">
                  <c:v>16729.714750000006</c:v>
                </c:pt>
                <c:pt idx="74">
                  <c:v>16744.017750000006</c:v>
                </c:pt>
                <c:pt idx="75">
                  <c:v>16759.630000000005</c:v>
                </c:pt>
                <c:pt idx="76">
                  <c:v>16775.234250000009</c:v>
                </c:pt>
                <c:pt idx="77">
                  <c:v>16788.842750000007</c:v>
                </c:pt>
                <c:pt idx="78">
                  <c:v>16798.734000000004</c:v>
                </c:pt>
                <c:pt idx="79">
                  <c:v>16811.021750000004</c:v>
                </c:pt>
                <c:pt idx="80">
                  <c:v>16824.477250000007</c:v>
                </c:pt>
                <c:pt idx="81">
                  <c:v>16837.829500000003</c:v>
                </c:pt>
                <c:pt idx="82">
                  <c:v>16851.728500000005</c:v>
                </c:pt>
                <c:pt idx="83">
                  <c:v>16864.672500000008</c:v>
                </c:pt>
                <c:pt idx="84">
                  <c:v>16876.509500000007</c:v>
                </c:pt>
                <c:pt idx="85">
                  <c:v>16887.710000000006</c:v>
                </c:pt>
                <c:pt idx="86">
                  <c:v>16894.238000000005</c:v>
                </c:pt>
                <c:pt idx="87">
                  <c:v>16903.276250000006</c:v>
                </c:pt>
                <c:pt idx="88">
                  <c:v>16913.763250000004</c:v>
                </c:pt>
                <c:pt idx="89">
                  <c:v>16923.404000000006</c:v>
                </c:pt>
                <c:pt idx="90">
                  <c:v>16931.278500000004</c:v>
                </c:pt>
                <c:pt idx="91">
                  <c:v>16936.964750000003</c:v>
                </c:pt>
                <c:pt idx="92">
                  <c:v>16941.129750000004</c:v>
                </c:pt>
                <c:pt idx="93">
                  <c:v>16946.666750000004</c:v>
                </c:pt>
                <c:pt idx="94">
                  <c:v>16952.517000000007</c:v>
                </c:pt>
                <c:pt idx="95">
                  <c:v>16959.503000000008</c:v>
                </c:pt>
                <c:pt idx="96">
                  <c:v>16966.613000000008</c:v>
                </c:pt>
                <c:pt idx="97">
                  <c:v>16974.462250000008</c:v>
                </c:pt>
                <c:pt idx="98">
                  <c:v>16981.088000000007</c:v>
                </c:pt>
                <c:pt idx="99">
                  <c:v>16988.786500000006</c:v>
                </c:pt>
                <c:pt idx="100">
                  <c:v>16997.307750000007</c:v>
                </c:pt>
                <c:pt idx="101">
                  <c:v>17005.021500000006</c:v>
                </c:pt>
                <c:pt idx="102">
                  <c:v>17013.718000000004</c:v>
                </c:pt>
                <c:pt idx="103">
                  <c:v>17021.494500000004</c:v>
                </c:pt>
                <c:pt idx="104">
                  <c:v>17029.257000000005</c:v>
                </c:pt>
                <c:pt idx="105">
                  <c:v>17036.263750000002</c:v>
                </c:pt>
                <c:pt idx="106">
                  <c:v>17043.673250000003</c:v>
                </c:pt>
                <c:pt idx="107">
                  <c:v>17052.123</c:v>
                </c:pt>
                <c:pt idx="108">
                  <c:v>17060.925500000001</c:v>
                </c:pt>
                <c:pt idx="109">
                  <c:v>17069.252500000002</c:v>
                </c:pt>
                <c:pt idx="110">
                  <c:v>17078.545500000004</c:v>
                </c:pt>
                <c:pt idx="111">
                  <c:v>17089.466250000001</c:v>
                </c:pt>
                <c:pt idx="112">
                  <c:v>17100.415500000003</c:v>
                </c:pt>
                <c:pt idx="113">
                  <c:v>17110.996750000002</c:v>
                </c:pt>
                <c:pt idx="114">
                  <c:v>17120.777750000001</c:v>
                </c:pt>
                <c:pt idx="115">
                  <c:v>17130.967000000001</c:v>
                </c:pt>
                <c:pt idx="116">
                  <c:v>17140.477999999999</c:v>
                </c:pt>
                <c:pt idx="117">
                  <c:v>17149.694750000002</c:v>
                </c:pt>
                <c:pt idx="118">
                  <c:v>17158.120749999998</c:v>
                </c:pt>
                <c:pt idx="119">
                  <c:v>17164.687249999995</c:v>
                </c:pt>
                <c:pt idx="120">
                  <c:v>17170.406999999996</c:v>
                </c:pt>
                <c:pt idx="121">
                  <c:v>17177.347499999996</c:v>
                </c:pt>
                <c:pt idx="122">
                  <c:v>17185.702999999994</c:v>
                </c:pt>
                <c:pt idx="123">
                  <c:v>17193.162749999996</c:v>
                </c:pt>
                <c:pt idx="124">
                  <c:v>17199.321499999998</c:v>
                </c:pt>
                <c:pt idx="125">
                  <c:v>17206.153749999994</c:v>
                </c:pt>
                <c:pt idx="126">
                  <c:v>17212.254499999995</c:v>
                </c:pt>
                <c:pt idx="127">
                  <c:v>17219.081499999993</c:v>
                </c:pt>
                <c:pt idx="128">
                  <c:v>17225.954749999994</c:v>
                </c:pt>
                <c:pt idx="129">
                  <c:v>17232.851249999996</c:v>
                </c:pt>
                <c:pt idx="130">
                  <c:v>17237.776249999995</c:v>
                </c:pt>
                <c:pt idx="131">
                  <c:v>17242.127749999992</c:v>
                </c:pt>
                <c:pt idx="132">
                  <c:v>17244.914249999994</c:v>
                </c:pt>
                <c:pt idx="133">
                  <c:v>17246.802499999994</c:v>
                </c:pt>
                <c:pt idx="134">
                  <c:v>17248.385749999994</c:v>
                </c:pt>
                <c:pt idx="135">
                  <c:v>17250.459249999993</c:v>
                </c:pt>
                <c:pt idx="136">
                  <c:v>17251.338749999995</c:v>
                </c:pt>
                <c:pt idx="137">
                  <c:v>17251.129249999994</c:v>
                </c:pt>
                <c:pt idx="138">
                  <c:v>17251.060499999992</c:v>
                </c:pt>
                <c:pt idx="139">
                  <c:v>17253.234749999992</c:v>
                </c:pt>
                <c:pt idx="140">
                  <c:v>17255.703999999991</c:v>
                </c:pt>
                <c:pt idx="141">
                  <c:v>17256.203999999991</c:v>
                </c:pt>
                <c:pt idx="142">
                  <c:v>17258.642499999994</c:v>
                </c:pt>
                <c:pt idx="143">
                  <c:v>17260.900749999993</c:v>
                </c:pt>
                <c:pt idx="144">
                  <c:v>17262.100749999994</c:v>
                </c:pt>
                <c:pt idx="145">
                  <c:v>17261.57599999999</c:v>
                </c:pt>
                <c:pt idx="146">
                  <c:v>17261.132749999993</c:v>
                </c:pt>
                <c:pt idx="147">
                  <c:v>17261.421999999991</c:v>
                </c:pt>
                <c:pt idx="148">
                  <c:v>17263.53799999999</c:v>
                </c:pt>
                <c:pt idx="149">
                  <c:v>17265.169499999989</c:v>
                </c:pt>
                <c:pt idx="150">
                  <c:v>17266.38274999999</c:v>
                </c:pt>
                <c:pt idx="151">
                  <c:v>17268.111499999988</c:v>
                </c:pt>
                <c:pt idx="152">
                  <c:v>17269.210999999988</c:v>
                </c:pt>
                <c:pt idx="153">
                  <c:v>17269.413249999987</c:v>
                </c:pt>
                <c:pt idx="154">
                  <c:v>17268.679749999988</c:v>
                </c:pt>
                <c:pt idx="155">
                  <c:v>17267.387999999988</c:v>
                </c:pt>
                <c:pt idx="156">
                  <c:v>17266.934249999988</c:v>
                </c:pt>
                <c:pt idx="157">
                  <c:v>17265.690749999991</c:v>
                </c:pt>
                <c:pt idx="158">
                  <c:v>17262.080499999989</c:v>
                </c:pt>
                <c:pt idx="159">
                  <c:v>17257.617999999988</c:v>
                </c:pt>
                <c:pt idx="160">
                  <c:v>17252.90549999999</c:v>
                </c:pt>
                <c:pt idx="161">
                  <c:v>17246.523999999987</c:v>
                </c:pt>
                <c:pt idx="162">
                  <c:v>17239.465499999988</c:v>
                </c:pt>
                <c:pt idx="163">
                  <c:v>17231.560999999991</c:v>
                </c:pt>
                <c:pt idx="164">
                  <c:v>17224.093999999986</c:v>
                </c:pt>
                <c:pt idx="165">
                  <c:v>17215.779249999985</c:v>
                </c:pt>
                <c:pt idx="166">
                  <c:v>17207.391749999984</c:v>
                </c:pt>
                <c:pt idx="167">
                  <c:v>17199.269999999982</c:v>
                </c:pt>
                <c:pt idx="168">
                  <c:v>17191.541249999984</c:v>
                </c:pt>
                <c:pt idx="169">
                  <c:v>17183.981749999984</c:v>
                </c:pt>
                <c:pt idx="170">
                  <c:v>17176.209749999984</c:v>
                </c:pt>
                <c:pt idx="171">
                  <c:v>17168.264749999984</c:v>
                </c:pt>
                <c:pt idx="172">
                  <c:v>17160.248499999983</c:v>
                </c:pt>
                <c:pt idx="173">
                  <c:v>17152.525249999984</c:v>
                </c:pt>
                <c:pt idx="174">
                  <c:v>17143.982249999983</c:v>
                </c:pt>
                <c:pt idx="175">
                  <c:v>17135.783749999984</c:v>
                </c:pt>
                <c:pt idx="176">
                  <c:v>17128.522499999981</c:v>
                </c:pt>
                <c:pt idx="177">
                  <c:v>17122.640999999985</c:v>
                </c:pt>
                <c:pt idx="178">
                  <c:v>17115.910999999986</c:v>
                </c:pt>
                <c:pt idx="179">
                  <c:v>17108.469249999984</c:v>
                </c:pt>
                <c:pt idx="180">
                  <c:v>17099.187749999983</c:v>
                </c:pt>
                <c:pt idx="181">
                  <c:v>17089.614999999983</c:v>
                </c:pt>
                <c:pt idx="182">
                  <c:v>17080.585499999983</c:v>
                </c:pt>
                <c:pt idx="183">
                  <c:v>17073.234999999982</c:v>
                </c:pt>
                <c:pt idx="184">
                  <c:v>17066.381249999984</c:v>
                </c:pt>
                <c:pt idx="185">
                  <c:v>17060.894749999981</c:v>
                </c:pt>
                <c:pt idx="186">
                  <c:v>17056.260749999983</c:v>
                </c:pt>
                <c:pt idx="187">
                  <c:v>17051.401749999983</c:v>
                </c:pt>
                <c:pt idx="188">
                  <c:v>17045.445249999986</c:v>
                </c:pt>
                <c:pt idx="189">
                  <c:v>17039.634499999986</c:v>
                </c:pt>
                <c:pt idx="190">
                  <c:v>17033.891749999984</c:v>
                </c:pt>
                <c:pt idx="191">
                  <c:v>17029.063749999983</c:v>
                </c:pt>
                <c:pt idx="192">
                  <c:v>17025.125249999983</c:v>
                </c:pt>
                <c:pt idx="193">
                  <c:v>17021.865749999983</c:v>
                </c:pt>
                <c:pt idx="194">
                  <c:v>17017.784249999982</c:v>
                </c:pt>
                <c:pt idx="195">
                  <c:v>17013.032249999986</c:v>
                </c:pt>
                <c:pt idx="196">
                  <c:v>17007.556999999983</c:v>
                </c:pt>
                <c:pt idx="197">
                  <c:v>17002.450749999985</c:v>
                </c:pt>
                <c:pt idx="198">
                  <c:v>16998.743249999985</c:v>
                </c:pt>
                <c:pt idx="199">
                  <c:v>16995.526499999985</c:v>
                </c:pt>
                <c:pt idx="200">
                  <c:v>16993.246999999985</c:v>
                </c:pt>
                <c:pt idx="201">
                  <c:v>16991.110749999985</c:v>
                </c:pt>
                <c:pt idx="202">
                  <c:v>16988.894999999986</c:v>
                </c:pt>
                <c:pt idx="203">
                  <c:v>16987.561499999985</c:v>
                </c:pt>
                <c:pt idx="204">
                  <c:v>16988.057749999985</c:v>
                </c:pt>
                <c:pt idx="205">
                  <c:v>16988.491749999986</c:v>
                </c:pt>
                <c:pt idx="206">
                  <c:v>16986.296999999988</c:v>
                </c:pt>
                <c:pt idx="207">
                  <c:v>16984.73974999999</c:v>
                </c:pt>
                <c:pt idx="208">
                  <c:v>16983.61849999999</c:v>
                </c:pt>
                <c:pt idx="209">
                  <c:v>16981.646749999993</c:v>
                </c:pt>
                <c:pt idx="210">
                  <c:v>16979.098499999993</c:v>
                </c:pt>
                <c:pt idx="211">
                  <c:v>16975.441749999991</c:v>
                </c:pt>
                <c:pt idx="212">
                  <c:v>16974.152249999988</c:v>
                </c:pt>
                <c:pt idx="213">
                  <c:v>16972.49824999999</c:v>
                </c:pt>
                <c:pt idx="214">
                  <c:v>16969.681749999989</c:v>
                </c:pt>
                <c:pt idx="215">
                  <c:v>16967.463499999991</c:v>
                </c:pt>
                <c:pt idx="216">
                  <c:v>16965.74549999999</c:v>
                </c:pt>
                <c:pt idx="217">
                  <c:v>16964.37424999999</c:v>
                </c:pt>
                <c:pt idx="218">
                  <c:v>16964.543999999991</c:v>
                </c:pt>
                <c:pt idx="219">
                  <c:v>16966.627999999993</c:v>
                </c:pt>
                <c:pt idx="220">
                  <c:v>16968.792999999991</c:v>
                </c:pt>
                <c:pt idx="221">
                  <c:v>16972.067999999988</c:v>
                </c:pt>
                <c:pt idx="222">
                  <c:v>16974.40549999999</c:v>
                </c:pt>
                <c:pt idx="223">
                  <c:v>16978.660249999994</c:v>
                </c:pt>
                <c:pt idx="224">
                  <c:v>16981.04474999999</c:v>
                </c:pt>
                <c:pt idx="225">
                  <c:v>16984.239999999991</c:v>
                </c:pt>
                <c:pt idx="226">
                  <c:v>16987.486749999993</c:v>
                </c:pt>
                <c:pt idx="227">
                  <c:v>16989.070249999993</c:v>
                </c:pt>
                <c:pt idx="228">
                  <c:v>16991.235749999993</c:v>
                </c:pt>
                <c:pt idx="229">
                  <c:v>16993.311249999992</c:v>
                </c:pt>
                <c:pt idx="230">
                  <c:v>16992.509249999992</c:v>
                </c:pt>
                <c:pt idx="231">
                  <c:v>16990.197499999995</c:v>
                </c:pt>
                <c:pt idx="232">
                  <c:v>16986.906249999996</c:v>
                </c:pt>
                <c:pt idx="233">
                  <c:v>16983.440249999996</c:v>
                </c:pt>
                <c:pt idx="234">
                  <c:v>16982.070749999995</c:v>
                </c:pt>
                <c:pt idx="235">
                  <c:v>16979.882999999994</c:v>
                </c:pt>
                <c:pt idx="236">
                  <c:v>16980.147499999995</c:v>
                </c:pt>
                <c:pt idx="237">
                  <c:v>16980.564499999993</c:v>
                </c:pt>
                <c:pt idx="238">
                  <c:v>16982.211749999995</c:v>
                </c:pt>
                <c:pt idx="239">
                  <c:v>16985.345749999993</c:v>
                </c:pt>
                <c:pt idx="240">
                  <c:v>16986.409249999993</c:v>
                </c:pt>
                <c:pt idx="241">
                  <c:v>16987.249999999996</c:v>
                </c:pt>
                <c:pt idx="242">
                  <c:v>16986.958749999998</c:v>
                </c:pt>
                <c:pt idx="243">
                  <c:v>16987.868499999997</c:v>
                </c:pt>
                <c:pt idx="244">
                  <c:v>16988.996249999997</c:v>
                </c:pt>
                <c:pt idx="245">
                  <c:v>16990.264749999998</c:v>
                </c:pt>
                <c:pt idx="246">
                  <c:v>16991.757999999998</c:v>
                </c:pt>
                <c:pt idx="247">
                  <c:v>16993.557999999997</c:v>
                </c:pt>
                <c:pt idx="248">
                  <c:v>16994.669249999999</c:v>
                </c:pt>
                <c:pt idx="249">
                  <c:v>16995.194499999998</c:v>
                </c:pt>
                <c:pt idx="250">
                  <c:v>16994.45</c:v>
                </c:pt>
                <c:pt idx="251">
                  <c:v>16993.508500000004</c:v>
                </c:pt>
                <c:pt idx="252">
                  <c:v>16993.713</c:v>
                </c:pt>
                <c:pt idx="253">
                  <c:v>16994.710500000001</c:v>
                </c:pt>
                <c:pt idx="254">
                  <c:v>16995.421000000002</c:v>
                </c:pt>
                <c:pt idx="255">
                  <c:v>16995.556500000002</c:v>
                </c:pt>
                <c:pt idx="256">
                  <c:v>16994.758250000003</c:v>
                </c:pt>
                <c:pt idx="257">
                  <c:v>16994.055000000004</c:v>
                </c:pt>
                <c:pt idx="258">
                  <c:v>16993.790250000005</c:v>
                </c:pt>
                <c:pt idx="259">
                  <c:v>16993.034750000006</c:v>
                </c:pt>
                <c:pt idx="260">
                  <c:v>16992.610500000006</c:v>
                </c:pt>
                <c:pt idx="261">
                  <c:v>16994.667000000005</c:v>
                </c:pt>
                <c:pt idx="262">
                  <c:v>16997.527750000005</c:v>
                </c:pt>
                <c:pt idx="263">
                  <c:v>17001.459000000003</c:v>
                </c:pt>
                <c:pt idx="264">
                  <c:v>17007.761750000005</c:v>
                </c:pt>
                <c:pt idx="265">
                  <c:v>17013.091500000002</c:v>
                </c:pt>
                <c:pt idx="266">
                  <c:v>17019.079000000005</c:v>
                </c:pt>
                <c:pt idx="267">
                  <c:v>17024.369000000006</c:v>
                </c:pt>
                <c:pt idx="268">
                  <c:v>17028.890750000006</c:v>
                </c:pt>
                <c:pt idx="269">
                  <c:v>17032.342750000007</c:v>
                </c:pt>
                <c:pt idx="270">
                  <c:v>17035.863250000006</c:v>
                </c:pt>
                <c:pt idx="271">
                  <c:v>17040.626000000004</c:v>
                </c:pt>
                <c:pt idx="272">
                  <c:v>17045.858250000005</c:v>
                </c:pt>
                <c:pt idx="273">
                  <c:v>17052.880500000007</c:v>
                </c:pt>
                <c:pt idx="274">
                  <c:v>17060.338500000005</c:v>
                </c:pt>
                <c:pt idx="275">
                  <c:v>17067.082000000006</c:v>
                </c:pt>
                <c:pt idx="276">
                  <c:v>17072.533250000008</c:v>
                </c:pt>
                <c:pt idx="277">
                  <c:v>17079.164750000007</c:v>
                </c:pt>
                <c:pt idx="278">
                  <c:v>17088.164500000003</c:v>
                </c:pt>
                <c:pt idx="279">
                  <c:v>17094.204750000004</c:v>
                </c:pt>
                <c:pt idx="280">
                  <c:v>17100.640500000005</c:v>
                </c:pt>
                <c:pt idx="281">
                  <c:v>17106.600500000004</c:v>
                </c:pt>
                <c:pt idx="282">
                  <c:v>17112.704750000004</c:v>
                </c:pt>
                <c:pt idx="283">
                  <c:v>17119.711500000005</c:v>
                </c:pt>
                <c:pt idx="284">
                  <c:v>17127.552000000003</c:v>
                </c:pt>
                <c:pt idx="285">
                  <c:v>17134.310250000002</c:v>
                </c:pt>
                <c:pt idx="286">
                  <c:v>17144.415500000003</c:v>
                </c:pt>
                <c:pt idx="287">
                  <c:v>17153.225750000005</c:v>
                </c:pt>
                <c:pt idx="288">
                  <c:v>17161.182750000004</c:v>
                </c:pt>
                <c:pt idx="289">
                  <c:v>17169.148500000003</c:v>
                </c:pt>
                <c:pt idx="290">
                  <c:v>17177.295000000006</c:v>
                </c:pt>
                <c:pt idx="291">
                  <c:v>17185.102250000004</c:v>
                </c:pt>
                <c:pt idx="292">
                  <c:v>17195.859500000006</c:v>
                </c:pt>
                <c:pt idx="293">
                  <c:v>17206.453750000001</c:v>
                </c:pt>
                <c:pt idx="294">
                  <c:v>17215.339500000002</c:v>
                </c:pt>
                <c:pt idx="295">
                  <c:v>17223.320000000003</c:v>
                </c:pt>
                <c:pt idx="296">
                  <c:v>17230.694250000004</c:v>
                </c:pt>
                <c:pt idx="297">
                  <c:v>17237.325000000001</c:v>
                </c:pt>
                <c:pt idx="298">
                  <c:v>17245.172750000005</c:v>
                </c:pt>
                <c:pt idx="299">
                  <c:v>17250.510750000001</c:v>
                </c:pt>
                <c:pt idx="300">
                  <c:v>17254.036250000001</c:v>
                </c:pt>
                <c:pt idx="301">
                  <c:v>17257.745500000005</c:v>
                </c:pt>
                <c:pt idx="302">
                  <c:v>17261.674000000003</c:v>
                </c:pt>
                <c:pt idx="303">
                  <c:v>17265.016500000005</c:v>
                </c:pt>
                <c:pt idx="304">
                  <c:v>17268.381250000006</c:v>
                </c:pt>
                <c:pt idx="305">
                  <c:v>17271.907250000007</c:v>
                </c:pt>
                <c:pt idx="306">
                  <c:v>17275.58025000001</c:v>
                </c:pt>
                <c:pt idx="307">
                  <c:v>17278.428000000007</c:v>
                </c:pt>
                <c:pt idx="308">
                  <c:v>17281.203250000006</c:v>
                </c:pt>
                <c:pt idx="309">
                  <c:v>17284.706250000007</c:v>
                </c:pt>
                <c:pt idx="310">
                  <c:v>17286.893250000008</c:v>
                </c:pt>
                <c:pt idx="311">
                  <c:v>17286.764500000005</c:v>
                </c:pt>
                <c:pt idx="312">
                  <c:v>17287.570250000008</c:v>
                </c:pt>
                <c:pt idx="313">
                  <c:v>17289.123500000009</c:v>
                </c:pt>
                <c:pt idx="314">
                  <c:v>17290.385500000008</c:v>
                </c:pt>
                <c:pt idx="315">
                  <c:v>17289.48550000001</c:v>
                </c:pt>
                <c:pt idx="316">
                  <c:v>17289.355500000009</c:v>
                </c:pt>
                <c:pt idx="317">
                  <c:v>17290.014750000009</c:v>
                </c:pt>
                <c:pt idx="318">
                  <c:v>17290.718000000008</c:v>
                </c:pt>
                <c:pt idx="319">
                  <c:v>17292.901750000008</c:v>
                </c:pt>
                <c:pt idx="320">
                  <c:v>17297.378750000011</c:v>
                </c:pt>
                <c:pt idx="321">
                  <c:v>17300.519000000008</c:v>
                </c:pt>
                <c:pt idx="322">
                  <c:v>17302.16350000001</c:v>
                </c:pt>
                <c:pt idx="323">
                  <c:v>17305.662250000008</c:v>
                </c:pt>
                <c:pt idx="324">
                  <c:v>17310.359750000011</c:v>
                </c:pt>
                <c:pt idx="325">
                  <c:v>17313.638250000007</c:v>
                </c:pt>
                <c:pt idx="326">
                  <c:v>17317.300750000006</c:v>
                </c:pt>
                <c:pt idx="327">
                  <c:v>17320.724750000005</c:v>
                </c:pt>
                <c:pt idx="328">
                  <c:v>17325.291250000006</c:v>
                </c:pt>
                <c:pt idx="329">
                  <c:v>17330.125000000007</c:v>
                </c:pt>
                <c:pt idx="330">
                  <c:v>17336.458000000006</c:v>
                </c:pt>
                <c:pt idx="331">
                  <c:v>17342.26775000001</c:v>
                </c:pt>
                <c:pt idx="332">
                  <c:v>17349.345000000008</c:v>
                </c:pt>
                <c:pt idx="333">
                  <c:v>17355.607250000008</c:v>
                </c:pt>
                <c:pt idx="334">
                  <c:v>17361.963250000008</c:v>
                </c:pt>
                <c:pt idx="335">
                  <c:v>17368.456750000008</c:v>
                </c:pt>
                <c:pt idx="336">
                  <c:v>17376.380250000009</c:v>
                </c:pt>
                <c:pt idx="337">
                  <c:v>17383.989250000006</c:v>
                </c:pt>
                <c:pt idx="338">
                  <c:v>17392.032250000007</c:v>
                </c:pt>
                <c:pt idx="339">
                  <c:v>17397.345250000006</c:v>
                </c:pt>
                <c:pt idx="340">
                  <c:v>17404.115500000007</c:v>
                </c:pt>
                <c:pt idx="341">
                  <c:v>17413.62575000001</c:v>
                </c:pt>
                <c:pt idx="342">
                  <c:v>17421.06700000001</c:v>
                </c:pt>
                <c:pt idx="343">
                  <c:v>17427.941500000004</c:v>
                </c:pt>
                <c:pt idx="344">
                  <c:v>17434.380250000006</c:v>
                </c:pt>
                <c:pt idx="345">
                  <c:v>17440.022750000004</c:v>
                </c:pt>
                <c:pt idx="346">
                  <c:v>17444.388500000005</c:v>
                </c:pt>
                <c:pt idx="347">
                  <c:v>17447.487000000001</c:v>
                </c:pt>
                <c:pt idx="348">
                  <c:v>17449.108000000004</c:v>
                </c:pt>
                <c:pt idx="349">
                  <c:v>17451.685500000003</c:v>
                </c:pt>
                <c:pt idx="350">
                  <c:v>17454.013750000002</c:v>
                </c:pt>
                <c:pt idx="351">
                  <c:v>17456.411250000001</c:v>
                </c:pt>
                <c:pt idx="352">
                  <c:v>17459.249250000004</c:v>
                </c:pt>
                <c:pt idx="353">
                  <c:v>17461.786000000004</c:v>
                </c:pt>
                <c:pt idx="354">
                  <c:v>17464.429499999998</c:v>
                </c:pt>
                <c:pt idx="355">
                  <c:v>17467.576750000004</c:v>
                </c:pt>
                <c:pt idx="356">
                  <c:v>17469.944750000006</c:v>
                </c:pt>
                <c:pt idx="357">
                  <c:v>17474.339250000005</c:v>
                </c:pt>
                <c:pt idx="358">
                  <c:v>17482.266000000003</c:v>
                </c:pt>
                <c:pt idx="359">
                  <c:v>17490.59575</c:v>
                </c:pt>
                <c:pt idx="360">
                  <c:v>17499.920250000003</c:v>
                </c:pt>
                <c:pt idx="361">
                  <c:v>17511.113000000001</c:v>
                </c:pt>
                <c:pt idx="362">
                  <c:v>17522.765750000002</c:v>
                </c:pt>
                <c:pt idx="363">
                  <c:v>17534.626500000002</c:v>
                </c:pt>
                <c:pt idx="364">
                  <c:v>17545.494500000001</c:v>
                </c:pt>
                <c:pt idx="365">
                  <c:v>17557.567999999999</c:v>
                </c:pt>
                <c:pt idx="366">
                  <c:v>17568.319</c:v>
                </c:pt>
                <c:pt idx="367">
                  <c:v>17578.123499999998</c:v>
                </c:pt>
                <c:pt idx="368">
                  <c:v>17587.057000000001</c:v>
                </c:pt>
                <c:pt idx="369">
                  <c:v>17595.928250000001</c:v>
                </c:pt>
                <c:pt idx="370">
                  <c:v>17605.053</c:v>
                </c:pt>
                <c:pt idx="371">
                  <c:v>17614.868750000001</c:v>
                </c:pt>
                <c:pt idx="372">
                  <c:v>17624.954749999997</c:v>
                </c:pt>
                <c:pt idx="373">
                  <c:v>17634.846000000001</c:v>
                </c:pt>
                <c:pt idx="374">
                  <c:v>17645.366999999998</c:v>
                </c:pt>
                <c:pt idx="375">
                  <c:v>17655.743000000002</c:v>
                </c:pt>
                <c:pt idx="376">
                  <c:v>17665.816749999998</c:v>
                </c:pt>
                <c:pt idx="377">
                  <c:v>17675.163</c:v>
                </c:pt>
                <c:pt idx="378">
                  <c:v>17685.362000000001</c:v>
                </c:pt>
                <c:pt idx="379">
                  <c:v>17695.415499999999</c:v>
                </c:pt>
                <c:pt idx="380">
                  <c:v>17706.90425</c:v>
                </c:pt>
                <c:pt idx="381">
                  <c:v>17718.54075</c:v>
                </c:pt>
                <c:pt idx="382">
                  <c:v>17729.87025</c:v>
                </c:pt>
                <c:pt idx="383">
                  <c:v>17739.962749999999</c:v>
                </c:pt>
                <c:pt idx="384">
                  <c:v>17749.833999999995</c:v>
                </c:pt>
                <c:pt idx="385">
                  <c:v>17759.223999999998</c:v>
                </c:pt>
                <c:pt idx="386">
                  <c:v>17767.630249999998</c:v>
                </c:pt>
                <c:pt idx="387">
                  <c:v>17774.941749999994</c:v>
                </c:pt>
                <c:pt idx="388">
                  <c:v>17782.436499999996</c:v>
                </c:pt>
                <c:pt idx="389">
                  <c:v>17791.034249999993</c:v>
                </c:pt>
                <c:pt idx="390">
                  <c:v>17799.397249999995</c:v>
                </c:pt>
                <c:pt idx="391">
                  <c:v>17806.489249999995</c:v>
                </c:pt>
                <c:pt idx="392">
                  <c:v>17812.124999999993</c:v>
                </c:pt>
                <c:pt idx="393">
                  <c:v>17817.030499999993</c:v>
                </c:pt>
                <c:pt idx="394">
                  <c:v>17822.799999999996</c:v>
                </c:pt>
                <c:pt idx="395">
                  <c:v>17828.852499999994</c:v>
                </c:pt>
                <c:pt idx="396">
                  <c:v>17835.111749999996</c:v>
                </c:pt>
                <c:pt idx="397">
                  <c:v>17840.796249999996</c:v>
                </c:pt>
                <c:pt idx="398">
                  <c:v>17845.609499999995</c:v>
                </c:pt>
                <c:pt idx="399">
                  <c:v>17850.606249999997</c:v>
                </c:pt>
                <c:pt idx="400">
                  <c:v>17855.280499999997</c:v>
                </c:pt>
                <c:pt idx="401">
                  <c:v>17859.784749999995</c:v>
                </c:pt>
                <c:pt idx="402">
                  <c:v>17864.290499999996</c:v>
                </c:pt>
                <c:pt idx="403">
                  <c:v>17867.741999999995</c:v>
                </c:pt>
                <c:pt idx="404">
                  <c:v>17870.776499999996</c:v>
                </c:pt>
                <c:pt idx="405">
                  <c:v>17874.991749999997</c:v>
                </c:pt>
                <c:pt idx="406">
                  <c:v>17881.118999999995</c:v>
                </c:pt>
                <c:pt idx="407">
                  <c:v>17887.010999999995</c:v>
                </c:pt>
                <c:pt idx="408">
                  <c:v>17892.426749999995</c:v>
                </c:pt>
                <c:pt idx="409">
                  <c:v>17898.944499999994</c:v>
                </c:pt>
                <c:pt idx="410">
                  <c:v>17904.927249999993</c:v>
                </c:pt>
                <c:pt idx="411">
                  <c:v>17912.446249999994</c:v>
                </c:pt>
                <c:pt idx="412">
                  <c:v>17917.933999999997</c:v>
                </c:pt>
                <c:pt idx="413">
                  <c:v>17924.076249999995</c:v>
                </c:pt>
                <c:pt idx="414">
                  <c:v>17929.706499999993</c:v>
                </c:pt>
                <c:pt idx="415">
                  <c:v>17934.833499999997</c:v>
                </c:pt>
                <c:pt idx="416">
                  <c:v>17940.642499999994</c:v>
                </c:pt>
                <c:pt idx="417">
                  <c:v>17947.380999999998</c:v>
                </c:pt>
                <c:pt idx="418">
                  <c:v>17954.332499999997</c:v>
                </c:pt>
                <c:pt idx="419">
                  <c:v>17961.778499999993</c:v>
                </c:pt>
                <c:pt idx="420">
                  <c:v>17969.041749999993</c:v>
                </c:pt>
                <c:pt idx="421">
                  <c:v>17975.683999999994</c:v>
                </c:pt>
                <c:pt idx="422">
                  <c:v>17983.15174999999</c:v>
                </c:pt>
                <c:pt idx="423">
                  <c:v>17990.423749999991</c:v>
                </c:pt>
                <c:pt idx="424">
                  <c:v>17999.548999999988</c:v>
                </c:pt>
                <c:pt idx="425">
                  <c:v>18008.634749999987</c:v>
                </c:pt>
                <c:pt idx="426">
                  <c:v>18016.474999999988</c:v>
                </c:pt>
                <c:pt idx="427">
                  <c:v>18024.951999999987</c:v>
                </c:pt>
                <c:pt idx="428">
                  <c:v>18034.625499999991</c:v>
                </c:pt>
                <c:pt idx="429">
                  <c:v>18046.545999999991</c:v>
                </c:pt>
                <c:pt idx="430">
                  <c:v>18060.210749999991</c:v>
                </c:pt>
                <c:pt idx="431">
                  <c:v>18074.339499999991</c:v>
                </c:pt>
                <c:pt idx="432">
                  <c:v>18089.942249999993</c:v>
                </c:pt>
                <c:pt idx="433">
                  <c:v>18104.576749999993</c:v>
                </c:pt>
                <c:pt idx="434">
                  <c:v>18117.466749999992</c:v>
                </c:pt>
                <c:pt idx="435">
                  <c:v>18131.432999999994</c:v>
                </c:pt>
                <c:pt idx="436">
                  <c:v>18143.95299999999</c:v>
                </c:pt>
                <c:pt idx="437">
                  <c:v>18155.593499999992</c:v>
                </c:pt>
                <c:pt idx="438">
                  <c:v>18167.250499999987</c:v>
                </c:pt>
                <c:pt idx="439">
                  <c:v>18179.814499999989</c:v>
                </c:pt>
                <c:pt idx="440">
                  <c:v>18193.564499999986</c:v>
                </c:pt>
                <c:pt idx="441">
                  <c:v>18205.579249999988</c:v>
                </c:pt>
                <c:pt idx="442">
                  <c:v>18217.415749999986</c:v>
                </c:pt>
                <c:pt idx="443">
                  <c:v>18229.072249999987</c:v>
                </c:pt>
                <c:pt idx="444">
                  <c:v>18240.499749999988</c:v>
                </c:pt>
                <c:pt idx="445">
                  <c:v>18250.919249999988</c:v>
                </c:pt>
                <c:pt idx="446">
                  <c:v>18261.520749999989</c:v>
                </c:pt>
                <c:pt idx="447">
                  <c:v>18271.416499999988</c:v>
                </c:pt>
                <c:pt idx="448">
                  <c:v>18280.676499999987</c:v>
                </c:pt>
                <c:pt idx="449">
                  <c:v>18289.195499999987</c:v>
                </c:pt>
                <c:pt idx="450">
                  <c:v>18298.238749999982</c:v>
                </c:pt>
                <c:pt idx="451">
                  <c:v>18306.380249999984</c:v>
                </c:pt>
                <c:pt idx="452">
                  <c:v>18313.996999999985</c:v>
                </c:pt>
                <c:pt idx="453">
                  <c:v>18320.903999999984</c:v>
                </c:pt>
                <c:pt idx="454">
                  <c:v>18327.159249999982</c:v>
                </c:pt>
                <c:pt idx="455">
                  <c:v>18333.964999999982</c:v>
                </c:pt>
                <c:pt idx="456">
                  <c:v>18340.634999999987</c:v>
                </c:pt>
                <c:pt idx="457">
                  <c:v>18346.378249999987</c:v>
                </c:pt>
                <c:pt idx="458">
                  <c:v>18351.894499999984</c:v>
                </c:pt>
                <c:pt idx="459">
                  <c:v>18357.822749999985</c:v>
                </c:pt>
                <c:pt idx="460">
                  <c:v>18364.418999999983</c:v>
                </c:pt>
                <c:pt idx="461">
                  <c:v>18368.939499999989</c:v>
                </c:pt>
                <c:pt idx="462">
                  <c:v>18374.470249999984</c:v>
                </c:pt>
                <c:pt idx="463">
                  <c:v>18380.097249999984</c:v>
                </c:pt>
                <c:pt idx="464">
                  <c:v>18385.923499999983</c:v>
                </c:pt>
                <c:pt idx="465">
                  <c:v>18392.259249999981</c:v>
                </c:pt>
                <c:pt idx="466">
                  <c:v>18399.356249999983</c:v>
                </c:pt>
                <c:pt idx="467">
                  <c:v>18407.656249999982</c:v>
                </c:pt>
                <c:pt idx="468">
                  <c:v>18416.416999999983</c:v>
                </c:pt>
                <c:pt idx="469">
                  <c:v>18425.046749999983</c:v>
                </c:pt>
                <c:pt idx="470">
                  <c:v>18432.976249999985</c:v>
                </c:pt>
                <c:pt idx="471">
                  <c:v>18440.927999999982</c:v>
                </c:pt>
                <c:pt idx="472">
                  <c:v>18449.075999999983</c:v>
                </c:pt>
                <c:pt idx="473">
                  <c:v>18456.652249999981</c:v>
                </c:pt>
                <c:pt idx="474">
                  <c:v>18462.367499999982</c:v>
                </c:pt>
                <c:pt idx="475">
                  <c:v>18467.016749999981</c:v>
                </c:pt>
                <c:pt idx="476">
                  <c:v>18471.907499999983</c:v>
                </c:pt>
                <c:pt idx="477">
                  <c:v>18476.774999999983</c:v>
                </c:pt>
                <c:pt idx="478">
                  <c:v>18481.884749999983</c:v>
                </c:pt>
                <c:pt idx="479">
                  <c:v>18487.664499999984</c:v>
                </c:pt>
                <c:pt idx="480">
                  <c:v>18492.235499999981</c:v>
                </c:pt>
                <c:pt idx="481">
                  <c:v>18497.943999999981</c:v>
                </c:pt>
                <c:pt idx="482">
                  <c:v>18503.101999999981</c:v>
                </c:pt>
                <c:pt idx="483">
                  <c:v>18507.242499999982</c:v>
                </c:pt>
                <c:pt idx="484">
                  <c:v>18511.669749999983</c:v>
                </c:pt>
                <c:pt idx="485">
                  <c:v>18517.862749999982</c:v>
                </c:pt>
                <c:pt idx="486">
                  <c:v>18524.079499999985</c:v>
                </c:pt>
                <c:pt idx="487">
                  <c:v>18530.426499999987</c:v>
                </c:pt>
                <c:pt idx="488">
                  <c:v>18537.556749999985</c:v>
                </c:pt>
                <c:pt idx="489">
                  <c:v>18545.531249999985</c:v>
                </c:pt>
                <c:pt idx="490">
                  <c:v>18553.649749999982</c:v>
                </c:pt>
                <c:pt idx="491">
                  <c:v>18563.274499999985</c:v>
                </c:pt>
                <c:pt idx="492">
                  <c:v>18572.258999999984</c:v>
                </c:pt>
                <c:pt idx="493">
                  <c:v>18579.952999999983</c:v>
                </c:pt>
                <c:pt idx="494">
                  <c:v>18587.463999999985</c:v>
                </c:pt>
                <c:pt idx="495">
                  <c:v>18594.222249999984</c:v>
                </c:pt>
                <c:pt idx="496">
                  <c:v>18600.104499999987</c:v>
                </c:pt>
                <c:pt idx="497">
                  <c:v>18604.727999999985</c:v>
                </c:pt>
                <c:pt idx="498">
                  <c:v>18607.851499999986</c:v>
                </c:pt>
                <c:pt idx="499">
                  <c:v>18612.872999999985</c:v>
                </c:pt>
                <c:pt idx="500">
                  <c:v>18618.616749999983</c:v>
                </c:pt>
                <c:pt idx="501">
                  <c:v>18624.717499999984</c:v>
                </c:pt>
                <c:pt idx="502">
                  <c:v>18629.157249999986</c:v>
                </c:pt>
                <c:pt idx="503">
                  <c:v>18635.252749999989</c:v>
                </c:pt>
                <c:pt idx="504">
                  <c:v>18641.927249999986</c:v>
                </c:pt>
                <c:pt idx="505">
                  <c:v>18649.694999999989</c:v>
                </c:pt>
                <c:pt idx="506">
                  <c:v>18656.945499999987</c:v>
                </c:pt>
                <c:pt idx="507">
                  <c:v>18664.68874999999</c:v>
                </c:pt>
                <c:pt idx="508">
                  <c:v>18671.398749999989</c:v>
                </c:pt>
                <c:pt idx="509">
                  <c:v>18677.698749999992</c:v>
                </c:pt>
                <c:pt idx="510">
                  <c:v>18684.78724999999</c:v>
                </c:pt>
                <c:pt idx="511">
                  <c:v>18691.86674999999</c:v>
                </c:pt>
                <c:pt idx="512">
                  <c:v>18699.651249999992</c:v>
                </c:pt>
                <c:pt idx="513">
                  <c:v>18707.885749999994</c:v>
                </c:pt>
                <c:pt idx="514">
                  <c:v>18717.084999999988</c:v>
                </c:pt>
                <c:pt idx="515">
                  <c:v>18727.533249999989</c:v>
                </c:pt>
                <c:pt idx="516">
                  <c:v>18738.205499999989</c:v>
                </c:pt>
                <c:pt idx="517">
                  <c:v>18748.953999999991</c:v>
                </c:pt>
                <c:pt idx="518">
                  <c:v>18759.882499999989</c:v>
                </c:pt>
                <c:pt idx="519">
                  <c:v>18770.803999999989</c:v>
                </c:pt>
                <c:pt idx="520">
                  <c:v>18780.98224999999</c:v>
                </c:pt>
                <c:pt idx="521">
                  <c:v>18792.642249999994</c:v>
                </c:pt>
                <c:pt idx="522">
                  <c:v>18804.700499999992</c:v>
                </c:pt>
                <c:pt idx="523">
                  <c:v>18816.681499999992</c:v>
                </c:pt>
                <c:pt idx="524">
                  <c:v>18830.648249999991</c:v>
                </c:pt>
                <c:pt idx="525">
                  <c:v>18845.641249999993</c:v>
                </c:pt>
                <c:pt idx="526">
                  <c:v>18861.475249999996</c:v>
                </c:pt>
                <c:pt idx="527">
                  <c:v>18876.331749999998</c:v>
                </c:pt>
                <c:pt idx="528">
                  <c:v>18891.099499999997</c:v>
                </c:pt>
                <c:pt idx="529">
                  <c:v>18905.905749999998</c:v>
                </c:pt>
                <c:pt idx="530">
                  <c:v>18920.716749999996</c:v>
                </c:pt>
                <c:pt idx="531">
                  <c:v>18936.125499999998</c:v>
                </c:pt>
                <c:pt idx="532">
                  <c:v>18952.905499999997</c:v>
                </c:pt>
                <c:pt idx="533">
                  <c:v>18972.417250000002</c:v>
                </c:pt>
                <c:pt idx="534">
                  <c:v>18991.954249999999</c:v>
                </c:pt>
                <c:pt idx="535">
                  <c:v>19011.890750000002</c:v>
                </c:pt>
                <c:pt idx="536">
                  <c:v>19030.678</c:v>
                </c:pt>
                <c:pt idx="537">
                  <c:v>19050.433499999999</c:v>
                </c:pt>
                <c:pt idx="538">
                  <c:v>19069.925999999999</c:v>
                </c:pt>
                <c:pt idx="539">
                  <c:v>19090.523249999998</c:v>
                </c:pt>
                <c:pt idx="540">
                  <c:v>19110.825249999998</c:v>
                </c:pt>
                <c:pt idx="541">
                  <c:v>19131.161499999998</c:v>
                </c:pt>
                <c:pt idx="542">
                  <c:v>19151.0465</c:v>
                </c:pt>
                <c:pt idx="543">
                  <c:v>19171.807999999997</c:v>
                </c:pt>
                <c:pt idx="544">
                  <c:v>19193.072499999998</c:v>
                </c:pt>
                <c:pt idx="545">
                  <c:v>19214.887749999998</c:v>
                </c:pt>
                <c:pt idx="546">
                  <c:v>19237.964250000001</c:v>
                </c:pt>
                <c:pt idx="547">
                  <c:v>19261.657500000001</c:v>
                </c:pt>
                <c:pt idx="548">
                  <c:v>19284.2945</c:v>
                </c:pt>
                <c:pt idx="549">
                  <c:v>19306.518500000002</c:v>
                </c:pt>
                <c:pt idx="550">
                  <c:v>19329.670000000002</c:v>
                </c:pt>
                <c:pt idx="551">
                  <c:v>19352.368500000004</c:v>
                </c:pt>
                <c:pt idx="552">
                  <c:v>19376.081750000005</c:v>
                </c:pt>
                <c:pt idx="553">
                  <c:v>19401.184500000003</c:v>
                </c:pt>
                <c:pt idx="554">
                  <c:v>19426.620750000006</c:v>
                </c:pt>
                <c:pt idx="555">
                  <c:v>19449.552000000007</c:v>
                </c:pt>
                <c:pt idx="556">
                  <c:v>19472.104750000002</c:v>
                </c:pt>
                <c:pt idx="557">
                  <c:v>19494.813250000003</c:v>
                </c:pt>
                <c:pt idx="558">
                  <c:v>19515.873500000002</c:v>
                </c:pt>
                <c:pt idx="559">
                  <c:v>19535.077250000002</c:v>
                </c:pt>
                <c:pt idx="560">
                  <c:v>19554.561750000001</c:v>
                </c:pt>
                <c:pt idx="561">
                  <c:v>19573.329000000002</c:v>
                </c:pt>
                <c:pt idx="562">
                  <c:v>19593.896750000004</c:v>
                </c:pt>
                <c:pt idx="563">
                  <c:v>19612.895750000003</c:v>
                </c:pt>
                <c:pt idx="564">
                  <c:v>19632.462250000004</c:v>
                </c:pt>
                <c:pt idx="565">
                  <c:v>19651.809500000007</c:v>
                </c:pt>
                <c:pt idx="566">
                  <c:v>19672.544250000006</c:v>
                </c:pt>
                <c:pt idx="567">
                  <c:v>19693.10200000001</c:v>
                </c:pt>
                <c:pt idx="568">
                  <c:v>19714.655250000007</c:v>
                </c:pt>
                <c:pt idx="569">
                  <c:v>19736.185500000007</c:v>
                </c:pt>
                <c:pt idx="570">
                  <c:v>19756.655000000006</c:v>
                </c:pt>
                <c:pt idx="571">
                  <c:v>19776.850500000011</c:v>
                </c:pt>
                <c:pt idx="572">
                  <c:v>19796.084500000008</c:v>
                </c:pt>
                <c:pt idx="573">
                  <c:v>19815.73275000001</c:v>
                </c:pt>
                <c:pt idx="574">
                  <c:v>19835.35775000001</c:v>
                </c:pt>
                <c:pt idx="575">
                  <c:v>19854.586500000009</c:v>
                </c:pt>
                <c:pt idx="576">
                  <c:v>19874.05175000001</c:v>
                </c:pt>
                <c:pt idx="577">
                  <c:v>19894.21375000001</c:v>
                </c:pt>
                <c:pt idx="578">
                  <c:v>19913.919500000007</c:v>
                </c:pt>
                <c:pt idx="579">
                  <c:v>19933.849750000008</c:v>
                </c:pt>
                <c:pt idx="580">
                  <c:v>19953.615000000009</c:v>
                </c:pt>
                <c:pt idx="581">
                  <c:v>19973.348750000012</c:v>
                </c:pt>
                <c:pt idx="582">
                  <c:v>19992.383500000011</c:v>
                </c:pt>
                <c:pt idx="583">
                  <c:v>20011.890250000011</c:v>
                </c:pt>
                <c:pt idx="584">
                  <c:v>20030.072000000011</c:v>
                </c:pt>
                <c:pt idx="585">
                  <c:v>20047.991750000008</c:v>
                </c:pt>
                <c:pt idx="586">
                  <c:v>20068.253000000012</c:v>
                </c:pt>
                <c:pt idx="587">
                  <c:v>20089.372250000011</c:v>
                </c:pt>
                <c:pt idx="588">
                  <c:v>20110.504000000012</c:v>
                </c:pt>
                <c:pt idx="589">
                  <c:v>20131.857250000008</c:v>
                </c:pt>
                <c:pt idx="590">
                  <c:v>20152.753000000008</c:v>
                </c:pt>
                <c:pt idx="591">
                  <c:v>20172.676250000008</c:v>
                </c:pt>
                <c:pt idx="592">
                  <c:v>20192.927750000006</c:v>
                </c:pt>
                <c:pt idx="593">
                  <c:v>20211.310500000007</c:v>
                </c:pt>
                <c:pt idx="594">
                  <c:v>20229.547000000006</c:v>
                </c:pt>
                <c:pt idx="595">
                  <c:v>20246.670500000007</c:v>
                </c:pt>
                <c:pt idx="596">
                  <c:v>20263.779750000009</c:v>
                </c:pt>
                <c:pt idx="597">
                  <c:v>20280.195000000011</c:v>
                </c:pt>
                <c:pt idx="598">
                  <c:v>20296.951750000011</c:v>
                </c:pt>
                <c:pt idx="599">
                  <c:v>20314.341000000011</c:v>
                </c:pt>
                <c:pt idx="600">
                  <c:v>20331.855500000009</c:v>
                </c:pt>
                <c:pt idx="601">
                  <c:v>20348.884000000009</c:v>
                </c:pt>
                <c:pt idx="602">
                  <c:v>20365.870250000011</c:v>
                </c:pt>
                <c:pt idx="603">
                  <c:v>20384.332000000009</c:v>
                </c:pt>
                <c:pt idx="604">
                  <c:v>20403.825000000012</c:v>
                </c:pt>
                <c:pt idx="605">
                  <c:v>20423.08400000001</c:v>
                </c:pt>
                <c:pt idx="606">
                  <c:v>20441.676500000012</c:v>
                </c:pt>
                <c:pt idx="607">
                  <c:v>20460.470250000009</c:v>
                </c:pt>
                <c:pt idx="608">
                  <c:v>20479.59825000001</c:v>
                </c:pt>
                <c:pt idx="609">
                  <c:v>20498.799750000009</c:v>
                </c:pt>
                <c:pt idx="610">
                  <c:v>20518.236250000009</c:v>
                </c:pt>
                <c:pt idx="611">
                  <c:v>20537.921750000009</c:v>
                </c:pt>
                <c:pt idx="612">
                  <c:v>20556.234500000006</c:v>
                </c:pt>
                <c:pt idx="613">
                  <c:v>20573.740750000004</c:v>
                </c:pt>
                <c:pt idx="614">
                  <c:v>20591.152750000005</c:v>
                </c:pt>
                <c:pt idx="615">
                  <c:v>20607.676000000007</c:v>
                </c:pt>
                <c:pt idx="616">
                  <c:v>20624.324000000008</c:v>
                </c:pt>
                <c:pt idx="617">
                  <c:v>20641.145500000006</c:v>
                </c:pt>
                <c:pt idx="618">
                  <c:v>20657.040250000005</c:v>
                </c:pt>
                <c:pt idx="619">
                  <c:v>20672.4395</c:v>
                </c:pt>
                <c:pt idx="620">
                  <c:v>20688.346250000002</c:v>
                </c:pt>
                <c:pt idx="621">
                  <c:v>20703.453500000003</c:v>
                </c:pt>
                <c:pt idx="622">
                  <c:v>20719.184000000001</c:v>
                </c:pt>
                <c:pt idx="623">
                  <c:v>20735.549250000004</c:v>
                </c:pt>
                <c:pt idx="624">
                  <c:v>20752.010750000005</c:v>
                </c:pt>
                <c:pt idx="625">
                  <c:v>20767.193000000003</c:v>
                </c:pt>
                <c:pt idx="626">
                  <c:v>20782.485000000004</c:v>
                </c:pt>
                <c:pt idx="627">
                  <c:v>20796.928750000006</c:v>
                </c:pt>
                <c:pt idx="628">
                  <c:v>20810.618750000005</c:v>
                </c:pt>
                <c:pt idx="629">
                  <c:v>20821.849000000002</c:v>
                </c:pt>
                <c:pt idx="630">
                  <c:v>20833.378750000003</c:v>
                </c:pt>
                <c:pt idx="631">
                  <c:v>20844.733250000005</c:v>
                </c:pt>
                <c:pt idx="632">
                  <c:v>20855.926750000006</c:v>
                </c:pt>
                <c:pt idx="633">
                  <c:v>20868.204500000003</c:v>
                </c:pt>
                <c:pt idx="634">
                  <c:v>20881.862000000005</c:v>
                </c:pt>
                <c:pt idx="635">
                  <c:v>20895.789500000003</c:v>
                </c:pt>
                <c:pt idx="636">
                  <c:v>20909.408000000003</c:v>
                </c:pt>
                <c:pt idx="637">
                  <c:v>20923.753750000003</c:v>
                </c:pt>
                <c:pt idx="638">
                  <c:v>20938.512500000001</c:v>
                </c:pt>
                <c:pt idx="639">
                  <c:v>20954.581750000001</c:v>
                </c:pt>
                <c:pt idx="640">
                  <c:v>20970.699499999999</c:v>
                </c:pt>
                <c:pt idx="641">
                  <c:v>20987.728999999999</c:v>
                </c:pt>
                <c:pt idx="642">
                  <c:v>21005.261500000004</c:v>
                </c:pt>
                <c:pt idx="643">
                  <c:v>21021.200000000004</c:v>
                </c:pt>
                <c:pt idx="644">
                  <c:v>21035.656750000002</c:v>
                </c:pt>
                <c:pt idx="645">
                  <c:v>21050.456000000006</c:v>
                </c:pt>
                <c:pt idx="646">
                  <c:v>21068.612750000004</c:v>
                </c:pt>
                <c:pt idx="647">
                  <c:v>21080.319750000006</c:v>
                </c:pt>
                <c:pt idx="648">
                  <c:v>21096.28</c:v>
                </c:pt>
                <c:pt idx="649">
                  <c:v>21113.214250000005</c:v>
                </c:pt>
                <c:pt idx="650">
                  <c:v>21132.340000000004</c:v>
                </c:pt>
                <c:pt idx="651">
                  <c:v>21151.80975</c:v>
                </c:pt>
                <c:pt idx="652">
                  <c:v>21171.583250000003</c:v>
                </c:pt>
                <c:pt idx="653">
                  <c:v>21191.230000000003</c:v>
                </c:pt>
                <c:pt idx="654">
                  <c:v>21211.242250000007</c:v>
                </c:pt>
                <c:pt idx="655">
                  <c:v>21231.350250000003</c:v>
                </c:pt>
                <c:pt idx="656">
                  <c:v>21252.206250000003</c:v>
                </c:pt>
                <c:pt idx="657">
                  <c:v>21273.457250000007</c:v>
                </c:pt>
                <c:pt idx="658">
                  <c:v>21294.762000000006</c:v>
                </c:pt>
                <c:pt idx="659">
                  <c:v>21315.554250000001</c:v>
                </c:pt>
                <c:pt idx="660">
                  <c:v>21336.506249999999</c:v>
                </c:pt>
                <c:pt idx="661">
                  <c:v>21358.843749999996</c:v>
                </c:pt>
                <c:pt idx="662">
                  <c:v>21381.01125</c:v>
                </c:pt>
                <c:pt idx="663">
                  <c:v>21403.589749999999</c:v>
                </c:pt>
                <c:pt idx="664">
                  <c:v>21425.768250000001</c:v>
                </c:pt>
                <c:pt idx="665">
                  <c:v>21448.422749999998</c:v>
                </c:pt>
                <c:pt idx="666">
                  <c:v>21470.406749999998</c:v>
                </c:pt>
                <c:pt idx="667">
                  <c:v>21492.739499999996</c:v>
                </c:pt>
                <c:pt idx="668">
                  <c:v>21514.268500000002</c:v>
                </c:pt>
                <c:pt idx="669">
                  <c:v>21535.921749999998</c:v>
                </c:pt>
                <c:pt idx="670">
                  <c:v>21557.174500000001</c:v>
                </c:pt>
                <c:pt idx="671">
                  <c:v>21578.825000000004</c:v>
                </c:pt>
                <c:pt idx="672">
                  <c:v>21599.485500000003</c:v>
                </c:pt>
                <c:pt idx="673">
                  <c:v>21620.398750000004</c:v>
                </c:pt>
                <c:pt idx="674">
                  <c:v>21643.402500000011</c:v>
                </c:pt>
                <c:pt idx="675">
                  <c:v>21667.624250000012</c:v>
                </c:pt>
                <c:pt idx="676">
                  <c:v>21692.318000000007</c:v>
                </c:pt>
                <c:pt idx="677">
                  <c:v>21717.949500000006</c:v>
                </c:pt>
                <c:pt idx="678">
                  <c:v>21742.280500000008</c:v>
                </c:pt>
                <c:pt idx="679">
                  <c:v>21766.244500000008</c:v>
                </c:pt>
                <c:pt idx="680">
                  <c:v>21791.022000000008</c:v>
                </c:pt>
                <c:pt idx="681">
                  <c:v>21814.898000000001</c:v>
                </c:pt>
                <c:pt idx="682">
                  <c:v>21839.284750000003</c:v>
                </c:pt>
                <c:pt idx="683">
                  <c:v>21866.2785</c:v>
                </c:pt>
                <c:pt idx="684">
                  <c:v>21892.730250000001</c:v>
                </c:pt>
                <c:pt idx="685">
                  <c:v>21918.749249999997</c:v>
                </c:pt>
                <c:pt idx="686">
                  <c:v>21945.94325</c:v>
                </c:pt>
                <c:pt idx="687">
                  <c:v>21972.548500000004</c:v>
                </c:pt>
                <c:pt idx="688">
                  <c:v>21997.08025000001</c:v>
                </c:pt>
                <c:pt idx="689">
                  <c:v>22018.388250000004</c:v>
                </c:pt>
                <c:pt idx="690">
                  <c:v>22039.595750000008</c:v>
                </c:pt>
                <c:pt idx="691">
                  <c:v>22062.424500000012</c:v>
                </c:pt>
                <c:pt idx="692">
                  <c:v>22083.952000000005</c:v>
                </c:pt>
                <c:pt idx="693">
                  <c:v>22107.434000000008</c:v>
                </c:pt>
                <c:pt idx="694">
                  <c:v>22131.045500000011</c:v>
                </c:pt>
                <c:pt idx="695">
                  <c:v>22154.027250000006</c:v>
                </c:pt>
                <c:pt idx="696">
                  <c:v>22178.337250000004</c:v>
                </c:pt>
                <c:pt idx="697">
                  <c:v>22205.432250000005</c:v>
                </c:pt>
                <c:pt idx="698">
                  <c:v>22234.009250000003</c:v>
                </c:pt>
                <c:pt idx="699">
                  <c:v>22262.267250000004</c:v>
                </c:pt>
                <c:pt idx="700">
                  <c:v>22290.413750000011</c:v>
                </c:pt>
                <c:pt idx="701">
                  <c:v>22319.073250000005</c:v>
                </c:pt>
                <c:pt idx="702">
                  <c:v>22348.243250000007</c:v>
                </c:pt>
                <c:pt idx="703">
                  <c:v>22377.630000000005</c:v>
                </c:pt>
                <c:pt idx="704">
                  <c:v>22406.565750000005</c:v>
                </c:pt>
                <c:pt idx="705">
                  <c:v>22434.768750000003</c:v>
                </c:pt>
                <c:pt idx="706">
                  <c:v>22463.495000000006</c:v>
                </c:pt>
                <c:pt idx="707">
                  <c:v>22492.457000000006</c:v>
                </c:pt>
                <c:pt idx="708">
                  <c:v>22521.874000000007</c:v>
                </c:pt>
                <c:pt idx="709">
                  <c:v>22551.14650000001</c:v>
                </c:pt>
                <c:pt idx="710">
                  <c:v>22579.512250000007</c:v>
                </c:pt>
                <c:pt idx="711">
                  <c:v>22608.02</c:v>
                </c:pt>
                <c:pt idx="712">
                  <c:v>22633.903500000004</c:v>
                </c:pt>
                <c:pt idx="713">
                  <c:v>22659.759500000007</c:v>
                </c:pt>
                <c:pt idx="714">
                  <c:v>22686.306000000004</c:v>
                </c:pt>
                <c:pt idx="715">
                  <c:v>22712.428250000008</c:v>
                </c:pt>
                <c:pt idx="716">
                  <c:v>22740.455750000008</c:v>
                </c:pt>
                <c:pt idx="717">
                  <c:v>22768.179000000007</c:v>
                </c:pt>
                <c:pt idx="718">
                  <c:v>22796.08775000001</c:v>
                </c:pt>
                <c:pt idx="719">
                  <c:v>22824.207000000009</c:v>
                </c:pt>
                <c:pt idx="720">
                  <c:v>22851.646250000009</c:v>
                </c:pt>
                <c:pt idx="721">
                  <c:v>22878.242250000007</c:v>
                </c:pt>
                <c:pt idx="722">
                  <c:v>22906.531250000011</c:v>
                </c:pt>
                <c:pt idx="723">
                  <c:v>22934.887000000002</c:v>
                </c:pt>
                <c:pt idx="724">
                  <c:v>22961.15500000001</c:v>
                </c:pt>
                <c:pt idx="725">
                  <c:v>22986.90025000001</c:v>
                </c:pt>
                <c:pt idx="726">
                  <c:v>23013.292000000005</c:v>
                </c:pt>
                <c:pt idx="727">
                  <c:v>23039.681000000011</c:v>
                </c:pt>
                <c:pt idx="728">
                  <c:v>23063.888250000011</c:v>
                </c:pt>
                <c:pt idx="729">
                  <c:v>23087.887250000007</c:v>
                </c:pt>
                <c:pt idx="730">
                  <c:v>23109.605750000006</c:v>
                </c:pt>
                <c:pt idx="731">
                  <c:v>23130.047000000002</c:v>
                </c:pt>
                <c:pt idx="732">
                  <c:v>23148.112250000006</c:v>
                </c:pt>
                <c:pt idx="733">
                  <c:v>23165.894750000007</c:v>
                </c:pt>
                <c:pt idx="734">
                  <c:v>23183.711250000004</c:v>
                </c:pt>
                <c:pt idx="735">
                  <c:v>23201.438000000002</c:v>
                </c:pt>
                <c:pt idx="736">
                  <c:v>23220.508500000007</c:v>
                </c:pt>
                <c:pt idx="737">
                  <c:v>23239.873000000007</c:v>
                </c:pt>
                <c:pt idx="738">
                  <c:v>23258.412750000007</c:v>
                </c:pt>
                <c:pt idx="739">
                  <c:v>23276.062500000004</c:v>
                </c:pt>
                <c:pt idx="740">
                  <c:v>23291.538000000004</c:v>
                </c:pt>
                <c:pt idx="741">
                  <c:v>23306.914750000007</c:v>
                </c:pt>
                <c:pt idx="742">
                  <c:v>23322.163249999998</c:v>
                </c:pt>
                <c:pt idx="743">
                  <c:v>23335.814249999999</c:v>
                </c:pt>
                <c:pt idx="744">
                  <c:v>23349.66275</c:v>
                </c:pt>
                <c:pt idx="745">
                  <c:v>23364.072999999997</c:v>
                </c:pt>
                <c:pt idx="746">
                  <c:v>23376.683999999994</c:v>
                </c:pt>
                <c:pt idx="747">
                  <c:v>23389.825750000004</c:v>
                </c:pt>
                <c:pt idx="748">
                  <c:v>23404.594999999994</c:v>
                </c:pt>
                <c:pt idx="749">
                  <c:v>23418.574999999997</c:v>
                </c:pt>
                <c:pt idx="750">
                  <c:v>23431.508249999992</c:v>
                </c:pt>
                <c:pt idx="751">
                  <c:v>23444.793999999994</c:v>
                </c:pt>
                <c:pt idx="752">
                  <c:v>23455.297999999988</c:v>
                </c:pt>
                <c:pt idx="753">
                  <c:v>23465.877249999987</c:v>
                </c:pt>
                <c:pt idx="754">
                  <c:v>23478.135999999988</c:v>
                </c:pt>
                <c:pt idx="755">
                  <c:v>23491.272999999983</c:v>
                </c:pt>
                <c:pt idx="756">
                  <c:v>23504.702749999989</c:v>
                </c:pt>
                <c:pt idx="757">
                  <c:v>23517.297249999981</c:v>
                </c:pt>
                <c:pt idx="758">
                  <c:v>23528.855499999991</c:v>
                </c:pt>
                <c:pt idx="759">
                  <c:v>23540.456749999983</c:v>
                </c:pt>
                <c:pt idx="760">
                  <c:v>23550.85049999999</c:v>
                </c:pt>
                <c:pt idx="761">
                  <c:v>23561.356499999983</c:v>
                </c:pt>
                <c:pt idx="762">
                  <c:v>23570.260999999991</c:v>
                </c:pt>
                <c:pt idx="763">
                  <c:v>23579.399999999991</c:v>
                </c:pt>
                <c:pt idx="764">
                  <c:v>23590.307749999993</c:v>
                </c:pt>
                <c:pt idx="765">
                  <c:v>23602.929999999997</c:v>
                </c:pt>
                <c:pt idx="766">
                  <c:v>23614.633499999996</c:v>
                </c:pt>
                <c:pt idx="767">
                  <c:v>23627.149499999996</c:v>
                </c:pt>
                <c:pt idx="768">
                  <c:v>23637.073250000001</c:v>
                </c:pt>
                <c:pt idx="769">
                  <c:v>23648.076249999998</c:v>
                </c:pt>
                <c:pt idx="770">
                  <c:v>23660.866749999997</c:v>
                </c:pt>
                <c:pt idx="771">
                  <c:v>23674.240000000002</c:v>
                </c:pt>
                <c:pt idx="772">
                  <c:v>23688.497000000007</c:v>
                </c:pt>
                <c:pt idx="773">
                  <c:v>23703.322750000007</c:v>
                </c:pt>
                <c:pt idx="774">
                  <c:v>23717.511500000011</c:v>
                </c:pt>
                <c:pt idx="775">
                  <c:v>23731.052750000013</c:v>
                </c:pt>
                <c:pt idx="776">
                  <c:v>23743.89950000001</c:v>
                </c:pt>
                <c:pt idx="777">
                  <c:v>23756.497250000011</c:v>
                </c:pt>
                <c:pt idx="778">
                  <c:v>23768.256000000016</c:v>
                </c:pt>
                <c:pt idx="779">
                  <c:v>23781.822250000012</c:v>
                </c:pt>
                <c:pt idx="780">
                  <c:v>23794.076250000013</c:v>
                </c:pt>
                <c:pt idx="781">
                  <c:v>23804.692750000009</c:v>
                </c:pt>
                <c:pt idx="782">
                  <c:v>23815.076750000007</c:v>
                </c:pt>
                <c:pt idx="783">
                  <c:v>23823.843500000006</c:v>
                </c:pt>
                <c:pt idx="784">
                  <c:v>23832.02525000001</c:v>
                </c:pt>
                <c:pt idx="785">
                  <c:v>23840.87850000001</c:v>
                </c:pt>
                <c:pt idx="786">
                  <c:v>23847.823000000008</c:v>
                </c:pt>
                <c:pt idx="787">
                  <c:v>23854.546000000006</c:v>
                </c:pt>
                <c:pt idx="788">
                  <c:v>23861.831500000008</c:v>
                </c:pt>
                <c:pt idx="789">
                  <c:v>23867.685750000011</c:v>
                </c:pt>
                <c:pt idx="790">
                  <c:v>23873.442000000006</c:v>
                </c:pt>
                <c:pt idx="791">
                  <c:v>23880.493250000007</c:v>
                </c:pt>
                <c:pt idx="792">
                  <c:v>23889.758000000009</c:v>
                </c:pt>
                <c:pt idx="793">
                  <c:v>23899.79325000001</c:v>
                </c:pt>
                <c:pt idx="794">
                  <c:v>23907.140250000008</c:v>
                </c:pt>
                <c:pt idx="795">
                  <c:v>23915.563000000013</c:v>
                </c:pt>
                <c:pt idx="796">
                  <c:v>23923.729250000011</c:v>
                </c:pt>
                <c:pt idx="797">
                  <c:v>23932.27450000001</c:v>
                </c:pt>
                <c:pt idx="798">
                  <c:v>23940.23650000001</c:v>
                </c:pt>
                <c:pt idx="799">
                  <c:v>23945.606500000009</c:v>
                </c:pt>
                <c:pt idx="800">
                  <c:v>23951.003000000012</c:v>
                </c:pt>
                <c:pt idx="801">
                  <c:v>23957.045500000011</c:v>
                </c:pt>
                <c:pt idx="802">
                  <c:v>23962.986250000009</c:v>
                </c:pt>
                <c:pt idx="803">
                  <c:v>23967.367750000009</c:v>
                </c:pt>
                <c:pt idx="804">
                  <c:v>23971.781500000012</c:v>
                </c:pt>
                <c:pt idx="805">
                  <c:v>23974.638250000015</c:v>
                </c:pt>
                <c:pt idx="806">
                  <c:v>23978.241750000012</c:v>
                </c:pt>
                <c:pt idx="807">
                  <c:v>23981.695250000012</c:v>
                </c:pt>
                <c:pt idx="808">
                  <c:v>23984.587750000013</c:v>
                </c:pt>
                <c:pt idx="809">
                  <c:v>23985.402000000016</c:v>
                </c:pt>
                <c:pt idx="810">
                  <c:v>23986.974500000011</c:v>
                </c:pt>
                <c:pt idx="811">
                  <c:v>23989.021000000012</c:v>
                </c:pt>
                <c:pt idx="812">
                  <c:v>23992.671500000008</c:v>
                </c:pt>
                <c:pt idx="813">
                  <c:v>23998.85100000001</c:v>
                </c:pt>
                <c:pt idx="814">
                  <c:v>24005.522250000005</c:v>
                </c:pt>
                <c:pt idx="815">
                  <c:v>24012.348250000006</c:v>
                </c:pt>
                <c:pt idx="816">
                  <c:v>24020.309500000007</c:v>
                </c:pt>
                <c:pt idx="817">
                  <c:v>24027.109000000004</c:v>
                </c:pt>
                <c:pt idx="818">
                  <c:v>24033.285749999995</c:v>
                </c:pt>
                <c:pt idx="819">
                  <c:v>24039.073500000002</c:v>
                </c:pt>
                <c:pt idx="820">
                  <c:v>24043.129749999996</c:v>
                </c:pt>
                <c:pt idx="821">
                  <c:v>24046.388999999996</c:v>
                </c:pt>
                <c:pt idx="822">
                  <c:v>24048.398249999987</c:v>
                </c:pt>
                <c:pt idx="823">
                  <c:v>24050.530999999995</c:v>
                </c:pt>
                <c:pt idx="824">
                  <c:v>24051.936249999992</c:v>
                </c:pt>
                <c:pt idx="825">
                  <c:v>24054.354499999994</c:v>
                </c:pt>
                <c:pt idx="826">
                  <c:v>24056.867499999989</c:v>
                </c:pt>
                <c:pt idx="827">
                  <c:v>24060.019499999991</c:v>
                </c:pt>
                <c:pt idx="828">
                  <c:v>24063.072749999996</c:v>
                </c:pt>
                <c:pt idx="829">
                  <c:v>24067.264749999995</c:v>
                </c:pt>
                <c:pt idx="830">
                  <c:v>24069.755499999999</c:v>
                </c:pt>
                <c:pt idx="831">
                  <c:v>24071.972999999994</c:v>
                </c:pt>
                <c:pt idx="832">
                  <c:v>24073.608999999993</c:v>
                </c:pt>
                <c:pt idx="833">
                  <c:v>24073.229749999995</c:v>
                </c:pt>
                <c:pt idx="834">
                  <c:v>24071.806999999997</c:v>
                </c:pt>
                <c:pt idx="835">
                  <c:v>24069.889750000002</c:v>
                </c:pt>
                <c:pt idx="836">
                  <c:v>24069.06625</c:v>
                </c:pt>
                <c:pt idx="837">
                  <c:v>24069.144500000002</c:v>
                </c:pt>
                <c:pt idx="838">
                  <c:v>24068.918000000001</c:v>
                </c:pt>
                <c:pt idx="839">
                  <c:v>24066.381249999999</c:v>
                </c:pt>
                <c:pt idx="840">
                  <c:v>24064.08525</c:v>
                </c:pt>
                <c:pt idx="841">
                  <c:v>24061.7755</c:v>
                </c:pt>
                <c:pt idx="842">
                  <c:v>24059.320749999999</c:v>
                </c:pt>
                <c:pt idx="843">
                  <c:v>24058.340999999997</c:v>
                </c:pt>
                <c:pt idx="844">
                  <c:v>24060.069249999997</c:v>
                </c:pt>
                <c:pt idx="845">
                  <c:v>24061.953749999997</c:v>
                </c:pt>
                <c:pt idx="846">
                  <c:v>24061.587499999994</c:v>
                </c:pt>
                <c:pt idx="847">
                  <c:v>24068.917000000001</c:v>
                </c:pt>
                <c:pt idx="848">
                  <c:v>24074.107000000004</c:v>
                </c:pt>
                <c:pt idx="849">
                  <c:v>24078.343250000002</c:v>
                </c:pt>
                <c:pt idx="850">
                  <c:v>24079.326749999997</c:v>
                </c:pt>
                <c:pt idx="851">
                  <c:v>24080.9905</c:v>
                </c:pt>
                <c:pt idx="852">
                  <c:v>24082.262999999992</c:v>
                </c:pt>
                <c:pt idx="853">
                  <c:v>24081.476749999998</c:v>
                </c:pt>
                <c:pt idx="854">
                  <c:v>24081.143999999993</c:v>
                </c:pt>
                <c:pt idx="855">
                  <c:v>24080.06649999999</c:v>
                </c:pt>
                <c:pt idx="856">
                  <c:v>24076.799249999989</c:v>
                </c:pt>
                <c:pt idx="857">
                  <c:v>24070.027249999988</c:v>
                </c:pt>
                <c:pt idx="858">
                  <c:v>24064.87149999999</c:v>
                </c:pt>
                <c:pt idx="859">
                  <c:v>24059.361749999989</c:v>
                </c:pt>
                <c:pt idx="860">
                  <c:v>24055.815249999989</c:v>
                </c:pt>
                <c:pt idx="861">
                  <c:v>24053.851499999986</c:v>
                </c:pt>
                <c:pt idx="862">
                  <c:v>24051.693499999987</c:v>
                </c:pt>
                <c:pt idx="863">
                  <c:v>24050.729249999986</c:v>
                </c:pt>
                <c:pt idx="864">
                  <c:v>24051.303999999986</c:v>
                </c:pt>
                <c:pt idx="865">
                  <c:v>24051.430499999988</c:v>
                </c:pt>
                <c:pt idx="866">
                  <c:v>24052.455999999987</c:v>
                </c:pt>
                <c:pt idx="867">
                  <c:v>24052.256999999987</c:v>
                </c:pt>
                <c:pt idx="868">
                  <c:v>24050.942999999985</c:v>
                </c:pt>
                <c:pt idx="869">
                  <c:v>24050.966249999987</c:v>
                </c:pt>
                <c:pt idx="870">
                  <c:v>24051.043249999988</c:v>
                </c:pt>
                <c:pt idx="871">
                  <c:v>24050.548249999989</c:v>
                </c:pt>
                <c:pt idx="872">
                  <c:v>24050.659499999994</c:v>
                </c:pt>
                <c:pt idx="873">
                  <c:v>24051.385499999989</c:v>
                </c:pt>
                <c:pt idx="874">
                  <c:v>24050.772749999989</c:v>
                </c:pt>
                <c:pt idx="875">
                  <c:v>24049.91124999999</c:v>
                </c:pt>
                <c:pt idx="876">
                  <c:v>24048.21524999999</c:v>
                </c:pt>
                <c:pt idx="877">
                  <c:v>24044.250999999993</c:v>
                </c:pt>
                <c:pt idx="878">
                  <c:v>24046.219999999994</c:v>
                </c:pt>
                <c:pt idx="879">
                  <c:v>24046.565499999993</c:v>
                </c:pt>
                <c:pt idx="880">
                  <c:v>24047.504749999996</c:v>
                </c:pt>
                <c:pt idx="881">
                  <c:v>24050.747749999995</c:v>
                </c:pt>
                <c:pt idx="882">
                  <c:v>24053.81625</c:v>
                </c:pt>
                <c:pt idx="883">
                  <c:v>24054.369250000003</c:v>
                </c:pt>
                <c:pt idx="884">
                  <c:v>24053.608250000001</c:v>
                </c:pt>
                <c:pt idx="885">
                  <c:v>24053.38900000001</c:v>
                </c:pt>
                <c:pt idx="886">
                  <c:v>24051.681750000007</c:v>
                </c:pt>
                <c:pt idx="887">
                  <c:v>24050.893000000007</c:v>
                </c:pt>
                <c:pt idx="888">
                  <c:v>24052.31025000001</c:v>
                </c:pt>
                <c:pt idx="889">
                  <c:v>24056.163250000005</c:v>
                </c:pt>
                <c:pt idx="890">
                  <c:v>24059.96275000001</c:v>
                </c:pt>
                <c:pt idx="891">
                  <c:v>24062.643250000008</c:v>
                </c:pt>
                <c:pt idx="892">
                  <c:v>24065.811750000008</c:v>
                </c:pt>
                <c:pt idx="893">
                  <c:v>24067.557250000009</c:v>
                </c:pt>
                <c:pt idx="894">
                  <c:v>24068.53475000001</c:v>
                </c:pt>
                <c:pt idx="895">
                  <c:v>24070.940750000012</c:v>
                </c:pt>
                <c:pt idx="896">
                  <c:v>24073.976500000012</c:v>
                </c:pt>
                <c:pt idx="897">
                  <c:v>24076.286000000011</c:v>
                </c:pt>
                <c:pt idx="898">
                  <c:v>24078.938750000016</c:v>
                </c:pt>
                <c:pt idx="899">
                  <c:v>24080.96575000001</c:v>
                </c:pt>
                <c:pt idx="900">
                  <c:v>24082.821750000014</c:v>
                </c:pt>
                <c:pt idx="901">
                  <c:v>24083.205250000014</c:v>
                </c:pt>
                <c:pt idx="902">
                  <c:v>24082.68250000001</c:v>
                </c:pt>
                <c:pt idx="903">
                  <c:v>24082.362000000008</c:v>
                </c:pt>
                <c:pt idx="904">
                  <c:v>24081.540250000009</c:v>
                </c:pt>
                <c:pt idx="905">
                  <c:v>24080.33875000001</c:v>
                </c:pt>
                <c:pt idx="906">
                  <c:v>24078.54525000001</c:v>
                </c:pt>
                <c:pt idx="907">
                  <c:v>24077.927750000013</c:v>
                </c:pt>
                <c:pt idx="908">
                  <c:v>24076.393750000014</c:v>
                </c:pt>
                <c:pt idx="909">
                  <c:v>24075.216250000009</c:v>
                </c:pt>
                <c:pt idx="910">
                  <c:v>24075.446500000009</c:v>
                </c:pt>
                <c:pt idx="911">
                  <c:v>24077.466000000004</c:v>
                </c:pt>
                <c:pt idx="912">
                  <c:v>24081.394250000001</c:v>
                </c:pt>
                <c:pt idx="913">
                  <c:v>24084.297500000001</c:v>
                </c:pt>
                <c:pt idx="914">
                  <c:v>24086.800999999999</c:v>
                </c:pt>
                <c:pt idx="915">
                  <c:v>24089.475750000001</c:v>
                </c:pt>
                <c:pt idx="916">
                  <c:v>24089.557750000004</c:v>
                </c:pt>
                <c:pt idx="917">
                  <c:v>24090.080250000003</c:v>
                </c:pt>
                <c:pt idx="918">
                  <c:v>24090.468000000008</c:v>
                </c:pt>
                <c:pt idx="919">
                  <c:v>24090.987750000004</c:v>
                </c:pt>
                <c:pt idx="920">
                  <c:v>24091.480500000001</c:v>
                </c:pt>
                <c:pt idx="921">
                  <c:v>24091.177750000003</c:v>
                </c:pt>
                <c:pt idx="922">
                  <c:v>24087.972249999995</c:v>
                </c:pt>
                <c:pt idx="923">
                  <c:v>24083.688499999997</c:v>
                </c:pt>
                <c:pt idx="924">
                  <c:v>24079.965499999995</c:v>
                </c:pt>
                <c:pt idx="925">
                  <c:v>24076.00499999999</c:v>
                </c:pt>
                <c:pt idx="926">
                  <c:v>24070.481999999996</c:v>
                </c:pt>
                <c:pt idx="927">
                  <c:v>24064.429249999997</c:v>
                </c:pt>
                <c:pt idx="928">
                  <c:v>24060.8285</c:v>
                </c:pt>
                <c:pt idx="929">
                  <c:v>24057.148499999999</c:v>
                </c:pt>
                <c:pt idx="930">
                  <c:v>24056.997500000005</c:v>
                </c:pt>
                <c:pt idx="931">
                  <c:v>24057.235000000001</c:v>
                </c:pt>
                <c:pt idx="932">
                  <c:v>24057.441249999996</c:v>
                </c:pt>
                <c:pt idx="933">
                  <c:v>24055.78</c:v>
                </c:pt>
                <c:pt idx="934">
                  <c:v>24054.975750000001</c:v>
                </c:pt>
                <c:pt idx="935">
                  <c:v>24054.258750000001</c:v>
                </c:pt>
                <c:pt idx="936">
                  <c:v>24053.27925</c:v>
                </c:pt>
                <c:pt idx="937">
                  <c:v>24050.466249999994</c:v>
                </c:pt>
                <c:pt idx="938">
                  <c:v>24048.793249999999</c:v>
                </c:pt>
                <c:pt idx="939">
                  <c:v>24047.184499999992</c:v>
                </c:pt>
                <c:pt idx="940">
                  <c:v>24046.306249999994</c:v>
                </c:pt>
                <c:pt idx="941">
                  <c:v>24045.016749999995</c:v>
                </c:pt>
                <c:pt idx="942">
                  <c:v>24042.927749999999</c:v>
                </c:pt>
                <c:pt idx="943">
                  <c:v>24043.492499999997</c:v>
                </c:pt>
                <c:pt idx="944">
                  <c:v>24043.752</c:v>
                </c:pt>
                <c:pt idx="945">
                  <c:v>24044.851749999998</c:v>
                </c:pt>
                <c:pt idx="946">
                  <c:v>24047.104250000004</c:v>
                </c:pt>
                <c:pt idx="947">
                  <c:v>24049.793250000006</c:v>
                </c:pt>
                <c:pt idx="948">
                  <c:v>24052.362250000006</c:v>
                </c:pt>
                <c:pt idx="949">
                  <c:v>24055.910750000006</c:v>
                </c:pt>
                <c:pt idx="950">
                  <c:v>24060.302750000003</c:v>
                </c:pt>
                <c:pt idx="951">
                  <c:v>24063.131500000003</c:v>
                </c:pt>
                <c:pt idx="952">
                  <c:v>24067.9935</c:v>
                </c:pt>
                <c:pt idx="953">
                  <c:v>24070.487250000002</c:v>
                </c:pt>
                <c:pt idx="954">
                  <c:v>24070.571499999998</c:v>
                </c:pt>
                <c:pt idx="955">
                  <c:v>24071.708999999995</c:v>
                </c:pt>
                <c:pt idx="956">
                  <c:v>24074.093249999998</c:v>
                </c:pt>
                <c:pt idx="957">
                  <c:v>24076.284749999995</c:v>
                </c:pt>
                <c:pt idx="958">
                  <c:v>24080.442749999991</c:v>
                </c:pt>
                <c:pt idx="959">
                  <c:v>24086.318999999996</c:v>
                </c:pt>
                <c:pt idx="960">
                  <c:v>24092.360499999995</c:v>
                </c:pt>
                <c:pt idx="961">
                  <c:v>24098.957249999996</c:v>
                </c:pt>
                <c:pt idx="962">
                  <c:v>24105.707749999994</c:v>
                </c:pt>
                <c:pt idx="963">
                  <c:v>24113.823749999996</c:v>
                </c:pt>
                <c:pt idx="964">
                  <c:v>24119.314999999995</c:v>
                </c:pt>
                <c:pt idx="965">
                  <c:v>24123.775499999992</c:v>
                </c:pt>
                <c:pt idx="966">
                  <c:v>24128.148999999994</c:v>
                </c:pt>
                <c:pt idx="967">
                  <c:v>24132.96999999999</c:v>
                </c:pt>
                <c:pt idx="968">
                  <c:v>24140.05049999999</c:v>
                </c:pt>
                <c:pt idx="969">
                  <c:v>24146.512999999988</c:v>
                </c:pt>
                <c:pt idx="970">
                  <c:v>24151.767999999989</c:v>
                </c:pt>
                <c:pt idx="971">
                  <c:v>24155.493999999992</c:v>
                </c:pt>
                <c:pt idx="972">
                  <c:v>24159.004249999984</c:v>
                </c:pt>
                <c:pt idx="973">
                  <c:v>24160.746749999988</c:v>
                </c:pt>
                <c:pt idx="974">
                  <c:v>24161.811999999987</c:v>
                </c:pt>
                <c:pt idx="975">
                  <c:v>24161.990499999985</c:v>
                </c:pt>
                <c:pt idx="976">
                  <c:v>24162.114749999986</c:v>
                </c:pt>
                <c:pt idx="977">
                  <c:v>24161.961249999986</c:v>
                </c:pt>
                <c:pt idx="978">
                  <c:v>24163.399249999984</c:v>
                </c:pt>
                <c:pt idx="979">
                  <c:v>24164.028999999984</c:v>
                </c:pt>
                <c:pt idx="980">
                  <c:v>24166.075999999983</c:v>
                </c:pt>
                <c:pt idx="981">
                  <c:v>24169.937499999985</c:v>
                </c:pt>
                <c:pt idx="982">
                  <c:v>24174.173999999985</c:v>
                </c:pt>
                <c:pt idx="983">
                  <c:v>24180.324499999988</c:v>
                </c:pt>
                <c:pt idx="984">
                  <c:v>24188.813749999987</c:v>
                </c:pt>
                <c:pt idx="985">
                  <c:v>24196.183249999984</c:v>
                </c:pt>
                <c:pt idx="986">
                  <c:v>24203.272499999981</c:v>
                </c:pt>
                <c:pt idx="987">
                  <c:v>24211.139249999978</c:v>
                </c:pt>
                <c:pt idx="988">
                  <c:v>24219.998749999981</c:v>
                </c:pt>
                <c:pt idx="989">
                  <c:v>24230.323499999984</c:v>
                </c:pt>
                <c:pt idx="990">
                  <c:v>24241.315249999985</c:v>
                </c:pt>
                <c:pt idx="991">
                  <c:v>24251.94374999998</c:v>
                </c:pt>
                <c:pt idx="992">
                  <c:v>24260.457499999986</c:v>
                </c:pt>
                <c:pt idx="993">
                  <c:v>24269.409499999987</c:v>
                </c:pt>
                <c:pt idx="994">
                  <c:v>24281.159499999987</c:v>
                </c:pt>
                <c:pt idx="995">
                  <c:v>24292.300999999992</c:v>
                </c:pt>
                <c:pt idx="996">
                  <c:v>24304.125749999992</c:v>
                </c:pt>
                <c:pt idx="997">
                  <c:v>24315.882499999992</c:v>
                </c:pt>
                <c:pt idx="998">
                  <c:v>24327.33549999999</c:v>
                </c:pt>
                <c:pt idx="999">
                  <c:v>24340.722499999985</c:v>
                </c:pt>
                <c:pt idx="1000">
                  <c:v>24352.830499999985</c:v>
                </c:pt>
                <c:pt idx="1001">
                  <c:v>24364.312999999984</c:v>
                </c:pt>
                <c:pt idx="1002">
                  <c:v>24375.215499999984</c:v>
                </c:pt>
                <c:pt idx="1003">
                  <c:v>24387.071249999983</c:v>
                </c:pt>
                <c:pt idx="1004">
                  <c:v>24398.822249999987</c:v>
                </c:pt>
                <c:pt idx="1005">
                  <c:v>24413.07799999998</c:v>
                </c:pt>
                <c:pt idx="1006">
                  <c:v>24426.696999999982</c:v>
                </c:pt>
                <c:pt idx="1007">
                  <c:v>24440.220499999985</c:v>
                </c:pt>
                <c:pt idx="1008">
                  <c:v>24454.826749999986</c:v>
                </c:pt>
                <c:pt idx="1009">
                  <c:v>24470.231249999975</c:v>
                </c:pt>
                <c:pt idx="1010">
                  <c:v>24485.708249999978</c:v>
                </c:pt>
                <c:pt idx="1011">
                  <c:v>24500.853499999983</c:v>
                </c:pt>
                <c:pt idx="1012">
                  <c:v>24514.946749999985</c:v>
                </c:pt>
                <c:pt idx="1013">
                  <c:v>24527.202249999984</c:v>
                </c:pt>
                <c:pt idx="1014">
                  <c:v>24539.215499999984</c:v>
                </c:pt>
                <c:pt idx="1015">
                  <c:v>24553.436749999983</c:v>
                </c:pt>
                <c:pt idx="1016">
                  <c:v>24565.818249999982</c:v>
                </c:pt>
                <c:pt idx="1017">
                  <c:v>24578.351499999986</c:v>
                </c:pt>
                <c:pt idx="1018">
                  <c:v>24591.213499999987</c:v>
                </c:pt>
                <c:pt idx="1019">
                  <c:v>24603.574749999985</c:v>
                </c:pt>
                <c:pt idx="1020">
                  <c:v>24616.596749999982</c:v>
                </c:pt>
                <c:pt idx="1021">
                  <c:v>24631.406499999986</c:v>
                </c:pt>
                <c:pt idx="1022">
                  <c:v>24647.112499999981</c:v>
                </c:pt>
                <c:pt idx="1023">
                  <c:v>24661.758249999984</c:v>
                </c:pt>
                <c:pt idx="1024">
                  <c:v>24676.310249999984</c:v>
                </c:pt>
                <c:pt idx="1025">
                  <c:v>24690.302749999984</c:v>
                </c:pt>
                <c:pt idx="1026">
                  <c:v>24705.068999999989</c:v>
                </c:pt>
                <c:pt idx="1027">
                  <c:v>24720.639249999993</c:v>
                </c:pt>
                <c:pt idx="1028">
                  <c:v>24736.209999999992</c:v>
                </c:pt>
                <c:pt idx="1029">
                  <c:v>24751.530999999988</c:v>
                </c:pt>
                <c:pt idx="1030">
                  <c:v>24767.856999999989</c:v>
                </c:pt>
                <c:pt idx="1031">
                  <c:v>24784.196999999989</c:v>
                </c:pt>
                <c:pt idx="1032">
                  <c:v>24801.303749999992</c:v>
                </c:pt>
                <c:pt idx="1033">
                  <c:v>24821.542249999991</c:v>
                </c:pt>
                <c:pt idx="1034">
                  <c:v>24841.8315</c:v>
                </c:pt>
                <c:pt idx="1035">
                  <c:v>24862.128749999989</c:v>
                </c:pt>
                <c:pt idx="1036">
                  <c:v>24880.65374999999</c:v>
                </c:pt>
                <c:pt idx="1037">
                  <c:v>24897.640749999991</c:v>
                </c:pt>
                <c:pt idx="1038">
                  <c:v>24914.572499999991</c:v>
                </c:pt>
              </c:numCache>
            </c:numRef>
          </c:val>
          <c:smooth val="0"/>
          <c:extLst>
            <c:ext xmlns:c16="http://schemas.microsoft.com/office/drawing/2014/chart" uri="{C3380CC4-5D6E-409C-BE32-E72D297353CC}">
              <c16:uniqueId val="{00000003-DE9F-41DE-ADFB-3547966DB085}"/>
            </c:ext>
          </c:extLst>
        </c:ser>
        <c:dLbls>
          <c:showLegendKey val="0"/>
          <c:showVal val="0"/>
          <c:showCatName val="0"/>
          <c:showSerName val="0"/>
          <c:showPercent val="0"/>
          <c:showBubbleSize val="0"/>
        </c:dLbls>
        <c:smooth val="0"/>
        <c:axId val="376296303"/>
        <c:axId val="225250335"/>
      </c:lineChart>
      <c:dateAx>
        <c:axId val="376296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Dates</a:t>
                </a:r>
              </a:p>
            </c:rich>
          </c:tx>
          <c:layout>
            <c:manualLayout>
              <c:xMode val="edge"/>
              <c:yMode val="edge"/>
              <c:x val="0.5085221588680725"/>
              <c:y val="0.9432334288429099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250335"/>
        <c:crosses val="autoZero"/>
        <c:auto val="1"/>
        <c:lblOffset val="100"/>
        <c:baseTimeUnit val="days"/>
      </c:dateAx>
      <c:valAx>
        <c:axId val="225250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Price</a:t>
                </a:r>
              </a:p>
            </c:rich>
          </c:tx>
          <c:layout>
            <c:manualLayout>
              <c:xMode val="edge"/>
              <c:yMode val="edge"/>
              <c:x val="1.0727969348659003E-2"/>
              <c:y val="0.411033688609316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29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NIFTY 50 Price Trend &amp; Moving Averages</a:t>
            </a:r>
          </a:p>
        </c:rich>
      </c:tx>
      <c:layout>
        <c:manualLayout>
          <c:xMode val="edge"/>
          <c:yMode val="edge"/>
          <c:x val="0.32167049808429116"/>
          <c:y val="1.8709073900841908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'Price trend line table'!$B$1:$B$201</c:f>
              <c:strCache>
                <c:ptCount val="201"/>
                <c:pt idx="0">
                  <c:v>Close </c:v>
                </c:pt>
                <c:pt idx="1">
                  <c:v>14018.5</c:v>
                </c:pt>
                <c:pt idx="2">
                  <c:v>14132.9</c:v>
                </c:pt>
                <c:pt idx="3">
                  <c:v>14199.5</c:v>
                </c:pt>
                <c:pt idx="4">
                  <c:v>14146.25</c:v>
                </c:pt>
                <c:pt idx="5">
                  <c:v>14137.35</c:v>
                </c:pt>
                <c:pt idx="6">
                  <c:v>14347.25</c:v>
                </c:pt>
                <c:pt idx="7">
                  <c:v>14484.75</c:v>
                </c:pt>
                <c:pt idx="8">
                  <c:v>14563.45</c:v>
                </c:pt>
                <c:pt idx="9">
                  <c:v>14564.85</c:v>
                </c:pt>
                <c:pt idx="10">
                  <c:v>14595.6</c:v>
                </c:pt>
                <c:pt idx="11">
                  <c:v>14433.7</c:v>
                </c:pt>
                <c:pt idx="12">
                  <c:v>14281.3</c:v>
                </c:pt>
                <c:pt idx="13">
                  <c:v>14521.15</c:v>
                </c:pt>
                <c:pt idx="14">
                  <c:v>14644.7</c:v>
                </c:pt>
                <c:pt idx="15">
                  <c:v>14590.35</c:v>
                </c:pt>
                <c:pt idx="16">
                  <c:v>14371.9</c:v>
                </c:pt>
                <c:pt idx="17">
                  <c:v>14238.9</c:v>
                </c:pt>
                <c:pt idx="18">
                  <c:v>13967.5</c:v>
                </c:pt>
                <c:pt idx="19">
                  <c:v>13817.55</c:v>
                </c:pt>
                <c:pt idx="20">
                  <c:v>13634.6</c:v>
                </c:pt>
                <c:pt idx="21">
                  <c:v>14281.2</c:v>
                </c:pt>
                <c:pt idx="22">
                  <c:v>14647.85</c:v>
                </c:pt>
                <c:pt idx="23">
                  <c:v>14789.95</c:v>
                </c:pt>
                <c:pt idx="24">
                  <c:v>14895.65</c:v>
                </c:pt>
                <c:pt idx="25">
                  <c:v>14924.25</c:v>
                </c:pt>
                <c:pt idx="26">
                  <c:v>15115.8</c:v>
                </c:pt>
                <c:pt idx="27">
                  <c:v>15109.3</c:v>
                </c:pt>
                <c:pt idx="28">
                  <c:v>15106.5</c:v>
                </c:pt>
                <c:pt idx="29">
                  <c:v>15173.3</c:v>
                </c:pt>
                <c:pt idx="30">
                  <c:v>15163.3</c:v>
                </c:pt>
                <c:pt idx="31">
                  <c:v>15314.7</c:v>
                </c:pt>
                <c:pt idx="32">
                  <c:v>15313.45</c:v>
                </c:pt>
                <c:pt idx="33">
                  <c:v>15208.9</c:v>
                </c:pt>
                <c:pt idx="34">
                  <c:v>15118.95</c:v>
                </c:pt>
                <c:pt idx="35">
                  <c:v>14981.75</c:v>
                </c:pt>
                <c:pt idx="36">
                  <c:v>14675.7</c:v>
                </c:pt>
                <c:pt idx="37">
                  <c:v>14707.8</c:v>
                </c:pt>
                <c:pt idx="38">
                  <c:v>14982</c:v>
                </c:pt>
                <c:pt idx="39">
                  <c:v>15097.35</c:v>
                </c:pt>
                <c:pt idx="40">
                  <c:v>14529.15</c:v>
                </c:pt>
                <c:pt idx="41">
                  <c:v>14761.55</c:v>
                </c:pt>
                <c:pt idx="42">
                  <c:v>14919.1</c:v>
                </c:pt>
                <c:pt idx="43">
                  <c:v>15245.6</c:v>
                </c:pt>
                <c:pt idx="44">
                  <c:v>15080.75</c:v>
                </c:pt>
                <c:pt idx="45">
                  <c:v>14938.1</c:v>
                </c:pt>
                <c:pt idx="46">
                  <c:v>14956.2</c:v>
                </c:pt>
                <c:pt idx="47">
                  <c:v>15098.4</c:v>
                </c:pt>
                <c:pt idx="48">
                  <c:v>15174.8</c:v>
                </c:pt>
                <c:pt idx="49">
                  <c:v>15030.95</c:v>
                </c:pt>
                <c:pt idx="50">
                  <c:v>14929.5</c:v>
                </c:pt>
                <c:pt idx="51">
                  <c:v>14910.45</c:v>
                </c:pt>
                <c:pt idx="52">
                  <c:v>14721.3</c:v>
                </c:pt>
                <c:pt idx="53">
                  <c:v>14557.85</c:v>
                </c:pt>
                <c:pt idx="54">
                  <c:v>14744</c:v>
                </c:pt>
                <c:pt idx="55">
                  <c:v>14736.4</c:v>
                </c:pt>
                <c:pt idx="56">
                  <c:v>14814.75</c:v>
                </c:pt>
                <c:pt idx="57">
                  <c:v>14549.4</c:v>
                </c:pt>
                <c:pt idx="58">
                  <c:v>14324.9</c:v>
                </c:pt>
                <c:pt idx="59">
                  <c:v>14507.3</c:v>
                </c:pt>
                <c:pt idx="60">
                  <c:v>14845.1</c:v>
                </c:pt>
                <c:pt idx="61">
                  <c:v>14690.7</c:v>
                </c:pt>
                <c:pt idx="62">
                  <c:v>14867.35</c:v>
                </c:pt>
                <c:pt idx="63">
                  <c:v>14637.8</c:v>
                </c:pt>
                <c:pt idx="64">
                  <c:v>14683.5</c:v>
                </c:pt>
                <c:pt idx="65">
                  <c:v>14819.05</c:v>
                </c:pt>
                <c:pt idx="66">
                  <c:v>14873.8</c:v>
                </c:pt>
                <c:pt idx="67">
                  <c:v>14834.85</c:v>
                </c:pt>
                <c:pt idx="68">
                  <c:v>14310.8</c:v>
                </c:pt>
                <c:pt idx="69">
                  <c:v>14504.8</c:v>
                </c:pt>
                <c:pt idx="70">
                  <c:v>14581.45</c:v>
                </c:pt>
                <c:pt idx="71">
                  <c:v>14617.85</c:v>
                </c:pt>
                <c:pt idx="72">
                  <c:v>14359.45</c:v>
                </c:pt>
                <c:pt idx="73">
                  <c:v>14296.4</c:v>
                </c:pt>
                <c:pt idx="74">
                  <c:v>14406.15</c:v>
                </c:pt>
                <c:pt idx="75">
                  <c:v>14341.35</c:v>
                </c:pt>
                <c:pt idx="76">
                  <c:v>14485</c:v>
                </c:pt>
                <c:pt idx="77">
                  <c:v>14653.05</c:v>
                </c:pt>
                <c:pt idx="78">
                  <c:v>14864.55</c:v>
                </c:pt>
                <c:pt idx="79">
                  <c:v>14894.9</c:v>
                </c:pt>
                <c:pt idx="80">
                  <c:v>14631.1</c:v>
                </c:pt>
                <c:pt idx="81">
                  <c:v>14634.15</c:v>
                </c:pt>
                <c:pt idx="82">
                  <c:v>14496.5</c:v>
                </c:pt>
                <c:pt idx="83">
                  <c:v>14617.85</c:v>
                </c:pt>
                <c:pt idx="84">
                  <c:v>14724.8</c:v>
                </c:pt>
                <c:pt idx="85">
                  <c:v>14823.15</c:v>
                </c:pt>
                <c:pt idx="86">
                  <c:v>14942.35</c:v>
                </c:pt>
                <c:pt idx="87">
                  <c:v>14850.75</c:v>
                </c:pt>
                <c:pt idx="88">
                  <c:v>14696.5</c:v>
                </c:pt>
                <c:pt idx="89">
                  <c:v>14677.8</c:v>
                </c:pt>
                <c:pt idx="90">
                  <c:v>14923.15</c:v>
                </c:pt>
                <c:pt idx="91">
                  <c:v>15108.1</c:v>
                </c:pt>
                <c:pt idx="92">
                  <c:v>15030.15</c:v>
                </c:pt>
                <c:pt idx="93">
                  <c:v>14906.05</c:v>
                </c:pt>
                <c:pt idx="94">
                  <c:v>15175.3</c:v>
                </c:pt>
                <c:pt idx="95">
                  <c:v>15197.7</c:v>
                </c:pt>
                <c:pt idx="96">
                  <c:v>15208.45</c:v>
                </c:pt>
                <c:pt idx="97">
                  <c:v>15301.45</c:v>
                </c:pt>
                <c:pt idx="98">
                  <c:v>15337.85</c:v>
                </c:pt>
                <c:pt idx="99">
                  <c:v>15435.65</c:v>
                </c:pt>
                <c:pt idx="100">
                  <c:v>15582.8</c:v>
                </c:pt>
                <c:pt idx="101">
                  <c:v>15574.85</c:v>
                </c:pt>
                <c:pt idx="102">
                  <c:v>15576.2</c:v>
                </c:pt>
                <c:pt idx="103">
                  <c:v>15690.35</c:v>
                </c:pt>
                <c:pt idx="104">
                  <c:v>15670.25</c:v>
                </c:pt>
                <c:pt idx="105">
                  <c:v>15751.65</c:v>
                </c:pt>
                <c:pt idx="106">
                  <c:v>15740.1</c:v>
                </c:pt>
                <c:pt idx="107">
                  <c:v>15635.35</c:v>
                </c:pt>
                <c:pt idx="108">
                  <c:v>15737.75</c:v>
                </c:pt>
                <c:pt idx="109">
                  <c:v>15799.35</c:v>
                </c:pt>
                <c:pt idx="110">
                  <c:v>15811.85</c:v>
                </c:pt>
                <c:pt idx="111">
                  <c:v>15869.25</c:v>
                </c:pt>
                <c:pt idx="112">
                  <c:v>15767.55</c:v>
                </c:pt>
                <c:pt idx="113">
                  <c:v>15691.4</c:v>
                </c:pt>
                <c:pt idx="114">
                  <c:v>15683.35</c:v>
                </c:pt>
                <c:pt idx="115">
                  <c:v>15746.5</c:v>
                </c:pt>
                <c:pt idx="116">
                  <c:v>15772.75</c:v>
                </c:pt>
                <c:pt idx="117">
                  <c:v>15686.95</c:v>
                </c:pt>
                <c:pt idx="118">
                  <c:v>15790.45</c:v>
                </c:pt>
                <c:pt idx="119">
                  <c:v>15860.35</c:v>
                </c:pt>
                <c:pt idx="120">
                  <c:v>15814.7</c:v>
                </c:pt>
                <c:pt idx="121">
                  <c:v>15748.45</c:v>
                </c:pt>
                <c:pt idx="122">
                  <c:v>15721.5</c:v>
                </c:pt>
                <c:pt idx="123">
                  <c:v>15680</c:v>
                </c:pt>
                <c:pt idx="124">
                  <c:v>15722.2</c:v>
                </c:pt>
                <c:pt idx="125">
                  <c:v>15834.35</c:v>
                </c:pt>
                <c:pt idx="126">
                  <c:v>15818.25</c:v>
                </c:pt>
                <c:pt idx="127">
                  <c:v>15879.65</c:v>
                </c:pt>
                <c:pt idx="128">
                  <c:v>15727.9</c:v>
                </c:pt>
                <c:pt idx="129">
                  <c:v>15689.8</c:v>
                </c:pt>
                <c:pt idx="130">
                  <c:v>15692.6</c:v>
                </c:pt>
                <c:pt idx="131">
                  <c:v>15812.35</c:v>
                </c:pt>
                <c:pt idx="132">
                  <c:v>15853.95</c:v>
                </c:pt>
                <c:pt idx="133">
                  <c:v>15924.2</c:v>
                </c:pt>
                <c:pt idx="134">
                  <c:v>15923.4</c:v>
                </c:pt>
                <c:pt idx="135">
                  <c:v>15752.4</c:v>
                </c:pt>
                <c:pt idx="136">
                  <c:v>15632.1</c:v>
                </c:pt>
                <c:pt idx="137">
                  <c:v>15824.05</c:v>
                </c:pt>
                <c:pt idx="138">
                  <c:v>15856.05</c:v>
                </c:pt>
                <c:pt idx="139">
                  <c:v>15824.45</c:v>
                </c:pt>
                <c:pt idx="140">
                  <c:v>15746.45</c:v>
                </c:pt>
                <c:pt idx="141">
                  <c:v>15709.4</c:v>
                </c:pt>
                <c:pt idx="142">
                  <c:v>15778.45</c:v>
                </c:pt>
                <c:pt idx="143">
                  <c:v>15763.05</c:v>
                </c:pt>
                <c:pt idx="144">
                  <c:v>15885.15</c:v>
                </c:pt>
                <c:pt idx="145">
                  <c:v>16130.75</c:v>
                </c:pt>
                <c:pt idx="146">
                  <c:v>16258.8</c:v>
                </c:pt>
                <c:pt idx="147">
                  <c:v>16294.6</c:v>
                </c:pt>
                <c:pt idx="148">
                  <c:v>16238.2</c:v>
                </c:pt>
                <c:pt idx="149">
                  <c:v>16258.25</c:v>
                </c:pt>
                <c:pt idx="150">
                  <c:v>16280.1</c:v>
                </c:pt>
                <c:pt idx="151">
                  <c:v>16282.25</c:v>
                </c:pt>
                <c:pt idx="152">
                  <c:v>16364.4</c:v>
                </c:pt>
                <c:pt idx="153">
                  <c:v>16529.1</c:v>
                </c:pt>
                <c:pt idx="154">
                  <c:v>16563.05</c:v>
                </c:pt>
                <c:pt idx="155">
                  <c:v>16614.6</c:v>
                </c:pt>
                <c:pt idx="156">
                  <c:v>16568.85</c:v>
                </c:pt>
                <c:pt idx="157">
                  <c:v>16450.5</c:v>
                </c:pt>
                <c:pt idx="158">
                  <c:v>16496.45</c:v>
                </c:pt>
                <c:pt idx="159">
                  <c:v>16624.6</c:v>
                </c:pt>
                <c:pt idx="160">
                  <c:v>16634.65</c:v>
                </c:pt>
                <c:pt idx="161">
                  <c:v>16636.9</c:v>
                </c:pt>
                <c:pt idx="162">
                  <c:v>16705.2</c:v>
                </c:pt>
                <c:pt idx="163">
                  <c:v>16931.05</c:v>
                </c:pt>
                <c:pt idx="164">
                  <c:v>17132.2</c:v>
                </c:pt>
                <c:pt idx="165">
                  <c:v>17076.25</c:v>
                </c:pt>
                <c:pt idx="166">
                  <c:v>17234.15</c:v>
                </c:pt>
                <c:pt idx="167">
                  <c:v>17323.6</c:v>
                </c:pt>
                <c:pt idx="168">
                  <c:v>17377.8</c:v>
                </c:pt>
                <c:pt idx="169">
                  <c:v>17362.1</c:v>
                </c:pt>
                <c:pt idx="170">
                  <c:v>17353.5</c:v>
                </c:pt>
                <c:pt idx="171">
                  <c:v>17369.25</c:v>
                </c:pt>
                <c:pt idx="172">
                  <c:v>17355.3</c:v>
                </c:pt>
                <c:pt idx="173">
                  <c:v>17380</c:v>
                </c:pt>
                <c:pt idx="174">
                  <c:v>17519.45</c:v>
                </c:pt>
                <c:pt idx="175">
                  <c:v>17629.5</c:v>
                </c:pt>
                <c:pt idx="176">
                  <c:v>17585.15</c:v>
                </c:pt>
                <c:pt idx="177">
                  <c:v>17396.9</c:v>
                </c:pt>
                <c:pt idx="178">
                  <c:v>17562</c:v>
                </c:pt>
                <c:pt idx="179">
                  <c:v>17546.65</c:v>
                </c:pt>
                <c:pt idx="180">
                  <c:v>17822.95</c:v>
                </c:pt>
                <c:pt idx="181">
                  <c:v>17853.2</c:v>
                </c:pt>
                <c:pt idx="182">
                  <c:v>17855.1</c:v>
                </c:pt>
                <c:pt idx="183">
                  <c:v>17748.6</c:v>
                </c:pt>
                <c:pt idx="184">
                  <c:v>17711.3</c:v>
                </c:pt>
                <c:pt idx="185">
                  <c:v>17618.15</c:v>
                </c:pt>
                <c:pt idx="186">
                  <c:v>17532.05</c:v>
                </c:pt>
                <c:pt idx="187">
                  <c:v>17691.25</c:v>
                </c:pt>
                <c:pt idx="188">
                  <c:v>17822.3</c:v>
                </c:pt>
                <c:pt idx="189">
                  <c:v>17646</c:v>
                </c:pt>
                <c:pt idx="190">
                  <c:v>17790.35</c:v>
                </c:pt>
                <c:pt idx="191">
                  <c:v>17895.2</c:v>
                </c:pt>
                <c:pt idx="192">
                  <c:v>17945.95</c:v>
                </c:pt>
                <c:pt idx="193">
                  <c:v>17991.95</c:v>
                </c:pt>
                <c:pt idx="194">
                  <c:v>18161.75</c:v>
                </c:pt>
                <c:pt idx="195">
                  <c:v>18338.55</c:v>
                </c:pt>
                <c:pt idx="196">
                  <c:v>18477.05</c:v>
                </c:pt>
                <c:pt idx="197">
                  <c:v>18418.75</c:v>
                </c:pt>
                <c:pt idx="198">
                  <c:v>18266.6</c:v>
                </c:pt>
                <c:pt idx="199">
                  <c:v>18178.1</c:v>
                </c:pt>
                <c:pt idx="200">
                  <c:v>18114.9</c:v>
                </c:pt>
              </c:strCache>
            </c:strRef>
          </c:tx>
          <c:spPr>
            <a:ln w="22225" cap="rnd" cmpd="sng" algn="ctr">
              <a:solidFill>
                <a:schemeClr val="accent1"/>
              </a:solidFill>
              <a:round/>
            </a:ln>
            <a:effectLst/>
          </c:spPr>
          <c:marker>
            <c:symbol val="none"/>
          </c:marker>
          <c:cat>
            <c:numRef>
              <c:f>'Price trend line table'!$A$202:$A$1241</c:f>
              <c:numCache>
                <c:formatCode>d\-mmm\-yy</c:formatCode>
                <c:ptCount val="1040"/>
                <c:pt idx="0">
                  <c:v>44494</c:v>
                </c:pt>
                <c:pt idx="1">
                  <c:v>44495</c:v>
                </c:pt>
                <c:pt idx="2">
                  <c:v>44496</c:v>
                </c:pt>
                <c:pt idx="3">
                  <c:v>44497</c:v>
                </c:pt>
                <c:pt idx="4">
                  <c:v>44498</c:v>
                </c:pt>
                <c:pt idx="5">
                  <c:v>44501</c:v>
                </c:pt>
                <c:pt idx="6">
                  <c:v>44502</c:v>
                </c:pt>
                <c:pt idx="7">
                  <c:v>44503</c:v>
                </c:pt>
                <c:pt idx="8">
                  <c:v>44504</c:v>
                </c:pt>
                <c:pt idx="9">
                  <c:v>44508</c:v>
                </c:pt>
                <c:pt idx="10">
                  <c:v>44509</c:v>
                </c:pt>
                <c:pt idx="11">
                  <c:v>44510</c:v>
                </c:pt>
                <c:pt idx="12">
                  <c:v>44511</c:v>
                </c:pt>
                <c:pt idx="13">
                  <c:v>44512</c:v>
                </c:pt>
                <c:pt idx="14">
                  <c:v>44515</c:v>
                </c:pt>
                <c:pt idx="15">
                  <c:v>44516</c:v>
                </c:pt>
                <c:pt idx="16">
                  <c:v>44517</c:v>
                </c:pt>
                <c:pt idx="17">
                  <c:v>44518</c:v>
                </c:pt>
                <c:pt idx="18">
                  <c:v>44522</c:v>
                </c:pt>
                <c:pt idx="19">
                  <c:v>44523</c:v>
                </c:pt>
                <c:pt idx="20">
                  <c:v>44524</c:v>
                </c:pt>
                <c:pt idx="21">
                  <c:v>44525</c:v>
                </c:pt>
                <c:pt idx="22">
                  <c:v>44526</c:v>
                </c:pt>
                <c:pt idx="23">
                  <c:v>44529</c:v>
                </c:pt>
                <c:pt idx="24">
                  <c:v>44530</c:v>
                </c:pt>
                <c:pt idx="25">
                  <c:v>44531</c:v>
                </c:pt>
                <c:pt idx="26">
                  <c:v>44532</c:v>
                </c:pt>
                <c:pt idx="27">
                  <c:v>44533</c:v>
                </c:pt>
                <c:pt idx="28">
                  <c:v>44536</c:v>
                </c:pt>
                <c:pt idx="29">
                  <c:v>44537</c:v>
                </c:pt>
                <c:pt idx="30">
                  <c:v>44538</c:v>
                </c:pt>
                <c:pt idx="31">
                  <c:v>44539</c:v>
                </c:pt>
                <c:pt idx="32">
                  <c:v>44540</c:v>
                </c:pt>
                <c:pt idx="33">
                  <c:v>44543</c:v>
                </c:pt>
                <c:pt idx="34">
                  <c:v>44544</c:v>
                </c:pt>
                <c:pt idx="35">
                  <c:v>44545</c:v>
                </c:pt>
                <c:pt idx="36">
                  <c:v>44546</c:v>
                </c:pt>
                <c:pt idx="37">
                  <c:v>44547</c:v>
                </c:pt>
                <c:pt idx="38">
                  <c:v>44550</c:v>
                </c:pt>
                <c:pt idx="39">
                  <c:v>44551</c:v>
                </c:pt>
                <c:pt idx="40">
                  <c:v>44552</c:v>
                </c:pt>
                <c:pt idx="41">
                  <c:v>44553</c:v>
                </c:pt>
                <c:pt idx="42">
                  <c:v>44554</c:v>
                </c:pt>
                <c:pt idx="43">
                  <c:v>44557</c:v>
                </c:pt>
                <c:pt idx="44">
                  <c:v>44558</c:v>
                </c:pt>
                <c:pt idx="45">
                  <c:v>44559</c:v>
                </c:pt>
                <c:pt idx="46">
                  <c:v>44560</c:v>
                </c:pt>
                <c:pt idx="47">
                  <c:v>44561</c:v>
                </c:pt>
                <c:pt idx="48">
                  <c:v>44564</c:v>
                </c:pt>
                <c:pt idx="49">
                  <c:v>44565</c:v>
                </c:pt>
                <c:pt idx="50">
                  <c:v>44566</c:v>
                </c:pt>
                <c:pt idx="51">
                  <c:v>44567</c:v>
                </c:pt>
                <c:pt idx="52">
                  <c:v>44568</c:v>
                </c:pt>
                <c:pt idx="53">
                  <c:v>44571</c:v>
                </c:pt>
                <c:pt idx="54">
                  <c:v>44572</c:v>
                </c:pt>
                <c:pt idx="55">
                  <c:v>44573</c:v>
                </c:pt>
                <c:pt idx="56">
                  <c:v>44574</c:v>
                </c:pt>
                <c:pt idx="57">
                  <c:v>44575</c:v>
                </c:pt>
                <c:pt idx="58">
                  <c:v>44578</c:v>
                </c:pt>
                <c:pt idx="59">
                  <c:v>44579</c:v>
                </c:pt>
                <c:pt idx="60">
                  <c:v>44580</c:v>
                </c:pt>
                <c:pt idx="61">
                  <c:v>44581</c:v>
                </c:pt>
                <c:pt idx="62">
                  <c:v>44582</c:v>
                </c:pt>
                <c:pt idx="63">
                  <c:v>44585</c:v>
                </c:pt>
                <c:pt idx="64">
                  <c:v>44586</c:v>
                </c:pt>
                <c:pt idx="65">
                  <c:v>44588</c:v>
                </c:pt>
                <c:pt idx="66">
                  <c:v>44589</c:v>
                </c:pt>
                <c:pt idx="67">
                  <c:v>44592</c:v>
                </c:pt>
                <c:pt idx="68">
                  <c:v>44593</c:v>
                </c:pt>
                <c:pt idx="69">
                  <c:v>44594</c:v>
                </c:pt>
                <c:pt idx="70">
                  <c:v>44595</c:v>
                </c:pt>
                <c:pt idx="71">
                  <c:v>44596</c:v>
                </c:pt>
                <c:pt idx="72">
                  <c:v>44599</c:v>
                </c:pt>
                <c:pt idx="73">
                  <c:v>44600</c:v>
                </c:pt>
                <c:pt idx="74">
                  <c:v>44601</c:v>
                </c:pt>
                <c:pt idx="75">
                  <c:v>44602</c:v>
                </c:pt>
                <c:pt idx="76">
                  <c:v>44603</c:v>
                </c:pt>
                <c:pt idx="77">
                  <c:v>44606</c:v>
                </c:pt>
                <c:pt idx="78">
                  <c:v>44607</c:v>
                </c:pt>
                <c:pt idx="79">
                  <c:v>44608</c:v>
                </c:pt>
                <c:pt idx="80">
                  <c:v>44609</c:v>
                </c:pt>
                <c:pt idx="81">
                  <c:v>44610</c:v>
                </c:pt>
                <c:pt idx="82">
                  <c:v>44613</c:v>
                </c:pt>
                <c:pt idx="83">
                  <c:v>44614</c:v>
                </c:pt>
                <c:pt idx="84">
                  <c:v>44615</c:v>
                </c:pt>
                <c:pt idx="85">
                  <c:v>44616</c:v>
                </c:pt>
                <c:pt idx="86">
                  <c:v>44617</c:v>
                </c:pt>
                <c:pt idx="87">
                  <c:v>44620</c:v>
                </c:pt>
                <c:pt idx="88">
                  <c:v>44622</c:v>
                </c:pt>
                <c:pt idx="89">
                  <c:v>44623</c:v>
                </c:pt>
                <c:pt idx="90">
                  <c:v>44624</c:v>
                </c:pt>
                <c:pt idx="91">
                  <c:v>44627</c:v>
                </c:pt>
                <c:pt idx="92">
                  <c:v>44628</c:v>
                </c:pt>
                <c:pt idx="93">
                  <c:v>44629</c:v>
                </c:pt>
                <c:pt idx="94">
                  <c:v>44630</c:v>
                </c:pt>
                <c:pt idx="95">
                  <c:v>44631</c:v>
                </c:pt>
                <c:pt idx="96">
                  <c:v>44634</c:v>
                </c:pt>
                <c:pt idx="97">
                  <c:v>44635</c:v>
                </c:pt>
                <c:pt idx="98">
                  <c:v>44636</c:v>
                </c:pt>
                <c:pt idx="99">
                  <c:v>44637</c:v>
                </c:pt>
                <c:pt idx="100">
                  <c:v>44641</c:v>
                </c:pt>
                <c:pt idx="101">
                  <c:v>44642</c:v>
                </c:pt>
                <c:pt idx="102">
                  <c:v>44643</c:v>
                </c:pt>
                <c:pt idx="103">
                  <c:v>44644</c:v>
                </c:pt>
                <c:pt idx="104">
                  <c:v>44645</c:v>
                </c:pt>
                <c:pt idx="105">
                  <c:v>44648</c:v>
                </c:pt>
                <c:pt idx="106">
                  <c:v>44649</c:v>
                </c:pt>
                <c:pt idx="107">
                  <c:v>44650</c:v>
                </c:pt>
                <c:pt idx="108">
                  <c:v>44651</c:v>
                </c:pt>
                <c:pt idx="109">
                  <c:v>44652</c:v>
                </c:pt>
                <c:pt idx="110">
                  <c:v>44655</c:v>
                </c:pt>
                <c:pt idx="111">
                  <c:v>44656</c:v>
                </c:pt>
                <c:pt idx="112">
                  <c:v>44657</c:v>
                </c:pt>
                <c:pt idx="113">
                  <c:v>44658</c:v>
                </c:pt>
                <c:pt idx="114">
                  <c:v>44659</c:v>
                </c:pt>
                <c:pt idx="115">
                  <c:v>44662</c:v>
                </c:pt>
                <c:pt idx="116">
                  <c:v>44663</c:v>
                </c:pt>
                <c:pt idx="117">
                  <c:v>44664</c:v>
                </c:pt>
                <c:pt idx="118">
                  <c:v>44669</c:v>
                </c:pt>
                <c:pt idx="119">
                  <c:v>44670</c:v>
                </c:pt>
                <c:pt idx="120">
                  <c:v>44671</c:v>
                </c:pt>
                <c:pt idx="121">
                  <c:v>44672</c:v>
                </c:pt>
                <c:pt idx="122">
                  <c:v>44673</c:v>
                </c:pt>
                <c:pt idx="123">
                  <c:v>44676</c:v>
                </c:pt>
                <c:pt idx="124">
                  <c:v>44677</c:v>
                </c:pt>
                <c:pt idx="125">
                  <c:v>44678</c:v>
                </c:pt>
                <c:pt idx="126">
                  <c:v>44679</c:v>
                </c:pt>
                <c:pt idx="127">
                  <c:v>44680</c:v>
                </c:pt>
                <c:pt idx="128">
                  <c:v>44683</c:v>
                </c:pt>
                <c:pt idx="129">
                  <c:v>44685</c:v>
                </c:pt>
                <c:pt idx="130">
                  <c:v>44686</c:v>
                </c:pt>
                <c:pt idx="131">
                  <c:v>44687</c:v>
                </c:pt>
                <c:pt idx="132">
                  <c:v>44690</c:v>
                </c:pt>
                <c:pt idx="133">
                  <c:v>44691</c:v>
                </c:pt>
                <c:pt idx="134">
                  <c:v>44692</c:v>
                </c:pt>
                <c:pt idx="135">
                  <c:v>44693</c:v>
                </c:pt>
                <c:pt idx="136">
                  <c:v>44694</c:v>
                </c:pt>
                <c:pt idx="137">
                  <c:v>44697</c:v>
                </c:pt>
                <c:pt idx="138">
                  <c:v>44698</c:v>
                </c:pt>
                <c:pt idx="139">
                  <c:v>44699</c:v>
                </c:pt>
                <c:pt idx="140">
                  <c:v>44700</c:v>
                </c:pt>
                <c:pt idx="141">
                  <c:v>44701</c:v>
                </c:pt>
                <c:pt idx="142">
                  <c:v>44704</c:v>
                </c:pt>
                <c:pt idx="143">
                  <c:v>44705</c:v>
                </c:pt>
                <c:pt idx="144">
                  <c:v>44706</c:v>
                </c:pt>
                <c:pt idx="145">
                  <c:v>44707</c:v>
                </c:pt>
                <c:pt idx="146">
                  <c:v>44708</c:v>
                </c:pt>
                <c:pt idx="147">
                  <c:v>44711</c:v>
                </c:pt>
                <c:pt idx="148">
                  <c:v>44712</c:v>
                </c:pt>
                <c:pt idx="149">
                  <c:v>44713</c:v>
                </c:pt>
                <c:pt idx="150">
                  <c:v>44714</c:v>
                </c:pt>
                <c:pt idx="151">
                  <c:v>44715</c:v>
                </c:pt>
                <c:pt idx="152">
                  <c:v>44718</c:v>
                </c:pt>
                <c:pt idx="153">
                  <c:v>44719</c:v>
                </c:pt>
                <c:pt idx="154">
                  <c:v>44720</c:v>
                </c:pt>
                <c:pt idx="155">
                  <c:v>44721</c:v>
                </c:pt>
                <c:pt idx="156">
                  <c:v>44722</c:v>
                </c:pt>
                <c:pt idx="157">
                  <c:v>44725</c:v>
                </c:pt>
                <c:pt idx="158">
                  <c:v>44726</c:v>
                </c:pt>
                <c:pt idx="159">
                  <c:v>44727</c:v>
                </c:pt>
                <c:pt idx="160">
                  <c:v>44728</c:v>
                </c:pt>
                <c:pt idx="161">
                  <c:v>44729</c:v>
                </c:pt>
                <c:pt idx="162">
                  <c:v>44732</c:v>
                </c:pt>
                <c:pt idx="163">
                  <c:v>44733</c:v>
                </c:pt>
                <c:pt idx="164">
                  <c:v>44734</c:v>
                </c:pt>
                <c:pt idx="165">
                  <c:v>44735</c:v>
                </c:pt>
                <c:pt idx="166">
                  <c:v>44736</c:v>
                </c:pt>
                <c:pt idx="167">
                  <c:v>44739</c:v>
                </c:pt>
                <c:pt idx="168">
                  <c:v>44740</c:v>
                </c:pt>
                <c:pt idx="169">
                  <c:v>44741</c:v>
                </c:pt>
                <c:pt idx="170">
                  <c:v>44742</c:v>
                </c:pt>
                <c:pt idx="171">
                  <c:v>44743</c:v>
                </c:pt>
                <c:pt idx="172">
                  <c:v>44746</c:v>
                </c:pt>
                <c:pt idx="173">
                  <c:v>44747</c:v>
                </c:pt>
                <c:pt idx="174">
                  <c:v>44748</c:v>
                </c:pt>
                <c:pt idx="175">
                  <c:v>44749</c:v>
                </c:pt>
                <c:pt idx="176">
                  <c:v>44750</c:v>
                </c:pt>
                <c:pt idx="177">
                  <c:v>44753</c:v>
                </c:pt>
                <c:pt idx="178">
                  <c:v>44754</c:v>
                </c:pt>
                <c:pt idx="179">
                  <c:v>44755</c:v>
                </c:pt>
                <c:pt idx="180">
                  <c:v>44756</c:v>
                </c:pt>
                <c:pt idx="181">
                  <c:v>44757</c:v>
                </c:pt>
                <c:pt idx="182">
                  <c:v>44760</c:v>
                </c:pt>
                <c:pt idx="183">
                  <c:v>44761</c:v>
                </c:pt>
                <c:pt idx="184">
                  <c:v>44762</c:v>
                </c:pt>
                <c:pt idx="185">
                  <c:v>44763</c:v>
                </c:pt>
                <c:pt idx="186">
                  <c:v>44764</c:v>
                </c:pt>
                <c:pt idx="187">
                  <c:v>44767</c:v>
                </c:pt>
                <c:pt idx="188">
                  <c:v>44768</c:v>
                </c:pt>
                <c:pt idx="189">
                  <c:v>44769</c:v>
                </c:pt>
                <c:pt idx="190">
                  <c:v>44770</c:v>
                </c:pt>
                <c:pt idx="191">
                  <c:v>44771</c:v>
                </c:pt>
                <c:pt idx="192">
                  <c:v>44774</c:v>
                </c:pt>
                <c:pt idx="193">
                  <c:v>44775</c:v>
                </c:pt>
                <c:pt idx="194">
                  <c:v>44776</c:v>
                </c:pt>
                <c:pt idx="195">
                  <c:v>44777</c:v>
                </c:pt>
                <c:pt idx="196">
                  <c:v>44778</c:v>
                </c:pt>
                <c:pt idx="197">
                  <c:v>44781</c:v>
                </c:pt>
                <c:pt idx="198">
                  <c:v>44783</c:v>
                </c:pt>
                <c:pt idx="199">
                  <c:v>44784</c:v>
                </c:pt>
                <c:pt idx="200">
                  <c:v>44785</c:v>
                </c:pt>
                <c:pt idx="201">
                  <c:v>44789</c:v>
                </c:pt>
                <c:pt idx="202">
                  <c:v>44790</c:v>
                </c:pt>
                <c:pt idx="203">
                  <c:v>44791</c:v>
                </c:pt>
                <c:pt idx="204">
                  <c:v>44792</c:v>
                </c:pt>
                <c:pt idx="205">
                  <c:v>44795</c:v>
                </c:pt>
                <c:pt idx="206">
                  <c:v>44796</c:v>
                </c:pt>
                <c:pt idx="207">
                  <c:v>44797</c:v>
                </c:pt>
                <c:pt idx="208">
                  <c:v>44798</c:v>
                </c:pt>
                <c:pt idx="209">
                  <c:v>44799</c:v>
                </c:pt>
                <c:pt idx="210">
                  <c:v>44802</c:v>
                </c:pt>
                <c:pt idx="211">
                  <c:v>44803</c:v>
                </c:pt>
                <c:pt idx="212">
                  <c:v>44805</c:v>
                </c:pt>
                <c:pt idx="213">
                  <c:v>44806</c:v>
                </c:pt>
                <c:pt idx="214">
                  <c:v>44809</c:v>
                </c:pt>
                <c:pt idx="215">
                  <c:v>44810</c:v>
                </c:pt>
                <c:pt idx="216">
                  <c:v>44811</c:v>
                </c:pt>
                <c:pt idx="217">
                  <c:v>44812</c:v>
                </c:pt>
                <c:pt idx="218">
                  <c:v>44813</c:v>
                </c:pt>
                <c:pt idx="219">
                  <c:v>44816</c:v>
                </c:pt>
                <c:pt idx="220">
                  <c:v>44817</c:v>
                </c:pt>
                <c:pt idx="221">
                  <c:v>44818</c:v>
                </c:pt>
                <c:pt idx="222">
                  <c:v>44819</c:v>
                </c:pt>
                <c:pt idx="223">
                  <c:v>44820</c:v>
                </c:pt>
                <c:pt idx="224">
                  <c:v>44823</c:v>
                </c:pt>
                <c:pt idx="225">
                  <c:v>44824</c:v>
                </c:pt>
                <c:pt idx="226">
                  <c:v>44825</c:v>
                </c:pt>
                <c:pt idx="227">
                  <c:v>44826</c:v>
                </c:pt>
                <c:pt idx="228">
                  <c:v>44827</c:v>
                </c:pt>
                <c:pt idx="229">
                  <c:v>44830</c:v>
                </c:pt>
                <c:pt idx="230">
                  <c:v>44831</c:v>
                </c:pt>
                <c:pt idx="231">
                  <c:v>44832</c:v>
                </c:pt>
                <c:pt idx="232">
                  <c:v>44833</c:v>
                </c:pt>
                <c:pt idx="233">
                  <c:v>44834</c:v>
                </c:pt>
                <c:pt idx="234">
                  <c:v>44837</c:v>
                </c:pt>
                <c:pt idx="235">
                  <c:v>44838</c:v>
                </c:pt>
                <c:pt idx="236">
                  <c:v>44840</c:v>
                </c:pt>
                <c:pt idx="237">
                  <c:v>44841</c:v>
                </c:pt>
                <c:pt idx="238">
                  <c:v>44844</c:v>
                </c:pt>
                <c:pt idx="239">
                  <c:v>44845</c:v>
                </c:pt>
                <c:pt idx="240">
                  <c:v>44846</c:v>
                </c:pt>
                <c:pt idx="241">
                  <c:v>44847</c:v>
                </c:pt>
                <c:pt idx="242">
                  <c:v>44848</c:v>
                </c:pt>
                <c:pt idx="243">
                  <c:v>44851</c:v>
                </c:pt>
                <c:pt idx="244">
                  <c:v>44852</c:v>
                </c:pt>
                <c:pt idx="245">
                  <c:v>44853</c:v>
                </c:pt>
                <c:pt idx="246">
                  <c:v>44854</c:v>
                </c:pt>
                <c:pt idx="247">
                  <c:v>44855</c:v>
                </c:pt>
                <c:pt idx="248">
                  <c:v>44858</c:v>
                </c:pt>
                <c:pt idx="249">
                  <c:v>44859</c:v>
                </c:pt>
                <c:pt idx="250">
                  <c:v>44861</c:v>
                </c:pt>
                <c:pt idx="251">
                  <c:v>44862</c:v>
                </c:pt>
                <c:pt idx="252">
                  <c:v>44865</c:v>
                </c:pt>
                <c:pt idx="253">
                  <c:v>44866</c:v>
                </c:pt>
                <c:pt idx="254">
                  <c:v>44867</c:v>
                </c:pt>
                <c:pt idx="255">
                  <c:v>44868</c:v>
                </c:pt>
                <c:pt idx="256">
                  <c:v>44869</c:v>
                </c:pt>
                <c:pt idx="257">
                  <c:v>44872</c:v>
                </c:pt>
                <c:pt idx="258">
                  <c:v>44874</c:v>
                </c:pt>
                <c:pt idx="259">
                  <c:v>44875</c:v>
                </c:pt>
                <c:pt idx="260">
                  <c:v>44876</c:v>
                </c:pt>
                <c:pt idx="261">
                  <c:v>44879</c:v>
                </c:pt>
                <c:pt idx="262">
                  <c:v>44880</c:v>
                </c:pt>
                <c:pt idx="263">
                  <c:v>44881</c:v>
                </c:pt>
                <c:pt idx="264">
                  <c:v>44882</c:v>
                </c:pt>
                <c:pt idx="265">
                  <c:v>44883</c:v>
                </c:pt>
                <c:pt idx="266">
                  <c:v>44886</c:v>
                </c:pt>
                <c:pt idx="267">
                  <c:v>44887</c:v>
                </c:pt>
                <c:pt idx="268">
                  <c:v>44888</c:v>
                </c:pt>
                <c:pt idx="269">
                  <c:v>44889</c:v>
                </c:pt>
                <c:pt idx="270">
                  <c:v>44890</c:v>
                </c:pt>
                <c:pt idx="271">
                  <c:v>44893</c:v>
                </c:pt>
                <c:pt idx="272">
                  <c:v>44894</c:v>
                </c:pt>
                <c:pt idx="273">
                  <c:v>44895</c:v>
                </c:pt>
                <c:pt idx="274">
                  <c:v>44896</c:v>
                </c:pt>
                <c:pt idx="275">
                  <c:v>44897</c:v>
                </c:pt>
                <c:pt idx="276">
                  <c:v>44900</c:v>
                </c:pt>
                <c:pt idx="277">
                  <c:v>44901</c:v>
                </c:pt>
                <c:pt idx="278">
                  <c:v>44902</c:v>
                </c:pt>
                <c:pt idx="279">
                  <c:v>44903</c:v>
                </c:pt>
                <c:pt idx="280">
                  <c:v>44904</c:v>
                </c:pt>
                <c:pt idx="281">
                  <c:v>44907</c:v>
                </c:pt>
                <c:pt idx="282">
                  <c:v>44908</c:v>
                </c:pt>
                <c:pt idx="283">
                  <c:v>44909</c:v>
                </c:pt>
                <c:pt idx="284">
                  <c:v>44910</c:v>
                </c:pt>
                <c:pt idx="285">
                  <c:v>44911</c:v>
                </c:pt>
                <c:pt idx="286">
                  <c:v>44914</c:v>
                </c:pt>
                <c:pt idx="287">
                  <c:v>44915</c:v>
                </c:pt>
                <c:pt idx="288">
                  <c:v>44916</c:v>
                </c:pt>
                <c:pt idx="289">
                  <c:v>44917</c:v>
                </c:pt>
                <c:pt idx="290">
                  <c:v>44918</c:v>
                </c:pt>
                <c:pt idx="291">
                  <c:v>44921</c:v>
                </c:pt>
                <c:pt idx="292">
                  <c:v>44922</c:v>
                </c:pt>
                <c:pt idx="293">
                  <c:v>44923</c:v>
                </c:pt>
                <c:pt idx="294">
                  <c:v>44924</c:v>
                </c:pt>
                <c:pt idx="295">
                  <c:v>44925</c:v>
                </c:pt>
                <c:pt idx="296">
                  <c:v>44928</c:v>
                </c:pt>
                <c:pt idx="297">
                  <c:v>44929</c:v>
                </c:pt>
                <c:pt idx="298">
                  <c:v>44930</c:v>
                </c:pt>
                <c:pt idx="299">
                  <c:v>44931</c:v>
                </c:pt>
                <c:pt idx="300">
                  <c:v>44932</c:v>
                </c:pt>
                <c:pt idx="301">
                  <c:v>44935</c:v>
                </c:pt>
                <c:pt idx="302">
                  <c:v>44936</c:v>
                </c:pt>
                <c:pt idx="303">
                  <c:v>44937</c:v>
                </c:pt>
                <c:pt idx="304">
                  <c:v>44938</c:v>
                </c:pt>
                <c:pt idx="305">
                  <c:v>44939</c:v>
                </c:pt>
                <c:pt idx="306">
                  <c:v>44942</c:v>
                </c:pt>
                <c:pt idx="307">
                  <c:v>44943</c:v>
                </c:pt>
                <c:pt idx="308">
                  <c:v>44944</c:v>
                </c:pt>
                <c:pt idx="309">
                  <c:v>44945</c:v>
                </c:pt>
                <c:pt idx="310">
                  <c:v>44946</c:v>
                </c:pt>
                <c:pt idx="311">
                  <c:v>44949</c:v>
                </c:pt>
                <c:pt idx="312">
                  <c:v>44950</c:v>
                </c:pt>
                <c:pt idx="313">
                  <c:v>44951</c:v>
                </c:pt>
                <c:pt idx="314">
                  <c:v>44953</c:v>
                </c:pt>
                <c:pt idx="315">
                  <c:v>44956</c:v>
                </c:pt>
                <c:pt idx="316">
                  <c:v>44957</c:v>
                </c:pt>
                <c:pt idx="317">
                  <c:v>44958</c:v>
                </c:pt>
                <c:pt idx="318">
                  <c:v>44959</c:v>
                </c:pt>
                <c:pt idx="319">
                  <c:v>44960</c:v>
                </c:pt>
                <c:pt idx="320">
                  <c:v>44963</c:v>
                </c:pt>
                <c:pt idx="321">
                  <c:v>44964</c:v>
                </c:pt>
                <c:pt idx="322">
                  <c:v>44965</c:v>
                </c:pt>
                <c:pt idx="323">
                  <c:v>44966</c:v>
                </c:pt>
                <c:pt idx="324">
                  <c:v>44967</c:v>
                </c:pt>
                <c:pt idx="325">
                  <c:v>44970</c:v>
                </c:pt>
                <c:pt idx="326">
                  <c:v>44971</c:v>
                </c:pt>
                <c:pt idx="327">
                  <c:v>44972</c:v>
                </c:pt>
                <c:pt idx="328">
                  <c:v>44973</c:v>
                </c:pt>
                <c:pt idx="329">
                  <c:v>44974</c:v>
                </c:pt>
                <c:pt idx="330">
                  <c:v>44977</c:v>
                </c:pt>
                <c:pt idx="331">
                  <c:v>44978</c:v>
                </c:pt>
                <c:pt idx="332">
                  <c:v>44979</c:v>
                </c:pt>
                <c:pt idx="333">
                  <c:v>44980</c:v>
                </c:pt>
                <c:pt idx="334">
                  <c:v>44981</c:v>
                </c:pt>
                <c:pt idx="335">
                  <c:v>44984</c:v>
                </c:pt>
                <c:pt idx="336">
                  <c:v>44985</c:v>
                </c:pt>
                <c:pt idx="337">
                  <c:v>44986</c:v>
                </c:pt>
                <c:pt idx="338">
                  <c:v>44987</c:v>
                </c:pt>
                <c:pt idx="339">
                  <c:v>44988</c:v>
                </c:pt>
                <c:pt idx="340">
                  <c:v>44991</c:v>
                </c:pt>
                <c:pt idx="341">
                  <c:v>44993</c:v>
                </c:pt>
                <c:pt idx="342">
                  <c:v>44994</c:v>
                </c:pt>
                <c:pt idx="343">
                  <c:v>44995</c:v>
                </c:pt>
                <c:pt idx="344">
                  <c:v>44998</c:v>
                </c:pt>
                <c:pt idx="345">
                  <c:v>44999</c:v>
                </c:pt>
                <c:pt idx="346">
                  <c:v>45000</c:v>
                </c:pt>
                <c:pt idx="347">
                  <c:v>45001</c:v>
                </c:pt>
                <c:pt idx="348">
                  <c:v>45002</c:v>
                </c:pt>
                <c:pt idx="349">
                  <c:v>45005</c:v>
                </c:pt>
                <c:pt idx="350">
                  <c:v>45006</c:v>
                </c:pt>
                <c:pt idx="351">
                  <c:v>45007</c:v>
                </c:pt>
                <c:pt idx="352">
                  <c:v>45008</c:v>
                </c:pt>
                <c:pt idx="353">
                  <c:v>45009</c:v>
                </c:pt>
                <c:pt idx="354">
                  <c:v>45012</c:v>
                </c:pt>
                <c:pt idx="355">
                  <c:v>45013</c:v>
                </c:pt>
                <c:pt idx="356">
                  <c:v>45014</c:v>
                </c:pt>
                <c:pt idx="357">
                  <c:v>45016</c:v>
                </c:pt>
                <c:pt idx="358">
                  <c:v>45019</c:v>
                </c:pt>
                <c:pt idx="359">
                  <c:v>45021</c:v>
                </c:pt>
                <c:pt idx="360">
                  <c:v>45022</c:v>
                </c:pt>
                <c:pt idx="361">
                  <c:v>45026</c:v>
                </c:pt>
                <c:pt idx="362">
                  <c:v>45027</c:v>
                </c:pt>
                <c:pt idx="363">
                  <c:v>45028</c:v>
                </c:pt>
                <c:pt idx="364">
                  <c:v>45029</c:v>
                </c:pt>
                <c:pt idx="365">
                  <c:v>45033</c:v>
                </c:pt>
                <c:pt idx="366">
                  <c:v>45034</c:v>
                </c:pt>
                <c:pt idx="367">
                  <c:v>45035</c:v>
                </c:pt>
                <c:pt idx="368">
                  <c:v>45036</c:v>
                </c:pt>
                <c:pt idx="369">
                  <c:v>45037</c:v>
                </c:pt>
                <c:pt idx="370">
                  <c:v>45040</c:v>
                </c:pt>
                <c:pt idx="371">
                  <c:v>45041</c:v>
                </c:pt>
                <c:pt idx="372">
                  <c:v>45042</c:v>
                </c:pt>
                <c:pt idx="373">
                  <c:v>45043</c:v>
                </c:pt>
                <c:pt idx="374">
                  <c:v>45044</c:v>
                </c:pt>
                <c:pt idx="375">
                  <c:v>45048</c:v>
                </c:pt>
                <c:pt idx="376">
                  <c:v>45049</c:v>
                </c:pt>
                <c:pt idx="377">
                  <c:v>45050</c:v>
                </c:pt>
                <c:pt idx="378">
                  <c:v>45051</c:v>
                </c:pt>
                <c:pt idx="379">
                  <c:v>45054</c:v>
                </c:pt>
                <c:pt idx="380">
                  <c:v>45055</c:v>
                </c:pt>
                <c:pt idx="381">
                  <c:v>45056</c:v>
                </c:pt>
                <c:pt idx="382">
                  <c:v>45057</c:v>
                </c:pt>
                <c:pt idx="383">
                  <c:v>45058</c:v>
                </c:pt>
                <c:pt idx="384">
                  <c:v>45061</c:v>
                </c:pt>
                <c:pt idx="385">
                  <c:v>45062</c:v>
                </c:pt>
                <c:pt idx="386">
                  <c:v>45063</c:v>
                </c:pt>
                <c:pt idx="387">
                  <c:v>45064</c:v>
                </c:pt>
                <c:pt idx="388">
                  <c:v>45065</c:v>
                </c:pt>
                <c:pt idx="389">
                  <c:v>45068</c:v>
                </c:pt>
                <c:pt idx="390">
                  <c:v>45069</c:v>
                </c:pt>
                <c:pt idx="391">
                  <c:v>45070</c:v>
                </c:pt>
                <c:pt idx="392">
                  <c:v>45071</c:v>
                </c:pt>
                <c:pt idx="393">
                  <c:v>45072</c:v>
                </c:pt>
                <c:pt idx="394">
                  <c:v>45075</c:v>
                </c:pt>
                <c:pt idx="395">
                  <c:v>45076</c:v>
                </c:pt>
                <c:pt idx="396">
                  <c:v>45077</c:v>
                </c:pt>
                <c:pt idx="397">
                  <c:v>45078</c:v>
                </c:pt>
                <c:pt idx="398">
                  <c:v>45079</c:v>
                </c:pt>
                <c:pt idx="399">
                  <c:v>45082</c:v>
                </c:pt>
                <c:pt idx="400">
                  <c:v>45083</c:v>
                </c:pt>
                <c:pt idx="401">
                  <c:v>45084</c:v>
                </c:pt>
                <c:pt idx="402">
                  <c:v>45085</c:v>
                </c:pt>
                <c:pt idx="403">
                  <c:v>45086</c:v>
                </c:pt>
                <c:pt idx="404">
                  <c:v>45089</c:v>
                </c:pt>
                <c:pt idx="405">
                  <c:v>45090</c:v>
                </c:pt>
                <c:pt idx="406">
                  <c:v>45091</c:v>
                </c:pt>
                <c:pt idx="407">
                  <c:v>45092</c:v>
                </c:pt>
                <c:pt idx="408">
                  <c:v>45093</c:v>
                </c:pt>
                <c:pt idx="409">
                  <c:v>45096</c:v>
                </c:pt>
                <c:pt idx="410">
                  <c:v>45097</c:v>
                </c:pt>
                <c:pt idx="411">
                  <c:v>45098</c:v>
                </c:pt>
                <c:pt idx="412">
                  <c:v>45099</c:v>
                </c:pt>
                <c:pt idx="413">
                  <c:v>45100</c:v>
                </c:pt>
                <c:pt idx="414">
                  <c:v>45103</c:v>
                </c:pt>
                <c:pt idx="415">
                  <c:v>45104</c:v>
                </c:pt>
                <c:pt idx="416">
                  <c:v>45105</c:v>
                </c:pt>
                <c:pt idx="417">
                  <c:v>45107</c:v>
                </c:pt>
                <c:pt idx="418">
                  <c:v>45110</c:v>
                </c:pt>
                <c:pt idx="419">
                  <c:v>45111</c:v>
                </c:pt>
                <c:pt idx="420">
                  <c:v>45112</c:v>
                </c:pt>
                <c:pt idx="421">
                  <c:v>45113</c:v>
                </c:pt>
                <c:pt idx="422">
                  <c:v>45114</c:v>
                </c:pt>
                <c:pt idx="423">
                  <c:v>45117</c:v>
                </c:pt>
                <c:pt idx="424">
                  <c:v>45118</c:v>
                </c:pt>
                <c:pt idx="425">
                  <c:v>45119</c:v>
                </c:pt>
                <c:pt idx="426">
                  <c:v>45120</c:v>
                </c:pt>
                <c:pt idx="427">
                  <c:v>45121</c:v>
                </c:pt>
                <c:pt idx="428">
                  <c:v>45124</c:v>
                </c:pt>
                <c:pt idx="429">
                  <c:v>45125</c:v>
                </c:pt>
                <c:pt idx="430">
                  <c:v>45126</c:v>
                </c:pt>
                <c:pt idx="431">
                  <c:v>45127</c:v>
                </c:pt>
                <c:pt idx="432">
                  <c:v>45128</c:v>
                </c:pt>
                <c:pt idx="433">
                  <c:v>45131</c:v>
                </c:pt>
                <c:pt idx="434">
                  <c:v>45132</c:v>
                </c:pt>
                <c:pt idx="435">
                  <c:v>45133</c:v>
                </c:pt>
                <c:pt idx="436">
                  <c:v>45134</c:v>
                </c:pt>
                <c:pt idx="437">
                  <c:v>45135</c:v>
                </c:pt>
                <c:pt idx="438">
                  <c:v>45138</c:v>
                </c:pt>
                <c:pt idx="439">
                  <c:v>45139</c:v>
                </c:pt>
                <c:pt idx="440">
                  <c:v>45140</c:v>
                </c:pt>
                <c:pt idx="441">
                  <c:v>45141</c:v>
                </c:pt>
                <c:pt idx="442">
                  <c:v>45142</c:v>
                </c:pt>
                <c:pt idx="443">
                  <c:v>45145</c:v>
                </c:pt>
                <c:pt idx="444">
                  <c:v>45146</c:v>
                </c:pt>
                <c:pt idx="445">
                  <c:v>45147</c:v>
                </c:pt>
                <c:pt idx="446">
                  <c:v>45148</c:v>
                </c:pt>
                <c:pt idx="447">
                  <c:v>45149</c:v>
                </c:pt>
                <c:pt idx="448">
                  <c:v>45152</c:v>
                </c:pt>
                <c:pt idx="449">
                  <c:v>45154</c:v>
                </c:pt>
                <c:pt idx="450">
                  <c:v>45155</c:v>
                </c:pt>
                <c:pt idx="451">
                  <c:v>45156</c:v>
                </c:pt>
                <c:pt idx="452">
                  <c:v>45159</c:v>
                </c:pt>
                <c:pt idx="453">
                  <c:v>45160</c:v>
                </c:pt>
                <c:pt idx="454">
                  <c:v>45161</c:v>
                </c:pt>
                <c:pt idx="455">
                  <c:v>45162</c:v>
                </c:pt>
                <c:pt idx="456">
                  <c:v>45163</c:v>
                </c:pt>
                <c:pt idx="457">
                  <c:v>45166</c:v>
                </c:pt>
                <c:pt idx="458">
                  <c:v>45167</c:v>
                </c:pt>
                <c:pt idx="459">
                  <c:v>45168</c:v>
                </c:pt>
                <c:pt idx="460">
                  <c:v>45169</c:v>
                </c:pt>
                <c:pt idx="461">
                  <c:v>45170</c:v>
                </c:pt>
                <c:pt idx="462">
                  <c:v>45173</c:v>
                </c:pt>
                <c:pt idx="463">
                  <c:v>45174</c:v>
                </c:pt>
                <c:pt idx="464">
                  <c:v>45175</c:v>
                </c:pt>
                <c:pt idx="465">
                  <c:v>45176</c:v>
                </c:pt>
                <c:pt idx="466">
                  <c:v>45177</c:v>
                </c:pt>
                <c:pt idx="467">
                  <c:v>45180</c:v>
                </c:pt>
                <c:pt idx="468">
                  <c:v>45181</c:v>
                </c:pt>
                <c:pt idx="469">
                  <c:v>45182</c:v>
                </c:pt>
                <c:pt idx="470">
                  <c:v>45183</c:v>
                </c:pt>
                <c:pt idx="471">
                  <c:v>45184</c:v>
                </c:pt>
                <c:pt idx="472">
                  <c:v>45187</c:v>
                </c:pt>
                <c:pt idx="473">
                  <c:v>45189</c:v>
                </c:pt>
                <c:pt idx="474">
                  <c:v>45190</c:v>
                </c:pt>
                <c:pt idx="475">
                  <c:v>45191</c:v>
                </c:pt>
                <c:pt idx="476">
                  <c:v>45194</c:v>
                </c:pt>
                <c:pt idx="477">
                  <c:v>45195</c:v>
                </c:pt>
                <c:pt idx="478">
                  <c:v>45196</c:v>
                </c:pt>
                <c:pt idx="479">
                  <c:v>45197</c:v>
                </c:pt>
                <c:pt idx="480">
                  <c:v>45198</c:v>
                </c:pt>
                <c:pt idx="481">
                  <c:v>45202</c:v>
                </c:pt>
                <c:pt idx="482">
                  <c:v>45203</c:v>
                </c:pt>
                <c:pt idx="483">
                  <c:v>45204</c:v>
                </c:pt>
                <c:pt idx="484">
                  <c:v>45205</c:v>
                </c:pt>
                <c:pt idx="485">
                  <c:v>45208</c:v>
                </c:pt>
                <c:pt idx="486">
                  <c:v>45209</c:v>
                </c:pt>
                <c:pt idx="487">
                  <c:v>45210</c:v>
                </c:pt>
                <c:pt idx="488">
                  <c:v>45211</c:v>
                </c:pt>
                <c:pt idx="489">
                  <c:v>45212</c:v>
                </c:pt>
                <c:pt idx="490">
                  <c:v>45215</c:v>
                </c:pt>
                <c:pt idx="491">
                  <c:v>45216</c:v>
                </c:pt>
                <c:pt idx="492">
                  <c:v>45217</c:v>
                </c:pt>
                <c:pt idx="493">
                  <c:v>45218</c:v>
                </c:pt>
                <c:pt idx="494">
                  <c:v>45219</c:v>
                </c:pt>
                <c:pt idx="495">
                  <c:v>45222</c:v>
                </c:pt>
                <c:pt idx="496">
                  <c:v>45224</c:v>
                </c:pt>
                <c:pt idx="497">
                  <c:v>45225</c:v>
                </c:pt>
                <c:pt idx="498">
                  <c:v>45226</c:v>
                </c:pt>
                <c:pt idx="499">
                  <c:v>45229</c:v>
                </c:pt>
                <c:pt idx="500">
                  <c:v>45230</c:v>
                </c:pt>
                <c:pt idx="501">
                  <c:v>45231</c:v>
                </c:pt>
                <c:pt idx="502">
                  <c:v>45232</c:v>
                </c:pt>
                <c:pt idx="503">
                  <c:v>45233</c:v>
                </c:pt>
                <c:pt idx="504">
                  <c:v>45236</c:v>
                </c:pt>
                <c:pt idx="505">
                  <c:v>45237</c:v>
                </c:pt>
                <c:pt idx="506">
                  <c:v>45238</c:v>
                </c:pt>
                <c:pt idx="507">
                  <c:v>45239</c:v>
                </c:pt>
                <c:pt idx="508">
                  <c:v>45240</c:v>
                </c:pt>
                <c:pt idx="509">
                  <c:v>45242</c:v>
                </c:pt>
                <c:pt idx="510">
                  <c:v>45243</c:v>
                </c:pt>
                <c:pt idx="511">
                  <c:v>45245</c:v>
                </c:pt>
                <c:pt idx="512">
                  <c:v>45246</c:v>
                </c:pt>
                <c:pt idx="513">
                  <c:v>45247</c:v>
                </c:pt>
                <c:pt idx="514">
                  <c:v>45250</c:v>
                </c:pt>
                <c:pt idx="515">
                  <c:v>45251</c:v>
                </c:pt>
                <c:pt idx="516">
                  <c:v>45252</c:v>
                </c:pt>
                <c:pt idx="517">
                  <c:v>45253</c:v>
                </c:pt>
                <c:pt idx="518">
                  <c:v>45254</c:v>
                </c:pt>
                <c:pt idx="519">
                  <c:v>45258</c:v>
                </c:pt>
                <c:pt idx="520">
                  <c:v>45259</c:v>
                </c:pt>
                <c:pt idx="521">
                  <c:v>45260</c:v>
                </c:pt>
                <c:pt idx="522">
                  <c:v>45261</c:v>
                </c:pt>
                <c:pt idx="523">
                  <c:v>45264</c:v>
                </c:pt>
                <c:pt idx="524">
                  <c:v>45265</c:v>
                </c:pt>
                <c:pt idx="525">
                  <c:v>45266</c:v>
                </c:pt>
                <c:pt idx="526">
                  <c:v>45267</c:v>
                </c:pt>
                <c:pt idx="527">
                  <c:v>45268</c:v>
                </c:pt>
                <c:pt idx="528">
                  <c:v>45271</c:v>
                </c:pt>
                <c:pt idx="529">
                  <c:v>45272</c:v>
                </c:pt>
                <c:pt idx="530">
                  <c:v>45273</c:v>
                </c:pt>
                <c:pt idx="531">
                  <c:v>45274</c:v>
                </c:pt>
                <c:pt idx="532">
                  <c:v>45275</c:v>
                </c:pt>
                <c:pt idx="533">
                  <c:v>45278</c:v>
                </c:pt>
                <c:pt idx="534">
                  <c:v>45279</c:v>
                </c:pt>
                <c:pt idx="535">
                  <c:v>45280</c:v>
                </c:pt>
                <c:pt idx="536">
                  <c:v>45281</c:v>
                </c:pt>
                <c:pt idx="537">
                  <c:v>45282</c:v>
                </c:pt>
                <c:pt idx="538">
                  <c:v>45286</c:v>
                </c:pt>
                <c:pt idx="539">
                  <c:v>45287</c:v>
                </c:pt>
                <c:pt idx="540">
                  <c:v>45288</c:v>
                </c:pt>
                <c:pt idx="541">
                  <c:v>45289</c:v>
                </c:pt>
                <c:pt idx="542">
                  <c:v>45292</c:v>
                </c:pt>
                <c:pt idx="543">
                  <c:v>45293</c:v>
                </c:pt>
                <c:pt idx="544">
                  <c:v>45294</c:v>
                </c:pt>
                <c:pt idx="545">
                  <c:v>45295</c:v>
                </c:pt>
                <c:pt idx="546">
                  <c:v>45296</c:v>
                </c:pt>
                <c:pt idx="547">
                  <c:v>45299</c:v>
                </c:pt>
                <c:pt idx="548">
                  <c:v>45300</c:v>
                </c:pt>
                <c:pt idx="549">
                  <c:v>45301</c:v>
                </c:pt>
                <c:pt idx="550">
                  <c:v>45302</c:v>
                </c:pt>
                <c:pt idx="551">
                  <c:v>45303</c:v>
                </c:pt>
                <c:pt idx="552">
                  <c:v>45306</c:v>
                </c:pt>
                <c:pt idx="553">
                  <c:v>45307</c:v>
                </c:pt>
                <c:pt idx="554">
                  <c:v>45308</c:v>
                </c:pt>
                <c:pt idx="555">
                  <c:v>45309</c:v>
                </c:pt>
                <c:pt idx="556">
                  <c:v>45310</c:v>
                </c:pt>
                <c:pt idx="557">
                  <c:v>45311</c:v>
                </c:pt>
                <c:pt idx="558">
                  <c:v>45314</c:v>
                </c:pt>
                <c:pt idx="559">
                  <c:v>45315</c:v>
                </c:pt>
                <c:pt idx="560">
                  <c:v>45316</c:v>
                </c:pt>
                <c:pt idx="561">
                  <c:v>45320</c:v>
                </c:pt>
                <c:pt idx="562">
                  <c:v>45321</c:v>
                </c:pt>
                <c:pt idx="563">
                  <c:v>45322</c:v>
                </c:pt>
                <c:pt idx="564">
                  <c:v>45323</c:v>
                </c:pt>
                <c:pt idx="565">
                  <c:v>45324</c:v>
                </c:pt>
                <c:pt idx="566">
                  <c:v>45327</c:v>
                </c:pt>
                <c:pt idx="567">
                  <c:v>45328</c:v>
                </c:pt>
                <c:pt idx="568">
                  <c:v>45329</c:v>
                </c:pt>
                <c:pt idx="569">
                  <c:v>45330</c:v>
                </c:pt>
                <c:pt idx="570">
                  <c:v>45331</c:v>
                </c:pt>
                <c:pt idx="571">
                  <c:v>45334</c:v>
                </c:pt>
                <c:pt idx="572">
                  <c:v>45335</c:v>
                </c:pt>
                <c:pt idx="573">
                  <c:v>45336</c:v>
                </c:pt>
                <c:pt idx="574">
                  <c:v>45337</c:v>
                </c:pt>
                <c:pt idx="575">
                  <c:v>45338</c:v>
                </c:pt>
                <c:pt idx="576">
                  <c:v>45341</c:v>
                </c:pt>
                <c:pt idx="577">
                  <c:v>45342</c:v>
                </c:pt>
                <c:pt idx="578">
                  <c:v>45343</c:v>
                </c:pt>
                <c:pt idx="579">
                  <c:v>45344</c:v>
                </c:pt>
                <c:pt idx="580">
                  <c:v>45345</c:v>
                </c:pt>
                <c:pt idx="581">
                  <c:v>45348</c:v>
                </c:pt>
                <c:pt idx="582">
                  <c:v>45349</c:v>
                </c:pt>
                <c:pt idx="583">
                  <c:v>45350</c:v>
                </c:pt>
                <c:pt idx="584">
                  <c:v>45351</c:v>
                </c:pt>
                <c:pt idx="585">
                  <c:v>45352</c:v>
                </c:pt>
                <c:pt idx="586">
                  <c:v>45355</c:v>
                </c:pt>
                <c:pt idx="587">
                  <c:v>45356</c:v>
                </c:pt>
                <c:pt idx="588">
                  <c:v>45357</c:v>
                </c:pt>
                <c:pt idx="589">
                  <c:v>45358</c:v>
                </c:pt>
                <c:pt idx="590">
                  <c:v>45362</c:v>
                </c:pt>
                <c:pt idx="591">
                  <c:v>45363</c:v>
                </c:pt>
                <c:pt idx="592">
                  <c:v>45364</c:v>
                </c:pt>
                <c:pt idx="593">
                  <c:v>45365</c:v>
                </c:pt>
                <c:pt idx="594">
                  <c:v>45366</c:v>
                </c:pt>
                <c:pt idx="595">
                  <c:v>45369</c:v>
                </c:pt>
                <c:pt idx="596">
                  <c:v>45370</c:v>
                </c:pt>
                <c:pt idx="597">
                  <c:v>45371</c:v>
                </c:pt>
                <c:pt idx="598">
                  <c:v>45372</c:v>
                </c:pt>
                <c:pt idx="599">
                  <c:v>45373</c:v>
                </c:pt>
                <c:pt idx="600">
                  <c:v>45377</c:v>
                </c:pt>
                <c:pt idx="601">
                  <c:v>45378</c:v>
                </c:pt>
                <c:pt idx="602">
                  <c:v>45379</c:v>
                </c:pt>
                <c:pt idx="603">
                  <c:v>45383</c:v>
                </c:pt>
                <c:pt idx="604">
                  <c:v>45384</c:v>
                </c:pt>
                <c:pt idx="605">
                  <c:v>45385</c:v>
                </c:pt>
                <c:pt idx="606">
                  <c:v>45386</c:v>
                </c:pt>
                <c:pt idx="607">
                  <c:v>45387</c:v>
                </c:pt>
                <c:pt idx="608">
                  <c:v>45390</c:v>
                </c:pt>
                <c:pt idx="609">
                  <c:v>45391</c:v>
                </c:pt>
                <c:pt idx="610">
                  <c:v>45392</c:v>
                </c:pt>
                <c:pt idx="611">
                  <c:v>45394</c:v>
                </c:pt>
                <c:pt idx="612">
                  <c:v>45397</c:v>
                </c:pt>
                <c:pt idx="613">
                  <c:v>45398</c:v>
                </c:pt>
                <c:pt idx="614">
                  <c:v>45400</c:v>
                </c:pt>
                <c:pt idx="615">
                  <c:v>45401</c:v>
                </c:pt>
                <c:pt idx="616">
                  <c:v>45404</c:v>
                </c:pt>
                <c:pt idx="617">
                  <c:v>45405</c:v>
                </c:pt>
                <c:pt idx="618">
                  <c:v>45406</c:v>
                </c:pt>
                <c:pt idx="619">
                  <c:v>45407</c:v>
                </c:pt>
                <c:pt idx="620">
                  <c:v>45408</c:v>
                </c:pt>
                <c:pt idx="621">
                  <c:v>45411</c:v>
                </c:pt>
                <c:pt idx="622">
                  <c:v>45412</c:v>
                </c:pt>
                <c:pt idx="623">
                  <c:v>45414</c:v>
                </c:pt>
                <c:pt idx="624">
                  <c:v>45415</c:v>
                </c:pt>
                <c:pt idx="625">
                  <c:v>45418</c:v>
                </c:pt>
                <c:pt idx="626">
                  <c:v>45419</c:v>
                </c:pt>
                <c:pt idx="627">
                  <c:v>45420</c:v>
                </c:pt>
                <c:pt idx="628">
                  <c:v>45421</c:v>
                </c:pt>
                <c:pt idx="629">
                  <c:v>45422</c:v>
                </c:pt>
                <c:pt idx="630">
                  <c:v>45425</c:v>
                </c:pt>
                <c:pt idx="631">
                  <c:v>45426</c:v>
                </c:pt>
                <c:pt idx="632">
                  <c:v>45427</c:v>
                </c:pt>
                <c:pt idx="633">
                  <c:v>45428</c:v>
                </c:pt>
                <c:pt idx="634">
                  <c:v>45429</c:v>
                </c:pt>
                <c:pt idx="635">
                  <c:v>45430</c:v>
                </c:pt>
                <c:pt idx="636">
                  <c:v>45433</c:v>
                </c:pt>
                <c:pt idx="637">
                  <c:v>45434</c:v>
                </c:pt>
                <c:pt idx="638">
                  <c:v>45435</c:v>
                </c:pt>
                <c:pt idx="639">
                  <c:v>45436</c:v>
                </c:pt>
                <c:pt idx="640">
                  <c:v>45439</c:v>
                </c:pt>
                <c:pt idx="641">
                  <c:v>45440</c:v>
                </c:pt>
                <c:pt idx="642">
                  <c:v>45441</c:v>
                </c:pt>
                <c:pt idx="643">
                  <c:v>45442</c:v>
                </c:pt>
                <c:pt idx="644">
                  <c:v>45443</c:v>
                </c:pt>
                <c:pt idx="645">
                  <c:v>45446</c:v>
                </c:pt>
                <c:pt idx="646">
                  <c:v>45447</c:v>
                </c:pt>
                <c:pt idx="647">
                  <c:v>45448</c:v>
                </c:pt>
                <c:pt idx="648">
                  <c:v>45449</c:v>
                </c:pt>
                <c:pt idx="649">
                  <c:v>45450</c:v>
                </c:pt>
                <c:pt idx="650">
                  <c:v>45453</c:v>
                </c:pt>
                <c:pt idx="651">
                  <c:v>45454</c:v>
                </c:pt>
                <c:pt idx="652">
                  <c:v>45455</c:v>
                </c:pt>
                <c:pt idx="653">
                  <c:v>45456</c:v>
                </c:pt>
                <c:pt idx="654">
                  <c:v>45457</c:v>
                </c:pt>
                <c:pt idx="655">
                  <c:v>45461</c:v>
                </c:pt>
                <c:pt idx="656">
                  <c:v>45462</c:v>
                </c:pt>
                <c:pt idx="657">
                  <c:v>45463</c:v>
                </c:pt>
                <c:pt idx="658">
                  <c:v>45464</c:v>
                </c:pt>
                <c:pt idx="659">
                  <c:v>45467</c:v>
                </c:pt>
                <c:pt idx="660">
                  <c:v>45468</c:v>
                </c:pt>
                <c:pt idx="661">
                  <c:v>45469</c:v>
                </c:pt>
                <c:pt idx="662">
                  <c:v>45470</c:v>
                </c:pt>
                <c:pt idx="663">
                  <c:v>45471</c:v>
                </c:pt>
                <c:pt idx="664">
                  <c:v>45474</c:v>
                </c:pt>
                <c:pt idx="665">
                  <c:v>45475</c:v>
                </c:pt>
                <c:pt idx="666">
                  <c:v>45476</c:v>
                </c:pt>
                <c:pt idx="667">
                  <c:v>45477</c:v>
                </c:pt>
                <c:pt idx="668">
                  <c:v>45478</c:v>
                </c:pt>
                <c:pt idx="669">
                  <c:v>45481</c:v>
                </c:pt>
                <c:pt idx="670">
                  <c:v>45482</c:v>
                </c:pt>
                <c:pt idx="671">
                  <c:v>45483</c:v>
                </c:pt>
                <c:pt idx="672">
                  <c:v>45484</c:v>
                </c:pt>
                <c:pt idx="673">
                  <c:v>45485</c:v>
                </c:pt>
                <c:pt idx="674">
                  <c:v>45488</c:v>
                </c:pt>
                <c:pt idx="675">
                  <c:v>45489</c:v>
                </c:pt>
                <c:pt idx="676">
                  <c:v>45491</c:v>
                </c:pt>
                <c:pt idx="677">
                  <c:v>45492</c:v>
                </c:pt>
                <c:pt idx="678">
                  <c:v>45495</c:v>
                </c:pt>
                <c:pt idx="679">
                  <c:v>45496</c:v>
                </c:pt>
                <c:pt idx="680">
                  <c:v>45497</c:v>
                </c:pt>
                <c:pt idx="681">
                  <c:v>45498</c:v>
                </c:pt>
                <c:pt idx="682">
                  <c:v>45499</c:v>
                </c:pt>
                <c:pt idx="683">
                  <c:v>45502</c:v>
                </c:pt>
                <c:pt idx="684">
                  <c:v>45503</c:v>
                </c:pt>
                <c:pt idx="685">
                  <c:v>45504</c:v>
                </c:pt>
                <c:pt idx="686">
                  <c:v>45505</c:v>
                </c:pt>
                <c:pt idx="687">
                  <c:v>45506</c:v>
                </c:pt>
                <c:pt idx="688">
                  <c:v>45509</c:v>
                </c:pt>
                <c:pt idx="689">
                  <c:v>45510</c:v>
                </c:pt>
                <c:pt idx="690">
                  <c:v>45511</c:v>
                </c:pt>
                <c:pt idx="691">
                  <c:v>45512</c:v>
                </c:pt>
                <c:pt idx="692">
                  <c:v>45513</c:v>
                </c:pt>
                <c:pt idx="693">
                  <c:v>45516</c:v>
                </c:pt>
                <c:pt idx="694">
                  <c:v>45517</c:v>
                </c:pt>
                <c:pt idx="695">
                  <c:v>45518</c:v>
                </c:pt>
                <c:pt idx="696">
                  <c:v>45520</c:v>
                </c:pt>
                <c:pt idx="697">
                  <c:v>45523</c:v>
                </c:pt>
                <c:pt idx="698">
                  <c:v>45524</c:v>
                </c:pt>
                <c:pt idx="699">
                  <c:v>45525</c:v>
                </c:pt>
                <c:pt idx="700">
                  <c:v>45526</c:v>
                </c:pt>
                <c:pt idx="701">
                  <c:v>45527</c:v>
                </c:pt>
                <c:pt idx="702">
                  <c:v>45530</c:v>
                </c:pt>
                <c:pt idx="703">
                  <c:v>45531</c:v>
                </c:pt>
                <c:pt idx="704">
                  <c:v>45532</c:v>
                </c:pt>
                <c:pt idx="705">
                  <c:v>45533</c:v>
                </c:pt>
                <c:pt idx="706">
                  <c:v>45534</c:v>
                </c:pt>
                <c:pt idx="707">
                  <c:v>45537</c:v>
                </c:pt>
                <c:pt idx="708">
                  <c:v>45538</c:v>
                </c:pt>
                <c:pt idx="709">
                  <c:v>45539</c:v>
                </c:pt>
                <c:pt idx="710">
                  <c:v>45540</c:v>
                </c:pt>
                <c:pt idx="711">
                  <c:v>45541</c:v>
                </c:pt>
                <c:pt idx="712">
                  <c:v>45544</c:v>
                </c:pt>
                <c:pt idx="713">
                  <c:v>45545</c:v>
                </c:pt>
                <c:pt idx="714">
                  <c:v>45546</c:v>
                </c:pt>
                <c:pt idx="715">
                  <c:v>45547</c:v>
                </c:pt>
                <c:pt idx="716">
                  <c:v>45548</c:v>
                </c:pt>
                <c:pt idx="717">
                  <c:v>45551</c:v>
                </c:pt>
                <c:pt idx="718">
                  <c:v>45552</c:v>
                </c:pt>
                <c:pt idx="719">
                  <c:v>45553</c:v>
                </c:pt>
                <c:pt idx="720">
                  <c:v>45554</c:v>
                </c:pt>
                <c:pt idx="721">
                  <c:v>45555</c:v>
                </c:pt>
                <c:pt idx="722">
                  <c:v>45558</c:v>
                </c:pt>
                <c:pt idx="723">
                  <c:v>45559</c:v>
                </c:pt>
                <c:pt idx="724">
                  <c:v>45560</c:v>
                </c:pt>
                <c:pt idx="725">
                  <c:v>45561</c:v>
                </c:pt>
                <c:pt idx="726">
                  <c:v>45562</c:v>
                </c:pt>
                <c:pt idx="727">
                  <c:v>45565</c:v>
                </c:pt>
                <c:pt idx="728">
                  <c:v>45566</c:v>
                </c:pt>
                <c:pt idx="729">
                  <c:v>45568</c:v>
                </c:pt>
                <c:pt idx="730">
                  <c:v>45569</c:v>
                </c:pt>
                <c:pt idx="731">
                  <c:v>45572</c:v>
                </c:pt>
                <c:pt idx="732">
                  <c:v>45573</c:v>
                </c:pt>
                <c:pt idx="733">
                  <c:v>45574</c:v>
                </c:pt>
                <c:pt idx="734">
                  <c:v>45575</c:v>
                </c:pt>
                <c:pt idx="735">
                  <c:v>45576</c:v>
                </c:pt>
                <c:pt idx="736">
                  <c:v>45579</c:v>
                </c:pt>
                <c:pt idx="737">
                  <c:v>45580</c:v>
                </c:pt>
                <c:pt idx="738">
                  <c:v>45581</c:v>
                </c:pt>
                <c:pt idx="739">
                  <c:v>45582</c:v>
                </c:pt>
                <c:pt idx="740">
                  <c:v>45583</c:v>
                </c:pt>
                <c:pt idx="741">
                  <c:v>45586</c:v>
                </c:pt>
                <c:pt idx="742">
                  <c:v>45587</c:v>
                </c:pt>
                <c:pt idx="743">
                  <c:v>45588</c:v>
                </c:pt>
                <c:pt idx="744">
                  <c:v>45589</c:v>
                </c:pt>
                <c:pt idx="745">
                  <c:v>45590</c:v>
                </c:pt>
                <c:pt idx="746">
                  <c:v>45593</c:v>
                </c:pt>
                <c:pt idx="747">
                  <c:v>45594</c:v>
                </c:pt>
                <c:pt idx="748">
                  <c:v>45595</c:v>
                </c:pt>
                <c:pt idx="749">
                  <c:v>45596</c:v>
                </c:pt>
                <c:pt idx="750">
                  <c:v>45597</c:v>
                </c:pt>
                <c:pt idx="751">
                  <c:v>45600</c:v>
                </c:pt>
                <c:pt idx="752">
                  <c:v>45601</c:v>
                </c:pt>
                <c:pt idx="753">
                  <c:v>45602</c:v>
                </c:pt>
                <c:pt idx="754">
                  <c:v>45603</c:v>
                </c:pt>
                <c:pt idx="755">
                  <c:v>45604</c:v>
                </c:pt>
                <c:pt idx="756">
                  <c:v>45607</c:v>
                </c:pt>
                <c:pt idx="757">
                  <c:v>45608</c:v>
                </c:pt>
                <c:pt idx="758">
                  <c:v>45609</c:v>
                </c:pt>
                <c:pt idx="759">
                  <c:v>45610</c:v>
                </c:pt>
                <c:pt idx="760">
                  <c:v>45614</c:v>
                </c:pt>
                <c:pt idx="761">
                  <c:v>45615</c:v>
                </c:pt>
                <c:pt idx="762">
                  <c:v>45617</c:v>
                </c:pt>
                <c:pt idx="763">
                  <c:v>45618</c:v>
                </c:pt>
                <c:pt idx="764">
                  <c:v>45621</c:v>
                </c:pt>
                <c:pt idx="765">
                  <c:v>45622</c:v>
                </c:pt>
                <c:pt idx="766">
                  <c:v>45623</c:v>
                </c:pt>
                <c:pt idx="767">
                  <c:v>45624</c:v>
                </c:pt>
                <c:pt idx="768">
                  <c:v>45625</c:v>
                </c:pt>
                <c:pt idx="769">
                  <c:v>45628</c:v>
                </c:pt>
                <c:pt idx="770">
                  <c:v>45629</c:v>
                </c:pt>
                <c:pt idx="771">
                  <c:v>45630</c:v>
                </c:pt>
                <c:pt idx="772">
                  <c:v>45631</c:v>
                </c:pt>
                <c:pt idx="773">
                  <c:v>45632</c:v>
                </c:pt>
                <c:pt idx="774">
                  <c:v>45635</c:v>
                </c:pt>
                <c:pt idx="775">
                  <c:v>45636</c:v>
                </c:pt>
                <c:pt idx="776">
                  <c:v>45637</c:v>
                </c:pt>
                <c:pt idx="777">
                  <c:v>45638</c:v>
                </c:pt>
                <c:pt idx="778">
                  <c:v>45639</c:v>
                </c:pt>
                <c:pt idx="779">
                  <c:v>45642</c:v>
                </c:pt>
                <c:pt idx="780">
                  <c:v>45643</c:v>
                </c:pt>
                <c:pt idx="781">
                  <c:v>45644</c:v>
                </c:pt>
                <c:pt idx="782">
                  <c:v>45645</c:v>
                </c:pt>
                <c:pt idx="783">
                  <c:v>45646</c:v>
                </c:pt>
                <c:pt idx="784">
                  <c:v>45649</c:v>
                </c:pt>
                <c:pt idx="785">
                  <c:v>45650</c:v>
                </c:pt>
                <c:pt idx="786">
                  <c:v>45652</c:v>
                </c:pt>
                <c:pt idx="787">
                  <c:v>45653</c:v>
                </c:pt>
                <c:pt idx="788">
                  <c:v>45656</c:v>
                </c:pt>
                <c:pt idx="789">
                  <c:v>45657</c:v>
                </c:pt>
                <c:pt idx="790">
                  <c:v>45658</c:v>
                </c:pt>
                <c:pt idx="791">
                  <c:v>45659</c:v>
                </c:pt>
                <c:pt idx="792">
                  <c:v>45660</c:v>
                </c:pt>
                <c:pt idx="793">
                  <c:v>45663</c:v>
                </c:pt>
                <c:pt idx="794">
                  <c:v>45664</c:v>
                </c:pt>
                <c:pt idx="795">
                  <c:v>45665</c:v>
                </c:pt>
                <c:pt idx="796">
                  <c:v>45666</c:v>
                </c:pt>
                <c:pt idx="797">
                  <c:v>45667</c:v>
                </c:pt>
                <c:pt idx="798">
                  <c:v>45670</c:v>
                </c:pt>
                <c:pt idx="799">
                  <c:v>45671</c:v>
                </c:pt>
                <c:pt idx="800">
                  <c:v>45672</c:v>
                </c:pt>
                <c:pt idx="801">
                  <c:v>45673</c:v>
                </c:pt>
                <c:pt idx="802">
                  <c:v>45674</c:v>
                </c:pt>
                <c:pt idx="803">
                  <c:v>45677</c:v>
                </c:pt>
                <c:pt idx="804">
                  <c:v>45678</c:v>
                </c:pt>
                <c:pt idx="805">
                  <c:v>45679</c:v>
                </c:pt>
                <c:pt idx="806">
                  <c:v>45680</c:v>
                </c:pt>
                <c:pt idx="807">
                  <c:v>45681</c:v>
                </c:pt>
                <c:pt idx="808">
                  <c:v>45684</c:v>
                </c:pt>
                <c:pt idx="809">
                  <c:v>45685</c:v>
                </c:pt>
                <c:pt idx="810">
                  <c:v>45686</c:v>
                </c:pt>
                <c:pt idx="811">
                  <c:v>45687</c:v>
                </c:pt>
                <c:pt idx="812">
                  <c:v>45688</c:v>
                </c:pt>
                <c:pt idx="813">
                  <c:v>45689</c:v>
                </c:pt>
                <c:pt idx="814">
                  <c:v>45691</c:v>
                </c:pt>
                <c:pt idx="815">
                  <c:v>45692</c:v>
                </c:pt>
                <c:pt idx="816">
                  <c:v>45693</c:v>
                </c:pt>
                <c:pt idx="817">
                  <c:v>45694</c:v>
                </c:pt>
                <c:pt idx="818">
                  <c:v>45695</c:v>
                </c:pt>
                <c:pt idx="819">
                  <c:v>45698</c:v>
                </c:pt>
                <c:pt idx="820">
                  <c:v>45699</c:v>
                </c:pt>
                <c:pt idx="821">
                  <c:v>45700</c:v>
                </c:pt>
                <c:pt idx="822">
                  <c:v>45701</c:v>
                </c:pt>
                <c:pt idx="823">
                  <c:v>45702</c:v>
                </c:pt>
                <c:pt idx="824">
                  <c:v>45705</c:v>
                </c:pt>
                <c:pt idx="825">
                  <c:v>45706</c:v>
                </c:pt>
                <c:pt idx="826">
                  <c:v>45707</c:v>
                </c:pt>
                <c:pt idx="827">
                  <c:v>45708</c:v>
                </c:pt>
                <c:pt idx="828">
                  <c:v>45709</c:v>
                </c:pt>
                <c:pt idx="829">
                  <c:v>45712</c:v>
                </c:pt>
                <c:pt idx="830">
                  <c:v>45713</c:v>
                </c:pt>
                <c:pt idx="831">
                  <c:v>45715</c:v>
                </c:pt>
                <c:pt idx="832">
                  <c:v>45716</c:v>
                </c:pt>
                <c:pt idx="833">
                  <c:v>45719</c:v>
                </c:pt>
                <c:pt idx="834">
                  <c:v>45720</c:v>
                </c:pt>
                <c:pt idx="835">
                  <c:v>45721</c:v>
                </c:pt>
                <c:pt idx="836">
                  <c:v>45722</c:v>
                </c:pt>
                <c:pt idx="837">
                  <c:v>45723</c:v>
                </c:pt>
                <c:pt idx="838">
                  <c:v>45726</c:v>
                </c:pt>
                <c:pt idx="839">
                  <c:v>45727</c:v>
                </c:pt>
                <c:pt idx="840">
                  <c:v>45728</c:v>
                </c:pt>
                <c:pt idx="841">
                  <c:v>45729</c:v>
                </c:pt>
                <c:pt idx="842">
                  <c:v>45733</c:v>
                </c:pt>
                <c:pt idx="843">
                  <c:v>45734</c:v>
                </c:pt>
                <c:pt idx="844">
                  <c:v>45735</c:v>
                </c:pt>
                <c:pt idx="845">
                  <c:v>45736</c:v>
                </c:pt>
                <c:pt idx="846">
                  <c:v>45737</c:v>
                </c:pt>
                <c:pt idx="847">
                  <c:v>45740</c:v>
                </c:pt>
                <c:pt idx="848">
                  <c:v>45741</c:v>
                </c:pt>
                <c:pt idx="849">
                  <c:v>45742</c:v>
                </c:pt>
                <c:pt idx="850">
                  <c:v>45743</c:v>
                </c:pt>
                <c:pt idx="851">
                  <c:v>45744</c:v>
                </c:pt>
                <c:pt idx="852">
                  <c:v>45748</c:v>
                </c:pt>
                <c:pt idx="853">
                  <c:v>45749</c:v>
                </c:pt>
                <c:pt idx="854">
                  <c:v>45750</c:v>
                </c:pt>
                <c:pt idx="855">
                  <c:v>45751</c:v>
                </c:pt>
                <c:pt idx="856">
                  <c:v>45754</c:v>
                </c:pt>
                <c:pt idx="857">
                  <c:v>45755</c:v>
                </c:pt>
                <c:pt idx="858">
                  <c:v>45756</c:v>
                </c:pt>
                <c:pt idx="859">
                  <c:v>45758</c:v>
                </c:pt>
                <c:pt idx="860">
                  <c:v>45762</c:v>
                </c:pt>
                <c:pt idx="861">
                  <c:v>45763</c:v>
                </c:pt>
                <c:pt idx="862">
                  <c:v>45764</c:v>
                </c:pt>
                <c:pt idx="863">
                  <c:v>45768</c:v>
                </c:pt>
                <c:pt idx="864">
                  <c:v>45769</c:v>
                </c:pt>
                <c:pt idx="865">
                  <c:v>45770</c:v>
                </c:pt>
                <c:pt idx="866">
                  <c:v>45771</c:v>
                </c:pt>
                <c:pt idx="867">
                  <c:v>45772</c:v>
                </c:pt>
                <c:pt idx="868">
                  <c:v>45775</c:v>
                </c:pt>
                <c:pt idx="869">
                  <c:v>45776</c:v>
                </c:pt>
                <c:pt idx="870">
                  <c:v>45777</c:v>
                </c:pt>
                <c:pt idx="871">
                  <c:v>45779</c:v>
                </c:pt>
                <c:pt idx="872">
                  <c:v>45782</c:v>
                </c:pt>
                <c:pt idx="873">
                  <c:v>45783</c:v>
                </c:pt>
                <c:pt idx="874">
                  <c:v>45784</c:v>
                </c:pt>
                <c:pt idx="875">
                  <c:v>45785</c:v>
                </c:pt>
                <c:pt idx="876">
                  <c:v>45786</c:v>
                </c:pt>
                <c:pt idx="877">
                  <c:v>45789</c:v>
                </c:pt>
                <c:pt idx="878">
                  <c:v>45790</c:v>
                </c:pt>
                <c:pt idx="879">
                  <c:v>45791</c:v>
                </c:pt>
                <c:pt idx="880">
                  <c:v>45792</c:v>
                </c:pt>
                <c:pt idx="881">
                  <c:v>45793</c:v>
                </c:pt>
                <c:pt idx="882">
                  <c:v>45796</c:v>
                </c:pt>
                <c:pt idx="883">
                  <c:v>45797</c:v>
                </c:pt>
                <c:pt idx="884">
                  <c:v>45798</c:v>
                </c:pt>
                <c:pt idx="885">
                  <c:v>45799</c:v>
                </c:pt>
                <c:pt idx="886">
                  <c:v>45800</c:v>
                </c:pt>
                <c:pt idx="887">
                  <c:v>45803</c:v>
                </c:pt>
                <c:pt idx="888">
                  <c:v>45804</c:v>
                </c:pt>
                <c:pt idx="889">
                  <c:v>45805</c:v>
                </c:pt>
                <c:pt idx="890">
                  <c:v>45806</c:v>
                </c:pt>
                <c:pt idx="891">
                  <c:v>45807</c:v>
                </c:pt>
                <c:pt idx="892">
                  <c:v>45810</c:v>
                </c:pt>
                <c:pt idx="893">
                  <c:v>45811</c:v>
                </c:pt>
                <c:pt idx="894">
                  <c:v>45812</c:v>
                </c:pt>
                <c:pt idx="895">
                  <c:v>45813</c:v>
                </c:pt>
                <c:pt idx="896">
                  <c:v>45814</c:v>
                </c:pt>
                <c:pt idx="897">
                  <c:v>45817</c:v>
                </c:pt>
                <c:pt idx="898">
                  <c:v>45818</c:v>
                </c:pt>
                <c:pt idx="899">
                  <c:v>45819</c:v>
                </c:pt>
                <c:pt idx="900">
                  <c:v>45820</c:v>
                </c:pt>
                <c:pt idx="901">
                  <c:v>45821</c:v>
                </c:pt>
                <c:pt idx="902">
                  <c:v>45824</c:v>
                </c:pt>
                <c:pt idx="903">
                  <c:v>45825</c:v>
                </c:pt>
                <c:pt idx="904">
                  <c:v>45826</c:v>
                </c:pt>
                <c:pt idx="905">
                  <c:v>45827</c:v>
                </c:pt>
                <c:pt idx="906">
                  <c:v>45828</c:v>
                </c:pt>
                <c:pt idx="907">
                  <c:v>45831</c:v>
                </c:pt>
                <c:pt idx="908">
                  <c:v>45832</c:v>
                </c:pt>
                <c:pt idx="909">
                  <c:v>45833</c:v>
                </c:pt>
                <c:pt idx="910">
                  <c:v>45834</c:v>
                </c:pt>
                <c:pt idx="911">
                  <c:v>45835</c:v>
                </c:pt>
                <c:pt idx="912">
                  <c:v>45838</c:v>
                </c:pt>
                <c:pt idx="913">
                  <c:v>45839</c:v>
                </c:pt>
                <c:pt idx="914">
                  <c:v>45840</c:v>
                </c:pt>
                <c:pt idx="915">
                  <c:v>45841</c:v>
                </c:pt>
                <c:pt idx="916">
                  <c:v>45842</c:v>
                </c:pt>
                <c:pt idx="917">
                  <c:v>45845</c:v>
                </c:pt>
                <c:pt idx="918">
                  <c:v>45846</c:v>
                </c:pt>
                <c:pt idx="919">
                  <c:v>45847</c:v>
                </c:pt>
                <c:pt idx="920">
                  <c:v>45848</c:v>
                </c:pt>
                <c:pt idx="921">
                  <c:v>45849</c:v>
                </c:pt>
                <c:pt idx="922">
                  <c:v>45852</c:v>
                </c:pt>
                <c:pt idx="923">
                  <c:v>45853</c:v>
                </c:pt>
                <c:pt idx="924">
                  <c:v>45854</c:v>
                </c:pt>
                <c:pt idx="925">
                  <c:v>45855</c:v>
                </c:pt>
                <c:pt idx="926">
                  <c:v>45856</c:v>
                </c:pt>
                <c:pt idx="927">
                  <c:v>45859</c:v>
                </c:pt>
                <c:pt idx="928">
                  <c:v>45860</c:v>
                </c:pt>
                <c:pt idx="929">
                  <c:v>45861</c:v>
                </c:pt>
                <c:pt idx="930">
                  <c:v>45862</c:v>
                </c:pt>
                <c:pt idx="931">
                  <c:v>45863</c:v>
                </c:pt>
                <c:pt idx="932">
                  <c:v>45866</c:v>
                </c:pt>
                <c:pt idx="933">
                  <c:v>45867</c:v>
                </c:pt>
                <c:pt idx="934">
                  <c:v>45868</c:v>
                </c:pt>
                <c:pt idx="935">
                  <c:v>45869</c:v>
                </c:pt>
                <c:pt idx="936">
                  <c:v>45870</c:v>
                </c:pt>
                <c:pt idx="937">
                  <c:v>45873</c:v>
                </c:pt>
                <c:pt idx="938">
                  <c:v>45874</c:v>
                </c:pt>
                <c:pt idx="939">
                  <c:v>45875</c:v>
                </c:pt>
                <c:pt idx="940">
                  <c:v>45876</c:v>
                </c:pt>
                <c:pt idx="941">
                  <c:v>45877</c:v>
                </c:pt>
                <c:pt idx="942">
                  <c:v>45880</c:v>
                </c:pt>
                <c:pt idx="943">
                  <c:v>45881</c:v>
                </c:pt>
                <c:pt idx="944">
                  <c:v>45882</c:v>
                </c:pt>
                <c:pt idx="945">
                  <c:v>45883</c:v>
                </c:pt>
                <c:pt idx="946">
                  <c:v>45887</c:v>
                </c:pt>
                <c:pt idx="947">
                  <c:v>45888</c:v>
                </c:pt>
                <c:pt idx="948">
                  <c:v>45889</c:v>
                </c:pt>
                <c:pt idx="949">
                  <c:v>45890</c:v>
                </c:pt>
                <c:pt idx="950">
                  <c:v>45891</c:v>
                </c:pt>
                <c:pt idx="951">
                  <c:v>45894</c:v>
                </c:pt>
                <c:pt idx="952">
                  <c:v>45895</c:v>
                </c:pt>
                <c:pt idx="953">
                  <c:v>45897</c:v>
                </c:pt>
                <c:pt idx="954">
                  <c:v>45898</c:v>
                </c:pt>
                <c:pt idx="955">
                  <c:v>45901</c:v>
                </c:pt>
                <c:pt idx="956">
                  <c:v>45902</c:v>
                </c:pt>
                <c:pt idx="957">
                  <c:v>45903</c:v>
                </c:pt>
                <c:pt idx="958">
                  <c:v>45904</c:v>
                </c:pt>
                <c:pt idx="959">
                  <c:v>45905</c:v>
                </c:pt>
                <c:pt idx="960">
                  <c:v>45908</c:v>
                </c:pt>
                <c:pt idx="961">
                  <c:v>45909</c:v>
                </c:pt>
                <c:pt idx="962">
                  <c:v>45910</c:v>
                </c:pt>
                <c:pt idx="963">
                  <c:v>45911</c:v>
                </c:pt>
                <c:pt idx="964">
                  <c:v>45912</c:v>
                </c:pt>
                <c:pt idx="965">
                  <c:v>45915</c:v>
                </c:pt>
                <c:pt idx="966">
                  <c:v>45916</c:v>
                </c:pt>
                <c:pt idx="967">
                  <c:v>45917</c:v>
                </c:pt>
                <c:pt idx="968">
                  <c:v>45918</c:v>
                </c:pt>
                <c:pt idx="969">
                  <c:v>45919</c:v>
                </c:pt>
                <c:pt idx="970">
                  <c:v>45922</c:v>
                </c:pt>
                <c:pt idx="971">
                  <c:v>45923</c:v>
                </c:pt>
                <c:pt idx="972">
                  <c:v>45924</c:v>
                </c:pt>
                <c:pt idx="973">
                  <c:v>45925</c:v>
                </c:pt>
                <c:pt idx="974">
                  <c:v>45926</c:v>
                </c:pt>
                <c:pt idx="975">
                  <c:v>45929</c:v>
                </c:pt>
                <c:pt idx="976">
                  <c:v>45930</c:v>
                </c:pt>
                <c:pt idx="977">
                  <c:v>45931</c:v>
                </c:pt>
                <c:pt idx="978">
                  <c:v>45933</c:v>
                </c:pt>
                <c:pt idx="979">
                  <c:v>45936</c:v>
                </c:pt>
                <c:pt idx="980">
                  <c:v>45937</c:v>
                </c:pt>
                <c:pt idx="981">
                  <c:v>45938</c:v>
                </c:pt>
                <c:pt idx="982">
                  <c:v>45939</c:v>
                </c:pt>
                <c:pt idx="983">
                  <c:v>45940</c:v>
                </c:pt>
                <c:pt idx="984">
                  <c:v>45943</c:v>
                </c:pt>
                <c:pt idx="985">
                  <c:v>45944</c:v>
                </c:pt>
                <c:pt idx="986">
                  <c:v>45945</c:v>
                </c:pt>
                <c:pt idx="987">
                  <c:v>45946</c:v>
                </c:pt>
                <c:pt idx="988">
                  <c:v>45947</c:v>
                </c:pt>
                <c:pt idx="989">
                  <c:v>45950</c:v>
                </c:pt>
                <c:pt idx="990">
                  <c:v>45951</c:v>
                </c:pt>
                <c:pt idx="991">
                  <c:v>45953</c:v>
                </c:pt>
                <c:pt idx="992">
                  <c:v>45954</c:v>
                </c:pt>
                <c:pt idx="993">
                  <c:v>45957</c:v>
                </c:pt>
                <c:pt idx="994">
                  <c:v>45958</c:v>
                </c:pt>
                <c:pt idx="995">
                  <c:v>45959</c:v>
                </c:pt>
                <c:pt idx="996">
                  <c:v>45960</c:v>
                </c:pt>
                <c:pt idx="997">
                  <c:v>45961</c:v>
                </c:pt>
                <c:pt idx="998">
                  <c:v>45964</c:v>
                </c:pt>
                <c:pt idx="999">
                  <c:v>45965</c:v>
                </c:pt>
                <c:pt idx="1000">
                  <c:v>45967</c:v>
                </c:pt>
                <c:pt idx="1001">
                  <c:v>45968</c:v>
                </c:pt>
                <c:pt idx="1002">
                  <c:v>45971</c:v>
                </c:pt>
                <c:pt idx="1003">
                  <c:v>45972</c:v>
                </c:pt>
                <c:pt idx="1004">
                  <c:v>45973</c:v>
                </c:pt>
                <c:pt idx="1005">
                  <c:v>45974</c:v>
                </c:pt>
                <c:pt idx="1006">
                  <c:v>45975</c:v>
                </c:pt>
                <c:pt idx="1007">
                  <c:v>45978</c:v>
                </c:pt>
                <c:pt idx="1008">
                  <c:v>45979</c:v>
                </c:pt>
                <c:pt idx="1009">
                  <c:v>45980</c:v>
                </c:pt>
                <c:pt idx="1010">
                  <c:v>45981</c:v>
                </c:pt>
                <c:pt idx="1011">
                  <c:v>45982</c:v>
                </c:pt>
                <c:pt idx="1012">
                  <c:v>45985</c:v>
                </c:pt>
                <c:pt idx="1013">
                  <c:v>45986</c:v>
                </c:pt>
                <c:pt idx="1014">
                  <c:v>45987</c:v>
                </c:pt>
                <c:pt idx="1015">
                  <c:v>45988</c:v>
                </c:pt>
                <c:pt idx="1016">
                  <c:v>45989</c:v>
                </c:pt>
                <c:pt idx="1017">
                  <c:v>45992</c:v>
                </c:pt>
                <c:pt idx="1018">
                  <c:v>45993</c:v>
                </c:pt>
                <c:pt idx="1019">
                  <c:v>45994</c:v>
                </c:pt>
                <c:pt idx="1020">
                  <c:v>45995</c:v>
                </c:pt>
                <c:pt idx="1021">
                  <c:v>45996</c:v>
                </c:pt>
                <c:pt idx="1022">
                  <c:v>45999</c:v>
                </c:pt>
                <c:pt idx="1023">
                  <c:v>46000</c:v>
                </c:pt>
                <c:pt idx="1024">
                  <c:v>46001</c:v>
                </c:pt>
                <c:pt idx="1025">
                  <c:v>46002</c:v>
                </c:pt>
                <c:pt idx="1026">
                  <c:v>46003</c:v>
                </c:pt>
                <c:pt idx="1027">
                  <c:v>46006</c:v>
                </c:pt>
                <c:pt idx="1028">
                  <c:v>46007</c:v>
                </c:pt>
                <c:pt idx="1029">
                  <c:v>46008</c:v>
                </c:pt>
                <c:pt idx="1030">
                  <c:v>46009</c:v>
                </c:pt>
                <c:pt idx="1031">
                  <c:v>46010</c:v>
                </c:pt>
                <c:pt idx="1032">
                  <c:v>46013</c:v>
                </c:pt>
                <c:pt idx="1033">
                  <c:v>46014</c:v>
                </c:pt>
                <c:pt idx="1034">
                  <c:v>46015</c:v>
                </c:pt>
                <c:pt idx="1035">
                  <c:v>46017</c:v>
                </c:pt>
                <c:pt idx="1036">
                  <c:v>46020</c:v>
                </c:pt>
                <c:pt idx="1037">
                  <c:v>46021</c:v>
                </c:pt>
                <c:pt idx="1038">
                  <c:v>46022</c:v>
                </c:pt>
              </c:numCache>
            </c:numRef>
          </c:cat>
          <c:val>
            <c:numRef>
              <c:f>'Price trend line table'!$B$202:$B$1241</c:f>
              <c:numCache>
                <c:formatCode>General</c:formatCode>
                <c:ptCount val="1040"/>
                <c:pt idx="0">
                  <c:v>18125.400000000001</c:v>
                </c:pt>
                <c:pt idx="1">
                  <c:v>18268.400000000001</c:v>
                </c:pt>
                <c:pt idx="2">
                  <c:v>18210.95</c:v>
                </c:pt>
                <c:pt idx="3">
                  <c:v>17857.25</c:v>
                </c:pt>
                <c:pt idx="4">
                  <c:v>17671.650000000001</c:v>
                </c:pt>
                <c:pt idx="5">
                  <c:v>17929.650000000001</c:v>
                </c:pt>
                <c:pt idx="6">
                  <c:v>17888.95</c:v>
                </c:pt>
                <c:pt idx="7">
                  <c:v>17829.2</c:v>
                </c:pt>
                <c:pt idx="8">
                  <c:v>17916.8</c:v>
                </c:pt>
                <c:pt idx="9">
                  <c:v>18068.55</c:v>
                </c:pt>
                <c:pt idx="10">
                  <c:v>18044.25</c:v>
                </c:pt>
                <c:pt idx="11">
                  <c:v>18017.2</c:v>
                </c:pt>
                <c:pt idx="12">
                  <c:v>17873.599999999999</c:v>
                </c:pt>
                <c:pt idx="13">
                  <c:v>18102.75</c:v>
                </c:pt>
                <c:pt idx="14">
                  <c:v>18109.45</c:v>
                </c:pt>
                <c:pt idx="15">
                  <c:v>17999.2</c:v>
                </c:pt>
                <c:pt idx="16">
                  <c:v>17898.650000000001</c:v>
                </c:pt>
                <c:pt idx="17">
                  <c:v>17764.8</c:v>
                </c:pt>
                <c:pt idx="18">
                  <c:v>17416.55</c:v>
                </c:pt>
                <c:pt idx="19">
                  <c:v>17503.349999999999</c:v>
                </c:pt>
                <c:pt idx="20">
                  <c:v>17415.05</c:v>
                </c:pt>
                <c:pt idx="21">
                  <c:v>17536.25</c:v>
                </c:pt>
                <c:pt idx="22">
                  <c:v>17026.45</c:v>
                </c:pt>
                <c:pt idx="23">
                  <c:v>17053.95</c:v>
                </c:pt>
                <c:pt idx="24">
                  <c:v>16983.2</c:v>
                </c:pt>
                <c:pt idx="25">
                  <c:v>17166.900000000001</c:v>
                </c:pt>
                <c:pt idx="26">
                  <c:v>17401.650000000001</c:v>
                </c:pt>
                <c:pt idx="27">
                  <c:v>17196.7</c:v>
                </c:pt>
                <c:pt idx="28">
                  <c:v>16912.25</c:v>
                </c:pt>
                <c:pt idx="29">
                  <c:v>17176.7</c:v>
                </c:pt>
                <c:pt idx="30">
                  <c:v>17469.75</c:v>
                </c:pt>
                <c:pt idx="31">
                  <c:v>17516.849999999999</c:v>
                </c:pt>
                <c:pt idx="32">
                  <c:v>17511.3</c:v>
                </c:pt>
                <c:pt idx="33">
                  <c:v>17368.25</c:v>
                </c:pt>
                <c:pt idx="34">
                  <c:v>17324.900000000001</c:v>
                </c:pt>
                <c:pt idx="35">
                  <c:v>17221.400000000001</c:v>
                </c:pt>
                <c:pt idx="36">
                  <c:v>17248.400000000001</c:v>
                </c:pt>
                <c:pt idx="37">
                  <c:v>16985.2</c:v>
                </c:pt>
                <c:pt idx="38">
                  <c:v>16614.2</c:v>
                </c:pt>
                <c:pt idx="39">
                  <c:v>16770.849999999999</c:v>
                </c:pt>
                <c:pt idx="40">
                  <c:v>16955.45</c:v>
                </c:pt>
                <c:pt idx="41">
                  <c:v>17072.599999999999</c:v>
                </c:pt>
                <c:pt idx="42">
                  <c:v>17003.75</c:v>
                </c:pt>
                <c:pt idx="43">
                  <c:v>17086.25</c:v>
                </c:pt>
                <c:pt idx="44">
                  <c:v>17233.25</c:v>
                </c:pt>
                <c:pt idx="45">
                  <c:v>17213.599999999999</c:v>
                </c:pt>
                <c:pt idx="46">
                  <c:v>17203.95</c:v>
                </c:pt>
                <c:pt idx="47">
                  <c:v>17354.05</c:v>
                </c:pt>
                <c:pt idx="48">
                  <c:v>17625.7</c:v>
                </c:pt>
                <c:pt idx="49">
                  <c:v>17805.25</c:v>
                </c:pt>
                <c:pt idx="50">
                  <c:v>17925.25</c:v>
                </c:pt>
                <c:pt idx="51">
                  <c:v>17745.900000000001</c:v>
                </c:pt>
                <c:pt idx="52">
                  <c:v>17812.7</c:v>
                </c:pt>
                <c:pt idx="53">
                  <c:v>18003.3</c:v>
                </c:pt>
                <c:pt idx="54">
                  <c:v>18055.75</c:v>
                </c:pt>
                <c:pt idx="55">
                  <c:v>18212.349999999999</c:v>
                </c:pt>
                <c:pt idx="56">
                  <c:v>18257.8</c:v>
                </c:pt>
                <c:pt idx="57">
                  <c:v>18255.75</c:v>
                </c:pt>
                <c:pt idx="58">
                  <c:v>18308.099999999999</c:v>
                </c:pt>
                <c:pt idx="59">
                  <c:v>18113.05</c:v>
                </c:pt>
                <c:pt idx="60">
                  <c:v>17938.400000000001</c:v>
                </c:pt>
                <c:pt idx="61">
                  <c:v>17757</c:v>
                </c:pt>
                <c:pt idx="62">
                  <c:v>17617.150000000001</c:v>
                </c:pt>
                <c:pt idx="63">
                  <c:v>17149.099999999999</c:v>
                </c:pt>
                <c:pt idx="64">
                  <c:v>17277.95</c:v>
                </c:pt>
                <c:pt idx="65">
                  <c:v>17110.150000000001</c:v>
                </c:pt>
                <c:pt idx="66">
                  <c:v>17101.95</c:v>
                </c:pt>
                <c:pt idx="67">
                  <c:v>17339.849999999999</c:v>
                </c:pt>
                <c:pt idx="68">
                  <c:v>17576.849999999999</c:v>
                </c:pt>
                <c:pt idx="69">
                  <c:v>17780</c:v>
                </c:pt>
                <c:pt idx="70">
                  <c:v>17560.2</c:v>
                </c:pt>
                <c:pt idx="71">
                  <c:v>17516.3</c:v>
                </c:pt>
                <c:pt idx="72">
                  <c:v>17213.599999999999</c:v>
                </c:pt>
                <c:pt idx="73">
                  <c:v>17266.75</c:v>
                </c:pt>
                <c:pt idx="74">
                  <c:v>17463.8</c:v>
                </c:pt>
                <c:pt idx="75">
                  <c:v>17605.849999999999</c:v>
                </c:pt>
                <c:pt idx="76">
                  <c:v>17374.75</c:v>
                </c:pt>
                <c:pt idx="77">
                  <c:v>16842.8</c:v>
                </c:pt>
                <c:pt idx="78">
                  <c:v>17352.45</c:v>
                </c:pt>
                <c:pt idx="79">
                  <c:v>17322.2</c:v>
                </c:pt>
                <c:pt idx="80">
                  <c:v>17304.599999999999</c:v>
                </c:pt>
                <c:pt idx="81">
                  <c:v>17276.3</c:v>
                </c:pt>
                <c:pt idx="82">
                  <c:v>17206.650000000001</c:v>
                </c:pt>
                <c:pt idx="83">
                  <c:v>17092.2</c:v>
                </c:pt>
                <c:pt idx="84">
                  <c:v>17063.25</c:v>
                </c:pt>
                <c:pt idx="85">
                  <c:v>16247.95</c:v>
                </c:pt>
                <c:pt idx="86">
                  <c:v>16658.400000000001</c:v>
                </c:pt>
                <c:pt idx="87">
                  <c:v>16793.900000000001</c:v>
                </c:pt>
                <c:pt idx="88">
                  <c:v>16605.95</c:v>
                </c:pt>
                <c:pt idx="89">
                  <c:v>16498.05</c:v>
                </c:pt>
                <c:pt idx="90">
                  <c:v>16245.35</c:v>
                </c:pt>
                <c:pt idx="91">
                  <c:v>15863.15</c:v>
                </c:pt>
                <c:pt idx="92">
                  <c:v>16013.45</c:v>
                </c:pt>
                <c:pt idx="93">
                  <c:v>16345.35</c:v>
                </c:pt>
                <c:pt idx="94">
                  <c:v>16594.900000000001</c:v>
                </c:pt>
                <c:pt idx="95">
                  <c:v>16630.45</c:v>
                </c:pt>
                <c:pt idx="96">
                  <c:v>16871.3</c:v>
                </c:pt>
                <c:pt idx="97">
                  <c:v>16663</c:v>
                </c:pt>
                <c:pt idx="98">
                  <c:v>16975.349999999999</c:v>
                </c:pt>
                <c:pt idx="99">
                  <c:v>17287.05</c:v>
                </c:pt>
                <c:pt idx="100">
                  <c:v>17117.599999999999</c:v>
                </c:pt>
                <c:pt idx="101">
                  <c:v>17315.5</c:v>
                </c:pt>
                <c:pt idx="102">
                  <c:v>17245.650000000001</c:v>
                </c:pt>
                <c:pt idx="103">
                  <c:v>17222.75</c:v>
                </c:pt>
                <c:pt idx="104">
                  <c:v>17153</c:v>
                </c:pt>
                <c:pt idx="105">
                  <c:v>17222</c:v>
                </c:pt>
                <c:pt idx="106">
                  <c:v>17325.3</c:v>
                </c:pt>
                <c:pt idx="107">
                  <c:v>17498.25</c:v>
                </c:pt>
                <c:pt idx="108">
                  <c:v>17464.75</c:v>
                </c:pt>
                <c:pt idx="109">
                  <c:v>17670.45</c:v>
                </c:pt>
                <c:pt idx="110">
                  <c:v>18053.400000000001</c:v>
                </c:pt>
                <c:pt idx="111">
                  <c:v>17957.400000000001</c:v>
                </c:pt>
                <c:pt idx="112">
                  <c:v>17807.650000000001</c:v>
                </c:pt>
                <c:pt idx="113">
                  <c:v>17639.55</c:v>
                </c:pt>
                <c:pt idx="114">
                  <c:v>17784.349999999999</c:v>
                </c:pt>
                <c:pt idx="115">
                  <c:v>17674.95</c:v>
                </c:pt>
                <c:pt idx="116">
                  <c:v>17530.3</c:v>
                </c:pt>
                <c:pt idx="117">
                  <c:v>17475.650000000001</c:v>
                </c:pt>
                <c:pt idx="118">
                  <c:v>17173.650000000001</c:v>
                </c:pt>
                <c:pt idx="119">
                  <c:v>16958.650000000001</c:v>
                </c:pt>
                <c:pt idx="120">
                  <c:v>17136.55</c:v>
                </c:pt>
                <c:pt idx="121">
                  <c:v>17392.599999999999</c:v>
                </c:pt>
                <c:pt idx="122">
                  <c:v>17171.95</c:v>
                </c:pt>
                <c:pt idx="123">
                  <c:v>16953.95</c:v>
                </c:pt>
                <c:pt idx="124">
                  <c:v>17200.8</c:v>
                </c:pt>
                <c:pt idx="125">
                  <c:v>17038.400000000001</c:v>
                </c:pt>
                <c:pt idx="126">
                  <c:v>17245.05</c:v>
                </c:pt>
                <c:pt idx="127">
                  <c:v>17102.55</c:v>
                </c:pt>
                <c:pt idx="128">
                  <c:v>17069.099999999999</c:v>
                </c:pt>
                <c:pt idx="129">
                  <c:v>16677.599999999999</c:v>
                </c:pt>
                <c:pt idx="130">
                  <c:v>16682.650000000001</c:v>
                </c:pt>
                <c:pt idx="131">
                  <c:v>16411.25</c:v>
                </c:pt>
                <c:pt idx="132">
                  <c:v>16301.85</c:v>
                </c:pt>
                <c:pt idx="133">
                  <c:v>16240.05</c:v>
                </c:pt>
                <c:pt idx="134">
                  <c:v>16167.1</c:v>
                </c:pt>
                <c:pt idx="135">
                  <c:v>15808</c:v>
                </c:pt>
                <c:pt idx="136">
                  <c:v>15782.15</c:v>
                </c:pt>
                <c:pt idx="137">
                  <c:v>15842.3</c:v>
                </c:pt>
                <c:pt idx="138">
                  <c:v>16259.3</c:v>
                </c:pt>
                <c:pt idx="139">
                  <c:v>16240.3</c:v>
                </c:pt>
                <c:pt idx="140">
                  <c:v>15809.4</c:v>
                </c:pt>
                <c:pt idx="141">
                  <c:v>16266.15</c:v>
                </c:pt>
                <c:pt idx="142">
                  <c:v>16214.7</c:v>
                </c:pt>
                <c:pt idx="143">
                  <c:v>16125.15</c:v>
                </c:pt>
                <c:pt idx="144">
                  <c:v>16025.8</c:v>
                </c:pt>
                <c:pt idx="145">
                  <c:v>16170.15</c:v>
                </c:pt>
                <c:pt idx="146">
                  <c:v>16352.45</c:v>
                </c:pt>
                <c:pt idx="147">
                  <c:v>16661.400000000001</c:v>
                </c:pt>
                <c:pt idx="148">
                  <c:v>16584.55</c:v>
                </c:pt>
                <c:pt idx="149">
                  <c:v>16522.75</c:v>
                </c:pt>
                <c:pt idx="150">
                  <c:v>16628</c:v>
                </c:pt>
                <c:pt idx="151">
                  <c:v>16584.3</c:v>
                </c:pt>
                <c:pt idx="152">
                  <c:v>16569.55</c:v>
                </c:pt>
                <c:pt idx="153">
                  <c:v>16416.349999999999</c:v>
                </c:pt>
                <c:pt idx="154">
                  <c:v>16356.25</c:v>
                </c:pt>
                <c:pt idx="155">
                  <c:v>16478.099999999999</c:v>
                </c:pt>
                <c:pt idx="156">
                  <c:v>16201.8</c:v>
                </c:pt>
                <c:pt idx="157">
                  <c:v>15774.4</c:v>
                </c:pt>
                <c:pt idx="158">
                  <c:v>15732.1</c:v>
                </c:pt>
                <c:pt idx="159">
                  <c:v>15692.15</c:v>
                </c:pt>
                <c:pt idx="160">
                  <c:v>15360.6</c:v>
                </c:pt>
                <c:pt idx="161">
                  <c:v>15293.5</c:v>
                </c:pt>
                <c:pt idx="162">
                  <c:v>15350.15</c:v>
                </c:pt>
                <c:pt idx="163">
                  <c:v>15638.8</c:v>
                </c:pt>
                <c:pt idx="164">
                  <c:v>15413.3</c:v>
                </c:pt>
                <c:pt idx="165">
                  <c:v>15556.65</c:v>
                </c:pt>
                <c:pt idx="166">
                  <c:v>15699.25</c:v>
                </c:pt>
                <c:pt idx="167">
                  <c:v>15832.05</c:v>
                </c:pt>
                <c:pt idx="168">
                  <c:v>15850.2</c:v>
                </c:pt>
                <c:pt idx="169">
                  <c:v>15799.1</c:v>
                </c:pt>
                <c:pt idx="170">
                  <c:v>15780.25</c:v>
                </c:pt>
                <c:pt idx="171">
                  <c:v>15752.05</c:v>
                </c:pt>
                <c:pt idx="172">
                  <c:v>15835.35</c:v>
                </c:pt>
                <c:pt idx="173">
                  <c:v>15810.85</c:v>
                </c:pt>
                <c:pt idx="174">
                  <c:v>15989.8</c:v>
                </c:pt>
                <c:pt idx="175">
                  <c:v>16132.9</c:v>
                </c:pt>
                <c:pt idx="176">
                  <c:v>16220.6</c:v>
                </c:pt>
                <c:pt idx="177">
                  <c:v>16216</c:v>
                </c:pt>
                <c:pt idx="178">
                  <c:v>16058.3</c:v>
                </c:pt>
                <c:pt idx="179">
                  <c:v>15966.65</c:v>
                </c:pt>
                <c:pt idx="180">
                  <c:v>15938.65</c:v>
                </c:pt>
                <c:pt idx="181">
                  <c:v>16049.2</c:v>
                </c:pt>
                <c:pt idx="182">
                  <c:v>16278.5</c:v>
                </c:pt>
                <c:pt idx="183">
                  <c:v>16340.55</c:v>
                </c:pt>
                <c:pt idx="184">
                  <c:v>16520.849999999999</c:v>
                </c:pt>
                <c:pt idx="185">
                  <c:v>16605.25</c:v>
                </c:pt>
                <c:pt idx="186">
                  <c:v>16719.45</c:v>
                </c:pt>
                <c:pt idx="187">
                  <c:v>16631</c:v>
                </c:pt>
                <c:pt idx="188">
                  <c:v>16483.849999999999</c:v>
                </c:pt>
                <c:pt idx="189">
                  <c:v>16641.8</c:v>
                </c:pt>
                <c:pt idx="190">
                  <c:v>16929.599999999999</c:v>
                </c:pt>
                <c:pt idx="191">
                  <c:v>17158.25</c:v>
                </c:pt>
                <c:pt idx="192">
                  <c:v>17340.05</c:v>
                </c:pt>
                <c:pt idx="193">
                  <c:v>17345.45</c:v>
                </c:pt>
                <c:pt idx="194">
                  <c:v>17388.150000000001</c:v>
                </c:pt>
                <c:pt idx="195">
                  <c:v>17382</c:v>
                </c:pt>
                <c:pt idx="196">
                  <c:v>17397.5</c:v>
                </c:pt>
                <c:pt idx="197">
                  <c:v>17525.099999999999</c:v>
                </c:pt>
                <c:pt idx="198">
                  <c:v>17534.75</c:v>
                </c:pt>
                <c:pt idx="199">
                  <c:v>17659</c:v>
                </c:pt>
                <c:pt idx="200">
                  <c:v>17698.150000000001</c:v>
                </c:pt>
                <c:pt idx="201">
                  <c:v>17825.25</c:v>
                </c:pt>
                <c:pt idx="202">
                  <c:v>17944.25</c:v>
                </c:pt>
                <c:pt idx="203">
                  <c:v>17956.5</c:v>
                </c:pt>
                <c:pt idx="204">
                  <c:v>17758.45</c:v>
                </c:pt>
                <c:pt idx="205">
                  <c:v>17490.7</c:v>
                </c:pt>
                <c:pt idx="206">
                  <c:v>17577.5</c:v>
                </c:pt>
                <c:pt idx="207">
                  <c:v>17604.95</c:v>
                </c:pt>
                <c:pt idx="208">
                  <c:v>17522.45</c:v>
                </c:pt>
                <c:pt idx="209">
                  <c:v>17558.900000000001</c:v>
                </c:pt>
                <c:pt idx="210">
                  <c:v>17312.900000000001</c:v>
                </c:pt>
                <c:pt idx="211">
                  <c:v>17759.3</c:v>
                </c:pt>
                <c:pt idx="212">
                  <c:v>17542.8</c:v>
                </c:pt>
                <c:pt idx="213">
                  <c:v>17539.45</c:v>
                </c:pt>
                <c:pt idx="214">
                  <c:v>17665.8</c:v>
                </c:pt>
                <c:pt idx="215">
                  <c:v>17655.599999999999</c:v>
                </c:pt>
                <c:pt idx="216">
                  <c:v>17624.400000000001</c:v>
                </c:pt>
                <c:pt idx="217">
                  <c:v>17798.75</c:v>
                </c:pt>
                <c:pt idx="218">
                  <c:v>17833.349999999999</c:v>
                </c:pt>
                <c:pt idx="219">
                  <c:v>17936.349999999999</c:v>
                </c:pt>
                <c:pt idx="220">
                  <c:v>18070.05</c:v>
                </c:pt>
                <c:pt idx="221">
                  <c:v>18003.75</c:v>
                </c:pt>
                <c:pt idx="222">
                  <c:v>17877.400000000001</c:v>
                </c:pt>
                <c:pt idx="223">
                  <c:v>17530.849999999999</c:v>
                </c:pt>
                <c:pt idx="224">
                  <c:v>17622.25</c:v>
                </c:pt>
                <c:pt idx="225">
                  <c:v>17816.25</c:v>
                </c:pt>
                <c:pt idx="226">
                  <c:v>17718.349999999999</c:v>
                </c:pt>
                <c:pt idx="227">
                  <c:v>17629.8</c:v>
                </c:pt>
                <c:pt idx="228">
                  <c:v>17327.349999999999</c:v>
                </c:pt>
                <c:pt idx="229">
                  <c:v>17016.3</c:v>
                </c:pt>
                <c:pt idx="230">
                  <c:v>17007.400000000001</c:v>
                </c:pt>
                <c:pt idx="231">
                  <c:v>16858.599999999999</c:v>
                </c:pt>
                <c:pt idx="232">
                  <c:v>16818.099999999999</c:v>
                </c:pt>
                <c:pt idx="233">
                  <c:v>17094.349999999999</c:v>
                </c:pt>
                <c:pt idx="234">
                  <c:v>16887.349999999999</c:v>
                </c:pt>
                <c:pt idx="235">
                  <c:v>17274.3</c:v>
                </c:pt>
                <c:pt idx="236">
                  <c:v>17331.8</c:v>
                </c:pt>
                <c:pt idx="237">
                  <c:v>17314.650000000001</c:v>
                </c:pt>
                <c:pt idx="238">
                  <c:v>17241</c:v>
                </c:pt>
                <c:pt idx="239">
                  <c:v>16983.55</c:v>
                </c:pt>
                <c:pt idx="240">
                  <c:v>17123.599999999999</c:v>
                </c:pt>
                <c:pt idx="241">
                  <c:v>17014.349999999999</c:v>
                </c:pt>
                <c:pt idx="242">
                  <c:v>17185.7</c:v>
                </c:pt>
                <c:pt idx="243">
                  <c:v>17311.8</c:v>
                </c:pt>
                <c:pt idx="244">
                  <c:v>17486.95</c:v>
                </c:pt>
                <c:pt idx="245">
                  <c:v>17512.25</c:v>
                </c:pt>
                <c:pt idx="246">
                  <c:v>17563.95</c:v>
                </c:pt>
                <c:pt idx="247">
                  <c:v>17576.3</c:v>
                </c:pt>
                <c:pt idx="248">
                  <c:v>17730.75</c:v>
                </c:pt>
                <c:pt idx="249">
                  <c:v>17656.349999999999</c:v>
                </c:pt>
                <c:pt idx="250">
                  <c:v>17736.95</c:v>
                </c:pt>
                <c:pt idx="251">
                  <c:v>17786.8</c:v>
                </c:pt>
                <c:pt idx="252">
                  <c:v>18012.2</c:v>
                </c:pt>
                <c:pt idx="253">
                  <c:v>18145.400000000001</c:v>
                </c:pt>
                <c:pt idx="254">
                  <c:v>18082.849999999999</c:v>
                </c:pt>
                <c:pt idx="255">
                  <c:v>18052.7</c:v>
                </c:pt>
                <c:pt idx="256">
                  <c:v>18117.150000000001</c:v>
                </c:pt>
                <c:pt idx="257">
                  <c:v>18202.8</c:v>
                </c:pt>
                <c:pt idx="258">
                  <c:v>18157</c:v>
                </c:pt>
                <c:pt idx="259">
                  <c:v>18028.2</c:v>
                </c:pt>
                <c:pt idx="260">
                  <c:v>18349.7</c:v>
                </c:pt>
                <c:pt idx="261">
                  <c:v>18329.150000000001</c:v>
                </c:pt>
                <c:pt idx="262">
                  <c:v>18403.400000000001</c:v>
                </c:pt>
                <c:pt idx="263">
                  <c:v>18409.650000000001</c:v>
                </c:pt>
                <c:pt idx="264">
                  <c:v>18343.900000000001</c:v>
                </c:pt>
                <c:pt idx="265">
                  <c:v>18307.650000000001</c:v>
                </c:pt>
                <c:pt idx="266">
                  <c:v>18159.95</c:v>
                </c:pt>
                <c:pt idx="267">
                  <c:v>18244.2</c:v>
                </c:pt>
                <c:pt idx="268">
                  <c:v>18267.25</c:v>
                </c:pt>
                <c:pt idx="269">
                  <c:v>18484.099999999999</c:v>
                </c:pt>
                <c:pt idx="270">
                  <c:v>18512.75</c:v>
                </c:pt>
                <c:pt idx="271">
                  <c:v>18562.75</c:v>
                </c:pt>
                <c:pt idx="272">
                  <c:v>18618.05</c:v>
                </c:pt>
                <c:pt idx="273">
                  <c:v>18758.349999999999</c:v>
                </c:pt>
                <c:pt idx="274">
                  <c:v>18812.5</c:v>
                </c:pt>
                <c:pt idx="275">
                  <c:v>18696.099999999999</c:v>
                </c:pt>
                <c:pt idx="276">
                  <c:v>18701.05</c:v>
                </c:pt>
                <c:pt idx="277">
                  <c:v>18642.75</c:v>
                </c:pt>
                <c:pt idx="278">
                  <c:v>18560.5</c:v>
                </c:pt>
                <c:pt idx="279">
                  <c:v>18609.349999999999</c:v>
                </c:pt>
                <c:pt idx="280">
                  <c:v>18496.599999999999</c:v>
                </c:pt>
                <c:pt idx="281">
                  <c:v>18497.150000000001</c:v>
                </c:pt>
                <c:pt idx="282">
                  <c:v>18608</c:v>
                </c:pt>
                <c:pt idx="283">
                  <c:v>18660.3</c:v>
                </c:pt>
                <c:pt idx="284">
                  <c:v>18414.900000000001</c:v>
                </c:pt>
                <c:pt idx="285">
                  <c:v>18269</c:v>
                </c:pt>
                <c:pt idx="286">
                  <c:v>18420.45</c:v>
                </c:pt>
                <c:pt idx="287">
                  <c:v>18385.3</c:v>
                </c:pt>
                <c:pt idx="288">
                  <c:v>18199.099999999999</c:v>
                </c:pt>
                <c:pt idx="289">
                  <c:v>18127.349999999999</c:v>
                </c:pt>
                <c:pt idx="290">
                  <c:v>17806.8</c:v>
                </c:pt>
                <c:pt idx="291">
                  <c:v>18014.599999999999</c:v>
                </c:pt>
                <c:pt idx="292">
                  <c:v>18132.3</c:v>
                </c:pt>
                <c:pt idx="293">
                  <c:v>18122.5</c:v>
                </c:pt>
                <c:pt idx="294">
                  <c:v>18191</c:v>
                </c:pt>
                <c:pt idx="295">
                  <c:v>18105.3</c:v>
                </c:pt>
                <c:pt idx="296">
                  <c:v>18197.45</c:v>
                </c:pt>
                <c:pt idx="297">
                  <c:v>18232.55</c:v>
                </c:pt>
                <c:pt idx="298">
                  <c:v>18042.95</c:v>
                </c:pt>
                <c:pt idx="299">
                  <c:v>17992.150000000001</c:v>
                </c:pt>
                <c:pt idx="300">
                  <c:v>17859.45</c:v>
                </c:pt>
                <c:pt idx="301">
                  <c:v>18101.2</c:v>
                </c:pt>
                <c:pt idx="302">
                  <c:v>17914.150000000001</c:v>
                </c:pt>
                <c:pt idx="303">
                  <c:v>17895.7</c:v>
                </c:pt>
                <c:pt idx="304">
                  <c:v>17858.2</c:v>
                </c:pt>
                <c:pt idx="305">
                  <c:v>17956.599999999999</c:v>
                </c:pt>
                <c:pt idx="306">
                  <c:v>17894.849999999999</c:v>
                </c:pt>
                <c:pt idx="307">
                  <c:v>18053.3</c:v>
                </c:pt>
                <c:pt idx="308">
                  <c:v>18165.349999999999</c:v>
                </c:pt>
                <c:pt idx="309">
                  <c:v>18107.849999999999</c:v>
                </c:pt>
                <c:pt idx="310">
                  <c:v>18027.650000000001</c:v>
                </c:pt>
                <c:pt idx="311">
                  <c:v>18118.55</c:v>
                </c:pt>
                <c:pt idx="312">
                  <c:v>18118.3</c:v>
                </c:pt>
                <c:pt idx="313">
                  <c:v>17891.95</c:v>
                </c:pt>
                <c:pt idx="314">
                  <c:v>17604.349999999999</c:v>
                </c:pt>
                <c:pt idx="315">
                  <c:v>17648.95</c:v>
                </c:pt>
                <c:pt idx="316">
                  <c:v>17662.150000000001</c:v>
                </c:pt>
                <c:pt idx="317">
                  <c:v>17616.3</c:v>
                </c:pt>
                <c:pt idx="318">
                  <c:v>17610.400000000001</c:v>
                </c:pt>
                <c:pt idx="319">
                  <c:v>17854.05</c:v>
                </c:pt>
                <c:pt idx="320">
                  <c:v>17764.599999999999</c:v>
                </c:pt>
                <c:pt idx="321">
                  <c:v>17721.5</c:v>
                </c:pt>
                <c:pt idx="322">
                  <c:v>17871.7</c:v>
                </c:pt>
                <c:pt idx="323">
                  <c:v>17893.45</c:v>
                </c:pt>
                <c:pt idx="324">
                  <c:v>17856.5</c:v>
                </c:pt>
                <c:pt idx="325">
                  <c:v>17770.900000000001</c:v>
                </c:pt>
                <c:pt idx="326">
                  <c:v>17929.849999999999</c:v>
                </c:pt>
                <c:pt idx="327">
                  <c:v>18015.849999999999</c:v>
                </c:pt>
                <c:pt idx="328">
                  <c:v>18035.849999999999</c:v>
                </c:pt>
                <c:pt idx="329">
                  <c:v>17944.2</c:v>
                </c:pt>
                <c:pt idx="330">
                  <c:v>17844.599999999999</c:v>
                </c:pt>
                <c:pt idx="331">
                  <c:v>17826.7</c:v>
                </c:pt>
                <c:pt idx="332">
                  <c:v>17554.3</c:v>
                </c:pt>
                <c:pt idx="333">
                  <c:v>17511.25</c:v>
                </c:pt>
                <c:pt idx="334">
                  <c:v>17465.8</c:v>
                </c:pt>
                <c:pt idx="335">
                  <c:v>17392.7</c:v>
                </c:pt>
                <c:pt idx="336">
                  <c:v>17303.95</c:v>
                </c:pt>
                <c:pt idx="337">
                  <c:v>17450.900000000001</c:v>
                </c:pt>
                <c:pt idx="338">
                  <c:v>17321.900000000001</c:v>
                </c:pt>
                <c:pt idx="339">
                  <c:v>17594.349999999999</c:v>
                </c:pt>
                <c:pt idx="340">
                  <c:v>17711.45</c:v>
                </c:pt>
                <c:pt idx="341">
                  <c:v>17754.400000000001</c:v>
                </c:pt>
                <c:pt idx="342">
                  <c:v>17589.599999999999</c:v>
                </c:pt>
                <c:pt idx="343">
                  <c:v>17412.900000000001</c:v>
                </c:pt>
                <c:pt idx="344">
                  <c:v>17154.3</c:v>
                </c:pt>
                <c:pt idx="345">
                  <c:v>17043.3</c:v>
                </c:pt>
                <c:pt idx="346">
                  <c:v>16972.150000000001</c:v>
                </c:pt>
                <c:pt idx="347">
                  <c:v>16985.599999999999</c:v>
                </c:pt>
                <c:pt idx="348">
                  <c:v>17100.05</c:v>
                </c:pt>
                <c:pt idx="349">
                  <c:v>16988.400000000001</c:v>
                </c:pt>
                <c:pt idx="350">
                  <c:v>17107.5</c:v>
                </c:pt>
                <c:pt idx="351">
                  <c:v>17151.900000000001</c:v>
                </c:pt>
                <c:pt idx="352">
                  <c:v>17076.900000000001</c:v>
                </c:pt>
                <c:pt idx="353">
                  <c:v>16945.05</c:v>
                </c:pt>
                <c:pt idx="354">
                  <c:v>16985.7</c:v>
                </c:pt>
                <c:pt idx="355">
                  <c:v>16951.7</c:v>
                </c:pt>
                <c:pt idx="356">
                  <c:v>17080.7</c:v>
                </c:pt>
                <c:pt idx="357">
                  <c:v>17359.75</c:v>
                </c:pt>
                <c:pt idx="358">
                  <c:v>17398.05</c:v>
                </c:pt>
                <c:pt idx="359">
                  <c:v>17557.05</c:v>
                </c:pt>
                <c:pt idx="360">
                  <c:v>17599.150000000001</c:v>
                </c:pt>
                <c:pt idx="361">
                  <c:v>17624.05</c:v>
                </c:pt>
                <c:pt idx="362">
                  <c:v>17722.3</c:v>
                </c:pt>
                <c:pt idx="363">
                  <c:v>17812.400000000001</c:v>
                </c:pt>
                <c:pt idx="364">
                  <c:v>17828</c:v>
                </c:pt>
                <c:pt idx="365">
                  <c:v>17706.849999999999</c:v>
                </c:pt>
                <c:pt idx="366">
                  <c:v>17660.150000000001</c:v>
                </c:pt>
                <c:pt idx="367">
                  <c:v>17618.75</c:v>
                </c:pt>
                <c:pt idx="368">
                  <c:v>17624.45</c:v>
                </c:pt>
                <c:pt idx="369">
                  <c:v>17624.05</c:v>
                </c:pt>
                <c:pt idx="370">
                  <c:v>17743.400000000001</c:v>
                </c:pt>
                <c:pt idx="371">
                  <c:v>17769.25</c:v>
                </c:pt>
                <c:pt idx="372">
                  <c:v>17813.599999999999</c:v>
                </c:pt>
                <c:pt idx="373">
                  <c:v>17915.05</c:v>
                </c:pt>
                <c:pt idx="374">
                  <c:v>18065</c:v>
                </c:pt>
                <c:pt idx="375">
                  <c:v>18147.650000000001</c:v>
                </c:pt>
                <c:pt idx="376">
                  <c:v>18089.849999999999</c:v>
                </c:pt>
                <c:pt idx="377">
                  <c:v>18255.8</c:v>
                </c:pt>
                <c:pt idx="378">
                  <c:v>18069</c:v>
                </c:pt>
                <c:pt idx="379">
                  <c:v>18264.400000000001</c:v>
                </c:pt>
                <c:pt idx="380">
                  <c:v>18265.95</c:v>
                </c:pt>
                <c:pt idx="381">
                  <c:v>18315.099999999999</c:v>
                </c:pt>
                <c:pt idx="382">
                  <c:v>18297</c:v>
                </c:pt>
                <c:pt idx="383">
                  <c:v>18314.8</c:v>
                </c:pt>
                <c:pt idx="384">
                  <c:v>18398.849999999999</c:v>
                </c:pt>
                <c:pt idx="385">
                  <c:v>18286.5</c:v>
                </c:pt>
                <c:pt idx="386">
                  <c:v>18181.75</c:v>
                </c:pt>
                <c:pt idx="387">
                  <c:v>18129.95</c:v>
                </c:pt>
                <c:pt idx="388">
                  <c:v>18203.400000000001</c:v>
                </c:pt>
                <c:pt idx="389">
                  <c:v>18314.400000000001</c:v>
                </c:pt>
                <c:pt idx="390">
                  <c:v>18348</c:v>
                </c:pt>
                <c:pt idx="391">
                  <c:v>18285.400000000001</c:v>
                </c:pt>
                <c:pt idx="392">
                  <c:v>18321.150000000001</c:v>
                </c:pt>
                <c:pt idx="393">
                  <c:v>18499.349999999999</c:v>
                </c:pt>
                <c:pt idx="394">
                  <c:v>18598.650000000001</c:v>
                </c:pt>
                <c:pt idx="395">
                  <c:v>18633.849999999999</c:v>
                </c:pt>
                <c:pt idx="396">
                  <c:v>18534.400000000001</c:v>
                </c:pt>
                <c:pt idx="397">
                  <c:v>18487.75</c:v>
                </c:pt>
                <c:pt idx="398">
                  <c:v>18534.099999999999</c:v>
                </c:pt>
                <c:pt idx="399">
                  <c:v>18593.849999999999</c:v>
                </c:pt>
                <c:pt idx="400">
                  <c:v>18599</c:v>
                </c:pt>
                <c:pt idx="401">
                  <c:v>18726.400000000001</c:v>
                </c:pt>
                <c:pt idx="402">
                  <c:v>18634.55</c:v>
                </c:pt>
                <c:pt idx="403">
                  <c:v>18563.400000000001</c:v>
                </c:pt>
                <c:pt idx="404">
                  <c:v>18601.5</c:v>
                </c:pt>
                <c:pt idx="405">
                  <c:v>18716.150000000001</c:v>
                </c:pt>
                <c:pt idx="406">
                  <c:v>18755.900000000001</c:v>
                </c:pt>
                <c:pt idx="407">
                  <c:v>18688.099999999999</c:v>
                </c:pt>
                <c:pt idx="408">
                  <c:v>18826</c:v>
                </c:pt>
                <c:pt idx="409">
                  <c:v>18755.45</c:v>
                </c:pt>
                <c:pt idx="410">
                  <c:v>18816.7</c:v>
                </c:pt>
                <c:pt idx="411">
                  <c:v>18856.849999999999</c:v>
                </c:pt>
                <c:pt idx="412">
                  <c:v>18771.25</c:v>
                </c:pt>
                <c:pt idx="413">
                  <c:v>18665.5</c:v>
                </c:pt>
                <c:pt idx="414">
                  <c:v>18691.2</c:v>
                </c:pt>
                <c:pt idx="415">
                  <c:v>18817.400000000001</c:v>
                </c:pt>
                <c:pt idx="416">
                  <c:v>18972.099999999999</c:v>
                </c:pt>
                <c:pt idx="417">
                  <c:v>19189.05</c:v>
                </c:pt>
                <c:pt idx="418">
                  <c:v>19322.55</c:v>
                </c:pt>
                <c:pt idx="419">
                  <c:v>19389</c:v>
                </c:pt>
                <c:pt idx="420">
                  <c:v>19398.5</c:v>
                </c:pt>
                <c:pt idx="421">
                  <c:v>19497.3</c:v>
                </c:pt>
                <c:pt idx="422">
                  <c:v>19331.8</c:v>
                </c:pt>
                <c:pt idx="423">
                  <c:v>19355.900000000001</c:v>
                </c:pt>
                <c:pt idx="424">
                  <c:v>19439.400000000001</c:v>
                </c:pt>
                <c:pt idx="425">
                  <c:v>19384.3</c:v>
                </c:pt>
                <c:pt idx="426">
                  <c:v>19413.75</c:v>
                </c:pt>
                <c:pt idx="427">
                  <c:v>19564.5</c:v>
                </c:pt>
                <c:pt idx="428">
                  <c:v>19711.45</c:v>
                </c:pt>
                <c:pt idx="429">
                  <c:v>19749.25</c:v>
                </c:pt>
                <c:pt idx="430">
                  <c:v>19833.150000000001</c:v>
                </c:pt>
                <c:pt idx="431">
                  <c:v>19979.150000000001</c:v>
                </c:pt>
                <c:pt idx="432">
                  <c:v>19745</c:v>
                </c:pt>
                <c:pt idx="433">
                  <c:v>19672.349999999999</c:v>
                </c:pt>
                <c:pt idx="434">
                  <c:v>19680.599999999999</c:v>
                </c:pt>
                <c:pt idx="435">
                  <c:v>19778.3</c:v>
                </c:pt>
                <c:pt idx="436">
                  <c:v>19659.900000000001</c:v>
                </c:pt>
                <c:pt idx="437">
                  <c:v>19646.05</c:v>
                </c:pt>
                <c:pt idx="438">
                  <c:v>19753.8</c:v>
                </c:pt>
                <c:pt idx="439">
                  <c:v>19733.55</c:v>
                </c:pt>
                <c:pt idx="440">
                  <c:v>19526.55</c:v>
                </c:pt>
                <c:pt idx="441">
                  <c:v>19381.650000000001</c:v>
                </c:pt>
                <c:pt idx="442">
                  <c:v>19517</c:v>
                </c:pt>
                <c:pt idx="443">
                  <c:v>19597.3</c:v>
                </c:pt>
                <c:pt idx="444">
                  <c:v>19570.849999999999</c:v>
                </c:pt>
                <c:pt idx="445">
                  <c:v>19632.55</c:v>
                </c:pt>
                <c:pt idx="446">
                  <c:v>19543.099999999999</c:v>
                </c:pt>
                <c:pt idx="447">
                  <c:v>19428.3</c:v>
                </c:pt>
                <c:pt idx="448">
                  <c:v>19434.55</c:v>
                </c:pt>
                <c:pt idx="449">
                  <c:v>19465</c:v>
                </c:pt>
                <c:pt idx="450">
                  <c:v>19365.25</c:v>
                </c:pt>
                <c:pt idx="451">
                  <c:v>19310.150000000001</c:v>
                </c:pt>
                <c:pt idx="452">
                  <c:v>19393.599999999999</c:v>
                </c:pt>
                <c:pt idx="453">
                  <c:v>19396.45</c:v>
                </c:pt>
                <c:pt idx="454">
                  <c:v>19444</c:v>
                </c:pt>
                <c:pt idx="455">
                  <c:v>19386.7</c:v>
                </c:pt>
                <c:pt idx="456">
                  <c:v>19265.8</c:v>
                </c:pt>
                <c:pt idx="457">
                  <c:v>19306.05</c:v>
                </c:pt>
                <c:pt idx="458">
                  <c:v>19342.650000000001</c:v>
                </c:pt>
                <c:pt idx="459">
                  <c:v>19347.45</c:v>
                </c:pt>
                <c:pt idx="460">
                  <c:v>19253.8</c:v>
                </c:pt>
                <c:pt idx="461">
                  <c:v>19435.3</c:v>
                </c:pt>
                <c:pt idx="462">
                  <c:v>19528.8</c:v>
                </c:pt>
                <c:pt idx="463">
                  <c:v>19574.900000000001</c:v>
                </c:pt>
                <c:pt idx="464">
                  <c:v>19611.05</c:v>
                </c:pt>
                <c:pt idx="465">
                  <c:v>19727.05</c:v>
                </c:pt>
                <c:pt idx="466">
                  <c:v>19819.95</c:v>
                </c:pt>
                <c:pt idx="467">
                  <c:v>19996.349999999999</c:v>
                </c:pt>
                <c:pt idx="468">
                  <c:v>19993.2</c:v>
                </c:pt>
                <c:pt idx="469">
                  <c:v>20070</c:v>
                </c:pt>
                <c:pt idx="470">
                  <c:v>20103.099999999999</c:v>
                </c:pt>
                <c:pt idx="471">
                  <c:v>20192.349999999999</c:v>
                </c:pt>
                <c:pt idx="472">
                  <c:v>20133.3</c:v>
                </c:pt>
                <c:pt idx="473">
                  <c:v>19901.400000000001</c:v>
                </c:pt>
                <c:pt idx="474">
                  <c:v>19742.349999999999</c:v>
                </c:pt>
                <c:pt idx="475">
                  <c:v>19674.25</c:v>
                </c:pt>
                <c:pt idx="476">
                  <c:v>19674.55</c:v>
                </c:pt>
                <c:pt idx="477">
                  <c:v>19664.7</c:v>
                </c:pt>
                <c:pt idx="478">
                  <c:v>19716.45</c:v>
                </c:pt>
                <c:pt idx="479">
                  <c:v>19523.55</c:v>
                </c:pt>
                <c:pt idx="480">
                  <c:v>19638.3</c:v>
                </c:pt>
                <c:pt idx="481">
                  <c:v>19528.75</c:v>
                </c:pt>
                <c:pt idx="482">
                  <c:v>19436.099999999999</c:v>
                </c:pt>
                <c:pt idx="483">
                  <c:v>19545.75</c:v>
                </c:pt>
                <c:pt idx="484">
                  <c:v>19653.5</c:v>
                </c:pt>
                <c:pt idx="485">
                  <c:v>19512.349999999999</c:v>
                </c:pt>
                <c:pt idx="486">
                  <c:v>19689.849999999999</c:v>
                </c:pt>
                <c:pt idx="487">
                  <c:v>19811.349999999999</c:v>
                </c:pt>
                <c:pt idx="488">
                  <c:v>19794</c:v>
                </c:pt>
                <c:pt idx="489">
                  <c:v>19751.05</c:v>
                </c:pt>
                <c:pt idx="490">
                  <c:v>19731.75</c:v>
                </c:pt>
                <c:pt idx="491">
                  <c:v>19811.5</c:v>
                </c:pt>
                <c:pt idx="492">
                  <c:v>19671.099999999999</c:v>
                </c:pt>
                <c:pt idx="493">
                  <c:v>19624.7</c:v>
                </c:pt>
                <c:pt idx="494">
                  <c:v>19542.650000000001</c:v>
                </c:pt>
                <c:pt idx="495">
                  <c:v>19281.75</c:v>
                </c:pt>
                <c:pt idx="496">
                  <c:v>19122.150000000001</c:v>
                </c:pt>
                <c:pt idx="497">
                  <c:v>18857.25</c:v>
                </c:pt>
                <c:pt idx="498">
                  <c:v>19047.25</c:v>
                </c:pt>
                <c:pt idx="499">
                  <c:v>19140.900000000001</c:v>
                </c:pt>
                <c:pt idx="500">
                  <c:v>19079.599999999999</c:v>
                </c:pt>
                <c:pt idx="501">
                  <c:v>18989.150000000001</c:v>
                </c:pt>
                <c:pt idx="502">
                  <c:v>19133.25</c:v>
                </c:pt>
                <c:pt idx="503">
                  <c:v>19230.599999999999</c:v>
                </c:pt>
                <c:pt idx="504">
                  <c:v>19411.75</c:v>
                </c:pt>
                <c:pt idx="505">
                  <c:v>19406.7</c:v>
                </c:pt>
                <c:pt idx="506">
                  <c:v>19443.5</c:v>
                </c:pt>
                <c:pt idx="507">
                  <c:v>19395.3</c:v>
                </c:pt>
                <c:pt idx="508">
                  <c:v>19425.349999999999</c:v>
                </c:pt>
                <c:pt idx="509">
                  <c:v>19525.55</c:v>
                </c:pt>
                <c:pt idx="510">
                  <c:v>19443.55</c:v>
                </c:pt>
                <c:pt idx="511">
                  <c:v>19675.45</c:v>
                </c:pt>
                <c:pt idx="512">
                  <c:v>19765.2</c:v>
                </c:pt>
                <c:pt idx="513">
                  <c:v>19731.8</c:v>
                </c:pt>
                <c:pt idx="514">
                  <c:v>19694</c:v>
                </c:pt>
                <c:pt idx="515">
                  <c:v>19783.400000000001</c:v>
                </c:pt>
                <c:pt idx="516">
                  <c:v>19811.849999999999</c:v>
                </c:pt>
                <c:pt idx="517">
                  <c:v>19802</c:v>
                </c:pt>
                <c:pt idx="518">
                  <c:v>19794.7</c:v>
                </c:pt>
                <c:pt idx="519">
                  <c:v>19889.7</c:v>
                </c:pt>
                <c:pt idx="520">
                  <c:v>20096.599999999999</c:v>
                </c:pt>
                <c:pt idx="521">
                  <c:v>20133.150000000001</c:v>
                </c:pt>
                <c:pt idx="522">
                  <c:v>20267.900000000001</c:v>
                </c:pt>
                <c:pt idx="523">
                  <c:v>20686.8</c:v>
                </c:pt>
                <c:pt idx="524">
                  <c:v>20855.099999999999</c:v>
                </c:pt>
                <c:pt idx="525">
                  <c:v>20937.7</c:v>
                </c:pt>
                <c:pt idx="526">
                  <c:v>20901.150000000001</c:v>
                </c:pt>
                <c:pt idx="527">
                  <c:v>20969.400000000001</c:v>
                </c:pt>
                <c:pt idx="528">
                  <c:v>20997.1</c:v>
                </c:pt>
                <c:pt idx="529">
                  <c:v>20906.400000000001</c:v>
                </c:pt>
                <c:pt idx="530">
                  <c:v>20926.349999999999</c:v>
                </c:pt>
                <c:pt idx="531">
                  <c:v>21182.7</c:v>
                </c:pt>
                <c:pt idx="532">
                  <c:v>21456.65</c:v>
                </c:pt>
                <c:pt idx="533">
                  <c:v>21418.65</c:v>
                </c:pt>
                <c:pt idx="534">
                  <c:v>21453.1</c:v>
                </c:pt>
                <c:pt idx="535">
                  <c:v>21150.15</c:v>
                </c:pt>
                <c:pt idx="536">
                  <c:v>21255.05</c:v>
                </c:pt>
                <c:pt idx="537">
                  <c:v>21349.4</c:v>
                </c:pt>
                <c:pt idx="538">
                  <c:v>21441.35</c:v>
                </c:pt>
                <c:pt idx="539">
                  <c:v>21654.75</c:v>
                </c:pt>
                <c:pt idx="540">
                  <c:v>21778.7</c:v>
                </c:pt>
                <c:pt idx="541">
                  <c:v>21731.4</c:v>
                </c:pt>
                <c:pt idx="542">
                  <c:v>21741.9</c:v>
                </c:pt>
                <c:pt idx="543">
                  <c:v>21665.8</c:v>
                </c:pt>
                <c:pt idx="544">
                  <c:v>21517.35</c:v>
                </c:pt>
                <c:pt idx="545">
                  <c:v>21658.6</c:v>
                </c:pt>
                <c:pt idx="546">
                  <c:v>21710.799999999999</c:v>
                </c:pt>
                <c:pt idx="547">
                  <c:v>21513</c:v>
                </c:pt>
                <c:pt idx="548">
                  <c:v>21544.85</c:v>
                </c:pt>
                <c:pt idx="549">
                  <c:v>21618.7</c:v>
                </c:pt>
                <c:pt idx="550">
                  <c:v>21647.200000000001</c:v>
                </c:pt>
                <c:pt idx="551">
                  <c:v>21894.55</c:v>
                </c:pt>
                <c:pt idx="552">
                  <c:v>22097.45</c:v>
                </c:pt>
                <c:pt idx="553">
                  <c:v>22032.3</c:v>
                </c:pt>
                <c:pt idx="554">
                  <c:v>21571.95</c:v>
                </c:pt>
                <c:pt idx="555">
                  <c:v>21462.25</c:v>
                </c:pt>
                <c:pt idx="556">
                  <c:v>21622.400000000001</c:v>
                </c:pt>
                <c:pt idx="557">
                  <c:v>21571.8</c:v>
                </c:pt>
                <c:pt idx="558">
                  <c:v>21238.799999999999</c:v>
                </c:pt>
                <c:pt idx="559">
                  <c:v>21453.95</c:v>
                </c:pt>
                <c:pt idx="560">
                  <c:v>21352.6</c:v>
                </c:pt>
                <c:pt idx="561">
                  <c:v>21737.599999999999</c:v>
                </c:pt>
                <c:pt idx="562">
                  <c:v>21522.1</c:v>
                </c:pt>
                <c:pt idx="563">
                  <c:v>21725.7</c:v>
                </c:pt>
                <c:pt idx="564">
                  <c:v>21697.45</c:v>
                </c:pt>
                <c:pt idx="565">
                  <c:v>21853.8</c:v>
                </c:pt>
                <c:pt idx="566">
                  <c:v>21771.7</c:v>
                </c:pt>
                <c:pt idx="567">
                  <c:v>21929.4</c:v>
                </c:pt>
                <c:pt idx="568">
                  <c:v>21930.5</c:v>
                </c:pt>
                <c:pt idx="569">
                  <c:v>21717.95</c:v>
                </c:pt>
                <c:pt idx="570">
                  <c:v>21782.5</c:v>
                </c:pt>
                <c:pt idx="571">
                  <c:v>21616.05</c:v>
                </c:pt>
                <c:pt idx="572">
                  <c:v>21743.25</c:v>
                </c:pt>
                <c:pt idx="573">
                  <c:v>21840.05</c:v>
                </c:pt>
                <c:pt idx="574">
                  <c:v>21910.75</c:v>
                </c:pt>
                <c:pt idx="575">
                  <c:v>22040.7</c:v>
                </c:pt>
                <c:pt idx="576">
                  <c:v>22122.25</c:v>
                </c:pt>
                <c:pt idx="577">
                  <c:v>22196.95</c:v>
                </c:pt>
                <c:pt idx="578">
                  <c:v>22055.05</c:v>
                </c:pt>
                <c:pt idx="579">
                  <c:v>22217.45</c:v>
                </c:pt>
                <c:pt idx="580">
                  <c:v>22212.7</c:v>
                </c:pt>
                <c:pt idx="581">
                  <c:v>22122.05</c:v>
                </c:pt>
                <c:pt idx="582">
                  <c:v>22198.35</c:v>
                </c:pt>
                <c:pt idx="583">
                  <c:v>21951.15</c:v>
                </c:pt>
                <c:pt idx="584">
                  <c:v>21982.799999999999</c:v>
                </c:pt>
                <c:pt idx="585">
                  <c:v>22338.75</c:v>
                </c:pt>
                <c:pt idx="586">
                  <c:v>22405.599999999999</c:v>
                </c:pt>
                <c:pt idx="587">
                  <c:v>22356.3</c:v>
                </c:pt>
                <c:pt idx="588">
                  <c:v>22474.05</c:v>
                </c:pt>
                <c:pt idx="589">
                  <c:v>22493.55</c:v>
                </c:pt>
                <c:pt idx="590">
                  <c:v>22332.65</c:v>
                </c:pt>
                <c:pt idx="591">
                  <c:v>22335.7</c:v>
                </c:pt>
                <c:pt idx="592">
                  <c:v>21997.7</c:v>
                </c:pt>
                <c:pt idx="593">
                  <c:v>22146.65</c:v>
                </c:pt>
                <c:pt idx="594">
                  <c:v>22023.35</c:v>
                </c:pt>
                <c:pt idx="595">
                  <c:v>22055.7</c:v>
                </c:pt>
                <c:pt idx="596">
                  <c:v>21817.45</c:v>
                </c:pt>
                <c:pt idx="597">
                  <c:v>21839.1</c:v>
                </c:pt>
                <c:pt idx="598">
                  <c:v>22011.95</c:v>
                </c:pt>
                <c:pt idx="599">
                  <c:v>22096.75</c:v>
                </c:pt>
                <c:pt idx="600">
                  <c:v>22004.7</c:v>
                </c:pt>
                <c:pt idx="601">
                  <c:v>22123.65</c:v>
                </c:pt>
                <c:pt idx="602">
                  <c:v>22326.9</c:v>
                </c:pt>
                <c:pt idx="603">
                  <c:v>22462</c:v>
                </c:pt>
                <c:pt idx="604">
                  <c:v>22453.3</c:v>
                </c:pt>
                <c:pt idx="605">
                  <c:v>22434.65</c:v>
                </c:pt>
                <c:pt idx="606">
                  <c:v>22514.65</c:v>
                </c:pt>
                <c:pt idx="607">
                  <c:v>22513.7</c:v>
                </c:pt>
                <c:pt idx="608">
                  <c:v>22666.3</c:v>
                </c:pt>
                <c:pt idx="609">
                  <c:v>22642.75</c:v>
                </c:pt>
                <c:pt idx="610">
                  <c:v>22753.8</c:v>
                </c:pt>
                <c:pt idx="611">
                  <c:v>22519.4</c:v>
                </c:pt>
                <c:pt idx="612">
                  <c:v>22272.5</c:v>
                </c:pt>
                <c:pt idx="613">
                  <c:v>22147.9</c:v>
                </c:pt>
                <c:pt idx="614">
                  <c:v>21995.85</c:v>
                </c:pt>
                <c:pt idx="615">
                  <c:v>22147</c:v>
                </c:pt>
                <c:pt idx="616">
                  <c:v>22336.400000000001</c:v>
                </c:pt>
                <c:pt idx="617">
                  <c:v>22368</c:v>
                </c:pt>
                <c:pt idx="618">
                  <c:v>22402.400000000001</c:v>
                </c:pt>
                <c:pt idx="619">
                  <c:v>22570.35</c:v>
                </c:pt>
                <c:pt idx="620">
                  <c:v>22419.95</c:v>
                </c:pt>
                <c:pt idx="621">
                  <c:v>22643.4</c:v>
                </c:pt>
                <c:pt idx="622">
                  <c:v>22604.85</c:v>
                </c:pt>
                <c:pt idx="623">
                  <c:v>22648.2</c:v>
                </c:pt>
                <c:pt idx="624">
                  <c:v>22475.85</c:v>
                </c:pt>
                <c:pt idx="625">
                  <c:v>22442.7</c:v>
                </c:pt>
                <c:pt idx="626">
                  <c:v>22302.5</c:v>
                </c:pt>
                <c:pt idx="627">
                  <c:v>22302.5</c:v>
                </c:pt>
                <c:pt idx="628">
                  <c:v>21957.5</c:v>
                </c:pt>
                <c:pt idx="629">
                  <c:v>22055.200000000001</c:v>
                </c:pt>
                <c:pt idx="630">
                  <c:v>22104.05</c:v>
                </c:pt>
                <c:pt idx="631">
                  <c:v>22217.85</c:v>
                </c:pt>
                <c:pt idx="632">
                  <c:v>22200.55</c:v>
                </c:pt>
                <c:pt idx="633">
                  <c:v>22403.85</c:v>
                </c:pt>
                <c:pt idx="634">
                  <c:v>22466.1</c:v>
                </c:pt>
                <c:pt idx="635">
                  <c:v>22502</c:v>
                </c:pt>
                <c:pt idx="636">
                  <c:v>22529.05</c:v>
                </c:pt>
                <c:pt idx="637">
                  <c:v>22597.8</c:v>
                </c:pt>
                <c:pt idx="638">
                  <c:v>22967.65</c:v>
                </c:pt>
                <c:pt idx="639">
                  <c:v>22957.1</c:v>
                </c:pt>
                <c:pt idx="640">
                  <c:v>22932.45</c:v>
                </c:pt>
                <c:pt idx="641">
                  <c:v>22888.15</c:v>
                </c:pt>
                <c:pt idx="642">
                  <c:v>22704.7</c:v>
                </c:pt>
                <c:pt idx="643">
                  <c:v>22488.65</c:v>
                </c:pt>
                <c:pt idx="644">
                  <c:v>22530.7</c:v>
                </c:pt>
                <c:pt idx="645">
                  <c:v>23263.9</c:v>
                </c:pt>
                <c:pt idx="646">
                  <c:v>21884.5</c:v>
                </c:pt>
                <c:pt idx="647">
                  <c:v>22620.35</c:v>
                </c:pt>
                <c:pt idx="648">
                  <c:v>22821.4</c:v>
                </c:pt>
                <c:pt idx="649">
                  <c:v>23290.15</c:v>
                </c:pt>
                <c:pt idx="650">
                  <c:v>23259.200000000001</c:v>
                </c:pt>
                <c:pt idx="651">
                  <c:v>23264.85</c:v>
                </c:pt>
                <c:pt idx="652">
                  <c:v>23322.95</c:v>
                </c:pt>
                <c:pt idx="653">
                  <c:v>23398.9</c:v>
                </c:pt>
                <c:pt idx="654">
                  <c:v>23465.599999999999</c:v>
                </c:pt>
                <c:pt idx="655">
                  <c:v>23557.9</c:v>
                </c:pt>
                <c:pt idx="656">
                  <c:v>23516</c:v>
                </c:pt>
                <c:pt idx="657">
                  <c:v>23567</c:v>
                </c:pt>
                <c:pt idx="658">
                  <c:v>23501.1</c:v>
                </c:pt>
                <c:pt idx="659">
                  <c:v>23537.85</c:v>
                </c:pt>
                <c:pt idx="660">
                  <c:v>23721.3</c:v>
                </c:pt>
                <c:pt idx="661">
                  <c:v>23868.799999999999</c:v>
                </c:pt>
                <c:pt idx="662">
                  <c:v>24044.5</c:v>
                </c:pt>
                <c:pt idx="663">
                  <c:v>24010.6</c:v>
                </c:pt>
                <c:pt idx="664">
                  <c:v>24141.95</c:v>
                </c:pt>
                <c:pt idx="665">
                  <c:v>24123.85</c:v>
                </c:pt>
                <c:pt idx="666">
                  <c:v>24286.5</c:v>
                </c:pt>
                <c:pt idx="667">
                  <c:v>24302.15</c:v>
                </c:pt>
                <c:pt idx="668">
                  <c:v>24323.85</c:v>
                </c:pt>
                <c:pt idx="669">
                  <c:v>24320.55</c:v>
                </c:pt>
                <c:pt idx="670">
                  <c:v>24433.200000000001</c:v>
                </c:pt>
                <c:pt idx="671">
                  <c:v>24324.45</c:v>
                </c:pt>
                <c:pt idx="672">
                  <c:v>24315.95</c:v>
                </c:pt>
                <c:pt idx="673">
                  <c:v>24502.15</c:v>
                </c:pt>
                <c:pt idx="674">
                  <c:v>24586.7</c:v>
                </c:pt>
                <c:pt idx="675">
                  <c:v>24613</c:v>
                </c:pt>
                <c:pt idx="676">
                  <c:v>24800.85</c:v>
                </c:pt>
                <c:pt idx="677">
                  <c:v>24530.9</c:v>
                </c:pt>
                <c:pt idx="678">
                  <c:v>24509.25</c:v>
                </c:pt>
                <c:pt idx="679">
                  <c:v>24479.05</c:v>
                </c:pt>
                <c:pt idx="680">
                  <c:v>24413.5</c:v>
                </c:pt>
                <c:pt idx="681">
                  <c:v>24406.1</c:v>
                </c:pt>
                <c:pt idx="682">
                  <c:v>24834.85</c:v>
                </c:pt>
                <c:pt idx="683">
                  <c:v>24836.1</c:v>
                </c:pt>
                <c:pt idx="684">
                  <c:v>24857.3</c:v>
                </c:pt>
                <c:pt idx="685">
                  <c:v>24951.15</c:v>
                </c:pt>
                <c:pt idx="686">
                  <c:v>25010.9</c:v>
                </c:pt>
                <c:pt idx="687">
                  <c:v>24717.7</c:v>
                </c:pt>
                <c:pt idx="688">
                  <c:v>24055.599999999999</c:v>
                </c:pt>
                <c:pt idx="689">
                  <c:v>23992.55</c:v>
                </c:pt>
                <c:pt idx="690">
                  <c:v>24297.5</c:v>
                </c:pt>
                <c:pt idx="691">
                  <c:v>24117</c:v>
                </c:pt>
                <c:pt idx="692">
                  <c:v>24367.5</c:v>
                </c:pt>
                <c:pt idx="693">
                  <c:v>24347</c:v>
                </c:pt>
                <c:pt idx="694">
                  <c:v>24139</c:v>
                </c:pt>
                <c:pt idx="695">
                  <c:v>24143.75</c:v>
                </c:pt>
                <c:pt idx="696">
                  <c:v>24541.15</c:v>
                </c:pt>
                <c:pt idx="697">
                  <c:v>24572.65</c:v>
                </c:pt>
                <c:pt idx="698">
                  <c:v>24698.85</c:v>
                </c:pt>
                <c:pt idx="699">
                  <c:v>24770.2</c:v>
                </c:pt>
                <c:pt idx="700">
                  <c:v>24811.5</c:v>
                </c:pt>
                <c:pt idx="701">
                  <c:v>24823.15</c:v>
                </c:pt>
                <c:pt idx="702">
                  <c:v>25010.6</c:v>
                </c:pt>
                <c:pt idx="703">
                  <c:v>25017.75</c:v>
                </c:pt>
                <c:pt idx="704">
                  <c:v>25052.35</c:v>
                </c:pt>
                <c:pt idx="705">
                  <c:v>25151.95</c:v>
                </c:pt>
                <c:pt idx="706">
                  <c:v>25235.9</c:v>
                </c:pt>
                <c:pt idx="707">
                  <c:v>25278.7</c:v>
                </c:pt>
                <c:pt idx="708">
                  <c:v>25279.85</c:v>
                </c:pt>
                <c:pt idx="709">
                  <c:v>25198.7</c:v>
                </c:pt>
                <c:pt idx="710">
                  <c:v>25145.1</c:v>
                </c:pt>
                <c:pt idx="711">
                  <c:v>24852.15</c:v>
                </c:pt>
                <c:pt idx="712">
                  <c:v>24936.400000000001</c:v>
                </c:pt>
                <c:pt idx="713">
                  <c:v>25041.1</c:v>
                </c:pt>
                <c:pt idx="714">
                  <c:v>24918.45</c:v>
                </c:pt>
                <c:pt idx="715">
                  <c:v>25388.9</c:v>
                </c:pt>
                <c:pt idx="716">
                  <c:v>25356.5</c:v>
                </c:pt>
                <c:pt idx="717">
                  <c:v>25383.75</c:v>
                </c:pt>
                <c:pt idx="718">
                  <c:v>25418.55</c:v>
                </c:pt>
                <c:pt idx="719">
                  <c:v>25377.55</c:v>
                </c:pt>
                <c:pt idx="720">
                  <c:v>25415.8</c:v>
                </c:pt>
                <c:pt idx="721">
                  <c:v>25790.95</c:v>
                </c:pt>
                <c:pt idx="722">
                  <c:v>25939.05</c:v>
                </c:pt>
                <c:pt idx="723">
                  <c:v>25940.400000000001</c:v>
                </c:pt>
                <c:pt idx="724">
                  <c:v>26004.15</c:v>
                </c:pt>
                <c:pt idx="725">
                  <c:v>26216.05</c:v>
                </c:pt>
                <c:pt idx="726">
                  <c:v>26178.95</c:v>
                </c:pt>
                <c:pt idx="727">
                  <c:v>25810.85</c:v>
                </c:pt>
                <c:pt idx="728">
                  <c:v>25796.9</c:v>
                </c:pt>
                <c:pt idx="729">
                  <c:v>25250.1</c:v>
                </c:pt>
                <c:pt idx="730">
                  <c:v>25014.6</c:v>
                </c:pt>
                <c:pt idx="731">
                  <c:v>24795.75</c:v>
                </c:pt>
                <c:pt idx="732">
                  <c:v>25013.15</c:v>
                </c:pt>
                <c:pt idx="733">
                  <c:v>24981.95</c:v>
                </c:pt>
                <c:pt idx="734">
                  <c:v>24998.45</c:v>
                </c:pt>
                <c:pt idx="735">
                  <c:v>24964.25</c:v>
                </c:pt>
                <c:pt idx="736">
                  <c:v>25127.95</c:v>
                </c:pt>
                <c:pt idx="737">
                  <c:v>25057.35</c:v>
                </c:pt>
                <c:pt idx="738">
                  <c:v>24971.3</c:v>
                </c:pt>
                <c:pt idx="739">
                  <c:v>24749.85</c:v>
                </c:pt>
                <c:pt idx="740">
                  <c:v>24854.05</c:v>
                </c:pt>
                <c:pt idx="741">
                  <c:v>24781.1</c:v>
                </c:pt>
                <c:pt idx="742">
                  <c:v>24472.1</c:v>
                </c:pt>
                <c:pt idx="743">
                  <c:v>24435.5</c:v>
                </c:pt>
                <c:pt idx="744">
                  <c:v>24399.4</c:v>
                </c:pt>
                <c:pt idx="745">
                  <c:v>24180.799999999999</c:v>
                </c:pt>
                <c:pt idx="746">
                  <c:v>24339.15</c:v>
                </c:pt>
                <c:pt idx="747">
                  <c:v>24466.85</c:v>
                </c:pt>
                <c:pt idx="748">
                  <c:v>24340.85</c:v>
                </c:pt>
                <c:pt idx="749">
                  <c:v>24205.35</c:v>
                </c:pt>
                <c:pt idx="750">
                  <c:v>24304.35</c:v>
                </c:pt>
                <c:pt idx="751">
                  <c:v>23995.35</c:v>
                </c:pt>
                <c:pt idx="752">
                  <c:v>24213.3</c:v>
                </c:pt>
                <c:pt idx="753">
                  <c:v>24484.05</c:v>
                </c:pt>
                <c:pt idx="754">
                  <c:v>24199.35</c:v>
                </c:pt>
                <c:pt idx="755">
                  <c:v>24148.2</c:v>
                </c:pt>
                <c:pt idx="756">
                  <c:v>24141.3</c:v>
                </c:pt>
                <c:pt idx="757">
                  <c:v>23883.45</c:v>
                </c:pt>
                <c:pt idx="758">
                  <c:v>23559.05</c:v>
                </c:pt>
                <c:pt idx="759">
                  <c:v>23532.7</c:v>
                </c:pt>
                <c:pt idx="760">
                  <c:v>23453.8</c:v>
                </c:pt>
                <c:pt idx="761">
                  <c:v>23518.5</c:v>
                </c:pt>
                <c:pt idx="762">
                  <c:v>23349.9</c:v>
                </c:pt>
                <c:pt idx="763">
                  <c:v>23907.25</c:v>
                </c:pt>
                <c:pt idx="764">
                  <c:v>24221.9</c:v>
                </c:pt>
                <c:pt idx="765">
                  <c:v>24194.5</c:v>
                </c:pt>
                <c:pt idx="766">
                  <c:v>24274.9</c:v>
                </c:pt>
                <c:pt idx="767">
                  <c:v>23914.15</c:v>
                </c:pt>
                <c:pt idx="768">
                  <c:v>24131.1</c:v>
                </c:pt>
                <c:pt idx="769">
                  <c:v>24276.05</c:v>
                </c:pt>
                <c:pt idx="770">
                  <c:v>24457.15</c:v>
                </c:pt>
                <c:pt idx="771">
                  <c:v>24467.45</c:v>
                </c:pt>
                <c:pt idx="772">
                  <c:v>24708.400000000001</c:v>
                </c:pt>
                <c:pt idx="773">
                  <c:v>24677.8</c:v>
                </c:pt>
                <c:pt idx="774">
                  <c:v>24619</c:v>
                </c:pt>
                <c:pt idx="775">
                  <c:v>24610.05</c:v>
                </c:pt>
                <c:pt idx="776">
                  <c:v>24641.8</c:v>
                </c:pt>
                <c:pt idx="777">
                  <c:v>24548.7</c:v>
                </c:pt>
                <c:pt idx="778">
                  <c:v>24768.3</c:v>
                </c:pt>
                <c:pt idx="779">
                  <c:v>24668.25</c:v>
                </c:pt>
                <c:pt idx="780">
                  <c:v>24336</c:v>
                </c:pt>
                <c:pt idx="781">
                  <c:v>24198.85</c:v>
                </c:pt>
                <c:pt idx="782">
                  <c:v>23951.7</c:v>
                </c:pt>
                <c:pt idx="783">
                  <c:v>23587.5</c:v>
                </c:pt>
                <c:pt idx="784">
                  <c:v>23753.45</c:v>
                </c:pt>
                <c:pt idx="785">
                  <c:v>23727.65</c:v>
                </c:pt>
                <c:pt idx="786">
                  <c:v>23750.2</c:v>
                </c:pt>
                <c:pt idx="787">
                  <c:v>23813.4</c:v>
                </c:pt>
                <c:pt idx="788">
                  <c:v>23644.9</c:v>
                </c:pt>
                <c:pt idx="789">
                  <c:v>23644.799999999999</c:v>
                </c:pt>
                <c:pt idx="790">
                  <c:v>23742.9</c:v>
                </c:pt>
                <c:pt idx="791">
                  <c:v>24188.65</c:v>
                </c:pt>
                <c:pt idx="792">
                  <c:v>24004.75</c:v>
                </c:pt>
                <c:pt idx="793">
                  <c:v>23616.05</c:v>
                </c:pt>
                <c:pt idx="794">
                  <c:v>23707.9</c:v>
                </c:pt>
                <c:pt idx="795">
                  <c:v>23688.95</c:v>
                </c:pt>
                <c:pt idx="796">
                  <c:v>23526.5</c:v>
                </c:pt>
                <c:pt idx="797">
                  <c:v>23431.5</c:v>
                </c:pt>
                <c:pt idx="798">
                  <c:v>23085.95</c:v>
                </c:pt>
                <c:pt idx="799">
                  <c:v>23176.05</c:v>
                </c:pt>
                <c:pt idx="800">
                  <c:v>23213.200000000001</c:v>
                </c:pt>
                <c:pt idx="801">
                  <c:v>23311.8</c:v>
                </c:pt>
                <c:pt idx="802">
                  <c:v>23203.200000000001</c:v>
                </c:pt>
                <c:pt idx="803">
                  <c:v>23344.75</c:v>
                </c:pt>
                <c:pt idx="804">
                  <c:v>23024.65</c:v>
                </c:pt>
                <c:pt idx="805">
                  <c:v>23155.35</c:v>
                </c:pt>
                <c:pt idx="806">
                  <c:v>23205.35</c:v>
                </c:pt>
                <c:pt idx="807">
                  <c:v>23092.2</c:v>
                </c:pt>
                <c:pt idx="808">
                  <c:v>22829.15</c:v>
                </c:pt>
                <c:pt idx="809">
                  <c:v>22957.25</c:v>
                </c:pt>
                <c:pt idx="810">
                  <c:v>23163.1</c:v>
                </c:pt>
                <c:pt idx="811">
                  <c:v>23249.5</c:v>
                </c:pt>
                <c:pt idx="812">
                  <c:v>23508.400000000001</c:v>
                </c:pt>
                <c:pt idx="813">
                  <c:v>23482.15</c:v>
                </c:pt>
                <c:pt idx="814">
                  <c:v>23361.05</c:v>
                </c:pt>
                <c:pt idx="815">
                  <c:v>23739.25</c:v>
                </c:pt>
                <c:pt idx="816">
                  <c:v>23696.3</c:v>
                </c:pt>
                <c:pt idx="817">
                  <c:v>23603.35</c:v>
                </c:pt>
                <c:pt idx="818">
                  <c:v>23559.95</c:v>
                </c:pt>
                <c:pt idx="819">
                  <c:v>23381.599999999999</c:v>
                </c:pt>
                <c:pt idx="820">
                  <c:v>23071.8</c:v>
                </c:pt>
                <c:pt idx="821">
                  <c:v>23045.25</c:v>
                </c:pt>
                <c:pt idx="822">
                  <c:v>23031.4</c:v>
                </c:pt>
                <c:pt idx="823">
                  <c:v>22929.25</c:v>
                </c:pt>
                <c:pt idx="824">
                  <c:v>22959.5</c:v>
                </c:pt>
                <c:pt idx="825">
                  <c:v>22945.3</c:v>
                </c:pt>
                <c:pt idx="826">
                  <c:v>22932.9</c:v>
                </c:pt>
                <c:pt idx="827">
                  <c:v>22913.15</c:v>
                </c:pt>
                <c:pt idx="828">
                  <c:v>22795.9</c:v>
                </c:pt>
                <c:pt idx="829">
                  <c:v>22553.35</c:v>
                </c:pt>
                <c:pt idx="830">
                  <c:v>22547.55</c:v>
                </c:pt>
                <c:pt idx="831">
                  <c:v>22545.05</c:v>
                </c:pt>
                <c:pt idx="832">
                  <c:v>22124.7</c:v>
                </c:pt>
                <c:pt idx="833">
                  <c:v>22119.3</c:v>
                </c:pt>
                <c:pt idx="834">
                  <c:v>22082.65</c:v>
                </c:pt>
                <c:pt idx="835">
                  <c:v>22337.3</c:v>
                </c:pt>
                <c:pt idx="836">
                  <c:v>22544.7</c:v>
                </c:pt>
                <c:pt idx="837">
                  <c:v>22552.5</c:v>
                </c:pt>
                <c:pt idx="838">
                  <c:v>22460.3</c:v>
                </c:pt>
                <c:pt idx="839">
                  <c:v>22497.9</c:v>
                </c:pt>
                <c:pt idx="840">
                  <c:v>22470.5</c:v>
                </c:pt>
                <c:pt idx="841">
                  <c:v>22397.200000000001</c:v>
                </c:pt>
                <c:pt idx="842">
                  <c:v>22508.75</c:v>
                </c:pt>
                <c:pt idx="843">
                  <c:v>22834.3</c:v>
                </c:pt>
                <c:pt idx="844">
                  <c:v>22907.599999999999</c:v>
                </c:pt>
                <c:pt idx="845">
                  <c:v>23190.65</c:v>
                </c:pt>
                <c:pt idx="846">
                  <c:v>23350.400000000001</c:v>
                </c:pt>
                <c:pt idx="847">
                  <c:v>23658.35</c:v>
                </c:pt>
                <c:pt idx="848">
                  <c:v>23668.65</c:v>
                </c:pt>
                <c:pt idx="849">
                  <c:v>23486.85</c:v>
                </c:pt>
                <c:pt idx="850">
                  <c:v>23591.95</c:v>
                </c:pt>
                <c:pt idx="851">
                  <c:v>23519.35</c:v>
                </c:pt>
                <c:pt idx="852">
                  <c:v>23165.7</c:v>
                </c:pt>
                <c:pt idx="853">
                  <c:v>23332.35</c:v>
                </c:pt>
                <c:pt idx="854">
                  <c:v>23250.1</c:v>
                </c:pt>
                <c:pt idx="855">
                  <c:v>22904.45</c:v>
                </c:pt>
                <c:pt idx="856">
                  <c:v>22161.599999999999</c:v>
                </c:pt>
                <c:pt idx="857">
                  <c:v>22535.85</c:v>
                </c:pt>
                <c:pt idx="858">
                  <c:v>22399.15</c:v>
                </c:pt>
                <c:pt idx="859">
                  <c:v>22828.55</c:v>
                </c:pt>
                <c:pt idx="860">
                  <c:v>23328.55</c:v>
                </c:pt>
                <c:pt idx="861">
                  <c:v>23437.200000000001</c:v>
                </c:pt>
                <c:pt idx="862">
                  <c:v>23851.65</c:v>
                </c:pt>
                <c:pt idx="863">
                  <c:v>24125.55</c:v>
                </c:pt>
                <c:pt idx="864">
                  <c:v>24167.25</c:v>
                </c:pt>
                <c:pt idx="865">
                  <c:v>24328.95</c:v>
                </c:pt>
                <c:pt idx="866">
                  <c:v>24246.7</c:v>
                </c:pt>
                <c:pt idx="867">
                  <c:v>24039.35</c:v>
                </c:pt>
                <c:pt idx="868">
                  <c:v>24328.5</c:v>
                </c:pt>
                <c:pt idx="869">
                  <c:v>24335.95</c:v>
                </c:pt>
                <c:pt idx="870">
                  <c:v>24334.2</c:v>
                </c:pt>
                <c:pt idx="871">
                  <c:v>24346.7</c:v>
                </c:pt>
                <c:pt idx="872">
                  <c:v>24461.15</c:v>
                </c:pt>
                <c:pt idx="873">
                  <c:v>24379.599999999999</c:v>
                </c:pt>
                <c:pt idx="874">
                  <c:v>24414.400000000001</c:v>
                </c:pt>
                <c:pt idx="875">
                  <c:v>24273.8</c:v>
                </c:pt>
                <c:pt idx="876">
                  <c:v>24008</c:v>
                </c:pt>
                <c:pt idx="877">
                  <c:v>24924.7</c:v>
                </c:pt>
                <c:pt idx="878">
                  <c:v>24578.35</c:v>
                </c:pt>
                <c:pt idx="879">
                  <c:v>24666.9</c:v>
                </c:pt>
                <c:pt idx="880">
                  <c:v>25062.1</c:v>
                </c:pt>
                <c:pt idx="881">
                  <c:v>25019.8</c:v>
                </c:pt>
                <c:pt idx="882">
                  <c:v>24945.45</c:v>
                </c:pt>
                <c:pt idx="883">
                  <c:v>24683.9</c:v>
                </c:pt>
                <c:pt idx="884">
                  <c:v>24813.45</c:v>
                </c:pt>
                <c:pt idx="885">
                  <c:v>24609.7</c:v>
                </c:pt>
                <c:pt idx="886">
                  <c:v>24853.15</c:v>
                </c:pt>
                <c:pt idx="887">
                  <c:v>25001.15</c:v>
                </c:pt>
                <c:pt idx="888">
                  <c:v>24826.2</c:v>
                </c:pt>
                <c:pt idx="889">
                  <c:v>24752.45</c:v>
                </c:pt>
                <c:pt idx="890">
                  <c:v>24833.599999999999</c:v>
                </c:pt>
                <c:pt idx="891">
                  <c:v>24750.7</c:v>
                </c:pt>
                <c:pt idx="892">
                  <c:v>24716.6</c:v>
                </c:pt>
                <c:pt idx="893">
                  <c:v>24542.5</c:v>
                </c:pt>
                <c:pt idx="894">
                  <c:v>24620.2</c:v>
                </c:pt>
                <c:pt idx="895">
                  <c:v>24750.9</c:v>
                </c:pt>
                <c:pt idx="896">
                  <c:v>25003.05</c:v>
                </c:pt>
                <c:pt idx="897">
                  <c:v>25103.200000000001</c:v>
                </c:pt>
                <c:pt idx="898">
                  <c:v>25104.25</c:v>
                </c:pt>
                <c:pt idx="899">
                  <c:v>25141.4</c:v>
                </c:pt>
                <c:pt idx="900">
                  <c:v>24888.2</c:v>
                </c:pt>
                <c:pt idx="901">
                  <c:v>24718.6</c:v>
                </c:pt>
                <c:pt idx="902">
                  <c:v>24946.5</c:v>
                </c:pt>
                <c:pt idx="903">
                  <c:v>24853.4</c:v>
                </c:pt>
                <c:pt idx="904">
                  <c:v>24812.05</c:v>
                </c:pt>
                <c:pt idx="905">
                  <c:v>24793.25</c:v>
                </c:pt>
                <c:pt idx="906">
                  <c:v>25112.400000000001</c:v>
                </c:pt>
                <c:pt idx="907">
                  <c:v>24971.9</c:v>
                </c:pt>
                <c:pt idx="908">
                  <c:v>25044.35</c:v>
                </c:pt>
                <c:pt idx="909">
                  <c:v>25244.75</c:v>
                </c:pt>
                <c:pt idx="910">
                  <c:v>25549</c:v>
                </c:pt>
                <c:pt idx="911">
                  <c:v>25637.8</c:v>
                </c:pt>
                <c:pt idx="912">
                  <c:v>25517.05</c:v>
                </c:pt>
                <c:pt idx="913">
                  <c:v>25541.8</c:v>
                </c:pt>
                <c:pt idx="914">
                  <c:v>25453.4</c:v>
                </c:pt>
                <c:pt idx="915">
                  <c:v>25405.3</c:v>
                </c:pt>
                <c:pt idx="916">
                  <c:v>25461</c:v>
                </c:pt>
                <c:pt idx="917">
                  <c:v>25461.3</c:v>
                </c:pt>
                <c:pt idx="918">
                  <c:v>25522.5</c:v>
                </c:pt>
                <c:pt idx="919">
                  <c:v>25476.1</c:v>
                </c:pt>
                <c:pt idx="920">
                  <c:v>25355.25</c:v>
                </c:pt>
                <c:pt idx="921">
                  <c:v>25149.85</c:v>
                </c:pt>
                <c:pt idx="922">
                  <c:v>25082.3</c:v>
                </c:pt>
                <c:pt idx="923">
                  <c:v>25195.8</c:v>
                </c:pt>
                <c:pt idx="924">
                  <c:v>25212.05</c:v>
                </c:pt>
                <c:pt idx="925">
                  <c:v>25111.45</c:v>
                </c:pt>
                <c:pt idx="926">
                  <c:v>24968.400000000001</c:v>
                </c:pt>
                <c:pt idx="927">
                  <c:v>25090.7</c:v>
                </c:pt>
                <c:pt idx="928">
                  <c:v>25060.9</c:v>
                </c:pt>
                <c:pt idx="929">
                  <c:v>25219.9</c:v>
                </c:pt>
                <c:pt idx="930">
                  <c:v>25062.1</c:v>
                </c:pt>
                <c:pt idx="931">
                  <c:v>24837</c:v>
                </c:pt>
                <c:pt idx="932">
                  <c:v>24680.9</c:v>
                </c:pt>
                <c:pt idx="933">
                  <c:v>24821.1</c:v>
                </c:pt>
                <c:pt idx="934">
                  <c:v>24855.05</c:v>
                </c:pt>
                <c:pt idx="935">
                  <c:v>24768.35</c:v>
                </c:pt>
                <c:pt idx="936">
                  <c:v>24565.35</c:v>
                </c:pt>
                <c:pt idx="937">
                  <c:v>24722.75</c:v>
                </c:pt>
                <c:pt idx="938">
                  <c:v>24649.55</c:v>
                </c:pt>
                <c:pt idx="939">
                  <c:v>24574.2</c:v>
                </c:pt>
                <c:pt idx="940">
                  <c:v>24596.15</c:v>
                </c:pt>
                <c:pt idx="941">
                  <c:v>24363.3</c:v>
                </c:pt>
                <c:pt idx="942">
                  <c:v>24585.05</c:v>
                </c:pt>
                <c:pt idx="943">
                  <c:v>24487.4</c:v>
                </c:pt>
                <c:pt idx="944">
                  <c:v>24619.35</c:v>
                </c:pt>
                <c:pt idx="945">
                  <c:v>24631.3</c:v>
                </c:pt>
                <c:pt idx="946">
                  <c:v>24876.95</c:v>
                </c:pt>
                <c:pt idx="947">
                  <c:v>24980.65</c:v>
                </c:pt>
                <c:pt idx="948">
                  <c:v>25050.55</c:v>
                </c:pt>
                <c:pt idx="949">
                  <c:v>25083.75</c:v>
                </c:pt>
                <c:pt idx="950">
                  <c:v>24870.1</c:v>
                </c:pt>
                <c:pt idx="951">
                  <c:v>24967.75</c:v>
                </c:pt>
                <c:pt idx="952">
                  <c:v>24712.05</c:v>
                </c:pt>
                <c:pt idx="953">
                  <c:v>24500.9</c:v>
                </c:pt>
                <c:pt idx="954">
                  <c:v>24426.85</c:v>
                </c:pt>
                <c:pt idx="955">
                  <c:v>24625.05</c:v>
                </c:pt>
                <c:pt idx="956">
                  <c:v>24579.599999999999</c:v>
                </c:pt>
                <c:pt idx="957">
                  <c:v>24715.05</c:v>
                </c:pt>
                <c:pt idx="958">
                  <c:v>24734.3</c:v>
                </c:pt>
                <c:pt idx="959">
                  <c:v>24741</c:v>
                </c:pt>
                <c:pt idx="960">
                  <c:v>24773.15</c:v>
                </c:pt>
                <c:pt idx="961">
                  <c:v>24868.6</c:v>
                </c:pt>
                <c:pt idx="962">
                  <c:v>24973.1</c:v>
                </c:pt>
                <c:pt idx="963">
                  <c:v>25005.5</c:v>
                </c:pt>
                <c:pt idx="964">
                  <c:v>25114</c:v>
                </c:pt>
                <c:pt idx="965">
                  <c:v>25069.200000000001</c:v>
                </c:pt>
                <c:pt idx="966">
                  <c:v>25239.1</c:v>
                </c:pt>
                <c:pt idx="967">
                  <c:v>25330.25</c:v>
                </c:pt>
                <c:pt idx="968">
                  <c:v>25423.599999999999</c:v>
                </c:pt>
                <c:pt idx="969">
                  <c:v>25327.05</c:v>
                </c:pt>
                <c:pt idx="970">
                  <c:v>25202.35</c:v>
                </c:pt>
                <c:pt idx="971">
                  <c:v>25169.5</c:v>
                </c:pt>
                <c:pt idx="972">
                  <c:v>25056.9</c:v>
                </c:pt>
                <c:pt idx="973">
                  <c:v>24890.85</c:v>
                </c:pt>
                <c:pt idx="974">
                  <c:v>24654.7</c:v>
                </c:pt>
                <c:pt idx="975">
                  <c:v>24634.9</c:v>
                </c:pt>
                <c:pt idx="976">
                  <c:v>24611.1</c:v>
                </c:pt>
                <c:pt idx="977">
                  <c:v>24836.3</c:v>
                </c:pt>
                <c:pt idx="978">
                  <c:v>24894.25</c:v>
                </c:pt>
                <c:pt idx="979">
                  <c:v>25077.65</c:v>
                </c:pt>
                <c:pt idx="980">
                  <c:v>25108.3</c:v>
                </c:pt>
                <c:pt idx="981">
                  <c:v>25046.15</c:v>
                </c:pt>
                <c:pt idx="982">
                  <c:v>25181.8</c:v>
                </c:pt>
                <c:pt idx="983">
                  <c:v>25285.35</c:v>
                </c:pt>
                <c:pt idx="984">
                  <c:v>25227.35</c:v>
                </c:pt>
                <c:pt idx="985">
                  <c:v>25145.5</c:v>
                </c:pt>
                <c:pt idx="986">
                  <c:v>25323.55</c:v>
                </c:pt>
                <c:pt idx="987">
                  <c:v>25585.3</c:v>
                </c:pt>
                <c:pt idx="988">
                  <c:v>25709.85</c:v>
                </c:pt>
                <c:pt idx="989">
                  <c:v>25843.15</c:v>
                </c:pt>
                <c:pt idx="990">
                  <c:v>25868.6</c:v>
                </c:pt>
                <c:pt idx="991">
                  <c:v>25891.4</c:v>
                </c:pt>
                <c:pt idx="992">
                  <c:v>25795.15</c:v>
                </c:pt>
                <c:pt idx="993">
                  <c:v>25966.05</c:v>
                </c:pt>
                <c:pt idx="994">
                  <c:v>25936.2</c:v>
                </c:pt>
                <c:pt idx="995">
                  <c:v>26053.9</c:v>
                </c:pt>
                <c:pt idx="996">
                  <c:v>25877.85</c:v>
                </c:pt>
                <c:pt idx="997">
                  <c:v>25722.1</c:v>
                </c:pt>
                <c:pt idx="998">
                  <c:v>25763.35</c:v>
                </c:pt>
                <c:pt idx="999">
                  <c:v>25597.65</c:v>
                </c:pt>
                <c:pt idx="1000">
                  <c:v>25509.7</c:v>
                </c:pt>
                <c:pt idx="1001">
                  <c:v>25492.3</c:v>
                </c:pt>
                <c:pt idx="1002">
                  <c:v>25574.35</c:v>
                </c:pt>
                <c:pt idx="1003">
                  <c:v>25694.95</c:v>
                </c:pt>
                <c:pt idx="1004">
                  <c:v>25875.8</c:v>
                </c:pt>
                <c:pt idx="1005">
                  <c:v>25879.15</c:v>
                </c:pt>
                <c:pt idx="1006">
                  <c:v>25910.05</c:v>
                </c:pt>
                <c:pt idx="1007">
                  <c:v>26013.45</c:v>
                </c:pt>
                <c:pt idx="1008">
                  <c:v>25910.05</c:v>
                </c:pt>
                <c:pt idx="1009">
                  <c:v>26052.65</c:v>
                </c:pt>
                <c:pt idx="1010">
                  <c:v>26192.15</c:v>
                </c:pt>
                <c:pt idx="1011">
                  <c:v>26068.15</c:v>
                </c:pt>
                <c:pt idx="1012">
                  <c:v>25959.5</c:v>
                </c:pt>
                <c:pt idx="1013">
                  <c:v>25884.799999999999</c:v>
                </c:pt>
                <c:pt idx="1014">
                  <c:v>26205.3</c:v>
                </c:pt>
                <c:pt idx="1015">
                  <c:v>26215.55</c:v>
                </c:pt>
                <c:pt idx="1016">
                  <c:v>26202.95</c:v>
                </c:pt>
                <c:pt idx="1017">
                  <c:v>26175.75</c:v>
                </c:pt>
                <c:pt idx="1018">
                  <c:v>26032.2</c:v>
                </c:pt>
                <c:pt idx="1019">
                  <c:v>25986</c:v>
                </c:pt>
                <c:pt idx="1020">
                  <c:v>26033.75</c:v>
                </c:pt>
                <c:pt idx="1021">
                  <c:v>26186.45</c:v>
                </c:pt>
                <c:pt idx="1022">
                  <c:v>25960.55</c:v>
                </c:pt>
                <c:pt idx="1023">
                  <c:v>25839.65</c:v>
                </c:pt>
                <c:pt idx="1024">
                  <c:v>25758</c:v>
                </c:pt>
                <c:pt idx="1025">
                  <c:v>25898.55</c:v>
                </c:pt>
                <c:pt idx="1026">
                  <c:v>26046.95</c:v>
                </c:pt>
                <c:pt idx="1027">
                  <c:v>26027.3</c:v>
                </c:pt>
                <c:pt idx="1028">
                  <c:v>25860.1</c:v>
                </c:pt>
                <c:pt idx="1029">
                  <c:v>25818.55</c:v>
                </c:pt>
                <c:pt idx="1030">
                  <c:v>25815.55</c:v>
                </c:pt>
                <c:pt idx="1031">
                  <c:v>25966.400000000001</c:v>
                </c:pt>
                <c:pt idx="1032">
                  <c:v>26172.400000000001</c:v>
                </c:pt>
                <c:pt idx="1033">
                  <c:v>26177.15</c:v>
                </c:pt>
                <c:pt idx="1034">
                  <c:v>26142.1</c:v>
                </c:pt>
                <c:pt idx="1035">
                  <c:v>26042.3</c:v>
                </c:pt>
                <c:pt idx="1036">
                  <c:v>25942.1</c:v>
                </c:pt>
                <c:pt idx="1037">
                  <c:v>25938.85</c:v>
                </c:pt>
                <c:pt idx="1038">
                  <c:v>26129.599999999999</c:v>
                </c:pt>
              </c:numCache>
            </c:numRef>
          </c:val>
          <c:smooth val="0"/>
          <c:extLst>
            <c:ext xmlns:c16="http://schemas.microsoft.com/office/drawing/2014/chart" uri="{C3380CC4-5D6E-409C-BE32-E72D297353CC}">
              <c16:uniqueId val="{00000000-8F7E-4B6D-9561-84EC178E8EA3}"/>
            </c:ext>
          </c:extLst>
        </c:ser>
        <c:ser>
          <c:idx val="1"/>
          <c:order val="1"/>
          <c:tx>
            <c:strRef>
              <c:f>'Price trend line table'!$C$1:$C$201</c:f>
              <c:strCache>
                <c:ptCount val="201"/>
                <c:pt idx="0">
                  <c:v>20 Day moving average</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14284.6025</c:v>
                </c:pt>
                <c:pt idx="22">
                  <c:v>14297.7375</c:v>
                </c:pt>
                <c:pt idx="23">
                  <c:v>14323.485</c:v>
                </c:pt>
                <c:pt idx="24">
                  <c:v>14353.0075</c:v>
                </c:pt>
                <c:pt idx="25">
                  <c:v>14390.4775</c:v>
                </c:pt>
                <c:pt idx="26">
                  <c:v>14429.8225</c:v>
                </c:pt>
                <c:pt idx="27">
                  <c:v>14468.25</c:v>
                </c:pt>
                <c:pt idx="28">
                  <c:v>14499.4775</c:v>
                </c:pt>
                <c:pt idx="29">
                  <c:v>14526.63</c:v>
                </c:pt>
                <c:pt idx="30">
                  <c:v>14557.0525</c:v>
                </c:pt>
                <c:pt idx="31">
                  <c:v>14585.4375</c:v>
                </c:pt>
                <c:pt idx="32">
                  <c:v>14629.4875</c:v>
                </c:pt>
                <c:pt idx="33">
                  <c:v>14681.095</c:v>
                </c:pt>
                <c:pt idx="34">
                  <c:v>14715.4825</c:v>
                </c:pt>
                <c:pt idx="35">
                  <c:v>14739.195</c:v>
                </c:pt>
                <c:pt idx="36">
                  <c:v>14758.765</c:v>
                </c:pt>
                <c:pt idx="37">
                  <c:v>14773.955</c:v>
                </c:pt>
                <c:pt idx="38">
                  <c:v>14797.4</c:v>
                </c:pt>
                <c:pt idx="39">
                  <c:v>14848.125</c:v>
                </c:pt>
                <c:pt idx="40">
                  <c:v>14912.115</c:v>
                </c:pt>
                <c:pt idx="41">
                  <c:v>14956.8425</c:v>
                </c:pt>
                <c:pt idx="42">
                  <c:v>14980.86</c:v>
                </c:pt>
                <c:pt idx="43">
                  <c:v>14994.4225</c:v>
                </c:pt>
                <c:pt idx="44">
                  <c:v>15017.205</c:v>
                </c:pt>
                <c:pt idx="45">
                  <c:v>15026.46</c:v>
                </c:pt>
                <c:pt idx="46">
                  <c:v>15027.1525</c:v>
                </c:pt>
                <c:pt idx="47">
                  <c:v>15019.1725</c:v>
                </c:pt>
                <c:pt idx="48">
                  <c:v>15018.6275</c:v>
                </c:pt>
                <c:pt idx="49">
                  <c:v>15022.0425</c:v>
                </c:pt>
                <c:pt idx="50">
                  <c:v>15014.925</c:v>
                </c:pt>
                <c:pt idx="51">
                  <c:v>15003.235</c:v>
                </c:pt>
                <c:pt idx="52">
                  <c:v>14983.0225</c:v>
                </c:pt>
                <c:pt idx="53">
                  <c:v>14953.415</c:v>
                </c:pt>
                <c:pt idx="54">
                  <c:v>14920.8625</c:v>
                </c:pt>
                <c:pt idx="55">
                  <c:v>14902.115</c:v>
                </c:pt>
                <c:pt idx="56">
                  <c:v>14889.8475</c:v>
                </c:pt>
                <c:pt idx="57">
                  <c:v>14896.8</c:v>
                </c:pt>
                <c:pt idx="58">
                  <c:v>14888.88</c:v>
                </c:pt>
                <c:pt idx="59">
                  <c:v>14856.025</c:v>
                </c:pt>
                <c:pt idx="60">
                  <c:v>14826.5225</c:v>
                </c:pt>
                <c:pt idx="61">
                  <c:v>14842.32</c:v>
                </c:pt>
                <c:pt idx="62">
                  <c:v>14838.7775</c:v>
                </c:pt>
                <c:pt idx="63">
                  <c:v>14836.19</c:v>
                </c:pt>
                <c:pt idx="64">
                  <c:v>14805.8</c:v>
                </c:pt>
                <c:pt idx="65">
                  <c:v>14785.9375</c:v>
                </c:pt>
                <c:pt idx="66">
                  <c:v>14779.985</c:v>
                </c:pt>
                <c:pt idx="67">
                  <c:v>14775.865</c:v>
                </c:pt>
                <c:pt idx="68">
                  <c:v>14762.6875</c:v>
                </c:pt>
                <c:pt idx="69">
                  <c:v>14719.4875</c:v>
                </c:pt>
                <c:pt idx="70">
                  <c:v>14693.18</c:v>
                </c:pt>
                <c:pt idx="71">
                  <c:v>14675.7775</c:v>
                </c:pt>
                <c:pt idx="72">
                  <c:v>14661.1475</c:v>
                </c:pt>
                <c:pt idx="73">
                  <c:v>14643.055</c:v>
                </c:pt>
                <c:pt idx="74">
                  <c:v>14629.9825</c:v>
                </c:pt>
                <c:pt idx="75">
                  <c:v>14613.09</c:v>
                </c:pt>
                <c:pt idx="76">
                  <c:v>14593.3375</c:v>
                </c:pt>
                <c:pt idx="77">
                  <c:v>14576.85</c:v>
                </c:pt>
                <c:pt idx="78">
                  <c:v>14582.0325</c:v>
                </c:pt>
                <c:pt idx="79">
                  <c:v>14609.015</c:v>
                </c:pt>
                <c:pt idx="80">
                  <c:v>14628.395</c:v>
                </c:pt>
                <c:pt idx="81">
                  <c:v>14617.695</c:v>
                </c:pt>
                <c:pt idx="82">
                  <c:v>14614.8675</c:v>
                </c:pt>
                <c:pt idx="83">
                  <c:v>14596.325</c:v>
                </c:pt>
                <c:pt idx="84">
                  <c:v>14595.3275</c:v>
                </c:pt>
                <c:pt idx="85">
                  <c:v>14597.3925</c:v>
                </c:pt>
                <c:pt idx="86">
                  <c:v>14597.5975</c:v>
                </c:pt>
                <c:pt idx="87">
                  <c:v>14601.025</c:v>
                </c:pt>
                <c:pt idx="88">
                  <c:v>14601.82</c:v>
                </c:pt>
                <c:pt idx="89">
                  <c:v>14621.105</c:v>
                </c:pt>
                <c:pt idx="90">
                  <c:v>14629.755</c:v>
                </c:pt>
                <c:pt idx="91">
                  <c:v>14646.84</c:v>
                </c:pt>
                <c:pt idx="92">
                  <c:v>14671.3525</c:v>
                </c:pt>
                <c:pt idx="93">
                  <c:v>14704.8875</c:v>
                </c:pt>
                <c:pt idx="94">
                  <c:v>14735.37</c:v>
                </c:pt>
                <c:pt idx="95">
                  <c:v>14773.8275</c:v>
                </c:pt>
                <c:pt idx="96">
                  <c:v>14816.645</c:v>
                </c:pt>
                <c:pt idx="97">
                  <c:v>14852.8175</c:v>
                </c:pt>
                <c:pt idx="98">
                  <c:v>14885.2375</c:v>
                </c:pt>
                <c:pt idx="99">
                  <c:v>14908.9025</c:v>
                </c:pt>
                <c:pt idx="100">
                  <c:v>14935.94</c:v>
                </c:pt>
                <c:pt idx="101">
                  <c:v>14983.525</c:v>
                </c:pt>
                <c:pt idx="102">
                  <c:v>15030.56</c:v>
                </c:pt>
                <c:pt idx="103">
                  <c:v>15084.545</c:v>
                </c:pt>
                <c:pt idx="104">
                  <c:v>15138.17</c:v>
                </c:pt>
                <c:pt idx="105">
                  <c:v>15185.4425</c:v>
                </c:pt>
                <c:pt idx="106">
                  <c:v>15231.8675</c:v>
                </c:pt>
                <c:pt idx="107">
                  <c:v>15271.755</c:v>
                </c:pt>
                <c:pt idx="108">
                  <c:v>15310.985</c:v>
                </c:pt>
                <c:pt idx="109">
                  <c:v>15363.0475</c:v>
                </c:pt>
                <c:pt idx="110">
                  <c:v>15419.125</c:v>
                </c:pt>
                <c:pt idx="111">
                  <c:v>15463.56</c:v>
                </c:pt>
                <c:pt idx="112">
                  <c:v>15501.6175</c:v>
                </c:pt>
                <c:pt idx="113">
                  <c:v>15538.4875</c:v>
                </c:pt>
                <c:pt idx="114">
                  <c:v>15577.755</c:v>
                </c:pt>
                <c:pt idx="115">
                  <c:v>15603.1575</c:v>
                </c:pt>
                <c:pt idx="116">
                  <c:v>15630.5975</c:v>
                </c:pt>
                <c:pt idx="117">
                  <c:v>15658.8125</c:v>
                </c:pt>
                <c:pt idx="118">
                  <c:v>15678.0875</c:v>
                </c:pt>
                <c:pt idx="119">
                  <c:v>15700.7175</c:v>
                </c:pt>
                <c:pt idx="120">
                  <c:v>15721.9525</c:v>
                </c:pt>
                <c:pt idx="121">
                  <c:v>15733.5475</c:v>
                </c:pt>
                <c:pt idx="122">
                  <c:v>15742.2275</c:v>
                </c:pt>
                <c:pt idx="123">
                  <c:v>15749.4925</c:v>
                </c:pt>
                <c:pt idx="124">
                  <c:v>15748.975</c:v>
                </c:pt>
                <c:pt idx="125">
                  <c:v>15751.5725</c:v>
                </c:pt>
                <c:pt idx="126">
                  <c:v>15755.7075</c:v>
                </c:pt>
                <c:pt idx="127">
                  <c:v>15759.615</c:v>
                </c:pt>
                <c:pt idx="128">
                  <c:v>15771.83</c:v>
                </c:pt>
                <c:pt idx="129">
                  <c:v>15771.3375</c:v>
                </c:pt>
                <c:pt idx="130">
                  <c:v>15765.86</c:v>
                </c:pt>
                <c:pt idx="131">
                  <c:v>15759.8975</c:v>
                </c:pt>
                <c:pt idx="132">
                  <c:v>15757.0525</c:v>
                </c:pt>
                <c:pt idx="133">
                  <c:v>15761.3725</c:v>
                </c:pt>
                <c:pt idx="134">
                  <c:v>15773.0125</c:v>
                </c:pt>
                <c:pt idx="135">
                  <c:v>15785.015</c:v>
                </c:pt>
                <c:pt idx="136">
                  <c:v>15785.31</c:v>
                </c:pt>
                <c:pt idx="137">
                  <c:v>15778.2775</c:v>
                </c:pt>
                <c:pt idx="138">
                  <c:v>15785.1325</c:v>
                </c:pt>
                <c:pt idx="139">
                  <c:v>15788.4125</c:v>
                </c:pt>
                <c:pt idx="140">
                  <c:v>15786.6175</c:v>
                </c:pt>
                <c:pt idx="141">
                  <c:v>15783.205</c:v>
                </c:pt>
                <c:pt idx="142">
                  <c:v>15781.2525</c:v>
                </c:pt>
                <c:pt idx="143">
                  <c:v>15784.1</c:v>
                </c:pt>
                <c:pt idx="144">
                  <c:v>15788.2525</c:v>
                </c:pt>
                <c:pt idx="145">
                  <c:v>15796.4</c:v>
                </c:pt>
                <c:pt idx="146">
                  <c:v>15811.22</c:v>
                </c:pt>
                <c:pt idx="147">
                  <c:v>15833.2475</c:v>
                </c:pt>
                <c:pt idx="148">
                  <c:v>15853.995</c:v>
                </c:pt>
                <c:pt idx="149">
                  <c:v>15879.51</c:v>
                </c:pt>
                <c:pt idx="150">
                  <c:v>15907.9325</c:v>
                </c:pt>
                <c:pt idx="151">
                  <c:v>15937.3075</c:v>
                </c:pt>
                <c:pt idx="152">
                  <c:v>15960.8025</c:v>
                </c:pt>
                <c:pt idx="153">
                  <c:v>15986.325</c:v>
                </c:pt>
                <c:pt idx="154">
                  <c:v>16016.57</c:v>
                </c:pt>
                <c:pt idx="155">
                  <c:v>16048.5525</c:v>
                </c:pt>
                <c:pt idx="156">
                  <c:v>16091.6625</c:v>
                </c:pt>
                <c:pt idx="157">
                  <c:v>16138.5</c:v>
                </c:pt>
                <c:pt idx="158">
                  <c:v>16169.8225</c:v>
                </c:pt>
                <c:pt idx="159">
                  <c:v>16201.8425</c:v>
                </c:pt>
                <c:pt idx="160">
                  <c:v>16241.85</c:v>
                </c:pt>
                <c:pt idx="161">
                  <c:v>16286.26</c:v>
                </c:pt>
                <c:pt idx="162">
                  <c:v>16332.635</c:v>
                </c:pt>
                <c:pt idx="163">
                  <c:v>16378.9725</c:v>
                </c:pt>
                <c:pt idx="164">
                  <c:v>16437.3725</c:v>
                </c:pt>
                <c:pt idx="165">
                  <c:v>16499.725</c:v>
                </c:pt>
                <c:pt idx="166">
                  <c:v>16547</c:v>
                </c:pt>
                <c:pt idx="167">
                  <c:v>16595.7675</c:v>
                </c:pt>
                <c:pt idx="168">
                  <c:v>16647.2175</c:v>
                </c:pt>
                <c:pt idx="169">
                  <c:v>16704.1975</c:v>
                </c:pt>
                <c:pt idx="170">
                  <c:v>16759.39</c:v>
                </c:pt>
                <c:pt idx="171">
                  <c:v>16813.06</c:v>
                </c:pt>
                <c:pt idx="172">
                  <c:v>16867.41</c:v>
                </c:pt>
                <c:pt idx="173">
                  <c:v>16916.955</c:v>
                </c:pt>
                <c:pt idx="174">
                  <c:v>16959.5</c:v>
                </c:pt>
                <c:pt idx="175">
                  <c:v>17007.32</c:v>
                </c:pt>
                <c:pt idx="176">
                  <c:v>17058.065</c:v>
                </c:pt>
                <c:pt idx="177">
                  <c:v>17108.88</c:v>
                </c:pt>
                <c:pt idx="178">
                  <c:v>17156.2</c:v>
                </c:pt>
                <c:pt idx="179">
                  <c:v>17209.4775</c:v>
                </c:pt>
                <c:pt idx="180">
                  <c:v>17255.58</c:v>
                </c:pt>
                <c:pt idx="181">
                  <c:v>17314.995</c:v>
                </c:pt>
                <c:pt idx="182">
                  <c:v>17375.81</c:v>
                </c:pt>
                <c:pt idx="183">
                  <c:v>17433.305</c:v>
                </c:pt>
                <c:pt idx="184">
                  <c:v>17474.1825</c:v>
                </c:pt>
                <c:pt idx="185">
                  <c:v>17503.1375</c:v>
                </c:pt>
                <c:pt idx="186">
                  <c:v>17530.2325</c:v>
                </c:pt>
                <c:pt idx="187">
                  <c:v>17545.1275</c:v>
                </c:pt>
                <c:pt idx="188">
                  <c:v>17563.51</c:v>
                </c:pt>
                <c:pt idx="189">
                  <c:v>17585.735</c:v>
                </c:pt>
                <c:pt idx="190">
                  <c:v>17599.93</c:v>
                </c:pt>
                <c:pt idx="191">
                  <c:v>17621.7725</c:v>
                </c:pt>
                <c:pt idx="192">
                  <c:v>17648.07</c:v>
                </c:pt>
                <c:pt idx="193">
                  <c:v>17677.6025</c:v>
                </c:pt>
                <c:pt idx="194">
                  <c:v>17708.2</c:v>
                </c:pt>
                <c:pt idx="195">
                  <c:v>17740.315</c:v>
                </c:pt>
                <c:pt idx="196">
                  <c:v>17775.7675</c:v>
                </c:pt>
                <c:pt idx="197">
                  <c:v>17820.3625</c:v>
                </c:pt>
                <c:pt idx="198">
                  <c:v>17871.455</c:v>
                </c:pt>
                <c:pt idx="199">
                  <c:v>17906.685</c:v>
                </c:pt>
                <c:pt idx="200">
                  <c:v>17938.2575</c:v>
                </c:pt>
              </c:strCache>
            </c:strRef>
          </c:tx>
          <c:spPr>
            <a:ln w="22225" cap="rnd" cmpd="sng" algn="ctr">
              <a:solidFill>
                <a:schemeClr val="accent2"/>
              </a:solidFill>
              <a:round/>
            </a:ln>
            <a:effectLst/>
          </c:spPr>
          <c:marker>
            <c:symbol val="none"/>
          </c:marker>
          <c:cat>
            <c:numRef>
              <c:f>'Price trend line table'!$A$202:$A$1241</c:f>
              <c:numCache>
                <c:formatCode>d\-mmm\-yy</c:formatCode>
                <c:ptCount val="1040"/>
                <c:pt idx="0">
                  <c:v>44494</c:v>
                </c:pt>
                <c:pt idx="1">
                  <c:v>44495</c:v>
                </c:pt>
                <c:pt idx="2">
                  <c:v>44496</c:v>
                </c:pt>
                <c:pt idx="3">
                  <c:v>44497</c:v>
                </c:pt>
                <c:pt idx="4">
                  <c:v>44498</c:v>
                </c:pt>
                <c:pt idx="5">
                  <c:v>44501</c:v>
                </c:pt>
                <c:pt idx="6">
                  <c:v>44502</c:v>
                </c:pt>
                <c:pt idx="7">
                  <c:v>44503</c:v>
                </c:pt>
                <c:pt idx="8">
                  <c:v>44504</c:v>
                </c:pt>
                <c:pt idx="9">
                  <c:v>44508</c:v>
                </c:pt>
                <c:pt idx="10">
                  <c:v>44509</c:v>
                </c:pt>
                <c:pt idx="11">
                  <c:v>44510</c:v>
                </c:pt>
                <c:pt idx="12">
                  <c:v>44511</c:v>
                </c:pt>
                <c:pt idx="13">
                  <c:v>44512</c:v>
                </c:pt>
                <c:pt idx="14">
                  <c:v>44515</c:v>
                </c:pt>
                <c:pt idx="15">
                  <c:v>44516</c:v>
                </c:pt>
                <c:pt idx="16">
                  <c:v>44517</c:v>
                </c:pt>
                <c:pt idx="17">
                  <c:v>44518</c:v>
                </c:pt>
                <c:pt idx="18">
                  <c:v>44522</c:v>
                </c:pt>
                <c:pt idx="19">
                  <c:v>44523</c:v>
                </c:pt>
                <c:pt idx="20">
                  <c:v>44524</c:v>
                </c:pt>
                <c:pt idx="21">
                  <c:v>44525</c:v>
                </c:pt>
                <c:pt idx="22">
                  <c:v>44526</c:v>
                </c:pt>
                <c:pt idx="23">
                  <c:v>44529</c:v>
                </c:pt>
                <c:pt idx="24">
                  <c:v>44530</c:v>
                </c:pt>
                <c:pt idx="25">
                  <c:v>44531</c:v>
                </c:pt>
                <c:pt idx="26">
                  <c:v>44532</c:v>
                </c:pt>
                <c:pt idx="27">
                  <c:v>44533</c:v>
                </c:pt>
                <c:pt idx="28">
                  <c:v>44536</c:v>
                </c:pt>
                <c:pt idx="29">
                  <c:v>44537</c:v>
                </c:pt>
                <c:pt idx="30">
                  <c:v>44538</c:v>
                </c:pt>
                <c:pt idx="31">
                  <c:v>44539</c:v>
                </c:pt>
                <c:pt idx="32">
                  <c:v>44540</c:v>
                </c:pt>
                <c:pt idx="33">
                  <c:v>44543</c:v>
                </c:pt>
                <c:pt idx="34">
                  <c:v>44544</c:v>
                </c:pt>
                <c:pt idx="35">
                  <c:v>44545</c:v>
                </c:pt>
                <c:pt idx="36">
                  <c:v>44546</c:v>
                </c:pt>
                <c:pt idx="37">
                  <c:v>44547</c:v>
                </c:pt>
                <c:pt idx="38">
                  <c:v>44550</c:v>
                </c:pt>
                <c:pt idx="39">
                  <c:v>44551</c:v>
                </c:pt>
                <c:pt idx="40">
                  <c:v>44552</c:v>
                </c:pt>
                <c:pt idx="41">
                  <c:v>44553</c:v>
                </c:pt>
                <c:pt idx="42">
                  <c:v>44554</c:v>
                </c:pt>
                <c:pt idx="43">
                  <c:v>44557</c:v>
                </c:pt>
                <c:pt idx="44">
                  <c:v>44558</c:v>
                </c:pt>
                <c:pt idx="45">
                  <c:v>44559</c:v>
                </c:pt>
                <c:pt idx="46">
                  <c:v>44560</c:v>
                </c:pt>
                <c:pt idx="47">
                  <c:v>44561</c:v>
                </c:pt>
                <c:pt idx="48">
                  <c:v>44564</c:v>
                </c:pt>
                <c:pt idx="49">
                  <c:v>44565</c:v>
                </c:pt>
                <c:pt idx="50">
                  <c:v>44566</c:v>
                </c:pt>
                <c:pt idx="51">
                  <c:v>44567</c:v>
                </c:pt>
                <c:pt idx="52">
                  <c:v>44568</c:v>
                </c:pt>
                <c:pt idx="53">
                  <c:v>44571</c:v>
                </c:pt>
                <c:pt idx="54">
                  <c:v>44572</c:v>
                </c:pt>
                <c:pt idx="55">
                  <c:v>44573</c:v>
                </c:pt>
                <c:pt idx="56">
                  <c:v>44574</c:v>
                </c:pt>
                <c:pt idx="57">
                  <c:v>44575</c:v>
                </c:pt>
                <c:pt idx="58">
                  <c:v>44578</c:v>
                </c:pt>
                <c:pt idx="59">
                  <c:v>44579</c:v>
                </c:pt>
                <c:pt idx="60">
                  <c:v>44580</c:v>
                </c:pt>
                <c:pt idx="61">
                  <c:v>44581</c:v>
                </c:pt>
                <c:pt idx="62">
                  <c:v>44582</c:v>
                </c:pt>
                <c:pt idx="63">
                  <c:v>44585</c:v>
                </c:pt>
                <c:pt idx="64">
                  <c:v>44586</c:v>
                </c:pt>
                <c:pt idx="65">
                  <c:v>44588</c:v>
                </c:pt>
                <c:pt idx="66">
                  <c:v>44589</c:v>
                </c:pt>
                <c:pt idx="67">
                  <c:v>44592</c:v>
                </c:pt>
                <c:pt idx="68">
                  <c:v>44593</c:v>
                </c:pt>
                <c:pt idx="69">
                  <c:v>44594</c:v>
                </c:pt>
                <c:pt idx="70">
                  <c:v>44595</c:v>
                </c:pt>
                <c:pt idx="71">
                  <c:v>44596</c:v>
                </c:pt>
                <c:pt idx="72">
                  <c:v>44599</c:v>
                </c:pt>
                <c:pt idx="73">
                  <c:v>44600</c:v>
                </c:pt>
                <c:pt idx="74">
                  <c:v>44601</c:v>
                </c:pt>
                <c:pt idx="75">
                  <c:v>44602</c:v>
                </c:pt>
                <c:pt idx="76">
                  <c:v>44603</c:v>
                </c:pt>
                <c:pt idx="77">
                  <c:v>44606</c:v>
                </c:pt>
                <c:pt idx="78">
                  <c:v>44607</c:v>
                </c:pt>
                <c:pt idx="79">
                  <c:v>44608</c:v>
                </c:pt>
                <c:pt idx="80">
                  <c:v>44609</c:v>
                </c:pt>
                <c:pt idx="81">
                  <c:v>44610</c:v>
                </c:pt>
                <c:pt idx="82">
                  <c:v>44613</c:v>
                </c:pt>
                <c:pt idx="83">
                  <c:v>44614</c:v>
                </c:pt>
                <c:pt idx="84">
                  <c:v>44615</c:v>
                </c:pt>
                <c:pt idx="85">
                  <c:v>44616</c:v>
                </c:pt>
                <c:pt idx="86">
                  <c:v>44617</c:v>
                </c:pt>
                <c:pt idx="87">
                  <c:v>44620</c:v>
                </c:pt>
                <c:pt idx="88">
                  <c:v>44622</c:v>
                </c:pt>
                <c:pt idx="89">
                  <c:v>44623</c:v>
                </c:pt>
                <c:pt idx="90">
                  <c:v>44624</c:v>
                </c:pt>
                <c:pt idx="91">
                  <c:v>44627</c:v>
                </c:pt>
                <c:pt idx="92">
                  <c:v>44628</c:v>
                </c:pt>
                <c:pt idx="93">
                  <c:v>44629</c:v>
                </c:pt>
                <c:pt idx="94">
                  <c:v>44630</c:v>
                </c:pt>
                <c:pt idx="95">
                  <c:v>44631</c:v>
                </c:pt>
                <c:pt idx="96">
                  <c:v>44634</c:v>
                </c:pt>
                <c:pt idx="97">
                  <c:v>44635</c:v>
                </c:pt>
                <c:pt idx="98">
                  <c:v>44636</c:v>
                </c:pt>
                <c:pt idx="99">
                  <c:v>44637</c:v>
                </c:pt>
                <c:pt idx="100">
                  <c:v>44641</c:v>
                </c:pt>
                <c:pt idx="101">
                  <c:v>44642</c:v>
                </c:pt>
                <c:pt idx="102">
                  <c:v>44643</c:v>
                </c:pt>
                <c:pt idx="103">
                  <c:v>44644</c:v>
                </c:pt>
                <c:pt idx="104">
                  <c:v>44645</c:v>
                </c:pt>
                <c:pt idx="105">
                  <c:v>44648</c:v>
                </c:pt>
                <c:pt idx="106">
                  <c:v>44649</c:v>
                </c:pt>
                <c:pt idx="107">
                  <c:v>44650</c:v>
                </c:pt>
                <c:pt idx="108">
                  <c:v>44651</c:v>
                </c:pt>
                <c:pt idx="109">
                  <c:v>44652</c:v>
                </c:pt>
                <c:pt idx="110">
                  <c:v>44655</c:v>
                </c:pt>
                <c:pt idx="111">
                  <c:v>44656</c:v>
                </c:pt>
                <c:pt idx="112">
                  <c:v>44657</c:v>
                </c:pt>
                <c:pt idx="113">
                  <c:v>44658</c:v>
                </c:pt>
                <c:pt idx="114">
                  <c:v>44659</c:v>
                </c:pt>
                <c:pt idx="115">
                  <c:v>44662</c:v>
                </c:pt>
                <c:pt idx="116">
                  <c:v>44663</c:v>
                </c:pt>
                <c:pt idx="117">
                  <c:v>44664</c:v>
                </c:pt>
                <c:pt idx="118">
                  <c:v>44669</c:v>
                </c:pt>
                <c:pt idx="119">
                  <c:v>44670</c:v>
                </c:pt>
                <c:pt idx="120">
                  <c:v>44671</c:v>
                </c:pt>
                <c:pt idx="121">
                  <c:v>44672</c:v>
                </c:pt>
                <c:pt idx="122">
                  <c:v>44673</c:v>
                </c:pt>
                <c:pt idx="123">
                  <c:v>44676</c:v>
                </c:pt>
                <c:pt idx="124">
                  <c:v>44677</c:v>
                </c:pt>
                <c:pt idx="125">
                  <c:v>44678</c:v>
                </c:pt>
                <c:pt idx="126">
                  <c:v>44679</c:v>
                </c:pt>
                <c:pt idx="127">
                  <c:v>44680</c:v>
                </c:pt>
                <c:pt idx="128">
                  <c:v>44683</c:v>
                </c:pt>
                <c:pt idx="129">
                  <c:v>44685</c:v>
                </c:pt>
                <c:pt idx="130">
                  <c:v>44686</c:v>
                </c:pt>
                <c:pt idx="131">
                  <c:v>44687</c:v>
                </c:pt>
                <c:pt idx="132">
                  <c:v>44690</c:v>
                </c:pt>
                <c:pt idx="133">
                  <c:v>44691</c:v>
                </c:pt>
                <c:pt idx="134">
                  <c:v>44692</c:v>
                </c:pt>
                <c:pt idx="135">
                  <c:v>44693</c:v>
                </c:pt>
                <c:pt idx="136">
                  <c:v>44694</c:v>
                </c:pt>
                <c:pt idx="137">
                  <c:v>44697</c:v>
                </c:pt>
                <c:pt idx="138">
                  <c:v>44698</c:v>
                </c:pt>
                <c:pt idx="139">
                  <c:v>44699</c:v>
                </c:pt>
                <c:pt idx="140">
                  <c:v>44700</c:v>
                </c:pt>
                <c:pt idx="141">
                  <c:v>44701</c:v>
                </c:pt>
                <c:pt idx="142">
                  <c:v>44704</c:v>
                </c:pt>
                <c:pt idx="143">
                  <c:v>44705</c:v>
                </c:pt>
                <c:pt idx="144">
                  <c:v>44706</c:v>
                </c:pt>
                <c:pt idx="145">
                  <c:v>44707</c:v>
                </c:pt>
                <c:pt idx="146">
                  <c:v>44708</c:v>
                </c:pt>
                <c:pt idx="147">
                  <c:v>44711</c:v>
                </c:pt>
                <c:pt idx="148">
                  <c:v>44712</c:v>
                </c:pt>
                <c:pt idx="149">
                  <c:v>44713</c:v>
                </c:pt>
                <c:pt idx="150">
                  <c:v>44714</c:v>
                </c:pt>
                <c:pt idx="151">
                  <c:v>44715</c:v>
                </c:pt>
                <c:pt idx="152">
                  <c:v>44718</c:v>
                </c:pt>
                <c:pt idx="153">
                  <c:v>44719</c:v>
                </c:pt>
                <c:pt idx="154">
                  <c:v>44720</c:v>
                </c:pt>
                <c:pt idx="155">
                  <c:v>44721</c:v>
                </c:pt>
                <c:pt idx="156">
                  <c:v>44722</c:v>
                </c:pt>
                <c:pt idx="157">
                  <c:v>44725</c:v>
                </c:pt>
                <c:pt idx="158">
                  <c:v>44726</c:v>
                </c:pt>
                <c:pt idx="159">
                  <c:v>44727</c:v>
                </c:pt>
                <c:pt idx="160">
                  <c:v>44728</c:v>
                </c:pt>
                <c:pt idx="161">
                  <c:v>44729</c:v>
                </c:pt>
                <c:pt idx="162">
                  <c:v>44732</c:v>
                </c:pt>
                <c:pt idx="163">
                  <c:v>44733</c:v>
                </c:pt>
                <c:pt idx="164">
                  <c:v>44734</c:v>
                </c:pt>
                <c:pt idx="165">
                  <c:v>44735</c:v>
                </c:pt>
                <c:pt idx="166">
                  <c:v>44736</c:v>
                </c:pt>
                <c:pt idx="167">
                  <c:v>44739</c:v>
                </c:pt>
                <c:pt idx="168">
                  <c:v>44740</c:v>
                </c:pt>
                <c:pt idx="169">
                  <c:v>44741</c:v>
                </c:pt>
                <c:pt idx="170">
                  <c:v>44742</c:v>
                </c:pt>
                <c:pt idx="171">
                  <c:v>44743</c:v>
                </c:pt>
                <c:pt idx="172">
                  <c:v>44746</c:v>
                </c:pt>
                <c:pt idx="173">
                  <c:v>44747</c:v>
                </c:pt>
                <c:pt idx="174">
                  <c:v>44748</c:v>
                </c:pt>
                <c:pt idx="175">
                  <c:v>44749</c:v>
                </c:pt>
                <c:pt idx="176">
                  <c:v>44750</c:v>
                </c:pt>
                <c:pt idx="177">
                  <c:v>44753</c:v>
                </c:pt>
                <c:pt idx="178">
                  <c:v>44754</c:v>
                </c:pt>
                <c:pt idx="179">
                  <c:v>44755</c:v>
                </c:pt>
                <c:pt idx="180">
                  <c:v>44756</c:v>
                </c:pt>
                <c:pt idx="181">
                  <c:v>44757</c:v>
                </c:pt>
                <c:pt idx="182">
                  <c:v>44760</c:v>
                </c:pt>
                <c:pt idx="183">
                  <c:v>44761</c:v>
                </c:pt>
                <c:pt idx="184">
                  <c:v>44762</c:v>
                </c:pt>
                <c:pt idx="185">
                  <c:v>44763</c:v>
                </c:pt>
                <c:pt idx="186">
                  <c:v>44764</c:v>
                </c:pt>
                <c:pt idx="187">
                  <c:v>44767</c:v>
                </c:pt>
                <c:pt idx="188">
                  <c:v>44768</c:v>
                </c:pt>
                <c:pt idx="189">
                  <c:v>44769</c:v>
                </c:pt>
                <c:pt idx="190">
                  <c:v>44770</c:v>
                </c:pt>
                <c:pt idx="191">
                  <c:v>44771</c:v>
                </c:pt>
                <c:pt idx="192">
                  <c:v>44774</c:v>
                </c:pt>
                <c:pt idx="193">
                  <c:v>44775</c:v>
                </c:pt>
                <c:pt idx="194">
                  <c:v>44776</c:v>
                </c:pt>
                <c:pt idx="195">
                  <c:v>44777</c:v>
                </c:pt>
                <c:pt idx="196">
                  <c:v>44778</c:v>
                </c:pt>
                <c:pt idx="197">
                  <c:v>44781</c:v>
                </c:pt>
                <c:pt idx="198">
                  <c:v>44783</c:v>
                </c:pt>
                <c:pt idx="199">
                  <c:v>44784</c:v>
                </c:pt>
                <c:pt idx="200">
                  <c:v>44785</c:v>
                </c:pt>
                <c:pt idx="201">
                  <c:v>44789</c:v>
                </c:pt>
                <c:pt idx="202">
                  <c:v>44790</c:v>
                </c:pt>
                <c:pt idx="203">
                  <c:v>44791</c:v>
                </c:pt>
                <c:pt idx="204">
                  <c:v>44792</c:v>
                </c:pt>
                <c:pt idx="205">
                  <c:v>44795</c:v>
                </c:pt>
                <c:pt idx="206">
                  <c:v>44796</c:v>
                </c:pt>
                <c:pt idx="207">
                  <c:v>44797</c:v>
                </c:pt>
                <c:pt idx="208">
                  <c:v>44798</c:v>
                </c:pt>
                <c:pt idx="209">
                  <c:v>44799</c:v>
                </c:pt>
                <c:pt idx="210">
                  <c:v>44802</c:v>
                </c:pt>
                <c:pt idx="211">
                  <c:v>44803</c:v>
                </c:pt>
                <c:pt idx="212">
                  <c:v>44805</c:v>
                </c:pt>
                <c:pt idx="213">
                  <c:v>44806</c:v>
                </c:pt>
                <c:pt idx="214">
                  <c:v>44809</c:v>
                </c:pt>
                <c:pt idx="215">
                  <c:v>44810</c:v>
                </c:pt>
                <c:pt idx="216">
                  <c:v>44811</c:v>
                </c:pt>
                <c:pt idx="217">
                  <c:v>44812</c:v>
                </c:pt>
                <c:pt idx="218">
                  <c:v>44813</c:v>
                </c:pt>
                <c:pt idx="219">
                  <c:v>44816</c:v>
                </c:pt>
                <c:pt idx="220">
                  <c:v>44817</c:v>
                </c:pt>
                <c:pt idx="221">
                  <c:v>44818</c:v>
                </c:pt>
                <c:pt idx="222">
                  <c:v>44819</c:v>
                </c:pt>
                <c:pt idx="223">
                  <c:v>44820</c:v>
                </c:pt>
                <c:pt idx="224">
                  <c:v>44823</c:v>
                </c:pt>
                <c:pt idx="225">
                  <c:v>44824</c:v>
                </c:pt>
                <c:pt idx="226">
                  <c:v>44825</c:v>
                </c:pt>
                <c:pt idx="227">
                  <c:v>44826</c:v>
                </c:pt>
                <c:pt idx="228">
                  <c:v>44827</c:v>
                </c:pt>
                <c:pt idx="229">
                  <c:v>44830</c:v>
                </c:pt>
                <c:pt idx="230">
                  <c:v>44831</c:v>
                </c:pt>
                <c:pt idx="231">
                  <c:v>44832</c:v>
                </c:pt>
                <c:pt idx="232">
                  <c:v>44833</c:v>
                </c:pt>
                <c:pt idx="233">
                  <c:v>44834</c:v>
                </c:pt>
                <c:pt idx="234">
                  <c:v>44837</c:v>
                </c:pt>
                <c:pt idx="235">
                  <c:v>44838</c:v>
                </c:pt>
                <c:pt idx="236">
                  <c:v>44840</c:v>
                </c:pt>
                <c:pt idx="237">
                  <c:v>44841</c:v>
                </c:pt>
                <c:pt idx="238">
                  <c:v>44844</c:v>
                </c:pt>
                <c:pt idx="239">
                  <c:v>44845</c:v>
                </c:pt>
                <c:pt idx="240">
                  <c:v>44846</c:v>
                </c:pt>
                <c:pt idx="241">
                  <c:v>44847</c:v>
                </c:pt>
                <c:pt idx="242">
                  <c:v>44848</c:v>
                </c:pt>
                <c:pt idx="243">
                  <c:v>44851</c:v>
                </c:pt>
                <c:pt idx="244">
                  <c:v>44852</c:v>
                </c:pt>
                <c:pt idx="245">
                  <c:v>44853</c:v>
                </c:pt>
                <c:pt idx="246">
                  <c:v>44854</c:v>
                </c:pt>
                <c:pt idx="247">
                  <c:v>44855</c:v>
                </c:pt>
                <c:pt idx="248">
                  <c:v>44858</c:v>
                </c:pt>
                <c:pt idx="249">
                  <c:v>44859</c:v>
                </c:pt>
                <c:pt idx="250">
                  <c:v>44861</c:v>
                </c:pt>
                <c:pt idx="251">
                  <c:v>44862</c:v>
                </c:pt>
                <c:pt idx="252">
                  <c:v>44865</c:v>
                </c:pt>
                <c:pt idx="253">
                  <c:v>44866</c:v>
                </c:pt>
                <c:pt idx="254">
                  <c:v>44867</c:v>
                </c:pt>
                <c:pt idx="255">
                  <c:v>44868</c:v>
                </c:pt>
                <c:pt idx="256">
                  <c:v>44869</c:v>
                </c:pt>
                <c:pt idx="257">
                  <c:v>44872</c:v>
                </c:pt>
                <c:pt idx="258">
                  <c:v>44874</c:v>
                </c:pt>
                <c:pt idx="259">
                  <c:v>44875</c:v>
                </c:pt>
                <c:pt idx="260">
                  <c:v>44876</c:v>
                </c:pt>
                <c:pt idx="261">
                  <c:v>44879</c:v>
                </c:pt>
                <c:pt idx="262">
                  <c:v>44880</c:v>
                </c:pt>
                <c:pt idx="263">
                  <c:v>44881</c:v>
                </c:pt>
                <c:pt idx="264">
                  <c:v>44882</c:v>
                </c:pt>
                <c:pt idx="265">
                  <c:v>44883</c:v>
                </c:pt>
                <c:pt idx="266">
                  <c:v>44886</c:v>
                </c:pt>
                <c:pt idx="267">
                  <c:v>44887</c:v>
                </c:pt>
                <c:pt idx="268">
                  <c:v>44888</c:v>
                </c:pt>
                <c:pt idx="269">
                  <c:v>44889</c:v>
                </c:pt>
                <c:pt idx="270">
                  <c:v>44890</c:v>
                </c:pt>
                <c:pt idx="271">
                  <c:v>44893</c:v>
                </c:pt>
                <c:pt idx="272">
                  <c:v>44894</c:v>
                </c:pt>
                <c:pt idx="273">
                  <c:v>44895</c:v>
                </c:pt>
                <c:pt idx="274">
                  <c:v>44896</c:v>
                </c:pt>
                <c:pt idx="275">
                  <c:v>44897</c:v>
                </c:pt>
                <c:pt idx="276">
                  <c:v>44900</c:v>
                </c:pt>
                <c:pt idx="277">
                  <c:v>44901</c:v>
                </c:pt>
                <c:pt idx="278">
                  <c:v>44902</c:v>
                </c:pt>
                <c:pt idx="279">
                  <c:v>44903</c:v>
                </c:pt>
                <c:pt idx="280">
                  <c:v>44904</c:v>
                </c:pt>
                <c:pt idx="281">
                  <c:v>44907</c:v>
                </c:pt>
                <c:pt idx="282">
                  <c:v>44908</c:v>
                </c:pt>
                <c:pt idx="283">
                  <c:v>44909</c:v>
                </c:pt>
                <c:pt idx="284">
                  <c:v>44910</c:v>
                </c:pt>
                <c:pt idx="285">
                  <c:v>44911</c:v>
                </c:pt>
                <c:pt idx="286">
                  <c:v>44914</c:v>
                </c:pt>
                <c:pt idx="287">
                  <c:v>44915</c:v>
                </c:pt>
                <c:pt idx="288">
                  <c:v>44916</c:v>
                </c:pt>
                <c:pt idx="289">
                  <c:v>44917</c:v>
                </c:pt>
                <c:pt idx="290">
                  <c:v>44918</c:v>
                </c:pt>
                <c:pt idx="291">
                  <c:v>44921</c:v>
                </c:pt>
                <c:pt idx="292">
                  <c:v>44922</c:v>
                </c:pt>
                <c:pt idx="293">
                  <c:v>44923</c:v>
                </c:pt>
                <c:pt idx="294">
                  <c:v>44924</c:v>
                </c:pt>
                <c:pt idx="295">
                  <c:v>44925</c:v>
                </c:pt>
                <c:pt idx="296">
                  <c:v>44928</c:v>
                </c:pt>
                <c:pt idx="297">
                  <c:v>44929</c:v>
                </c:pt>
                <c:pt idx="298">
                  <c:v>44930</c:v>
                </c:pt>
                <c:pt idx="299">
                  <c:v>44931</c:v>
                </c:pt>
                <c:pt idx="300">
                  <c:v>44932</c:v>
                </c:pt>
                <c:pt idx="301">
                  <c:v>44935</c:v>
                </c:pt>
                <c:pt idx="302">
                  <c:v>44936</c:v>
                </c:pt>
                <c:pt idx="303">
                  <c:v>44937</c:v>
                </c:pt>
                <c:pt idx="304">
                  <c:v>44938</c:v>
                </c:pt>
                <c:pt idx="305">
                  <c:v>44939</c:v>
                </c:pt>
                <c:pt idx="306">
                  <c:v>44942</c:v>
                </c:pt>
                <c:pt idx="307">
                  <c:v>44943</c:v>
                </c:pt>
                <c:pt idx="308">
                  <c:v>44944</c:v>
                </c:pt>
                <c:pt idx="309">
                  <c:v>44945</c:v>
                </c:pt>
                <c:pt idx="310">
                  <c:v>44946</c:v>
                </c:pt>
                <c:pt idx="311">
                  <c:v>44949</c:v>
                </c:pt>
                <c:pt idx="312">
                  <c:v>44950</c:v>
                </c:pt>
                <c:pt idx="313">
                  <c:v>44951</c:v>
                </c:pt>
                <c:pt idx="314">
                  <c:v>44953</c:v>
                </c:pt>
                <c:pt idx="315">
                  <c:v>44956</c:v>
                </c:pt>
                <c:pt idx="316">
                  <c:v>44957</c:v>
                </c:pt>
                <c:pt idx="317">
                  <c:v>44958</c:v>
                </c:pt>
                <c:pt idx="318">
                  <c:v>44959</c:v>
                </c:pt>
                <c:pt idx="319">
                  <c:v>44960</c:v>
                </c:pt>
                <c:pt idx="320">
                  <c:v>44963</c:v>
                </c:pt>
                <c:pt idx="321">
                  <c:v>44964</c:v>
                </c:pt>
                <c:pt idx="322">
                  <c:v>44965</c:v>
                </c:pt>
                <c:pt idx="323">
                  <c:v>44966</c:v>
                </c:pt>
                <c:pt idx="324">
                  <c:v>44967</c:v>
                </c:pt>
                <c:pt idx="325">
                  <c:v>44970</c:v>
                </c:pt>
                <c:pt idx="326">
                  <c:v>44971</c:v>
                </c:pt>
                <c:pt idx="327">
                  <c:v>44972</c:v>
                </c:pt>
                <c:pt idx="328">
                  <c:v>44973</c:v>
                </c:pt>
                <c:pt idx="329">
                  <c:v>44974</c:v>
                </c:pt>
                <c:pt idx="330">
                  <c:v>44977</c:v>
                </c:pt>
                <c:pt idx="331">
                  <c:v>44978</c:v>
                </c:pt>
                <c:pt idx="332">
                  <c:v>44979</c:v>
                </c:pt>
                <c:pt idx="333">
                  <c:v>44980</c:v>
                </c:pt>
                <c:pt idx="334">
                  <c:v>44981</c:v>
                </c:pt>
                <c:pt idx="335">
                  <c:v>44984</c:v>
                </c:pt>
                <c:pt idx="336">
                  <c:v>44985</c:v>
                </c:pt>
                <c:pt idx="337">
                  <c:v>44986</c:v>
                </c:pt>
                <c:pt idx="338">
                  <c:v>44987</c:v>
                </c:pt>
                <c:pt idx="339">
                  <c:v>44988</c:v>
                </c:pt>
                <c:pt idx="340">
                  <c:v>44991</c:v>
                </c:pt>
                <c:pt idx="341">
                  <c:v>44993</c:v>
                </c:pt>
                <c:pt idx="342">
                  <c:v>44994</c:v>
                </c:pt>
                <c:pt idx="343">
                  <c:v>44995</c:v>
                </c:pt>
                <c:pt idx="344">
                  <c:v>44998</c:v>
                </c:pt>
                <c:pt idx="345">
                  <c:v>44999</c:v>
                </c:pt>
                <c:pt idx="346">
                  <c:v>45000</c:v>
                </c:pt>
                <c:pt idx="347">
                  <c:v>45001</c:v>
                </c:pt>
                <c:pt idx="348">
                  <c:v>45002</c:v>
                </c:pt>
                <c:pt idx="349">
                  <c:v>45005</c:v>
                </c:pt>
                <c:pt idx="350">
                  <c:v>45006</c:v>
                </c:pt>
                <c:pt idx="351">
                  <c:v>45007</c:v>
                </c:pt>
                <c:pt idx="352">
                  <c:v>45008</c:v>
                </c:pt>
                <c:pt idx="353">
                  <c:v>45009</c:v>
                </c:pt>
                <c:pt idx="354">
                  <c:v>45012</c:v>
                </c:pt>
                <c:pt idx="355">
                  <c:v>45013</c:v>
                </c:pt>
                <c:pt idx="356">
                  <c:v>45014</c:v>
                </c:pt>
                <c:pt idx="357">
                  <c:v>45016</c:v>
                </c:pt>
                <c:pt idx="358">
                  <c:v>45019</c:v>
                </c:pt>
                <c:pt idx="359">
                  <c:v>45021</c:v>
                </c:pt>
                <c:pt idx="360">
                  <c:v>45022</c:v>
                </c:pt>
                <c:pt idx="361">
                  <c:v>45026</c:v>
                </c:pt>
                <c:pt idx="362">
                  <c:v>45027</c:v>
                </c:pt>
                <c:pt idx="363">
                  <c:v>45028</c:v>
                </c:pt>
                <c:pt idx="364">
                  <c:v>45029</c:v>
                </c:pt>
                <c:pt idx="365">
                  <c:v>45033</c:v>
                </c:pt>
                <c:pt idx="366">
                  <c:v>45034</c:v>
                </c:pt>
                <c:pt idx="367">
                  <c:v>45035</c:v>
                </c:pt>
                <c:pt idx="368">
                  <c:v>45036</c:v>
                </c:pt>
                <c:pt idx="369">
                  <c:v>45037</c:v>
                </c:pt>
                <c:pt idx="370">
                  <c:v>45040</c:v>
                </c:pt>
                <c:pt idx="371">
                  <c:v>45041</c:v>
                </c:pt>
                <c:pt idx="372">
                  <c:v>45042</c:v>
                </c:pt>
                <c:pt idx="373">
                  <c:v>45043</c:v>
                </c:pt>
                <c:pt idx="374">
                  <c:v>45044</c:v>
                </c:pt>
                <c:pt idx="375">
                  <c:v>45048</c:v>
                </c:pt>
                <c:pt idx="376">
                  <c:v>45049</c:v>
                </c:pt>
                <c:pt idx="377">
                  <c:v>45050</c:v>
                </c:pt>
                <c:pt idx="378">
                  <c:v>45051</c:v>
                </c:pt>
                <c:pt idx="379">
                  <c:v>45054</c:v>
                </c:pt>
                <c:pt idx="380">
                  <c:v>45055</c:v>
                </c:pt>
                <c:pt idx="381">
                  <c:v>45056</c:v>
                </c:pt>
                <c:pt idx="382">
                  <c:v>45057</c:v>
                </c:pt>
                <c:pt idx="383">
                  <c:v>45058</c:v>
                </c:pt>
                <c:pt idx="384">
                  <c:v>45061</c:v>
                </c:pt>
                <c:pt idx="385">
                  <c:v>45062</c:v>
                </c:pt>
                <c:pt idx="386">
                  <c:v>45063</c:v>
                </c:pt>
                <c:pt idx="387">
                  <c:v>45064</c:v>
                </c:pt>
                <c:pt idx="388">
                  <c:v>45065</c:v>
                </c:pt>
                <c:pt idx="389">
                  <c:v>45068</c:v>
                </c:pt>
                <c:pt idx="390">
                  <c:v>45069</c:v>
                </c:pt>
                <c:pt idx="391">
                  <c:v>45070</c:v>
                </c:pt>
                <c:pt idx="392">
                  <c:v>45071</c:v>
                </c:pt>
                <c:pt idx="393">
                  <c:v>45072</c:v>
                </c:pt>
                <c:pt idx="394">
                  <c:v>45075</c:v>
                </c:pt>
                <c:pt idx="395">
                  <c:v>45076</c:v>
                </c:pt>
                <c:pt idx="396">
                  <c:v>45077</c:v>
                </c:pt>
                <c:pt idx="397">
                  <c:v>45078</c:v>
                </c:pt>
                <c:pt idx="398">
                  <c:v>45079</c:v>
                </c:pt>
                <c:pt idx="399">
                  <c:v>45082</c:v>
                </c:pt>
                <c:pt idx="400">
                  <c:v>45083</c:v>
                </c:pt>
                <c:pt idx="401">
                  <c:v>45084</c:v>
                </c:pt>
                <c:pt idx="402">
                  <c:v>45085</c:v>
                </c:pt>
                <c:pt idx="403">
                  <c:v>45086</c:v>
                </c:pt>
                <c:pt idx="404">
                  <c:v>45089</c:v>
                </c:pt>
                <c:pt idx="405">
                  <c:v>45090</c:v>
                </c:pt>
                <c:pt idx="406">
                  <c:v>45091</c:v>
                </c:pt>
                <c:pt idx="407">
                  <c:v>45092</c:v>
                </c:pt>
                <c:pt idx="408">
                  <c:v>45093</c:v>
                </c:pt>
                <c:pt idx="409">
                  <c:v>45096</c:v>
                </c:pt>
                <c:pt idx="410">
                  <c:v>45097</c:v>
                </c:pt>
                <c:pt idx="411">
                  <c:v>45098</c:v>
                </c:pt>
                <c:pt idx="412">
                  <c:v>45099</c:v>
                </c:pt>
                <c:pt idx="413">
                  <c:v>45100</c:v>
                </c:pt>
                <c:pt idx="414">
                  <c:v>45103</c:v>
                </c:pt>
                <c:pt idx="415">
                  <c:v>45104</c:v>
                </c:pt>
                <c:pt idx="416">
                  <c:v>45105</c:v>
                </c:pt>
                <c:pt idx="417">
                  <c:v>45107</c:v>
                </c:pt>
                <c:pt idx="418">
                  <c:v>45110</c:v>
                </c:pt>
                <c:pt idx="419">
                  <c:v>45111</c:v>
                </c:pt>
                <c:pt idx="420">
                  <c:v>45112</c:v>
                </c:pt>
                <c:pt idx="421">
                  <c:v>45113</c:v>
                </c:pt>
                <c:pt idx="422">
                  <c:v>45114</c:v>
                </c:pt>
                <c:pt idx="423">
                  <c:v>45117</c:v>
                </c:pt>
                <c:pt idx="424">
                  <c:v>45118</c:v>
                </c:pt>
                <c:pt idx="425">
                  <c:v>45119</c:v>
                </c:pt>
                <c:pt idx="426">
                  <c:v>45120</c:v>
                </c:pt>
                <c:pt idx="427">
                  <c:v>45121</c:v>
                </c:pt>
                <c:pt idx="428">
                  <c:v>45124</c:v>
                </c:pt>
                <c:pt idx="429">
                  <c:v>45125</c:v>
                </c:pt>
                <c:pt idx="430">
                  <c:v>45126</c:v>
                </c:pt>
                <c:pt idx="431">
                  <c:v>45127</c:v>
                </c:pt>
                <c:pt idx="432">
                  <c:v>45128</c:v>
                </c:pt>
                <c:pt idx="433">
                  <c:v>45131</c:v>
                </c:pt>
                <c:pt idx="434">
                  <c:v>45132</c:v>
                </c:pt>
                <c:pt idx="435">
                  <c:v>45133</c:v>
                </c:pt>
                <c:pt idx="436">
                  <c:v>45134</c:v>
                </c:pt>
                <c:pt idx="437">
                  <c:v>45135</c:v>
                </c:pt>
                <c:pt idx="438">
                  <c:v>45138</c:v>
                </c:pt>
                <c:pt idx="439">
                  <c:v>45139</c:v>
                </c:pt>
                <c:pt idx="440">
                  <c:v>45140</c:v>
                </c:pt>
                <c:pt idx="441">
                  <c:v>45141</c:v>
                </c:pt>
                <c:pt idx="442">
                  <c:v>45142</c:v>
                </c:pt>
                <c:pt idx="443">
                  <c:v>45145</c:v>
                </c:pt>
                <c:pt idx="444">
                  <c:v>45146</c:v>
                </c:pt>
                <c:pt idx="445">
                  <c:v>45147</c:v>
                </c:pt>
                <c:pt idx="446">
                  <c:v>45148</c:v>
                </c:pt>
                <c:pt idx="447">
                  <c:v>45149</c:v>
                </c:pt>
                <c:pt idx="448">
                  <c:v>45152</c:v>
                </c:pt>
                <c:pt idx="449">
                  <c:v>45154</c:v>
                </c:pt>
                <c:pt idx="450">
                  <c:v>45155</c:v>
                </c:pt>
                <c:pt idx="451">
                  <c:v>45156</c:v>
                </c:pt>
                <c:pt idx="452">
                  <c:v>45159</c:v>
                </c:pt>
                <c:pt idx="453">
                  <c:v>45160</c:v>
                </c:pt>
                <c:pt idx="454">
                  <c:v>45161</c:v>
                </c:pt>
                <c:pt idx="455">
                  <c:v>45162</c:v>
                </c:pt>
                <c:pt idx="456">
                  <c:v>45163</c:v>
                </c:pt>
                <c:pt idx="457">
                  <c:v>45166</c:v>
                </c:pt>
                <c:pt idx="458">
                  <c:v>45167</c:v>
                </c:pt>
                <c:pt idx="459">
                  <c:v>45168</c:v>
                </c:pt>
                <c:pt idx="460">
                  <c:v>45169</c:v>
                </c:pt>
                <c:pt idx="461">
                  <c:v>45170</c:v>
                </c:pt>
                <c:pt idx="462">
                  <c:v>45173</c:v>
                </c:pt>
                <c:pt idx="463">
                  <c:v>45174</c:v>
                </c:pt>
                <c:pt idx="464">
                  <c:v>45175</c:v>
                </c:pt>
                <c:pt idx="465">
                  <c:v>45176</c:v>
                </c:pt>
                <c:pt idx="466">
                  <c:v>45177</c:v>
                </c:pt>
                <c:pt idx="467">
                  <c:v>45180</c:v>
                </c:pt>
                <c:pt idx="468">
                  <c:v>45181</c:v>
                </c:pt>
                <c:pt idx="469">
                  <c:v>45182</c:v>
                </c:pt>
                <c:pt idx="470">
                  <c:v>45183</c:v>
                </c:pt>
                <c:pt idx="471">
                  <c:v>45184</c:v>
                </c:pt>
                <c:pt idx="472">
                  <c:v>45187</c:v>
                </c:pt>
                <c:pt idx="473">
                  <c:v>45189</c:v>
                </c:pt>
                <c:pt idx="474">
                  <c:v>45190</c:v>
                </c:pt>
                <c:pt idx="475">
                  <c:v>45191</c:v>
                </c:pt>
                <c:pt idx="476">
                  <c:v>45194</c:v>
                </c:pt>
                <c:pt idx="477">
                  <c:v>45195</c:v>
                </c:pt>
                <c:pt idx="478">
                  <c:v>45196</c:v>
                </c:pt>
                <c:pt idx="479">
                  <c:v>45197</c:v>
                </c:pt>
                <c:pt idx="480">
                  <c:v>45198</c:v>
                </c:pt>
                <c:pt idx="481">
                  <c:v>45202</c:v>
                </c:pt>
                <c:pt idx="482">
                  <c:v>45203</c:v>
                </c:pt>
                <c:pt idx="483">
                  <c:v>45204</c:v>
                </c:pt>
                <c:pt idx="484">
                  <c:v>45205</c:v>
                </c:pt>
                <c:pt idx="485">
                  <c:v>45208</c:v>
                </c:pt>
                <c:pt idx="486">
                  <c:v>45209</c:v>
                </c:pt>
                <c:pt idx="487">
                  <c:v>45210</c:v>
                </c:pt>
                <c:pt idx="488">
                  <c:v>45211</c:v>
                </c:pt>
                <c:pt idx="489">
                  <c:v>45212</c:v>
                </c:pt>
                <c:pt idx="490">
                  <c:v>45215</c:v>
                </c:pt>
                <c:pt idx="491">
                  <c:v>45216</c:v>
                </c:pt>
                <c:pt idx="492">
                  <c:v>45217</c:v>
                </c:pt>
                <c:pt idx="493">
                  <c:v>45218</c:v>
                </c:pt>
                <c:pt idx="494">
                  <c:v>45219</c:v>
                </c:pt>
                <c:pt idx="495">
                  <c:v>45222</c:v>
                </c:pt>
                <c:pt idx="496">
                  <c:v>45224</c:v>
                </c:pt>
                <c:pt idx="497">
                  <c:v>45225</c:v>
                </c:pt>
                <c:pt idx="498">
                  <c:v>45226</c:v>
                </c:pt>
                <c:pt idx="499">
                  <c:v>45229</c:v>
                </c:pt>
                <c:pt idx="500">
                  <c:v>45230</c:v>
                </c:pt>
                <c:pt idx="501">
                  <c:v>45231</c:v>
                </c:pt>
                <c:pt idx="502">
                  <c:v>45232</c:v>
                </c:pt>
                <c:pt idx="503">
                  <c:v>45233</c:v>
                </c:pt>
                <c:pt idx="504">
                  <c:v>45236</c:v>
                </c:pt>
                <c:pt idx="505">
                  <c:v>45237</c:v>
                </c:pt>
                <c:pt idx="506">
                  <c:v>45238</c:v>
                </c:pt>
                <c:pt idx="507">
                  <c:v>45239</c:v>
                </c:pt>
                <c:pt idx="508">
                  <c:v>45240</c:v>
                </c:pt>
                <c:pt idx="509">
                  <c:v>45242</c:v>
                </c:pt>
                <c:pt idx="510">
                  <c:v>45243</c:v>
                </c:pt>
                <c:pt idx="511">
                  <c:v>45245</c:v>
                </c:pt>
                <c:pt idx="512">
                  <c:v>45246</c:v>
                </c:pt>
                <c:pt idx="513">
                  <c:v>45247</c:v>
                </c:pt>
                <c:pt idx="514">
                  <c:v>45250</c:v>
                </c:pt>
                <c:pt idx="515">
                  <c:v>45251</c:v>
                </c:pt>
                <c:pt idx="516">
                  <c:v>45252</c:v>
                </c:pt>
                <c:pt idx="517">
                  <c:v>45253</c:v>
                </c:pt>
                <c:pt idx="518">
                  <c:v>45254</c:v>
                </c:pt>
                <c:pt idx="519">
                  <c:v>45258</c:v>
                </c:pt>
                <c:pt idx="520">
                  <c:v>45259</c:v>
                </c:pt>
                <c:pt idx="521">
                  <c:v>45260</c:v>
                </c:pt>
                <c:pt idx="522">
                  <c:v>45261</c:v>
                </c:pt>
                <c:pt idx="523">
                  <c:v>45264</c:v>
                </c:pt>
                <c:pt idx="524">
                  <c:v>45265</c:v>
                </c:pt>
                <c:pt idx="525">
                  <c:v>45266</c:v>
                </c:pt>
                <c:pt idx="526">
                  <c:v>45267</c:v>
                </c:pt>
                <c:pt idx="527">
                  <c:v>45268</c:v>
                </c:pt>
                <c:pt idx="528">
                  <c:v>45271</c:v>
                </c:pt>
                <c:pt idx="529">
                  <c:v>45272</c:v>
                </c:pt>
                <c:pt idx="530">
                  <c:v>45273</c:v>
                </c:pt>
                <c:pt idx="531">
                  <c:v>45274</c:v>
                </c:pt>
                <c:pt idx="532">
                  <c:v>45275</c:v>
                </c:pt>
                <c:pt idx="533">
                  <c:v>45278</c:v>
                </c:pt>
                <c:pt idx="534">
                  <c:v>45279</c:v>
                </c:pt>
                <c:pt idx="535">
                  <c:v>45280</c:v>
                </c:pt>
                <c:pt idx="536">
                  <c:v>45281</c:v>
                </c:pt>
                <c:pt idx="537">
                  <c:v>45282</c:v>
                </c:pt>
                <c:pt idx="538">
                  <c:v>45286</c:v>
                </c:pt>
                <c:pt idx="539">
                  <c:v>45287</c:v>
                </c:pt>
                <c:pt idx="540">
                  <c:v>45288</c:v>
                </c:pt>
                <c:pt idx="541">
                  <c:v>45289</c:v>
                </c:pt>
                <c:pt idx="542">
                  <c:v>45292</c:v>
                </c:pt>
                <c:pt idx="543">
                  <c:v>45293</c:v>
                </c:pt>
                <c:pt idx="544">
                  <c:v>45294</c:v>
                </c:pt>
                <c:pt idx="545">
                  <c:v>45295</c:v>
                </c:pt>
                <c:pt idx="546">
                  <c:v>45296</c:v>
                </c:pt>
                <c:pt idx="547">
                  <c:v>45299</c:v>
                </c:pt>
                <c:pt idx="548">
                  <c:v>45300</c:v>
                </c:pt>
                <c:pt idx="549">
                  <c:v>45301</c:v>
                </c:pt>
                <c:pt idx="550">
                  <c:v>45302</c:v>
                </c:pt>
                <c:pt idx="551">
                  <c:v>45303</c:v>
                </c:pt>
                <c:pt idx="552">
                  <c:v>45306</c:v>
                </c:pt>
                <c:pt idx="553">
                  <c:v>45307</c:v>
                </c:pt>
                <c:pt idx="554">
                  <c:v>45308</c:v>
                </c:pt>
                <c:pt idx="555">
                  <c:v>45309</c:v>
                </c:pt>
                <c:pt idx="556">
                  <c:v>45310</c:v>
                </c:pt>
                <c:pt idx="557">
                  <c:v>45311</c:v>
                </c:pt>
                <c:pt idx="558">
                  <c:v>45314</c:v>
                </c:pt>
                <c:pt idx="559">
                  <c:v>45315</c:v>
                </c:pt>
                <c:pt idx="560">
                  <c:v>45316</c:v>
                </c:pt>
                <c:pt idx="561">
                  <c:v>45320</c:v>
                </c:pt>
                <c:pt idx="562">
                  <c:v>45321</c:v>
                </c:pt>
                <c:pt idx="563">
                  <c:v>45322</c:v>
                </c:pt>
                <c:pt idx="564">
                  <c:v>45323</c:v>
                </c:pt>
                <c:pt idx="565">
                  <c:v>45324</c:v>
                </c:pt>
                <c:pt idx="566">
                  <c:v>45327</c:v>
                </c:pt>
                <c:pt idx="567">
                  <c:v>45328</c:v>
                </c:pt>
                <c:pt idx="568">
                  <c:v>45329</c:v>
                </c:pt>
                <c:pt idx="569">
                  <c:v>45330</c:v>
                </c:pt>
                <c:pt idx="570">
                  <c:v>45331</c:v>
                </c:pt>
                <c:pt idx="571">
                  <c:v>45334</c:v>
                </c:pt>
                <c:pt idx="572">
                  <c:v>45335</c:v>
                </c:pt>
                <c:pt idx="573">
                  <c:v>45336</c:v>
                </c:pt>
                <c:pt idx="574">
                  <c:v>45337</c:v>
                </c:pt>
                <c:pt idx="575">
                  <c:v>45338</c:v>
                </c:pt>
                <c:pt idx="576">
                  <c:v>45341</c:v>
                </c:pt>
                <c:pt idx="577">
                  <c:v>45342</c:v>
                </c:pt>
                <c:pt idx="578">
                  <c:v>45343</c:v>
                </c:pt>
                <c:pt idx="579">
                  <c:v>45344</c:v>
                </c:pt>
                <c:pt idx="580">
                  <c:v>45345</c:v>
                </c:pt>
                <c:pt idx="581">
                  <c:v>45348</c:v>
                </c:pt>
                <c:pt idx="582">
                  <c:v>45349</c:v>
                </c:pt>
                <c:pt idx="583">
                  <c:v>45350</c:v>
                </c:pt>
                <c:pt idx="584">
                  <c:v>45351</c:v>
                </c:pt>
                <c:pt idx="585">
                  <c:v>45352</c:v>
                </c:pt>
                <c:pt idx="586">
                  <c:v>45355</c:v>
                </c:pt>
                <c:pt idx="587">
                  <c:v>45356</c:v>
                </c:pt>
                <c:pt idx="588">
                  <c:v>45357</c:v>
                </c:pt>
                <c:pt idx="589">
                  <c:v>45358</c:v>
                </c:pt>
                <c:pt idx="590">
                  <c:v>45362</c:v>
                </c:pt>
                <c:pt idx="591">
                  <c:v>45363</c:v>
                </c:pt>
                <c:pt idx="592">
                  <c:v>45364</c:v>
                </c:pt>
                <c:pt idx="593">
                  <c:v>45365</c:v>
                </c:pt>
                <c:pt idx="594">
                  <c:v>45366</c:v>
                </c:pt>
                <c:pt idx="595">
                  <c:v>45369</c:v>
                </c:pt>
                <c:pt idx="596">
                  <c:v>45370</c:v>
                </c:pt>
                <c:pt idx="597">
                  <c:v>45371</c:v>
                </c:pt>
                <c:pt idx="598">
                  <c:v>45372</c:v>
                </c:pt>
                <c:pt idx="599">
                  <c:v>45373</c:v>
                </c:pt>
                <c:pt idx="600">
                  <c:v>45377</c:v>
                </c:pt>
                <c:pt idx="601">
                  <c:v>45378</c:v>
                </c:pt>
                <c:pt idx="602">
                  <c:v>45379</c:v>
                </c:pt>
                <c:pt idx="603">
                  <c:v>45383</c:v>
                </c:pt>
                <c:pt idx="604">
                  <c:v>45384</c:v>
                </c:pt>
                <c:pt idx="605">
                  <c:v>45385</c:v>
                </c:pt>
                <c:pt idx="606">
                  <c:v>45386</c:v>
                </c:pt>
                <c:pt idx="607">
                  <c:v>45387</c:v>
                </c:pt>
                <c:pt idx="608">
                  <c:v>45390</c:v>
                </c:pt>
                <c:pt idx="609">
                  <c:v>45391</c:v>
                </c:pt>
                <c:pt idx="610">
                  <c:v>45392</c:v>
                </c:pt>
                <c:pt idx="611">
                  <c:v>45394</c:v>
                </c:pt>
                <c:pt idx="612">
                  <c:v>45397</c:v>
                </c:pt>
                <c:pt idx="613">
                  <c:v>45398</c:v>
                </c:pt>
                <c:pt idx="614">
                  <c:v>45400</c:v>
                </c:pt>
                <c:pt idx="615">
                  <c:v>45401</c:v>
                </c:pt>
                <c:pt idx="616">
                  <c:v>45404</c:v>
                </c:pt>
                <c:pt idx="617">
                  <c:v>45405</c:v>
                </c:pt>
                <c:pt idx="618">
                  <c:v>45406</c:v>
                </c:pt>
                <c:pt idx="619">
                  <c:v>45407</c:v>
                </c:pt>
                <c:pt idx="620">
                  <c:v>45408</c:v>
                </c:pt>
                <c:pt idx="621">
                  <c:v>45411</c:v>
                </c:pt>
                <c:pt idx="622">
                  <c:v>45412</c:v>
                </c:pt>
                <c:pt idx="623">
                  <c:v>45414</c:v>
                </c:pt>
                <c:pt idx="624">
                  <c:v>45415</c:v>
                </c:pt>
                <c:pt idx="625">
                  <c:v>45418</c:v>
                </c:pt>
                <c:pt idx="626">
                  <c:v>45419</c:v>
                </c:pt>
                <c:pt idx="627">
                  <c:v>45420</c:v>
                </c:pt>
                <c:pt idx="628">
                  <c:v>45421</c:v>
                </c:pt>
                <c:pt idx="629">
                  <c:v>45422</c:v>
                </c:pt>
                <c:pt idx="630">
                  <c:v>45425</c:v>
                </c:pt>
                <c:pt idx="631">
                  <c:v>45426</c:v>
                </c:pt>
                <c:pt idx="632">
                  <c:v>45427</c:v>
                </c:pt>
                <c:pt idx="633">
                  <c:v>45428</c:v>
                </c:pt>
                <c:pt idx="634">
                  <c:v>45429</c:v>
                </c:pt>
                <c:pt idx="635">
                  <c:v>45430</c:v>
                </c:pt>
                <c:pt idx="636">
                  <c:v>45433</c:v>
                </c:pt>
                <c:pt idx="637">
                  <c:v>45434</c:v>
                </c:pt>
                <c:pt idx="638">
                  <c:v>45435</c:v>
                </c:pt>
                <c:pt idx="639">
                  <c:v>45436</c:v>
                </c:pt>
                <c:pt idx="640">
                  <c:v>45439</c:v>
                </c:pt>
                <c:pt idx="641">
                  <c:v>45440</c:v>
                </c:pt>
                <c:pt idx="642">
                  <c:v>45441</c:v>
                </c:pt>
                <c:pt idx="643">
                  <c:v>45442</c:v>
                </c:pt>
                <c:pt idx="644">
                  <c:v>45443</c:v>
                </c:pt>
                <c:pt idx="645">
                  <c:v>45446</c:v>
                </c:pt>
                <c:pt idx="646">
                  <c:v>45447</c:v>
                </c:pt>
                <c:pt idx="647">
                  <c:v>45448</c:v>
                </c:pt>
                <c:pt idx="648">
                  <c:v>45449</c:v>
                </c:pt>
                <c:pt idx="649">
                  <c:v>45450</c:v>
                </c:pt>
                <c:pt idx="650">
                  <c:v>45453</c:v>
                </c:pt>
                <c:pt idx="651">
                  <c:v>45454</c:v>
                </c:pt>
                <c:pt idx="652">
                  <c:v>45455</c:v>
                </c:pt>
                <c:pt idx="653">
                  <c:v>45456</c:v>
                </c:pt>
                <c:pt idx="654">
                  <c:v>45457</c:v>
                </c:pt>
                <c:pt idx="655">
                  <c:v>45461</c:v>
                </c:pt>
                <c:pt idx="656">
                  <c:v>45462</c:v>
                </c:pt>
                <c:pt idx="657">
                  <c:v>45463</c:v>
                </c:pt>
                <c:pt idx="658">
                  <c:v>45464</c:v>
                </c:pt>
                <c:pt idx="659">
                  <c:v>45467</c:v>
                </c:pt>
                <c:pt idx="660">
                  <c:v>45468</c:v>
                </c:pt>
                <c:pt idx="661">
                  <c:v>45469</c:v>
                </c:pt>
                <c:pt idx="662">
                  <c:v>45470</c:v>
                </c:pt>
                <c:pt idx="663">
                  <c:v>45471</c:v>
                </c:pt>
                <c:pt idx="664">
                  <c:v>45474</c:v>
                </c:pt>
                <c:pt idx="665">
                  <c:v>45475</c:v>
                </c:pt>
                <c:pt idx="666">
                  <c:v>45476</c:v>
                </c:pt>
                <c:pt idx="667">
                  <c:v>45477</c:v>
                </c:pt>
                <c:pt idx="668">
                  <c:v>45478</c:v>
                </c:pt>
                <c:pt idx="669">
                  <c:v>45481</c:v>
                </c:pt>
                <c:pt idx="670">
                  <c:v>45482</c:v>
                </c:pt>
                <c:pt idx="671">
                  <c:v>45483</c:v>
                </c:pt>
                <c:pt idx="672">
                  <c:v>45484</c:v>
                </c:pt>
                <c:pt idx="673">
                  <c:v>45485</c:v>
                </c:pt>
                <c:pt idx="674">
                  <c:v>45488</c:v>
                </c:pt>
                <c:pt idx="675">
                  <c:v>45489</c:v>
                </c:pt>
                <c:pt idx="676">
                  <c:v>45491</c:v>
                </c:pt>
                <c:pt idx="677">
                  <c:v>45492</c:v>
                </c:pt>
                <c:pt idx="678">
                  <c:v>45495</c:v>
                </c:pt>
                <c:pt idx="679">
                  <c:v>45496</c:v>
                </c:pt>
                <c:pt idx="680">
                  <c:v>45497</c:v>
                </c:pt>
                <c:pt idx="681">
                  <c:v>45498</c:v>
                </c:pt>
                <c:pt idx="682">
                  <c:v>45499</c:v>
                </c:pt>
                <c:pt idx="683">
                  <c:v>45502</c:v>
                </c:pt>
                <c:pt idx="684">
                  <c:v>45503</c:v>
                </c:pt>
                <c:pt idx="685">
                  <c:v>45504</c:v>
                </c:pt>
                <c:pt idx="686">
                  <c:v>45505</c:v>
                </c:pt>
                <c:pt idx="687">
                  <c:v>45506</c:v>
                </c:pt>
                <c:pt idx="688">
                  <c:v>45509</c:v>
                </c:pt>
                <c:pt idx="689">
                  <c:v>45510</c:v>
                </c:pt>
                <c:pt idx="690">
                  <c:v>45511</c:v>
                </c:pt>
                <c:pt idx="691">
                  <c:v>45512</c:v>
                </c:pt>
                <c:pt idx="692">
                  <c:v>45513</c:v>
                </c:pt>
                <c:pt idx="693">
                  <c:v>45516</c:v>
                </c:pt>
                <c:pt idx="694">
                  <c:v>45517</c:v>
                </c:pt>
                <c:pt idx="695">
                  <c:v>45518</c:v>
                </c:pt>
                <c:pt idx="696">
                  <c:v>45520</c:v>
                </c:pt>
                <c:pt idx="697">
                  <c:v>45523</c:v>
                </c:pt>
                <c:pt idx="698">
                  <c:v>45524</c:v>
                </c:pt>
                <c:pt idx="699">
                  <c:v>45525</c:v>
                </c:pt>
                <c:pt idx="700">
                  <c:v>45526</c:v>
                </c:pt>
                <c:pt idx="701">
                  <c:v>45527</c:v>
                </c:pt>
                <c:pt idx="702">
                  <c:v>45530</c:v>
                </c:pt>
                <c:pt idx="703">
                  <c:v>45531</c:v>
                </c:pt>
                <c:pt idx="704">
                  <c:v>45532</c:v>
                </c:pt>
                <c:pt idx="705">
                  <c:v>45533</c:v>
                </c:pt>
                <c:pt idx="706">
                  <c:v>45534</c:v>
                </c:pt>
                <c:pt idx="707">
                  <c:v>45537</c:v>
                </c:pt>
                <c:pt idx="708">
                  <c:v>45538</c:v>
                </c:pt>
                <c:pt idx="709">
                  <c:v>45539</c:v>
                </c:pt>
                <c:pt idx="710">
                  <c:v>45540</c:v>
                </c:pt>
                <c:pt idx="711">
                  <c:v>45541</c:v>
                </c:pt>
                <c:pt idx="712">
                  <c:v>45544</c:v>
                </c:pt>
                <c:pt idx="713">
                  <c:v>45545</c:v>
                </c:pt>
                <c:pt idx="714">
                  <c:v>45546</c:v>
                </c:pt>
                <c:pt idx="715">
                  <c:v>45547</c:v>
                </c:pt>
                <c:pt idx="716">
                  <c:v>45548</c:v>
                </c:pt>
                <c:pt idx="717">
                  <c:v>45551</c:v>
                </c:pt>
                <c:pt idx="718">
                  <c:v>45552</c:v>
                </c:pt>
                <c:pt idx="719">
                  <c:v>45553</c:v>
                </c:pt>
                <c:pt idx="720">
                  <c:v>45554</c:v>
                </c:pt>
                <c:pt idx="721">
                  <c:v>45555</c:v>
                </c:pt>
                <c:pt idx="722">
                  <c:v>45558</c:v>
                </c:pt>
                <c:pt idx="723">
                  <c:v>45559</c:v>
                </c:pt>
                <c:pt idx="724">
                  <c:v>45560</c:v>
                </c:pt>
                <c:pt idx="725">
                  <c:v>45561</c:v>
                </c:pt>
                <c:pt idx="726">
                  <c:v>45562</c:v>
                </c:pt>
                <c:pt idx="727">
                  <c:v>45565</c:v>
                </c:pt>
                <c:pt idx="728">
                  <c:v>45566</c:v>
                </c:pt>
                <c:pt idx="729">
                  <c:v>45568</c:v>
                </c:pt>
                <c:pt idx="730">
                  <c:v>45569</c:v>
                </c:pt>
                <c:pt idx="731">
                  <c:v>45572</c:v>
                </c:pt>
                <c:pt idx="732">
                  <c:v>45573</c:v>
                </c:pt>
                <c:pt idx="733">
                  <c:v>45574</c:v>
                </c:pt>
                <c:pt idx="734">
                  <c:v>45575</c:v>
                </c:pt>
                <c:pt idx="735">
                  <c:v>45576</c:v>
                </c:pt>
                <c:pt idx="736">
                  <c:v>45579</c:v>
                </c:pt>
                <c:pt idx="737">
                  <c:v>45580</c:v>
                </c:pt>
                <c:pt idx="738">
                  <c:v>45581</c:v>
                </c:pt>
                <c:pt idx="739">
                  <c:v>45582</c:v>
                </c:pt>
                <c:pt idx="740">
                  <c:v>45583</c:v>
                </c:pt>
                <c:pt idx="741">
                  <c:v>45586</c:v>
                </c:pt>
                <c:pt idx="742">
                  <c:v>45587</c:v>
                </c:pt>
                <c:pt idx="743">
                  <c:v>45588</c:v>
                </c:pt>
                <c:pt idx="744">
                  <c:v>45589</c:v>
                </c:pt>
                <c:pt idx="745">
                  <c:v>45590</c:v>
                </c:pt>
                <c:pt idx="746">
                  <c:v>45593</c:v>
                </c:pt>
                <c:pt idx="747">
                  <c:v>45594</c:v>
                </c:pt>
                <c:pt idx="748">
                  <c:v>45595</c:v>
                </c:pt>
                <c:pt idx="749">
                  <c:v>45596</c:v>
                </c:pt>
                <c:pt idx="750">
                  <c:v>45597</c:v>
                </c:pt>
                <c:pt idx="751">
                  <c:v>45600</c:v>
                </c:pt>
                <c:pt idx="752">
                  <c:v>45601</c:v>
                </c:pt>
                <c:pt idx="753">
                  <c:v>45602</c:v>
                </c:pt>
                <c:pt idx="754">
                  <c:v>45603</c:v>
                </c:pt>
                <c:pt idx="755">
                  <c:v>45604</c:v>
                </c:pt>
                <c:pt idx="756">
                  <c:v>45607</c:v>
                </c:pt>
                <c:pt idx="757">
                  <c:v>45608</c:v>
                </c:pt>
                <c:pt idx="758">
                  <c:v>45609</c:v>
                </c:pt>
                <c:pt idx="759">
                  <c:v>45610</c:v>
                </c:pt>
                <c:pt idx="760">
                  <c:v>45614</c:v>
                </c:pt>
                <c:pt idx="761">
                  <c:v>45615</c:v>
                </c:pt>
                <c:pt idx="762">
                  <c:v>45617</c:v>
                </c:pt>
                <c:pt idx="763">
                  <c:v>45618</c:v>
                </c:pt>
                <c:pt idx="764">
                  <c:v>45621</c:v>
                </c:pt>
                <c:pt idx="765">
                  <c:v>45622</c:v>
                </c:pt>
                <c:pt idx="766">
                  <c:v>45623</c:v>
                </c:pt>
                <c:pt idx="767">
                  <c:v>45624</c:v>
                </c:pt>
                <c:pt idx="768">
                  <c:v>45625</c:v>
                </c:pt>
                <c:pt idx="769">
                  <c:v>45628</c:v>
                </c:pt>
                <c:pt idx="770">
                  <c:v>45629</c:v>
                </c:pt>
                <c:pt idx="771">
                  <c:v>45630</c:v>
                </c:pt>
                <c:pt idx="772">
                  <c:v>45631</c:v>
                </c:pt>
                <c:pt idx="773">
                  <c:v>45632</c:v>
                </c:pt>
                <c:pt idx="774">
                  <c:v>45635</c:v>
                </c:pt>
                <c:pt idx="775">
                  <c:v>45636</c:v>
                </c:pt>
                <c:pt idx="776">
                  <c:v>45637</c:v>
                </c:pt>
                <c:pt idx="777">
                  <c:v>45638</c:v>
                </c:pt>
                <c:pt idx="778">
                  <c:v>45639</c:v>
                </c:pt>
                <c:pt idx="779">
                  <c:v>45642</c:v>
                </c:pt>
                <c:pt idx="780">
                  <c:v>45643</c:v>
                </c:pt>
                <c:pt idx="781">
                  <c:v>45644</c:v>
                </c:pt>
                <c:pt idx="782">
                  <c:v>45645</c:v>
                </c:pt>
                <c:pt idx="783">
                  <c:v>45646</c:v>
                </c:pt>
                <c:pt idx="784">
                  <c:v>45649</c:v>
                </c:pt>
                <c:pt idx="785">
                  <c:v>45650</c:v>
                </c:pt>
                <c:pt idx="786">
                  <c:v>45652</c:v>
                </c:pt>
                <c:pt idx="787">
                  <c:v>45653</c:v>
                </c:pt>
                <c:pt idx="788">
                  <c:v>45656</c:v>
                </c:pt>
                <c:pt idx="789">
                  <c:v>45657</c:v>
                </c:pt>
                <c:pt idx="790">
                  <c:v>45658</c:v>
                </c:pt>
                <c:pt idx="791">
                  <c:v>45659</c:v>
                </c:pt>
                <c:pt idx="792">
                  <c:v>45660</c:v>
                </c:pt>
                <c:pt idx="793">
                  <c:v>45663</c:v>
                </c:pt>
                <c:pt idx="794">
                  <c:v>45664</c:v>
                </c:pt>
                <c:pt idx="795">
                  <c:v>45665</c:v>
                </c:pt>
                <c:pt idx="796">
                  <c:v>45666</c:v>
                </c:pt>
                <c:pt idx="797">
                  <c:v>45667</c:v>
                </c:pt>
                <c:pt idx="798">
                  <c:v>45670</c:v>
                </c:pt>
                <c:pt idx="799">
                  <c:v>45671</c:v>
                </c:pt>
                <c:pt idx="800">
                  <c:v>45672</c:v>
                </c:pt>
                <c:pt idx="801">
                  <c:v>45673</c:v>
                </c:pt>
                <c:pt idx="802">
                  <c:v>45674</c:v>
                </c:pt>
                <c:pt idx="803">
                  <c:v>45677</c:v>
                </c:pt>
                <c:pt idx="804">
                  <c:v>45678</c:v>
                </c:pt>
                <c:pt idx="805">
                  <c:v>45679</c:v>
                </c:pt>
                <c:pt idx="806">
                  <c:v>45680</c:v>
                </c:pt>
                <c:pt idx="807">
                  <c:v>45681</c:v>
                </c:pt>
                <c:pt idx="808">
                  <c:v>45684</c:v>
                </c:pt>
                <c:pt idx="809">
                  <c:v>45685</c:v>
                </c:pt>
                <c:pt idx="810">
                  <c:v>45686</c:v>
                </c:pt>
                <c:pt idx="811">
                  <c:v>45687</c:v>
                </c:pt>
                <c:pt idx="812">
                  <c:v>45688</c:v>
                </c:pt>
                <c:pt idx="813">
                  <c:v>45689</c:v>
                </c:pt>
                <c:pt idx="814">
                  <c:v>45691</c:v>
                </c:pt>
                <c:pt idx="815">
                  <c:v>45692</c:v>
                </c:pt>
                <c:pt idx="816">
                  <c:v>45693</c:v>
                </c:pt>
                <c:pt idx="817">
                  <c:v>45694</c:v>
                </c:pt>
                <c:pt idx="818">
                  <c:v>45695</c:v>
                </c:pt>
                <c:pt idx="819">
                  <c:v>45698</c:v>
                </c:pt>
                <c:pt idx="820">
                  <c:v>45699</c:v>
                </c:pt>
                <c:pt idx="821">
                  <c:v>45700</c:v>
                </c:pt>
                <c:pt idx="822">
                  <c:v>45701</c:v>
                </c:pt>
                <c:pt idx="823">
                  <c:v>45702</c:v>
                </c:pt>
                <c:pt idx="824">
                  <c:v>45705</c:v>
                </c:pt>
                <c:pt idx="825">
                  <c:v>45706</c:v>
                </c:pt>
                <c:pt idx="826">
                  <c:v>45707</c:v>
                </c:pt>
                <c:pt idx="827">
                  <c:v>45708</c:v>
                </c:pt>
                <c:pt idx="828">
                  <c:v>45709</c:v>
                </c:pt>
                <c:pt idx="829">
                  <c:v>45712</c:v>
                </c:pt>
                <c:pt idx="830">
                  <c:v>45713</c:v>
                </c:pt>
                <c:pt idx="831">
                  <c:v>45715</c:v>
                </c:pt>
                <c:pt idx="832">
                  <c:v>45716</c:v>
                </c:pt>
                <c:pt idx="833">
                  <c:v>45719</c:v>
                </c:pt>
                <c:pt idx="834">
                  <c:v>45720</c:v>
                </c:pt>
                <c:pt idx="835">
                  <c:v>45721</c:v>
                </c:pt>
                <c:pt idx="836">
                  <c:v>45722</c:v>
                </c:pt>
                <c:pt idx="837">
                  <c:v>45723</c:v>
                </c:pt>
                <c:pt idx="838">
                  <c:v>45726</c:v>
                </c:pt>
                <c:pt idx="839">
                  <c:v>45727</c:v>
                </c:pt>
                <c:pt idx="840">
                  <c:v>45728</c:v>
                </c:pt>
                <c:pt idx="841">
                  <c:v>45729</c:v>
                </c:pt>
                <c:pt idx="842">
                  <c:v>45733</c:v>
                </c:pt>
                <c:pt idx="843">
                  <c:v>45734</c:v>
                </c:pt>
                <c:pt idx="844">
                  <c:v>45735</c:v>
                </c:pt>
                <c:pt idx="845">
                  <c:v>45736</c:v>
                </c:pt>
                <c:pt idx="846">
                  <c:v>45737</c:v>
                </c:pt>
                <c:pt idx="847">
                  <c:v>45740</c:v>
                </c:pt>
                <c:pt idx="848">
                  <c:v>45741</c:v>
                </c:pt>
                <c:pt idx="849">
                  <c:v>45742</c:v>
                </c:pt>
                <c:pt idx="850">
                  <c:v>45743</c:v>
                </c:pt>
                <c:pt idx="851">
                  <c:v>45744</c:v>
                </c:pt>
                <c:pt idx="852">
                  <c:v>45748</c:v>
                </c:pt>
                <c:pt idx="853">
                  <c:v>45749</c:v>
                </c:pt>
                <c:pt idx="854">
                  <c:v>45750</c:v>
                </c:pt>
                <c:pt idx="855">
                  <c:v>45751</c:v>
                </c:pt>
                <c:pt idx="856">
                  <c:v>45754</c:v>
                </c:pt>
                <c:pt idx="857">
                  <c:v>45755</c:v>
                </c:pt>
                <c:pt idx="858">
                  <c:v>45756</c:v>
                </c:pt>
                <c:pt idx="859">
                  <c:v>45758</c:v>
                </c:pt>
                <c:pt idx="860">
                  <c:v>45762</c:v>
                </c:pt>
                <c:pt idx="861">
                  <c:v>45763</c:v>
                </c:pt>
                <c:pt idx="862">
                  <c:v>45764</c:v>
                </c:pt>
                <c:pt idx="863">
                  <c:v>45768</c:v>
                </c:pt>
                <c:pt idx="864">
                  <c:v>45769</c:v>
                </c:pt>
                <c:pt idx="865">
                  <c:v>45770</c:v>
                </c:pt>
                <c:pt idx="866">
                  <c:v>45771</c:v>
                </c:pt>
                <c:pt idx="867">
                  <c:v>45772</c:v>
                </c:pt>
                <c:pt idx="868">
                  <c:v>45775</c:v>
                </c:pt>
                <c:pt idx="869">
                  <c:v>45776</c:v>
                </c:pt>
                <c:pt idx="870">
                  <c:v>45777</c:v>
                </c:pt>
                <c:pt idx="871">
                  <c:v>45779</c:v>
                </c:pt>
                <c:pt idx="872">
                  <c:v>45782</c:v>
                </c:pt>
                <c:pt idx="873">
                  <c:v>45783</c:v>
                </c:pt>
                <c:pt idx="874">
                  <c:v>45784</c:v>
                </c:pt>
                <c:pt idx="875">
                  <c:v>45785</c:v>
                </c:pt>
                <c:pt idx="876">
                  <c:v>45786</c:v>
                </c:pt>
                <c:pt idx="877">
                  <c:v>45789</c:v>
                </c:pt>
                <c:pt idx="878">
                  <c:v>45790</c:v>
                </c:pt>
                <c:pt idx="879">
                  <c:v>45791</c:v>
                </c:pt>
                <c:pt idx="880">
                  <c:v>45792</c:v>
                </c:pt>
                <c:pt idx="881">
                  <c:v>45793</c:v>
                </c:pt>
                <c:pt idx="882">
                  <c:v>45796</c:v>
                </c:pt>
                <c:pt idx="883">
                  <c:v>45797</c:v>
                </c:pt>
                <c:pt idx="884">
                  <c:v>45798</c:v>
                </c:pt>
                <c:pt idx="885">
                  <c:v>45799</c:v>
                </c:pt>
                <c:pt idx="886">
                  <c:v>45800</c:v>
                </c:pt>
                <c:pt idx="887">
                  <c:v>45803</c:v>
                </c:pt>
                <c:pt idx="888">
                  <c:v>45804</c:v>
                </c:pt>
                <c:pt idx="889">
                  <c:v>45805</c:v>
                </c:pt>
                <c:pt idx="890">
                  <c:v>45806</c:v>
                </c:pt>
                <c:pt idx="891">
                  <c:v>45807</c:v>
                </c:pt>
                <c:pt idx="892">
                  <c:v>45810</c:v>
                </c:pt>
                <c:pt idx="893">
                  <c:v>45811</c:v>
                </c:pt>
                <c:pt idx="894">
                  <c:v>45812</c:v>
                </c:pt>
                <c:pt idx="895">
                  <c:v>45813</c:v>
                </c:pt>
                <c:pt idx="896">
                  <c:v>45814</c:v>
                </c:pt>
                <c:pt idx="897">
                  <c:v>45817</c:v>
                </c:pt>
                <c:pt idx="898">
                  <c:v>45818</c:v>
                </c:pt>
                <c:pt idx="899">
                  <c:v>45819</c:v>
                </c:pt>
                <c:pt idx="900">
                  <c:v>45820</c:v>
                </c:pt>
                <c:pt idx="901">
                  <c:v>45821</c:v>
                </c:pt>
                <c:pt idx="902">
                  <c:v>45824</c:v>
                </c:pt>
                <c:pt idx="903">
                  <c:v>45825</c:v>
                </c:pt>
                <c:pt idx="904">
                  <c:v>45826</c:v>
                </c:pt>
                <c:pt idx="905">
                  <c:v>45827</c:v>
                </c:pt>
                <c:pt idx="906">
                  <c:v>45828</c:v>
                </c:pt>
                <c:pt idx="907">
                  <c:v>45831</c:v>
                </c:pt>
                <c:pt idx="908">
                  <c:v>45832</c:v>
                </c:pt>
                <c:pt idx="909">
                  <c:v>45833</c:v>
                </c:pt>
                <c:pt idx="910">
                  <c:v>45834</c:v>
                </c:pt>
                <c:pt idx="911">
                  <c:v>45835</c:v>
                </c:pt>
                <c:pt idx="912">
                  <c:v>45838</c:v>
                </c:pt>
                <c:pt idx="913">
                  <c:v>45839</c:v>
                </c:pt>
                <c:pt idx="914">
                  <c:v>45840</c:v>
                </c:pt>
                <c:pt idx="915">
                  <c:v>45841</c:v>
                </c:pt>
                <c:pt idx="916">
                  <c:v>45842</c:v>
                </c:pt>
                <c:pt idx="917">
                  <c:v>45845</c:v>
                </c:pt>
                <c:pt idx="918">
                  <c:v>45846</c:v>
                </c:pt>
                <c:pt idx="919">
                  <c:v>45847</c:v>
                </c:pt>
                <c:pt idx="920">
                  <c:v>45848</c:v>
                </c:pt>
                <c:pt idx="921">
                  <c:v>45849</c:v>
                </c:pt>
                <c:pt idx="922">
                  <c:v>45852</c:v>
                </c:pt>
                <c:pt idx="923">
                  <c:v>45853</c:v>
                </c:pt>
                <c:pt idx="924">
                  <c:v>45854</c:v>
                </c:pt>
                <c:pt idx="925">
                  <c:v>45855</c:v>
                </c:pt>
                <c:pt idx="926">
                  <c:v>45856</c:v>
                </c:pt>
                <c:pt idx="927">
                  <c:v>45859</c:v>
                </c:pt>
                <c:pt idx="928">
                  <c:v>45860</c:v>
                </c:pt>
                <c:pt idx="929">
                  <c:v>45861</c:v>
                </c:pt>
                <c:pt idx="930">
                  <c:v>45862</c:v>
                </c:pt>
                <c:pt idx="931">
                  <c:v>45863</c:v>
                </c:pt>
                <c:pt idx="932">
                  <c:v>45866</c:v>
                </c:pt>
                <c:pt idx="933">
                  <c:v>45867</c:v>
                </c:pt>
                <c:pt idx="934">
                  <c:v>45868</c:v>
                </c:pt>
                <c:pt idx="935">
                  <c:v>45869</c:v>
                </c:pt>
                <c:pt idx="936">
                  <c:v>45870</c:v>
                </c:pt>
                <c:pt idx="937">
                  <c:v>45873</c:v>
                </c:pt>
                <c:pt idx="938">
                  <c:v>45874</c:v>
                </c:pt>
                <c:pt idx="939">
                  <c:v>45875</c:v>
                </c:pt>
                <c:pt idx="940">
                  <c:v>45876</c:v>
                </c:pt>
                <c:pt idx="941">
                  <c:v>45877</c:v>
                </c:pt>
                <c:pt idx="942">
                  <c:v>45880</c:v>
                </c:pt>
                <c:pt idx="943">
                  <c:v>45881</c:v>
                </c:pt>
                <c:pt idx="944">
                  <c:v>45882</c:v>
                </c:pt>
                <c:pt idx="945">
                  <c:v>45883</c:v>
                </c:pt>
                <c:pt idx="946">
                  <c:v>45887</c:v>
                </c:pt>
                <c:pt idx="947">
                  <c:v>45888</c:v>
                </c:pt>
                <c:pt idx="948">
                  <c:v>45889</c:v>
                </c:pt>
                <c:pt idx="949">
                  <c:v>45890</c:v>
                </c:pt>
                <c:pt idx="950">
                  <c:v>45891</c:v>
                </c:pt>
                <c:pt idx="951">
                  <c:v>45894</c:v>
                </c:pt>
                <c:pt idx="952">
                  <c:v>45895</c:v>
                </c:pt>
                <c:pt idx="953">
                  <c:v>45897</c:v>
                </c:pt>
                <c:pt idx="954">
                  <c:v>45898</c:v>
                </c:pt>
                <c:pt idx="955">
                  <c:v>45901</c:v>
                </c:pt>
                <c:pt idx="956">
                  <c:v>45902</c:v>
                </c:pt>
                <c:pt idx="957">
                  <c:v>45903</c:v>
                </c:pt>
                <c:pt idx="958">
                  <c:v>45904</c:v>
                </c:pt>
                <c:pt idx="959">
                  <c:v>45905</c:v>
                </c:pt>
                <c:pt idx="960">
                  <c:v>45908</c:v>
                </c:pt>
                <c:pt idx="961">
                  <c:v>45909</c:v>
                </c:pt>
                <c:pt idx="962">
                  <c:v>45910</c:v>
                </c:pt>
                <c:pt idx="963">
                  <c:v>45911</c:v>
                </c:pt>
                <c:pt idx="964">
                  <c:v>45912</c:v>
                </c:pt>
                <c:pt idx="965">
                  <c:v>45915</c:v>
                </c:pt>
                <c:pt idx="966">
                  <c:v>45916</c:v>
                </c:pt>
                <c:pt idx="967">
                  <c:v>45917</c:v>
                </c:pt>
                <c:pt idx="968">
                  <c:v>45918</c:v>
                </c:pt>
                <c:pt idx="969">
                  <c:v>45919</c:v>
                </c:pt>
                <c:pt idx="970">
                  <c:v>45922</c:v>
                </c:pt>
                <c:pt idx="971">
                  <c:v>45923</c:v>
                </c:pt>
                <c:pt idx="972">
                  <c:v>45924</c:v>
                </c:pt>
                <c:pt idx="973">
                  <c:v>45925</c:v>
                </c:pt>
                <c:pt idx="974">
                  <c:v>45926</c:v>
                </c:pt>
                <c:pt idx="975">
                  <c:v>45929</c:v>
                </c:pt>
                <c:pt idx="976">
                  <c:v>45930</c:v>
                </c:pt>
                <c:pt idx="977">
                  <c:v>45931</c:v>
                </c:pt>
                <c:pt idx="978">
                  <c:v>45933</c:v>
                </c:pt>
                <c:pt idx="979">
                  <c:v>45936</c:v>
                </c:pt>
                <c:pt idx="980">
                  <c:v>45937</c:v>
                </c:pt>
                <c:pt idx="981">
                  <c:v>45938</c:v>
                </c:pt>
                <c:pt idx="982">
                  <c:v>45939</c:v>
                </c:pt>
                <c:pt idx="983">
                  <c:v>45940</c:v>
                </c:pt>
                <c:pt idx="984">
                  <c:v>45943</c:v>
                </c:pt>
                <c:pt idx="985">
                  <c:v>45944</c:v>
                </c:pt>
                <c:pt idx="986">
                  <c:v>45945</c:v>
                </c:pt>
                <c:pt idx="987">
                  <c:v>45946</c:v>
                </c:pt>
                <c:pt idx="988">
                  <c:v>45947</c:v>
                </c:pt>
                <c:pt idx="989">
                  <c:v>45950</c:v>
                </c:pt>
                <c:pt idx="990">
                  <c:v>45951</c:v>
                </c:pt>
                <c:pt idx="991">
                  <c:v>45953</c:v>
                </c:pt>
                <c:pt idx="992">
                  <c:v>45954</c:v>
                </c:pt>
                <c:pt idx="993">
                  <c:v>45957</c:v>
                </c:pt>
                <c:pt idx="994">
                  <c:v>45958</c:v>
                </c:pt>
                <c:pt idx="995">
                  <c:v>45959</c:v>
                </c:pt>
                <c:pt idx="996">
                  <c:v>45960</c:v>
                </c:pt>
                <c:pt idx="997">
                  <c:v>45961</c:v>
                </c:pt>
                <c:pt idx="998">
                  <c:v>45964</c:v>
                </c:pt>
                <c:pt idx="999">
                  <c:v>45965</c:v>
                </c:pt>
                <c:pt idx="1000">
                  <c:v>45967</c:v>
                </c:pt>
                <c:pt idx="1001">
                  <c:v>45968</c:v>
                </c:pt>
                <c:pt idx="1002">
                  <c:v>45971</c:v>
                </c:pt>
                <c:pt idx="1003">
                  <c:v>45972</c:v>
                </c:pt>
                <c:pt idx="1004">
                  <c:v>45973</c:v>
                </c:pt>
                <c:pt idx="1005">
                  <c:v>45974</c:v>
                </c:pt>
                <c:pt idx="1006">
                  <c:v>45975</c:v>
                </c:pt>
                <c:pt idx="1007">
                  <c:v>45978</c:v>
                </c:pt>
                <c:pt idx="1008">
                  <c:v>45979</c:v>
                </c:pt>
                <c:pt idx="1009">
                  <c:v>45980</c:v>
                </c:pt>
                <c:pt idx="1010">
                  <c:v>45981</c:v>
                </c:pt>
                <c:pt idx="1011">
                  <c:v>45982</c:v>
                </c:pt>
                <c:pt idx="1012">
                  <c:v>45985</c:v>
                </c:pt>
                <c:pt idx="1013">
                  <c:v>45986</c:v>
                </c:pt>
                <c:pt idx="1014">
                  <c:v>45987</c:v>
                </c:pt>
                <c:pt idx="1015">
                  <c:v>45988</c:v>
                </c:pt>
                <c:pt idx="1016">
                  <c:v>45989</c:v>
                </c:pt>
                <c:pt idx="1017">
                  <c:v>45992</c:v>
                </c:pt>
                <c:pt idx="1018">
                  <c:v>45993</c:v>
                </c:pt>
                <c:pt idx="1019">
                  <c:v>45994</c:v>
                </c:pt>
                <c:pt idx="1020">
                  <c:v>45995</c:v>
                </c:pt>
                <c:pt idx="1021">
                  <c:v>45996</c:v>
                </c:pt>
                <c:pt idx="1022">
                  <c:v>45999</c:v>
                </c:pt>
                <c:pt idx="1023">
                  <c:v>46000</c:v>
                </c:pt>
                <c:pt idx="1024">
                  <c:v>46001</c:v>
                </c:pt>
                <c:pt idx="1025">
                  <c:v>46002</c:v>
                </c:pt>
                <c:pt idx="1026">
                  <c:v>46003</c:v>
                </c:pt>
                <c:pt idx="1027">
                  <c:v>46006</c:v>
                </c:pt>
                <c:pt idx="1028">
                  <c:v>46007</c:v>
                </c:pt>
                <c:pt idx="1029">
                  <c:v>46008</c:v>
                </c:pt>
                <c:pt idx="1030">
                  <c:v>46009</c:v>
                </c:pt>
                <c:pt idx="1031">
                  <c:v>46010</c:v>
                </c:pt>
                <c:pt idx="1032">
                  <c:v>46013</c:v>
                </c:pt>
                <c:pt idx="1033">
                  <c:v>46014</c:v>
                </c:pt>
                <c:pt idx="1034">
                  <c:v>46015</c:v>
                </c:pt>
                <c:pt idx="1035">
                  <c:v>46017</c:v>
                </c:pt>
                <c:pt idx="1036">
                  <c:v>46020</c:v>
                </c:pt>
                <c:pt idx="1037">
                  <c:v>46021</c:v>
                </c:pt>
                <c:pt idx="1038">
                  <c:v>46022</c:v>
                </c:pt>
              </c:numCache>
            </c:numRef>
          </c:cat>
          <c:val>
            <c:numRef>
              <c:f>'Price trend line table'!$C$202:$C$1241</c:f>
              <c:numCache>
                <c:formatCode>General</c:formatCode>
                <c:ptCount val="1040"/>
                <c:pt idx="0">
                  <c:v>17952.855000000003</c:v>
                </c:pt>
                <c:pt idx="1">
                  <c:v>17966.465000000004</c:v>
                </c:pt>
                <c:pt idx="2">
                  <c:v>17987.13</c:v>
                </c:pt>
                <c:pt idx="3">
                  <c:v>18010.247500000005</c:v>
                </c:pt>
                <c:pt idx="4">
                  <c:v>18017.545000000006</c:v>
                </c:pt>
                <c:pt idx="5">
                  <c:v>18020.220000000005</c:v>
                </c:pt>
                <c:pt idx="6">
                  <c:v>18040.100000000002</c:v>
                </c:pt>
                <c:pt idx="7">
                  <c:v>18049.985000000004</c:v>
                </c:pt>
                <c:pt idx="8">
                  <c:v>18050.330000000002</c:v>
                </c:pt>
                <c:pt idx="9">
                  <c:v>18063.870000000003</c:v>
                </c:pt>
                <c:pt idx="10">
                  <c:v>18077.780000000002</c:v>
                </c:pt>
                <c:pt idx="11">
                  <c:v>18085.232500000002</c:v>
                </c:pt>
                <c:pt idx="12">
                  <c:v>18088.794999999998</c:v>
                </c:pt>
                <c:pt idx="13">
                  <c:v>18082.877499999999</c:v>
                </c:pt>
                <c:pt idx="14">
                  <c:v>18079.927499999998</c:v>
                </c:pt>
                <c:pt idx="15">
                  <c:v>18068.4725</c:v>
                </c:pt>
                <c:pt idx="16">
                  <c:v>18044.579999999998</c:v>
                </c:pt>
                <c:pt idx="17">
                  <c:v>18018.575000000001</c:v>
                </c:pt>
                <c:pt idx="18">
                  <c:v>17993.485000000001</c:v>
                </c:pt>
                <c:pt idx="19">
                  <c:v>17955.407500000001</c:v>
                </c:pt>
                <c:pt idx="20">
                  <c:v>17924.829999999998</c:v>
                </c:pt>
                <c:pt idx="21">
                  <c:v>17889.312499999996</c:v>
                </c:pt>
                <c:pt idx="22">
                  <c:v>17852.704999999998</c:v>
                </c:pt>
                <c:pt idx="23">
                  <c:v>17793.48</c:v>
                </c:pt>
                <c:pt idx="24">
                  <c:v>17753.314999999999</c:v>
                </c:pt>
                <c:pt idx="25">
                  <c:v>17718.892500000002</c:v>
                </c:pt>
                <c:pt idx="26">
                  <c:v>17680.755000000001</c:v>
                </c:pt>
                <c:pt idx="27">
                  <c:v>17656.390000000007</c:v>
                </c:pt>
                <c:pt idx="28">
                  <c:v>17624.765000000003</c:v>
                </c:pt>
                <c:pt idx="29">
                  <c:v>17574.537500000002</c:v>
                </c:pt>
                <c:pt idx="30">
                  <c:v>17529.945</c:v>
                </c:pt>
                <c:pt idx="31">
                  <c:v>17501.220000000005</c:v>
                </c:pt>
                <c:pt idx="32">
                  <c:v>17476.202500000003</c:v>
                </c:pt>
                <c:pt idx="33">
                  <c:v>17458.087500000001</c:v>
                </c:pt>
                <c:pt idx="34">
                  <c:v>17421.362499999999</c:v>
                </c:pt>
                <c:pt idx="35">
                  <c:v>17382.135000000002</c:v>
                </c:pt>
                <c:pt idx="36">
                  <c:v>17343.245000000003</c:v>
                </c:pt>
                <c:pt idx="37">
                  <c:v>17310.732500000006</c:v>
                </c:pt>
                <c:pt idx="38">
                  <c:v>17271.752500000006</c:v>
                </c:pt>
                <c:pt idx="39">
                  <c:v>17231.635000000002</c:v>
                </c:pt>
                <c:pt idx="40">
                  <c:v>17195.010000000002</c:v>
                </c:pt>
                <c:pt idx="41">
                  <c:v>17172.03</c:v>
                </c:pt>
                <c:pt idx="42">
                  <c:v>17148.847499999996</c:v>
                </c:pt>
                <c:pt idx="43">
                  <c:v>17147.712499999998</c:v>
                </c:pt>
                <c:pt idx="44">
                  <c:v>17149.327499999999</c:v>
                </c:pt>
                <c:pt idx="45">
                  <c:v>17161.829999999998</c:v>
                </c:pt>
                <c:pt idx="46">
                  <c:v>17164.165000000001</c:v>
                </c:pt>
                <c:pt idx="47">
                  <c:v>17154.280000000002</c:v>
                </c:pt>
                <c:pt idx="48">
                  <c:v>17162.147499999999</c:v>
                </c:pt>
                <c:pt idx="49">
                  <c:v>17197.82</c:v>
                </c:pt>
                <c:pt idx="50">
                  <c:v>17229.247500000001</c:v>
                </c:pt>
                <c:pt idx="51">
                  <c:v>17252.022499999999</c:v>
                </c:pt>
                <c:pt idx="52">
                  <c:v>17263.475000000002</c:v>
                </c:pt>
                <c:pt idx="53">
                  <c:v>17278.545000000006</c:v>
                </c:pt>
                <c:pt idx="54">
                  <c:v>17310.297500000004</c:v>
                </c:pt>
                <c:pt idx="55">
                  <c:v>17346.840000000004</c:v>
                </c:pt>
                <c:pt idx="56">
                  <c:v>17396.387500000001</c:v>
                </c:pt>
                <c:pt idx="57">
                  <c:v>17446.857499999998</c:v>
                </c:pt>
                <c:pt idx="58">
                  <c:v>17510.385000000002</c:v>
                </c:pt>
                <c:pt idx="59">
                  <c:v>17595.079999999994</c:v>
                </c:pt>
                <c:pt idx="60">
                  <c:v>17662.189999999995</c:v>
                </c:pt>
                <c:pt idx="61">
                  <c:v>17711.337500000001</c:v>
                </c:pt>
                <c:pt idx="62">
                  <c:v>17745.557499999999</c:v>
                </c:pt>
                <c:pt idx="63">
                  <c:v>17776.227500000001</c:v>
                </c:pt>
                <c:pt idx="64">
                  <c:v>17779.370000000003</c:v>
                </c:pt>
                <c:pt idx="65">
                  <c:v>17781.605000000003</c:v>
                </c:pt>
                <c:pt idx="66">
                  <c:v>17776.432500000003</c:v>
                </c:pt>
                <c:pt idx="67">
                  <c:v>17771.3325</c:v>
                </c:pt>
                <c:pt idx="68">
                  <c:v>17770.622500000001</c:v>
                </c:pt>
                <c:pt idx="69">
                  <c:v>17768.18</c:v>
                </c:pt>
                <c:pt idx="70">
                  <c:v>17766.9175</c:v>
                </c:pt>
                <c:pt idx="71">
                  <c:v>17748.665000000001</c:v>
                </c:pt>
                <c:pt idx="72">
                  <c:v>17737.184999999998</c:v>
                </c:pt>
                <c:pt idx="73">
                  <c:v>17707.23</c:v>
                </c:pt>
                <c:pt idx="74">
                  <c:v>17670.4025</c:v>
                </c:pt>
                <c:pt idx="75">
                  <c:v>17640.805</c:v>
                </c:pt>
                <c:pt idx="76">
                  <c:v>17610.48</c:v>
                </c:pt>
                <c:pt idx="77">
                  <c:v>17566.327499999999</c:v>
                </c:pt>
                <c:pt idx="78">
                  <c:v>17495.68</c:v>
                </c:pt>
                <c:pt idx="79">
                  <c:v>17447.897499999999</c:v>
                </c:pt>
                <c:pt idx="80">
                  <c:v>17408.355</c:v>
                </c:pt>
                <c:pt idx="81">
                  <c:v>17376.665000000001</c:v>
                </c:pt>
                <c:pt idx="82">
                  <c:v>17352.629999999997</c:v>
                </c:pt>
                <c:pt idx="83">
                  <c:v>17332.105</c:v>
                </c:pt>
                <c:pt idx="84">
                  <c:v>17329.260000000002</c:v>
                </c:pt>
                <c:pt idx="85">
                  <c:v>17318.525000000001</c:v>
                </c:pt>
                <c:pt idx="86">
                  <c:v>17275.415000000001</c:v>
                </c:pt>
                <c:pt idx="87">
                  <c:v>17253.237500000003</c:v>
                </c:pt>
                <c:pt idx="88">
                  <c:v>17225.940000000002</c:v>
                </c:pt>
                <c:pt idx="89">
                  <c:v>17177.395000000004</c:v>
                </c:pt>
                <c:pt idx="90">
                  <c:v>17113.297500000004</c:v>
                </c:pt>
                <c:pt idx="91">
                  <c:v>17047.555</c:v>
                </c:pt>
                <c:pt idx="92">
                  <c:v>16964.897499999999</c:v>
                </c:pt>
                <c:pt idx="93">
                  <c:v>16904.89</c:v>
                </c:pt>
                <c:pt idx="94">
                  <c:v>16858.82</c:v>
                </c:pt>
                <c:pt idx="95">
                  <c:v>16815.375000000004</c:v>
                </c:pt>
                <c:pt idx="96">
                  <c:v>16766.605000000003</c:v>
                </c:pt>
                <c:pt idx="97">
                  <c:v>16741.432500000003</c:v>
                </c:pt>
                <c:pt idx="98">
                  <c:v>16732.442500000001</c:v>
                </c:pt>
                <c:pt idx="99">
                  <c:v>16713.587500000001</c:v>
                </c:pt>
                <c:pt idx="100">
                  <c:v>16711.829999999998</c:v>
                </c:pt>
                <c:pt idx="101">
                  <c:v>16702.48</c:v>
                </c:pt>
                <c:pt idx="102">
                  <c:v>16704.439999999999</c:v>
                </c:pt>
                <c:pt idx="103">
                  <c:v>16706.39</c:v>
                </c:pt>
                <c:pt idx="104">
                  <c:v>16712.917500000003</c:v>
                </c:pt>
                <c:pt idx="105">
                  <c:v>16717.405000000002</c:v>
                </c:pt>
                <c:pt idx="106">
                  <c:v>16766.107500000002</c:v>
                </c:pt>
                <c:pt idx="107">
                  <c:v>16799.452499999999</c:v>
                </c:pt>
                <c:pt idx="108">
                  <c:v>16834.669999999998</c:v>
                </c:pt>
                <c:pt idx="109">
                  <c:v>16877.61</c:v>
                </c:pt>
                <c:pt idx="110">
                  <c:v>16936.23</c:v>
                </c:pt>
                <c:pt idx="111">
                  <c:v>17026.6325</c:v>
                </c:pt>
                <c:pt idx="112">
                  <c:v>17131.345000000005</c:v>
                </c:pt>
                <c:pt idx="113">
                  <c:v>17221.055</c:v>
                </c:pt>
                <c:pt idx="114">
                  <c:v>17285.765000000003</c:v>
                </c:pt>
                <c:pt idx="115">
                  <c:v>17345.237499999999</c:v>
                </c:pt>
                <c:pt idx="116">
                  <c:v>17397.462500000001</c:v>
                </c:pt>
                <c:pt idx="117">
                  <c:v>17430.412499999999</c:v>
                </c:pt>
                <c:pt idx="118">
                  <c:v>17471.044999999998</c:v>
                </c:pt>
                <c:pt idx="119">
                  <c:v>17480.96</c:v>
                </c:pt>
                <c:pt idx="120">
                  <c:v>17464.54</c:v>
                </c:pt>
                <c:pt idx="121">
                  <c:v>17465.487500000003</c:v>
                </c:pt>
                <c:pt idx="122">
                  <c:v>17469.342500000002</c:v>
                </c:pt>
                <c:pt idx="123">
                  <c:v>17465.657500000001</c:v>
                </c:pt>
                <c:pt idx="124">
                  <c:v>17452.217499999999</c:v>
                </c:pt>
                <c:pt idx="125">
                  <c:v>17454.607499999998</c:v>
                </c:pt>
                <c:pt idx="126">
                  <c:v>17445.427499999998</c:v>
                </c:pt>
                <c:pt idx="127">
                  <c:v>17441.415000000001</c:v>
                </c:pt>
                <c:pt idx="128">
                  <c:v>17421.629999999997</c:v>
                </c:pt>
                <c:pt idx="129">
                  <c:v>17401.847499999996</c:v>
                </c:pt>
                <c:pt idx="130">
                  <c:v>17352.204999999994</c:v>
                </c:pt>
                <c:pt idx="131">
                  <c:v>17283.6675</c:v>
                </c:pt>
                <c:pt idx="132">
                  <c:v>17206.359999999997</c:v>
                </c:pt>
                <c:pt idx="133">
                  <c:v>17131.069999999996</c:v>
                </c:pt>
                <c:pt idx="134">
                  <c:v>17061.094999999998</c:v>
                </c:pt>
                <c:pt idx="135">
                  <c:v>16980.232499999998</c:v>
                </c:pt>
                <c:pt idx="136">
                  <c:v>16886.884999999995</c:v>
                </c:pt>
                <c:pt idx="137">
                  <c:v>16799.477499999997</c:v>
                </c:pt>
                <c:pt idx="138">
                  <c:v>16717.810000000001</c:v>
                </c:pt>
                <c:pt idx="139">
                  <c:v>16672.092499999999</c:v>
                </c:pt>
                <c:pt idx="140">
                  <c:v>16636.174999999999</c:v>
                </c:pt>
                <c:pt idx="141">
                  <c:v>16569.817500000001</c:v>
                </c:pt>
                <c:pt idx="142">
                  <c:v>16513.495000000003</c:v>
                </c:pt>
                <c:pt idx="143">
                  <c:v>16465.6325</c:v>
                </c:pt>
                <c:pt idx="144">
                  <c:v>16424.192500000001</c:v>
                </c:pt>
                <c:pt idx="145">
                  <c:v>16365.442500000001</c:v>
                </c:pt>
                <c:pt idx="146">
                  <c:v>16322.029999999999</c:v>
                </c:pt>
                <c:pt idx="147">
                  <c:v>16277.4</c:v>
                </c:pt>
                <c:pt idx="148">
                  <c:v>16255.342500000002</c:v>
                </c:pt>
                <c:pt idx="149">
                  <c:v>16231.115</c:v>
                </c:pt>
                <c:pt idx="150">
                  <c:v>16223.372499999998</c:v>
                </c:pt>
                <c:pt idx="151">
                  <c:v>16220.64</c:v>
                </c:pt>
                <c:pt idx="152">
                  <c:v>16229.2925</c:v>
                </c:pt>
                <c:pt idx="153">
                  <c:v>16242.677499999996</c:v>
                </c:pt>
                <c:pt idx="154">
                  <c:v>16251.492499999997</c:v>
                </c:pt>
                <c:pt idx="155">
                  <c:v>16260.949999999997</c:v>
                </c:pt>
                <c:pt idx="156">
                  <c:v>16294.454999999996</c:v>
                </c:pt>
                <c:pt idx="157">
                  <c:v>16315.437499999996</c:v>
                </c:pt>
                <c:pt idx="158">
                  <c:v>16312.042499999996</c:v>
                </c:pt>
                <c:pt idx="159">
                  <c:v>16285.682499999999</c:v>
                </c:pt>
                <c:pt idx="160">
                  <c:v>16258.275</c:v>
                </c:pt>
                <c:pt idx="161">
                  <c:v>16235.834999999997</c:v>
                </c:pt>
                <c:pt idx="162">
                  <c:v>16187.202499999999</c:v>
                </c:pt>
                <c:pt idx="163">
                  <c:v>16143.975</c:v>
                </c:pt>
                <c:pt idx="164">
                  <c:v>16119.657499999998</c:v>
                </c:pt>
                <c:pt idx="165">
                  <c:v>16089.032500000001</c:v>
                </c:pt>
                <c:pt idx="166">
                  <c:v>16058.357500000002</c:v>
                </c:pt>
                <c:pt idx="167">
                  <c:v>16025.6975</c:v>
                </c:pt>
                <c:pt idx="168">
                  <c:v>15984.23</c:v>
                </c:pt>
                <c:pt idx="169">
                  <c:v>15947.512500000001</c:v>
                </c:pt>
                <c:pt idx="170">
                  <c:v>15911.329999999998</c:v>
                </c:pt>
                <c:pt idx="171">
                  <c:v>15868.942499999999</c:v>
                </c:pt>
                <c:pt idx="172">
                  <c:v>15827.329999999996</c:v>
                </c:pt>
                <c:pt idx="173">
                  <c:v>15790.619999999995</c:v>
                </c:pt>
                <c:pt idx="174">
                  <c:v>15760.344999999996</c:v>
                </c:pt>
                <c:pt idx="175">
                  <c:v>15742.022499999995</c:v>
                </c:pt>
                <c:pt idx="176">
                  <c:v>15724.762499999997</c:v>
                </c:pt>
                <c:pt idx="177">
                  <c:v>15725.702499999999</c:v>
                </c:pt>
                <c:pt idx="178">
                  <c:v>15747.782500000001</c:v>
                </c:pt>
                <c:pt idx="179">
                  <c:v>15764.092499999999</c:v>
                </c:pt>
                <c:pt idx="180">
                  <c:v>15777.817499999999</c:v>
                </c:pt>
                <c:pt idx="181">
                  <c:v>15806.720000000001</c:v>
                </c:pt>
                <c:pt idx="182">
                  <c:v>15844.505000000001</c:v>
                </c:pt>
                <c:pt idx="183">
                  <c:v>15890.922500000001</c:v>
                </c:pt>
                <c:pt idx="184">
                  <c:v>15926.01</c:v>
                </c:pt>
                <c:pt idx="185">
                  <c:v>15981.387499999997</c:v>
                </c:pt>
                <c:pt idx="186">
                  <c:v>16033.817499999999</c:v>
                </c:pt>
                <c:pt idx="187">
                  <c:v>16084.827499999999</c:v>
                </c:pt>
                <c:pt idx="188">
                  <c:v>16124.775</c:v>
                </c:pt>
                <c:pt idx="189">
                  <c:v>16156.457499999999</c:v>
                </c:pt>
                <c:pt idx="190">
                  <c:v>16198.592499999999</c:v>
                </c:pt>
                <c:pt idx="191">
                  <c:v>16256.059999999998</c:v>
                </c:pt>
                <c:pt idx="192">
                  <c:v>16326.369999999999</c:v>
                </c:pt>
                <c:pt idx="193">
                  <c:v>16401.605</c:v>
                </c:pt>
                <c:pt idx="194">
                  <c:v>16478.334999999999</c:v>
                </c:pt>
                <c:pt idx="195">
                  <c:v>16548.252500000002</c:v>
                </c:pt>
                <c:pt idx="196">
                  <c:v>16610.7075</c:v>
                </c:pt>
                <c:pt idx="197">
                  <c:v>16669.552500000002</c:v>
                </c:pt>
                <c:pt idx="198">
                  <c:v>16735.0075</c:v>
                </c:pt>
                <c:pt idx="199">
                  <c:v>16808.829999999998</c:v>
                </c:pt>
                <c:pt idx="200">
                  <c:v>16893.447499999998</c:v>
                </c:pt>
                <c:pt idx="201">
                  <c:v>16981.422499999997</c:v>
                </c:pt>
                <c:pt idx="202">
                  <c:v>17070.224999999999</c:v>
                </c:pt>
                <c:pt idx="203">
                  <c:v>17153.512500000001</c:v>
                </c:pt>
                <c:pt idx="204">
                  <c:v>17234.310000000001</c:v>
                </c:pt>
                <c:pt idx="205">
                  <c:v>17296.189999999999</c:v>
                </c:pt>
                <c:pt idx="206">
                  <c:v>17340.462500000001</c:v>
                </c:pt>
                <c:pt idx="207">
                  <c:v>17383.365000000002</c:v>
                </c:pt>
                <c:pt idx="208">
                  <c:v>17432.062500000004</c:v>
                </c:pt>
                <c:pt idx="209">
                  <c:v>17483.9925</c:v>
                </c:pt>
                <c:pt idx="210">
                  <c:v>17529.847500000003</c:v>
                </c:pt>
                <c:pt idx="211">
                  <c:v>17549.012500000004</c:v>
                </c:pt>
                <c:pt idx="212">
                  <c:v>17579.065000000006</c:v>
                </c:pt>
                <c:pt idx="213">
                  <c:v>17589.202500000003</c:v>
                </c:pt>
                <c:pt idx="214">
                  <c:v>17598.902500000004</c:v>
                </c:pt>
                <c:pt idx="215">
                  <c:v>17612.785000000003</c:v>
                </c:pt>
                <c:pt idx="216">
                  <c:v>17626.465</c:v>
                </c:pt>
                <c:pt idx="217">
                  <c:v>17637.810000000001</c:v>
                </c:pt>
                <c:pt idx="218">
                  <c:v>17651.4925</c:v>
                </c:pt>
                <c:pt idx="219">
                  <c:v>17666.422499999997</c:v>
                </c:pt>
                <c:pt idx="220">
                  <c:v>17680.289999999997</c:v>
                </c:pt>
                <c:pt idx="221">
                  <c:v>17698.884999999995</c:v>
                </c:pt>
                <c:pt idx="222">
                  <c:v>17707.809999999994</c:v>
                </c:pt>
                <c:pt idx="223">
                  <c:v>17704.467499999995</c:v>
                </c:pt>
                <c:pt idx="224">
                  <c:v>17683.184999999998</c:v>
                </c:pt>
                <c:pt idx="225">
                  <c:v>17676.375</c:v>
                </c:pt>
                <c:pt idx="226">
                  <c:v>17692.6525</c:v>
                </c:pt>
                <c:pt idx="227">
                  <c:v>17699.695</c:v>
                </c:pt>
                <c:pt idx="228">
                  <c:v>17700.937499999996</c:v>
                </c:pt>
                <c:pt idx="229">
                  <c:v>17691.182499999995</c:v>
                </c:pt>
                <c:pt idx="230">
                  <c:v>17664.052499999998</c:v>
                </c:pt>
                <c:pt idx="231">
                  <c:v>17648.777499999997</c:v>
                </c:pt>
                <c:pt idx="232">
                  <c:v>17603.742499999997</c:v>
                </c:pt>
                <c:pt idx="233">
                  <c:v>17567.5075</c:v>
                </c:pt>
                <c:pt idx="234">
                  <c:v>17545.252499999995</c:v>
                </c:pt>
                <c:pt idx="235">
                  <c:v>17506.329999999998</c:v>
                </c:pt>
                <c:pt idx="236">
                  <c:v>17487.264999999996</c:v>
                </c:pt>
                <c:pt idx="237">
                  <c:v>17472.634999999995</c:v>
                </c:pt>
                <c:pt idx="238">
                  <c:v>17448.429999999997</c:v>
                </c:pt>
                <c:pt idx="239">
                  <c:v>17418.812499999996</c:v>
                </c:pt>
                <c:pt idx="240">
                  <c:v>17371.172500000001</c:v>
                </c:pt>
                <c:pt idx="241">
                  <c:v>17323.849999999999</c:v>
                </c:pt>
                <c:pt idx="242">
                  <c:v>17274.379999999997</c:v>
                </c:pt>
                <c:pt idx="243">
                  <c:v>17239.794999999998</c:v>
                </c:pt>
                <c:pt idx="244">
                  <c:v>17228.842499999999</c:v>
                </c:pt>
                <c:pt idx="245">
                  <c:v>17222.077499999999</c:v>
                </c:pt>
                <c:pt idx="246">
                  <c:v>17206.877499999999</c:v>
                </c:pt>
                <c:pt idx="247">
                  <c:v>17199.157500000001</c:v>
                </c:pt>
                <c:pt idx="248">
                  <c:v>17196.482500000002</c:v>
                </c:pt>
                <c:pt idx="249">
                  <c:v>17216.6525</c:v>
                </c:pt>
                <c:pt idx="250">
                  <c:v>17248.654999999999</c:v>
                </c:pt>
                <c:pt idx="251">
                  <c:v>17285.1325</c:v>
                </c:pt>
                <c:pt idx="252">
                  <c:v>17331.5425</c:v>
                </c:pt>
                <c:pt idx="253">
                  <c:v>17391.247500000001</c:v>
                </c:pt>
                <c:pt idx="254">
                  <c:v>17443.800000000003</c:v>
                </c:pt>
                <c:pt idx="255">
                  <c:v>17503.575000000001</c:v>
                </c:pt>
                <c:pt idx="256">
                  <c:v>17542.495000000003</c:v>
                </c:pt>
                <c:pt idx="257">
                  <c:v>17581.762500000004</c:v>
                </c:pt>
                <c:pt idx="258">
                  <c:v>17626.170000000002</c:v>
                </c:pt>
                <c:pt idx="259">
                  <c:v>17671.97</c:v>
                </c:pt>
                <c:pt idx="260">
                  <c:v>17724.202500000003</c:v>
                </c:pt>
                <c:pt idx="261">
                  <c:v>17785.5075</c:v>
                </c:pt>
                <c:pt idx="262">
                  <c:v>17851.247500000005</c:v>
                </c:pt>
                <c:pt idx="263">
                  <c:v>17912.132500000003</c:v>
                </c:pt>
                <c:pt idx="264">
                  <c:v>17967.025000000005</c:v>
                </c:pt>
                <c:pt idx="265">
                  <c:v>18009.872500000005</c:v>
                </c:pt>
                <c:pt idx="266">
                  <c:v>18049.642500000009</c:v>
                </c:pt>
                <c:pt idx="267">
                  <c:v>18079.442500000008</c:v>
                </c:pt>
                <c:pt idx="268">
                  <c:v>18112.837500000005</c:v>
                </c:pt>
                <c:pt idx="269">
                  <c:v>18139.662500000006</c:v>
                </c:pt>
                <c:pt idx="270">
                  <c:v>18181.050000000003</c:v>
                </c:pt>
                <c:pt idx="271">
                  <c:v>18219.840000000004</c:v>
                </c:pt>
                <c:pt idx="272">
                  <c:v>18258.637500000001</c:v>
                </c:pt>
                <c:pt idx="273">
                  <c:v>18288.93</c:v>
                </c:pt>
                <c:pt idx="274">
                  <c:v>18319.577499999996</c:v>
                </c:pt>
                <c:pt idx="275">
                  <c:v>18356.059999999998</c:v>
                </c:pt>
                <c:pt idx="276">
                  <c:v>18388.229999999996</c:v>
                </c:pt>
                <c:pt idx="277">
                  <c:v>18417.424999999996</c:v>
                </c:pt>
                <c:pt idx="278">
                  <c:v>18439.422499999997</c:v>
                </c:pt>
                <c:pt idx="279">
                  <c:v>18459.597499999996</c:v>
                </c:pt>
                <c:pt idx="280">
                  <c:v>18488.654999999995</c:v>
                </c:pt>
                <c:pt idx="281">
                  <c:v>18495.999999999996</c:v>
                </c:pt>
                <c:pt idx="282">
                  <c:v>18504.400000000001</c:v>
                </c:pt>
                <c:pt idx="283">
                  <c:v>18514.629999999997</c:v>
                </c:pt>
                <c:pt idx="284">
                  <c:v>18527.162499999999</c:v>
                </c:pt>
                <c:pt idx="285">
                  <c:v>18530.712500000001</c:v>
                </c:pt>
                <c:pt idx="286">
                  <c:v>18528.780000000002</c:v>
                </c:pt>
                <c:pt idx="287">
                  <c:v>18541.805</c:v>
                </c:pt>
                <c:pt idx="288">
                  <c:v>18548.86</c:v>
                </c:pt>
                <c:pt idx="289">
                  <c:v>18545.452499999999</c:v>
                </c:pt>
                <c:pt idx="290">
                  <c:v>18527.614999999998</c:v>
                </c:pt>
                <c:pt idx="291">
                  <c:v>18492.317499999997</c:v>
                </c:pt>
                <c:pt idx="292">
                  <c:v>18464.909999999996</c:v>
                </c:pt>
                <c:pt idx="293">
                  <c:v>18440.622499999994</c:v>
                </c:pt>
                <c:pt idx="294">
                  <c:v>18408.829999999994</c:v>
                </c:pt>
                <c:pt idx="295">
                  <c:v>18377.754999999997</c:v>
                </c:pt>
                <c:pt idx="296">
                  <c:v>18348.214999999997</c:v>
                </c:pt>
                <c:pt idx="297">
                  <c:v>18323.035</c:v>
                </c:pt>
                <c:pt idx="298">
                  <c:v>18302.525000000001</c:v>
                </c:pt>
                <c:pt idx="299">
                  <c:v>18276.647499999999</c:v>
                </c:pt>
                <c:pt idx="300">
                  <c:v>18245.787499999999</c:v>
                </c:pt>
                <c:pt idx="301">
                  <c:v>18213.93</c:v>
                </c:pt>
                <c:pt idx="302">
                  <c:v>18194.1325</c:v>
                </c:pt>
                <c:pt idx="303">
                  <c:v>18159.440000000002</c:v>
                </c:pt>
                <c:pt idx="304">
                  <c:v>18121.210000000003</c:v>
                </c:pt>
                <c:pt idx="305">
                  <c:v>18093.375000000004</c:v>
                </c:pt>
                <c:pt idx="306">
                  <c:v>18077.755000000001</c:v>
                </c:pt>
                <c:pt idx="307">
                  <c:v>18051.474999999999</c:v>
                </c:pt>
                <c:pt idx="308">
                  <c:v>18034.875</c:v>
                </c:pt>
                <c:pt idx="309">
                  <c:v>18033.187499999996</c:v>
                </c:pt>
                <c:pt idx="310">
                  <c:v>18032.212499999998</c:v>
                </c:pt>
                <c:pt idx="311">
                  <c:v>18043.254999999997</c:v>
                </c:pt>
                <c:pt idx="312">
                  <c:v>18048.452499999999</c:v>
                </c:pt>
                <c:pt idx="313">
                  <c:v>18047.752499999999</c:v>
                </c:pt>
                <c:pt idx="314">
                  <c:v>18036.224999999999</c:v>
                </c:pt>
                <c:pt idx="315">
                  <c:v>18006.892499999998</c:v>
                </c:pt>
                <c:pt idx="316">
                  <c:v>17984.075000000001</c:v>
                </c:pt>
                <c:pt idx="317">
                  <c:v>17957.310000000001</c:v>
                </c:pt>
                <c:pt idx="318">
                  <c:v>17926.497500000001</c:v>
                </c:pt>
                <c:pt idx="319">
                  <c:v>17904.870000000003</c:v>
                </c:pt>
                <c:pt idx="320">
                  <c:v>17897.965</c:v>
                </c:pt>
                <c:pt idx="321">
                  <c:v>17893.2225</c:v>
                </c:pt>
                <c:pt idx="322">
                  <c:v>17874.237499999999</c:v>
                </c:pt>
                <c:pt idx="323">
                  <c:v>17872.114999999998</c:v>
                </c:pt>
                <c:pt idx="324">
                  <c:v>17872.002499999999</c:v>
                </c:pt>
                <c:pt idx="325">
                  <c:v>17871.917500000003</c:v>
                </c:pt>
                <c:pt idx="326">
                  <c:v>17862.6325</c:v>
                </c:pt>
                <c:pt idx="327">
                  <c:v>17864.3825</c:v>
                </c:pt>
                <c:pt idx="328">
                  <c:v>17862.509999999998</c:v>
                </c:pt>
                <c:pt idx="329">
                  <c:v>17856.034999999996</c:v>
                </c:pt>
                <c:pt idx="330">
                  <c:v>17847.852500000001</c:v>
                </c:pt>
                <c:pt idx="331">
                  <c:v>17838.699999999997</c:v>
                </c:pt>
                <c:pt idx="332">
                  <c:v>17824.107499999998</c:v>
                </c:pt>
                <c:pt idx="333">
                  <c:v>17795.907499999998</c:v>
                </c:pt>
                <c:pt idx="334">
                  <c:v>17776.872500000001</c:v>
                </c:pt>
                <c:pt idx="335">
                  <c:v>17769.945</c:v>
                </c:pt>
                <c:pt idx="336">
                  <c:v>17757.1325</c:v>
                </c:pt>
                <c:pt idx="337">
                  <c:v>17739.2225</c:v>
                </c:pt>
                <c:pt idx="338">
                  <c:v>17730.952500000003</c:v>
                </c:pt>
                <c:pt idx="339">
                  <c:v>17716.527500000004</c:v>
                </c:pt>
                <c:pt idx="340">
                  <c:v>17703.542500000003</c:v>
                </c:pt>
                <c:pt idx="341">
                  <c:v>17700.885000000002</c:v>
                </c:pt>
                <c:pt idx="342">
                  <c:v>17702.530000000006</c:v>
                </c:pt>
                <c:pt idx="343">
                  <c:v>17688.424999999999</c:v>
                </c:pt>
                <c:pt idx="344">
                  <c:v>17664.397499999999</c:v>
                </c:pt>
                <c:pt idx="345">
                  <c:v>17629.287499999999</c:v>
                </c:pt>
                <c:pt idx="346">
                  <c:v>17592.907500000001</c:v>
                </c:pt>
                <c:pt idx="347">
                  <c:v>17545.022499999999</c:v>
                </c:pt>
                <c:pt idx="348">
                  <c:v>17493.510000000002</c:v>
                </c:pt>
                <c:pt idx="349">
                  <c:v>17446.719999999998</c:v>
                </c:pt>
                <c:pt idx="350">
                  <c:v>17398.93</c:v>
                </c:pt>
                <c:pt idx="351">
                  <c:v>17362.075000000001</c:v>
                </c:pt>
                <c:pt idx="352">
                  <c:v>17328.334999999999</c:v>
                </c:pt>
                <c:pt idx="353">
                  <c:v>17304.465000000004</c:v>
                </c:pt>
                <c:pt idx="354">
                  <c:v>17276.155000000002</c:v>
                </c:pt>
                <c:pt idx="355">
                  <c:v>17252.150000000001</c:v>
                </c:pt>
                <c:pt idx="356">
                  <c:v>17230.099999999999</c:v>
                </c:pt>
                <c:pt idx="357">
                  <c:v>17218.9375</c:v>
                </c:pt>
                <c:pt idx="358">
                  <c:v>17214.38</c:v>
                </c:pt>
                <c:pt idx="359">
                  <c:v>17218.1875</c:v>
                </c:pt>
                <c:pt idx="360">
                  <c:v>17216.322499999998</c:v>
                </c:pt>
                <c:pt idx="361">
                  <c:v>17210.707499999997</c:v>
                </c:pt>
                <c:pt idx="362">
                  <c:v>17204.189999999999</c:v>
                </c:pt>
                <c:pt idx="363">
                  <c:v>17210.825000000001</c:v>
                </c:pt>
                <c:pt idx="364">
                  <c:v>17230.800000000003</c:v>
                </c:pt>
                <c:pt idx="365">
                  <c:v>17264.485000000001</c:v>
                </c:pt>
                <c:pt idx="366">
                  <c:v>17297.662499999999</c:v>
                </c:pt>
                <c:pt idx="367">
                  <c:v>17332.0625</c:v>
                </c:pt>
                <c:pt idx="368">
                  <c:v>17363.719999999998</c:v>
                </c:pt>
                <c:pt idx="369">
                  <c:v>17389.939999999999</c:v>
                </c:pt>
                <c:pt idx="370">
                  <c:v>17421.722499999996</c:v>
                </c:pt>
                <c:pt idx="371">
                  <c:v>17453.517499999998</c:v>
                </c:pt>
                <c:pt idx="372">
                  <c:v>17484.384999999998</c:v>
                </c:pt>
                <c:pt idx="373">
                  <c:v>17521.219999999998</c:v>
                </c:pt>
                <c:pt idx="374">
                  <c:v>17569.719999999998</c:v>
                </c:pt>
                <c:pt idx="375">
                  <c:v>17623.685000000001</c:v>
                </c:pt>
                <c:pt idx="376">
                  <c:v>17683.482500000002</c:v>
                </c:pt>
                <c:pt idx="377">
                  <c:v>17733.939999999999</c:v>
                </c:pt>
                <c:pt idx="378">
                  <c:v>17778.7425</c:v>
                </c:pt>
                <c:pt idx="379">
                  <c:v>17812.29</c:v>
                </c:pt>
                <c:pt idx="380">
                  <c:v>17847.657499999998</c:v>
                </c:pt>
                <c:pt idx="381">
                  <c:v>17880.997500000001</c:v>
                </c:pt>
                <c:pt idx="382">
                  <c:v>17915.549999999996</c:v>
                </c:pt>
                <c:pt idx="383">
                  <c:v>17944.285</c:v>
                </c:pt>
                <c:pt idx="384">
                  <c:v>17969.404999999999</c:v>
                </c:pt>
                <c:pt idx="385">
                  <c:v>17997.947499999998</c:v>
                </c:pt>
                <c:pt idx="386">
                  <c:v>18026.929999999997</c:v>
                </c:pt>
                <c:pt idx="387">
                  <c:v>18053.009999999998</c:v>
                </c:pt>
                <c:pt idx="388">
                  <c:v>18078.57</c:v>
                </c:pt>
                <c:pt idx="389">
                  <c:v>18107.517500000002</c:v>
                </c:pt>
                <c:pt idx="390">
                  <c:v>18142.035000000003</c:v>
                </c:pt>
                <c:pt idx="391">
                  <c:v>18172.265000000007</c:v>
                </c:pt>
                <c:pt idx="392">
                  <c:v>18198.072500000006</c:v>
                </c:pt>
                <c:pt idx="393">
                  <c:v>18223.450000000004</c:v>
                </c:pt>
                <c:pt idx="394">
                  <c:v>18252.665000000001</c:v>
                </c:pt>
                <c:pt idx="395">
                  <c:v>18279.347500000003</c:v>
                </c:pt>
                <c:pt idx="396">
                  <c:v>18303.657500000001</c:v>
                </c:pt>
                <c:pt idx="397">
                  <c:v>18325.885000000002</c:v>
                </c:pt>
                <c:pt idx="398">
                  <c:v>18337.482500000002</c:v>
                </c:pt>
                <c:pt idx="399">
                  <c:v>18360.737499999999</c:v>
                </c:pt>
                <c:pt idx="400">
                  <c:v>18377.21</c:v>
                </c:pt>
                <c:pt idx="401">
                  <c:v>18393.862499999996</c:v>
                </c:pt>
                <c:pt idx="402">
                  <c:v>18414.427499999998</c:v>
                </c:pt>
                <c:pt idx="403">
                  <c:v>18431.304999999997</c:v>
                </c:pt>
                <c:pt idx="404">
                  <c:v>18443.735000000001</c:v>
                </c:pt>
                <c:pt idx="405">
                  <c:v>18453.8675</c:v>
                </c:pt>
                <c:pt idx="406">
                  <c:v>18475.350000000002</c:v>
                </c:pt>
                <c:pt idx="407">
                  <c:v>18504.057500000003</c:v>
                </c:pt>
                <c:pt idx="408">
                  <c:v>18531.965000000004</c:v>
                </c:pt>
                <c:pt idx="409">
                  <c:v>18563.095000000001</c:v>
                </c:pt>
                <c:pt idx="410">
                  <c:v>18585.147499999999</c:v>
                </c:pt>
                <c:pt idx="411">
                  <c:v>18608.5825</c:v>
                </c:pt>
                <c:pt idx="412">
                  <c:v>18637.154999999999</c:v>
                </c:pt>
                <c:pt idx="413">
                  <c:v>18659.659999999996</c:v>
                </c:pt>
                <c:pt idx="414">
                  <c:v>18667.967499999999</c:v>
                </c:pt>
                <c:pt idx="415">
                  <c:v>18672.594999999998</c:v>
                </c:pt>
                <c:pt idx="416">
                  <c:v>18681.772499999999</c:v>
                </c:pt>
                <c:pt idx="417">
                  <c:v>18703.657500000001</c:v>
                </c:pt>
                <c:pt idx="418">
                  <c:v>18738.722500000003</c:v>
                </c:pt>
                <c:pt idx="419">
                  <c:v>18778.145</c:v>
                </c:pt>
                <c:pt idx="420">
                  <c:v>18817.9025</c:v>
                </c:pt>
                <c:pt idx="421">
                  <c:v>18857.877499999999</c:v>
                </c:pt>
                <c:pt idx="422">
                  <c:v>18896.422500000001</c:v>
                </c:pt>
                <c:pt idx="423">
                  <c:v>18931.284999999996</c:v>
                </c:pt>
                <c:pt idx="424">
                  <c:v>18970.91</c:v>
                </c:pt>
                <c:pt idx="425">
                  <c:v>19012.805</c:v>
                </c:pt>
                <c:pt idx="426">
                  <c:v>19046.212500000001</c:v>
                </c:pt>
                <c:pt idx="427">
                  <c:v>19079.105000000003</c:v>
                </c:pt>
                <c:pt idx="428">
                  <c:v>19122.924999999999</c:v>
                </c:pt>
                <c:pt idx="429">
                  <c:v>19167.197500000002</c:v>
                </c:pt>
                <c:pt idx="430">
                  <c:v>19216.887500000001</c:v>
                </c:pt>
                <c:pt idx="431">
                  <c:v>19267.71</c:v>
                </c:pt>
                <c:pt idx="432">
                  <c:v>19323.825000000004</c:v>
                </c:pt>
                <c:pt idx="433">
                  <c:v>19372.512500000001</c:v>
                </c:pt>
                <c:pt idx="434">
                  <c:v>19422.855</c:v>
                </c:pt>
                <c:pt idx="435">
                  <c:v>19472.324999999997</c:v>
                </c:pt>
                <c:pt idx="436">
                  <c:v>19520.37</c:v>
                </c:pt>
                <c:pt idx="437">
                  <c:v>19554.760000000002</c:v>
                </c:pt>
                <c:pt idx="438">
                  <c:v>19577.609999999997</c:v>
                </c:pt>
                <c:pt idx="439">
                  <c:v>19599.172499999993</c:v>
                </c:pt>
                <c:pt idx="440">
                  <c:v>19616.399999999998</c:v>
                </c:pt>
                <c:pt idx="441">
                  <c:v>19622.802499999998</c:v>
                </c:pt>
                <c:pt idx="442">
                  <c:v>19617.02</c:v>
                </c:pt>
                <c:pt idx="443">
                  <c:v>19626.28</c:v>
                </c:pt>
                <c:pt idx="444">
                  <c:v>19638.349999999999</c:v>
                </c:pt>
                <c:pt idx="445">
                  <c:v>19644.922499999997</c:v>
                </c:pt>
                <c:pt idx="446">
                  <c:v>19657.334999999999</c:v>
                </c:pt>
                <c:pt idx="447">
                  <c:v>19663.802499999998</c:v>
                </c:pt>
                <c:pt idx="448">
                  <c:v>19656.992499999993</c:v>
                </c:pt>
                <c:pt idx="449">
                  <c:v>19643.147499999992</c:v>
                </c:pt>
                <c:pt idx="450">
                  <c:v>19628.934999999994</c:v>
                </c:pt>
                <c:pt idx="451">
                  <c:v>19605.539999999994</c:v>
                </c:pt>
                <c:pt idx="452">
                  <c:v>19572.089999999997</c:v>
                </c:pt>
                <c:pt idx="453">
                  <c:v>19554.519999999997</c:v>
                </c:pt>
                <c:pt idx="454">
                  <c:v>19540.724999999999</c:v>
                </c:pt>
                <c:pt idx="455">
                  <c:v>19528.895</c:v>
                </c:pt>
                <c:pt idx="456">
                  <c:v>19509.314999999999</c:v>
                </c:pt>
                <c:pt idx="457">
                  <c:v>19489.61</c:v>
                </c:pt>
                <c:pt idx="458">
                  <c:v>19472.609999999997</c:v>
                </c:pt>
                <c:pt idx="459">
                  <c:v>19452.052499999998</c:v>
                </c:pt>
                <c:pt idx="460">
                  <c:v>19432.747500000001</c:v>
                </c:pt>
                <c:pt idx="461">
                  <c:v>19419.11</c:v>
                </c:pt>
                <c:pt idx="462">
                  <c:v>19421.7925</c:v>
                </c:pt>
                <c:pt idx="463">
                  <c:v>19422.3825</c:v>
                </c:pt>
                <c:pt idx="464">
                  <c:v>19421.262500000001</c:v>
                </c:pt>
                <c:pt idx="465">
                  <c:v>19423.272499999999</c:v>
                </c:pt>
                <c:pt idx="466">
                  <c:v>19427.997499999998</c:v>
                </c:pt>
                <c:pt idx="467">
                  <c:v>19441.84</c:v>
                </c:pt>
                <c:pt idx="468">
                  <c:v>19470.2425</c:v>
                </c:pt>
                <c:pt idx="469">
                  <c:v>19498.174999999996</c:v>
                </c:pt>
                <c:pt idx="470">
                  <c:v>19528.424999999996</c:v>
                </c:pt>
                <c:pt idx="471">
                  <c:v>19565.317499999997</c:v>
                </c:pt>
                <c:pt idx="472">
                  <c:v>19609.427499999998</c:v>
                </c:pt>
                <c:pt idx="473">
                  <c:v>19646.412499999995</c:v>
                </c:pt>
                <c:pt idx="474">
                  <c:v>19671.659999999996</c:v>
                </c:pt>
                <c:pt idx="475">
                  <c:v>19686.577499999996</c:v>
                </c:pt>
                <c:pt idx="476">
                  <c:v>19700.954999999994</c:v>
                </c:pt>
                <c:pt idx="477">
                  <c:v>19721.392499999998</c:v>
                </c:pt>
                <c:pt idx="478">
                  <c:v>19739.325000000001</c:v>
                </c:pt>
                <c:pt idx="479">
                  <c:v>19758.015000000003</c:v>
                </c:pt>
                <c:pt idx="480">
                  <c:v>19766.82</c:v>
                </c:pt>
                <c:pt idx="481">
                  <c:v>19786.044999999998</c:v>
                </c:pt>
                <c:pt idx="482">
                  <c:v>19790.717500000002</c:v>
                </c:pt>
                <c:pt idx="483">
                  <c:v>19786.082499999997</c:v>
                </c:pt>
                <c:pt idx="484">
                  <c:v>19784.624999999996</c:v>
                </c:pt>
                <c:pt idx="485">
                  <c:v>19786.747499999998</c:v>
                </c:pt>
                <c:pt idx="486">
                  <c:v>19776.012499999997</c:v>
                </c:pt>
                <c:pt idx="487">
                  <c:v>19769.5075</c:v>
                </c:pt>
                <c:pt idx="488">
                  <c:v>19760.257499999996</c:v>
                </c:pt>
                <c:pt idx="489">
                  <c:v>19750.297499999993</c:v>
                </c:pt>
                <c:pt idx="490">
                  <c:v>19734.349999999999</c:v>
                </c:pt>
                <c:pt idx="491">
                  <c:v>19715.782499999994</c:v>
                </c:pt>
                <c:pt idx="492">
                  <c:v>19696.739999999998</c:v>
                </c:pt>
                <c:pt idx="493">
                  <c:v>19673.629999999997</c:v>
                </c:pt>
                <c:pt idx="494">
                  <c:v>19659.794999999998</c:v>
                </c:pt>
                <c:pt idx="495">
                  <c:v>19649.810000000001</c:v>
                </c:pt>
                <c:pt idx="496">
                  <c:v>19630.185000000001</c:v>
                </c:pt>
                <c:pt idx="497">
                  <c:v>19602.565000000002</c:v>
                </c:pt>
                <c:pt idx="498">
                  <c:v>19562.192500000001</c:v>
                </c:pt>
                <c:pt idx="499">
                  <c:v>19528.732500000002</c:v>
                </c:pt>
                <c:pt idx="500">
                  <c:v>19509.600000000002</c:v>
                </c:pt>
                <c:pt idx="501">
                  <c:v>19481.665000000001</c:v>
                </c:pt>
                <c:pt idx="502">
                  <c:v>19454.685000000005</c:v>
                </c:pt>
                <c:pt idx="503">
                  <c:v>19439.542500000003</c:v>
                </c:pt>
                <c:pt idx="504">
                  <c:v>19423.784999999996</c:v>
                </c:pt>
                <c:pt idx="505">
                  <c:v>19411.697499999998</c:v>
                </c:pt>
                <c:pt idx="506">
                  <c:v>19406.415000000001</c:v>
                </c:pt>
                <c:pt idx="507">
                  <c:v>19394.0975</c:v>
                </c:pt>
                <c:pt idx="508">
                  <c:v>19373.294999999998</c:v>
                </c:pt>
                <c:pt idx="509">
                  <c:v>19354.862499999996</c:v>
                </c:pt>
                <c:pt idx="510">
                  <c:v>19343.587499999998</c:v>
                </c:pt>
                <c:pt idx="511">
                  <c:v>19329.177499999998</c:v>
                </c:pt>
                <c:pt idx="512">
                  <c:v>19322.374999999996</c:v>
                </c:pt>
                <c:pt idx="513">
                  <c:v>19327.079999999998</c:v>
                </c:pt>
                <c:pt idx="514">
                  <c:v>19332.435000000001</c:v>
                </c:pt>
                <c:pt idx="515">
                  <c:v>19340.002499999999</c:v>
                </c:pt>
                <c:pt idx="516">
                  <c:v>19365.084999999999</c:v>
                </c:pt>
                <c:pt idx="517">
                  <c:v>19399.57</c:v>
                </c:pt>
                <c:pt idx="518">
                  <c:v>19446.807499999999</c:v>
                </c:pt>
                <c:pt idx="519">
                  <c:v>19484.18</c:v>
                </c:pt>
                <c:pt idx="520">
                  <c:v>19521.620000000003</c:v>
                </c:pt>
                <c:pt idx="521">
                  <c:v>19572.47</c:v>
                </c:pt>
                <c:pt idx="522">
                  <c:v>19629.670000000002</c:v>
                </c:pt>
                <c:pt idx="523">
                  <c:v>19686.402500000004</c:v>
                </c:pt>
                <c:pt idx="524">
                  <c:v>19759.212500000001</c:v>
                </c:pt>
                <c:pt idx="525">
                  <c:v>19831.38</c:v>
                </c:pt>
                <c:pt idx="526">
                  <c:v>19907.93</c:v>
                </c:pt>
                <c:pt idx="527">
                  <c:v>19980.812500000004</c:v>
                </c:pt>
                <c:pt idx="528">
                  <c:v>20059.517500000005</c:v>
                </c:pt>
                <c:pt idx="529">
                  <c:v>20138.105000000003</c:v>
                </c:pt>
                <c:pt idx="530">
                  <c:v>20207.147500000003</c:v>
                </c:pt>
                <c:pt idx="531">
                  <c:v>20281.287500000002</c:v>
                </c:pt>
                <c:pt idx="532">
                  <c:v>20356.650000000001</c:v>
                </c:pt>
                <c:pt idx="533">
                  <c:v>20441.222500000003</c:v>
                </c:pt>
                <c:pt idx="534">
                  <c:v>20525.565000000002</c:v>
                </c:pt>
                <c:pt idx="535">
                  <c:v>20613.52</c:v>
                </c:pt>
                <c:pt idx="536">
                  <c:v>20681.857500000002</c:v>
                </c:pt>
                <c:pt idx="537">
                  <c:v>20754.017500000002</c:v>
                </c:pt>
                <c:pt idx="538">
                  <c:v>20831.387500000004</c:v>
                </c:pt>
                <c:pt idx="539">
                  <c:v>20913.72</c:v>
                </c:pt>
                <c:pt idx="540">
                  <c:v>21001.9725</c:v>
                </c:pt>
                <c:pt idx="541">
                  <c:v>21086.077500000003</c:v>
                </c:pt>
                <c:pt idx="542">
                  <c:v>21165.99</c:v>
                </c:pt>
                <c:pt idx="543">
                  <c:v>21239.690000000002</c:v>
                </c:pt>
                <c:pt idx="544">
                  <c:v>21288.640000000003</c:v>
                </c:pt>
                <c:pt idx="545">
                  <c:v>21321.752499999999</c:v>
                </c:pt>
                <c:pt idx="546">
                  <c:v>21357.797499999997</c:v>
                </c:pt>
                <c:pt idx="547">
                  <c:v>21398.28</c:v>
                </c:pt>
                <c:pt idx="548">
                  <c:v>21425.46</c:v>
                </c:pt>
                <c:pt idx="549">
                  <c:v>21452.847499999996</c:v>
                </c:pt>
                <c:pt idx="550">
                  <c:v>21488.462499999998</c:v>
                </c:pt>
                <c:pt idx="551">
                  <c:v>21524.504999999997</c:v>
                </c:pt>
                <c:pt idx="552">
                  <c:v>21560.097499999996</c:v>
                </c:pt>
                <c:pt idx="553">
                  <c:v>21592.137500000001</c:v>
                </c:pt>
                <c:pt idx="554">
                  <c:v>21622.82</c:v>
                </c:pt>
                <c:pt idx="555">
                  <c:v>21628.762500000001</c:v>
                </c:pt>
                <c:pt idx="556">
                  <c:v>21644.3675</c:v>
                </c:pt>
                <c:pt idx="557">
                  <c:v>21662.735000000001</c:v>
                </c:pt>
                <c:pt idx="558">
                  <c:v>21673.855000000003</c:v>
                </c:pt>
                <c:pt idx="559">
                  <c:v>21663.727500000001</c:v>
                </c:pt>
                <c:pt idx="560">
                  <c:v>21653.6875</c:v>
                </c:pt>
                <c:pt idx="561">
                  <c:v>21632.382500000003</c:v>
                </c:pt>
                <c:pt idx="562">
                  <c:v>21632.692499999997</c:v>
                </c:pt>
                <c:pt idx="563">
                  <c:v>21621.702499999999</c:v>
                </c:pt>
                <c:pt idx="564">
                  <c:v>21624.697499999998</c:v>
                </c:pt>
                <c:pt idx="565">
                  <c:v>21633.702499999996</c:v>
                </c:pt>
                <c:pt idx="566">
                  <c:v>21643.462499999998</c:v>
                </c:pt>
                <c:pt idx="567">
                  <c:v>21646.507499999996</c:v>
                </c:pt>
                <c:pt idx="568">
                  <c:v>21667.327499999999</c:v>
                </c:pt>
                <c:pt idx="569">
                  <c:v>21686.61</c:v>
                </c:pt>
                <c:pt idx="570">
                  <c:v>21691.572500000002</c:v>
                </c:pt>
                <c:pt idx="571">
                  <c:v>21698.337500000001</c:v>
                </c:pt>
                <c:pt idx="572">
                  <c:v>21684.412500000002</c:v>
                </c:pt>
                <c:pt idx="573">
                  <c:v>21666.702500000007</c:v>
                </c:pt>
                <c:pt idx="574">
                  <c:v>21657.090000000004</c:v>
                </c:pt>
                <c:pt idx="575">
                  <c:v>21674.030000000002</c:v>
                </c:pt>
                <c:pt idx="576">
                  <c:v>21702.952500000003</c:v>
                </c:pt>
                <c:pt idx="577">
                  <c:v>21727.945</c:v>
                </c:pt>
                <c:pt idx="578">
                  <c:v>21759.202499999999</c:v>
                </c:pt>
                <c:pt idx="579">
                  <c:v>21800.014999999999</c:v>
                </c:pt>
                <c:pt idx="580">
                  <c:v>21838.19</c:v>
                </c:pt>
                <c:pt idx="581">
                  <c:v>21881.195</c:v>
                </c:pt>
                <c:pt idx="582">
                  <c:v>21900.4175</c:v>
                </c:pt>
                <c:pt idx="583">
                  <c:v>21934.23</c:v>
                </c:pt>
                <c:pt idx="584">
                  <c:v>21945.502499999999</c:v>
                </c:pt>
                <c:pt idx="585">
                  <c:v>21959.77</c:v>
                </c:pt>
                <c:pt idx="586">
                  <c:v>21984.017499999998</c:v>
                </c:pt>
                <c:pt idx="587">
                  <c:v>22015.712500000001</c:v>
                </c:pt>
                <c:pt idx="588">
                  <c:v>22037.057499999999</c:v>
                </c:pt>
                <c:pt idx="589">
                  <c:v>22064.234999999997</c:v>
                </c:pt>
                <c:pt idx="590">
                  <c:v>22103.014999999996</c:v>
                </c:pt>
                <c:pt idx="591">
                  <c:v>22130.522499999999</c:v>
                </c:pt>
                <c:pt idx="592">
                  <c:v>22166.504999999997</c:v>
                </c:pt>
                <c:pt idx="593">
                  <c:v>22179.227500000001</c:v>
                </c:pt>
                <c:pt idx="594">
                  <c:v>22194.557499999999</c:v>
                </c:pt>
                <c:pt idx="595">
                  <c:v>22200.1875</c:v>
                </c:pt>
                <c:pt idx="596">
                  <c:v>22200.9375</c:v>
                </c:pt>
                <c:pt idx="597">
                  <c:v>22185.697500000002</c:v>
                </c:pt>
                <c:pt idx="598">
                  <c:v>22167.805</c:v>
                </c:pt>
                <c:pt idx="599">
                  <c:v>22165.65</c:v>
                </c:pt>
                <c:pt idx="600">
                  <c:v>22159.614999999998</c:v>
                </c:pt>
                <c:pt idx="601">
                  <c:v>22149.215</c:v>
                </c:pt>
                <c:pt idx="602">
                  <c:v>22149.295000000002</c:v>
                </c:pt>
                <c:pt idx="603">
                  <c:v>22155.722500000003</c:v>
                </c:pt>
                <c:pt idx="604">
                  <c:v>22181.265000000003</c:v>
                </c:pt>
                <c:pt idx="605">
                  <c:v>22204.79</c:v>
                </c:pt>
                <c:pt idx="606">
                  <c:v>22209.585000000006</c:v>
                </c:pt>
                <c:pt idx="607">
                  <c:v>22215.037500000006</c:v>
                </c:pt>
                <c:pt idx="608">
                  <c:v>22222.907500000008</c:v>
                </c:pt>
                <c:pt idx="609">
                  <c:v>22232.520000000008</c:v>
                </c:pt>
                <c:pt idx="610">
                  <c:v>22239.980000000007</c:v>
                </c:pt>
                <c:pt idx="611">
                  <c:v>22261.037500000002</c:v>
                </c:pt>
                <c:pt idx="612">
                  <c:v>22270.222500000003</c:v>
                </c:pt>
                <c:pt idx="613">
                  <c:v>22283.962500000001</c:v>
                </c:pt>
                <c:pt idx="614">
                  <c:v>22284.025000000001</c:v>
                </c:pt>
                <c:pt idx="615">
                  <c:v>22282.65</c:v>
                </c:pt>
                <c:pt idx="616">
                  <c:v>22287.215</c:v>
                </c:pt>
                <c:pt idx="617">
                  <c:v>22313.162499999999</c:v>
                </c:pt>
                <c:pt idx="618">
                  <c:v>22339.607499999998</c:v>
                </c:pt>
                <c:pt idx="619">
                  <c:v>22359.13</c:v>
                </c:pt>
                <c:pt idx="620">
                  <c:v>22382.81</c:v>
                </c:pt>
                <c:pt idx="621">
                  <c:v>22403.572500000002</c:v>
                </c:pt>
                <c:pt idx="622">
                  <c:v>22429.56</c:v>
                </c:pt>
                <c:pt idx="623">
                  <c:v>22443.4575</c:v>
                </c:pt>
                <c:pt idx="624">
                  <c:v>22452.767500000002</c:v>
                </c:pt>
                <c:pt idx="625">
                  <c:v>22453.895</c:v>
                </c:pt>
                <c:pt idx="626">
                  <c:v>22454.297500000001</c:v>
                </c:pt>
                <c:pt idx="627">
                  <c:v>22443.69</c:v>
                </c:pt>
                <c:pt idx="628">
                  <c:v>22433.129999999997</c:v>
                </c:pt>
                <c:pt idx="629">
                  <c:v>22397.69</c:v>
                </c:pt>
                <c:pt idx="630">
                  <c:v>22368.3125</c:v>
                </c:pt>
                <c:pt idx="631">
                  <c:v>22335.825000000001</c:v>
                </c:pt>
                <c:pt idx="632">
                  <c:v>22320.747499999998</c:v>
                </c:pt>
                <c:pt idx="633">
                  <c:v>22317.15</c:v>
                </c:pt>
                <c:pt idx="634">
                  <c:v>22329.947499999998</c:v>
                </c:pt>
                <c:pt idx="635">
                  <c:v>22353.46</c:v>
                </c:pt>
                <c:pt idx="636">
                  <c:v>22371.21</c:v>
                </c:pt>
                <c:pt idx="637">
                  <c:v>22380.842499999999</c:v>
                </c:pt>
                <c:pt idx="638">
                  <c:v>22392.332499999997</c:v>
                </c:pt>
                <c:pt idx="639">
                  <c:v>22420.594999999998</c:v>
                </c:pt>
                <c:pt idx="640">
                  <c:v>22439.932499999995</c:v>
                </c:pt>
                <c:pt idx="641">
                  <c:v>22465.557499999999</c:v>
                </c:pt>
                <c:pt idx="642">
                  <c:v>22477.794999999998</c:v>
                </c:pt>
                <c:pt idx="643">
                  <c:v>22482.787499999999</c:v>
                </c:pt>
                <c:pt idx="644">
                  <c:v>22474.810000000005</c:v>
                </c:pt>
                <c:pt idx="645">
                  <c:v>22477.552500000002</c:v>
                </c:pt>
                <c:pt idx="646">
                  <c:v>22518.612500000007</c:v>
                </c:pt>
                <c:pt idx="647">
                  <c:v>22497.712500000001</c:v>
                </c:pt>
                <c:pt idx="648">
                  <c:v>22513.605000000003</c:v>
                </c:pt>
                <c:pt idx="649">
                  <c:v>22556.800000000003</c:v>
                </c:pt>
                <c:pt idx="650">
                  <c:v>22618.547500000004</c:v>
                </c:pt>
                <c:pt idx="651">
                  <c:v>22676.305000000004</c:v>
                </c:pt>
                <c:pt idx="652">
                  <c:v>22728.655000000006</c:v>
                </c:pt>
                <c:pt idx="653">
                  <c:v>22784.775000000001</c:v>
                </c:pt>
                <c:pt idx="654">
                  <c:v>22834.527500000004</c:v>
                </c:pt>
                <c:pt idx="655">
                  <c:v>22884.502500000002</c:v>
                </c:pt>
                <c:pt idx="656">
                  <c:v>22937.297500000004</c:v>
                </c:pt>
                <c:pt idx="657">
                  <c:v>22986.645000000004</c:v>
                </c:pt>
                <c:pt idx="658">
                  <c:v>23035.105000000003</c:v>
                </c:pt>
                <c:pt idx="659">
                  <c:v>23061.7775</c:v>
                </c:pt>
                <c:pt idx="660">
                  <c:v>23090.814999999999</c:v>
                </c:pt>
                <c:pt idx="661">
                  <c:v>23130.2575</c:v>
                </c:pt>
                <c:pt idx="662">
                  <c:v>23179.29</c:v>
                </c:pt>
                <c:pt idx="663">
                  <c:v>23246.28</c:v>
                </c:pt>
                <c:pt idx="664">
                  <c:v>23322.377499999995</c:v>
                </c:pt>
                <c:pt idx="665">
                  <c:v>23402.939999999995</c:v>
                </c:pt>
                <c:pt idx="666">
                  <c:v>23445.937499999993</c:v>
                </c:pt>
                <c:pt idx="667">
                  <c:v>23566.037499999995</c:v>
                </c:pt>
                <c:pt idx="668">
                  <c:v>23650.127499999999</c:v>
                </c:pt>
                <c:pt idx="669">
                  <c:v>23725.25</c:v>
                </c:pt>
                <c:pt idx="670">
                  <c:v>23776.769999999997</c:v>
                </c:pt>
                <c:pt idx="671">
                  <c:v>23835.469999999998</c:v>
                </c:pt>
                <c:pt idx="672">
                  <c:v>23888.45</c:v>
                </c:pt>
                <c:pt idx="673">
                  <c:v>23938.1</c:v>
                </c:pt>
                <c:pt idx="674">
                  <c:v>23993.262500000004</c:v>
                </c:pt>
                <c:pt idx="675">
                  <c:v>24049.317500000001</c:v>
                </c:pt>
                <c:pt idx="676">
                  <c:v>24102.072500000006</c:v>
                </c:pt>
                <c:pt idx="677">
                  <c:v>24166.315000000002</c:v>
                </c:pt>
                <c:pt idx="678">
                  <c:v>24214.510000000002</c:v>
                </c:pt>
                <c:pt idx="679">
                  <c:v>24264.917500000003</c:v>
                </c:pt>
                <c:pt idx="680">
                  <c:v>24311.977500000001</c:v>
                </c:pt>
                <c:pt idx="681">
                  <c:v>24346.587500000001</c:v>
                </c:pt>
                <c:pt idx="682">
                  <c:v>24373.452499999999</c:v>
                </c:pt>
                <c:pt idx="683">
                  <c:v>24412.969999999998</c:v>
                </c:pt>
                <c:pt idx="684">
                  <c:v>24454.244999999999</c:v>
                </c:pt>
                <c:pt idx="685">
                  <c:v>24490.012499999997</c:v>
                </c:pt>
                <c:pt idx="686">
                  <c:v>24531.377499999999</c:v>
                </c:pt>
                <c:pt idx="687">
                  <c:v>24567.597499999996</c:v>
                </c:pt>
                <c:pt idx="688">
                  <c:v>24588.374999999996</c:v>
                </c:pt>
                <c:pt idx="689">
                  <c:v>24574.962499999998</c:v>
                </c:pt>
                <c:pt idx="690">
                  <c:v>24558.562499999996</c:v>
                </c:pt>
                <c:pt idx="691">
                  <c:v>24551.777499999997</c:v>
                </c:pt>
                <c:pt idx="692">
                  <c:v>24541.404999999999</c:v>
                </c:pt>
                <c:pt idx="693">
                  <c:v>24543.982500000002</c:v>
                </c:pt>
                <c:pt idx="694">
                  <c:v>24536.224999999999</c:v>
                </c:pt>
                <c:pt idx="695">
                  <c:v>24513.84</c:v>
                </c:pt>
                <c:pt idx="696">
                  <c:v>24490.377499999999</c:v>
                </c:pt>
                <c:pt idx="697">
                  <c:v>24477.392499999998</c:v>
                </c:pt>
                <c:pt idx="698">
                  <c:v>24479.480000000003</c:v>
                </c:pt>
                <c:pt idx="699">
                  <c:v>24488.959999999999</c:v>
                </c:pt>
                <c:pt idx="700">
                  <c:v>24503.517500000002</c:v>
                </c:pt>
                <c:pt idx="701">
                  <c:v>24523.417500000003</c:v>
                </c:pt>
                <c:pt idx="702">
                  <c:v>24544.270000000004</c:v>
                </c:pt>
                <c:pt idx="703">
                  <c:v>24553.057499999999</c:v>
                </c:pt>
                <c:pt idx="704">
                  <c:v>24562.14</c:v>
                </c:pt>
                <c:pt idx="705">
                  <c:v>24571.892500000002</c:v>
                </c:pt>
                <c:pt idx="706">
                  <c:v>24581.932500000003</c:v>
                </c:pt>
                <c:pt idx="707">
                  <c:v>24593.182500000003</c:v>
                </c:pt>
                <c:pt idx="708">
                  <c:v>24621.232500000002</c:v>
                </c:pt>
                <c:pt idx="709">
                  <c:v>24682.445</c:v>
                </c:pt>
                <c:pt idx="710">
                  <c:v>24742.752499999999</c:v>
                </c:pt>
                <c:pt idx="711">
                  <c:v>24785.1325</c:v>
                </c:pt>
                <c:pt idx="712">
                  <c:v>24821.89</c:v>
                </c:pt>
                <c:pt idx="713">
                  <c:v>24850.334999999999</c:v>
                </c:pt>
                <c:pt idx="714">
                  <c:v>24885.040000000001</c:v>
                </c:pt>
                <c:pt idx="715">
                  <c:v>24924.012500000001</c:v>
                </c:pt>
                <c:pt idx="716">
                  <c:v>24986.270000000004</c:v>
                </c:pt>
                <c:pt idx="717">
                  <c:v>25027.037500000002</c:v>
                </c:pt>
                <c:pt idx="718">
                  <c:v>25067.592500000006</c:v>
                </c:pt>
                <c:pt idx="719">
                  <c:v>25103.577500000003</c:v>
                </c:pt>
                <c:pt idx="720">
                  <c:v>25133.945000000003</c:v>
                </c:pt>
                <c:pt idx="721">
                  <c:v>25164.160000000003</c:v>
                </c:pt>
                <c:pt idx="722">
                  <c:v>25212.55</c:v>
                </c:pt>
                <c:pt idx="723">
                  <c:v>25258.9725</c:v>
                </c:pt>
                <c:pt idx="724">
                  <c:v>25305.105000000003</c:v>
                </c:pt>
                <c:pt idx="725">
                  <c:v>25352.695</c:v>
                </c:pt>
                <c:pt idx="726">
                  <c:v>25405.9</c:v>
                </c:pt>
                <c:pt idx="727">
                  <c:v>25453.052499999998</c:v>
                </c:pt>
                <c:pt idx="728">
                  <c:v>25479.66</c:v>
                </c:pt>
                <c:pt idx="729">
                  <c:v>25505.512500000004</c:v>
                </c:pt>
                <c:pt idx="730">
                  <c:v>25508.0825</c:v>
                </c:pt>
                <c:pt idx="731">
                  <c:v>25501.557499999999</c:v>
                </c:pt>
                <c:pt idx="732">
                  <c:v>25498.737499999999</c:v>
                </c:pt>
                <c:pt idx="733">
                  <c:v>25502.575000000001</c:v>
                </c:pt>
                <c:pt idx="734">
                  <c:v>25499.6175</c:v>
                </c:pt>
                <c:pt idx="735">
                  <c:v>25503.6175</c:v>
                </c:pt>
                <c:pt idx="736">
                  <c:v>25482.384999999998</c:v>
                </c:pt>
                <c:pt idx="737">
                  <c:v>25470.9575</c:v>
                </c:pt>
                <c:pt idx="738">
                  <c:v>25454.637500000001</c:v>
                </c:pt>
                <c:pt idx="739">
                  <c:v>25432.275000000001</c:v>
                </c:pt>
                <c:pt idx="740">
                  <c:v>25400.89</c:v>
                </c:pt>
                <c:pt idx="741">
                  <c:v>25372.802499999998</c:v>
                </c:pt>
                <c:pt idx="742">
                  <c:v>25322.309999999998</c:v>
                </c:pt>
                <c:pt idx="743">
                  <c:v>25248.962499999994</c:v>
                </c:pt>
                <c:pt idx="744">
                  <c:v>25173.717499999995</c:v>
                </c:pt>
                <c:pt idx="745">
                  <c:v>25093.479999999996</c:v>
                </c:pt>
                <c:pt idx="746">
                  <c:v>24991.717499999995</c:v>
                </c:pt>
                <c:pt idx="747">
                  <c:v>24899.727500000001</c:v>
                </c:pt>
                <c:pt idx="748">
                  <c:v>24832.5275</c:v>
                </c:pt>
                <c:pt idx="749">
                  <c:v>24759.724999999999</c:v>
                </c:pt>
                <c:pt idx="750">
                  <c:v>24707.487499999996</c:v>
                </c:pt>
                <c:pt idx="751">
                  <c:v>24671.974999999995</c:v>
                </c:pt>
                <c:pt idx="752">
                  <c:v>24631.954999999994</c:v>
                </c:pt>
                <c:pt idx="753">
                  <c:v>24591.962499999994</c:v>
                </c:pt>
                <c:pt idx="754">
                  <c:v>24567.067499999994</c:v>
                </c:pt>
                <c:pt idx="755">
                  <c:v>24527.112499999992</c:v>
                </c:pt>
                <c:pt idx="756">
                  <c:v>24486.30999999999</c:v>
                </c:pt>
                <c:pt idx="757">
                  <c:v>24436.97749999999</c:v>
                </c:pt>
                <c:pt idx="758">
                  <c:v>24378.282499999994</c:v>
                </c:pt>
                <c:pt idx="759">
                  <c:v>24307.669999999995</c:v>
                </c:pt>
                <c:pt idx="760">
                  <c:v>24246.812499999996</c:v>
                </c:pt>
                <c:pt idx="761">
                  <c:v>24176.799999999999</c:v>
                </c:pt>
                <c:pt idx="762">
                  <c:v>24113.670000000002</c:v>
                </c:pt>
                <c:pt idx="763">
                  <c:v>24057.56</c:v>
                </c:pt>
                <c:pt idx="764">
                  <c:v>24031.147499999999</c:v>
                </c:pt>
                <c:pt idx="765">
                  <c:v>24022.272499999999</c:v>
                </c:pt>
                <c:pt idx="766">
                  <c:v>24022.957500000004</c:v>
                </c:pt>
                <c:pt idx="767">
                  <c:v>24019.745000000003</c:v>
                </c:pt>
                <c:pt idx="768">
                  <c:v>23992.110000000008</c:v>
                </c:pt>
                <c:pt idx="769">
                  <c:v>23981.622500000005</c:v>
                </c:pt>
                <c:pt idx="770">
                  <c:v>23985.157500000005</c:v>
                </c:pt>
                <c:pt idx="771">
                  <c:v>23992.797500000004</c:v>
                </c:pt>
                <c:pt idx="772">
                  <c:v>24016.402500000004</c:v>
                </c:pt>
                <c:pt idx="773">
                  <c:v>24041.157500000005</c:v>
                </c:pt>
                <c:pt idx="774">
                  <c:v>24050.845000000005</c:v>
                </c:pt>
                <c:pt idx="775">
                  <c:v>24071.827500000003</c:v>
                </c:pt>
                <c:pt idx="776">
                  <c:v>24094.92</c:v>
                </c:pt>
                <c:pt idx="777">
                  <c:v>24119.945</c:v>
                </c:pt>
                <c:pt idx="778">
                  <c:v>24153.2075</c:v>
                </c:pt>
                <c:pt idx="779">
                  <c:v>24213.670000000002</c:v>
                </c:pt>
                <c:pt idx="780">
                  <c:v>24270.447500000002</c:v>
                </c:pt>
                <c:pt idx="781">
                  <c:v>24314.557499999999</c:v>
                </c:pt>
                <c:pt idx="782">
                  <c:v>24348.574999999997</c:v>
                </c:pt>
                <c:pt idx="783">
                  <c:v>24378.664999999997</c:v>
                </c:pt>
                <c:pt idx="784">
                  <c:v>24362.677499999998</c:v>
                </c:pt>
                <c:pt idx="785">
                  <c:v>24339.254999999997</c:v>
                </c:pt>
                <c:pt idx="786">
                  <c:v>24315.912499999999</c:v>
                </c:pt>
                <c:pt idx="787">
                  <c:v>24289.677499999998</c:v>
                </c:pt>
                <c:pt idx="788">
                  <c:v>24284.640000000003</c:v>
                </c:pt>
                <c:pt idx="789">
                  <c:v>24260.33</c:v>
                </c:pt>
                <c:pt idx="790">
                  <c:v>24228.767500000005</c:v>
                </c:pt>
                <c:pt idx="791">
                  <c:v>24193.055000000004</c:v>
                </c:pt>
                <c:pt idx="792">
                  <c:v>24179.115000000005</c:v>
                </c:pt>
                <c:pt idx="793">
                  <c:v>24143.932500000006</c:v>
                </c:pt>
                <c:pt idx="794">
                  <c:v>24090.845000000008</c:v>
                </c:pt>
                <c:pt idx="795">
                  <c:v>24045.290000000008</c:v>
                </c:pt>
                <c:pt idx="796">
                  <c:v>23999.235000000008</c:v>
                </c:pt>
                <c:pt idx="797">
                  <c:v>23943.470000000008</c:v>
                </c:pt>
                <c:pt idx="798">
                  <c:v>23887.610000000004</c:v>
                </c:pt>
                <c:pt idx="799">
                  <c:v>23803.492500000004</c:v>
                </c:pt>
                <c:pt idx="800">
                  <c:v>23728.8825</c:v>
                </c:pt>
                <c:pt idx="801">
                  <c:v>23672.7425</c:v>
                </c:pt>
                <c:pt idx="802">
                  <c:v>23628.39</c:v>
                </c:pt>
                <c:pt idx="803">
                  <c:v>23590.965</c:v>
                </c:pt>
                <c:pt idx="804">
                  <c:v>23578.827499999999</c:v>
                </c:pt>
                <c:pt idx="805">
                  <c:v>23542.387500000004</c:v>
                </c:pt>
                <c:pt idx="806">
                  <c:v>23513.772499999999</c:v>
                </c:pt>
                <c:pt idx="807">
                  <c:v>23486.53</c:v>
                </c:pt>
                <c:pt idx="808">
                  <c:v>23450.47</c:v>
                </c:pt>
                <c:pt idx="809">
                  <c:v>23409.682500000003</c:v>
                </c:pt>
                <c:pt idx="810">
                  <c:v>23375.305</c:v>
                </c:pt>
                <c:pt idx="811">
                  <c:v>23346.314999999999</c:v>
                </c:pt>
                <c:pt idx="812">
                  <c:v>23299.357500000002</c:v>
                </c:pt>
                <c:pt idx="813">
                  <c:v>23274.54</c:v>
                </c:pt>
                <c:pt idx="814">
                  <c:v>23267.845000000001</c:v>
                </c:pt>
                <c:pt idx="815">
                  <c:v>23250.502500000002</c:v>
                </c:pt>
                <c:pt idx="816">
                  <c:v>23253.017500000002</c:v>
                </c:pt>
                <c:pt idx="817">
                  <c:v>23261.5075</c:v>
                </c:pt>
                <c:pt idx="818">
                  <c:v>23270.1</c:v>
                </c:pt>
                <c:pt idx="819">
                  <c:v>23293.8</c:v>
                </c:pt>
                <c:pt idx="820">
                  <c:v>23304.077499999999</c:v>
                </c:pt>
                <c:pt idx="821">
                  <c:v>23297.0075</c:v>
                </c:pt>
                <c:pt idx="822">
                  <c:v>23283.68</c:v>
                </c:pt>
                <c:pt idx="823">
                  <c:v>23275.09</c:v>
                </c:pt>
                <c:pt idx="824">
                  <c:v>23254.314999999999</c:v>
                </c:pt>
                <c:pt idx="825">
                  <c:v>23251.057499999999</c:v>
                </c:pt>
                <c:pt idx="826">
                  <c:v>23240.555</c:v>
                </c:pt>
                <c:pt idx="827">
                  <c:v>23226.932499999999</c:v>
                </c:pt>
                <c:pt idx="828">
                  <c:v>23217.980000000003</c:v>
                </c:pt>
                <c:pt idx="829">
                  <c:v>23216.317500000005</c:v>
                </c:pt>
                <c:pt idx="830">
                  <c:v>23196.122500000005</c:v>
                </c:pt>
                <c:pt idx="831">
                  <c:v>23165.345000000001</c:v>
                </c:pt>
                <c:pt idx="832">
                  <c:v>23130.122500000001</c:v>
                </c:pt>
                <c:pt idx="833">
                  <c:v>23060.9375</c:v>
                </c:pt>
                <c:pt idx="834">
                  <c:v>22992.795000000002</c:v>
                </c:pt>
                <c:pt idx="835">
                  <c:v>22928.875</c:v>
                </c:pt>
                <c:pt idx="836">
                  <c:v>22858.7775</c:v>
                </c:pt>
                <c:pt idx="837">
                  <c:v>22801.197499999998</c:v>
                </c:pt>
                <c:pt idx="838">
                  <c:v>22748.654999999999</c:v>
                </c:pt>
                <c:pt idx="839">
                  <c:v>22693.672499999997</c:v>
                </c:pt>
                <c:pt idx="840">
                  <c:v>22649.487499999999</c:v>
                </c:pt>
                <c:pt idx="841">
                  <c:v>22619.422500000001</c:v>
                </c:pt>
                <c:pt idx="842">
                  <c:v>22587.02</c:v>
                </c:pt>
                <c:pt idx="843">
                  <c:v>22560.887500000001</c:v>
                </c:pt>
                <c:pt idx="844">
                  <c:v>22556.14</c:v>
                </c:pt>
                <c:pt idx="845">
                  <c:v>22553.544999999998</c:v>
                </c:pt>
                <c:pt idx="846">
                  <c:v>22565.812500000004</c:v>
                </c:pt>
                <c:pt idx="847">
                  <c:v>22586.687500000004</c:v>
                </c:pt>
                <c:pt idx="848">
                  <c:v>22623.947500000002</c:v>
                </c:pt>
                <c:pt idx="849">
                  <c:v>22667.584999999999</c:v>
                </c:pt>
                <c:pt idx="850">
                  <c:v>22714.26</c:v>
                </c:pt>
                <c:pt idx="851">
                  <c:v>22766.48</c:v>
                </c:pt>
                <c:pt idx="852">
                  <c:v>22815.195</c:v>
                </c:pt>
                <c:pt idx="853">
                  <c:v>22867.245000000003</c:v>
                </c:pt>
                <c:pt idx="854">
                  <c:v>22927.897499999999</c:v>
                </c:pt>
                <c:pt idx="855">
                  <c:v>22986.269999999997</c:v>
                </c:pt>
                <c:pt idx="856">
                  <c:v>23014.627499999995</c:v>
                </c:pt>
                <c:pt idx="857">
                  <c:v>22995.472499999996</c:v>
                </c:pt>
                <c:pt idx="858">
                  <c:v>22994.639999999992</c:v>
                </c:pt>
                <c:pt idx="859">
                  <c:v>22991.582499999997</c:v>
                </c:pt>
                <c:pt idx="860">
                  <c:v>23008.114999999998</c:v>
                </c:pt>
                <c:pt idx="861">
                  <c:v>23051.017499999994</c:v>
                </c:pt>
                <c:pt idx="862">
                  <c:v>23103.017499999998</c:v>
                </c:pt>
                <c:pt idx="863">
                  <c:v>23170.162499999999</c:v>
                </c:pt>
                <c:pt idx="864">
                  <c:v>23234.724999999999</c:v>
                </c:pt>
                <c:pt idx="865">
                  <c:v>23297.7075</c:v>
                </c:pt>
                <c:pt idx="866">
                  <c:v>23354.622500000005</c:v>
                </c:pt>
                <c:pt idx="867">
                  <c:v>23399.437500000004</c:v>
                </c:pt>
                <c:pt idx="868">
                  <c:v>23418.487499999999</c:v>
                </c:pt>
                <c:pt idx="869">
                  <c:v>23451.480000000003</c:v>
                </c:pt>
                <c:pt idx="870">
                  <c:v>23493.935000000001</c:v>
                </c:pt>
                <c:pt idx="871">
                  <c:v>23531.047500000001</c:v>
                </c:pt>
                <c:pt idx="872">
                  <c:v>23572.415000000001</c:v>
                </c:pt>
                <c:pt idx="873">
                  <c:v>23637.187500000004</c:v>
                </c:pt>
                <c:pt idx="874">
                  <c:v>23689.55</c:v>
                </c:pt>
                <c:pt idx="875">
                  <c:v>23747.765000000003</c:v>
                </c:pt>
                <c:pt idx="876">
                  <c:v>23816.232500000006</c:v>
                </c:pt>
                <c:pt idx="877">
                  <c:v>23908.552500000002</c:v>
                </c:pt>
                <c:pt idx="878">
                  <c:v>24027.995000000003</c:v>
                </c:pt>
                <c:pt idx="879">
                  <c:v>24136.955000000002</c:v>
                </c:pt>
                <c:pt idx="880">
                  <c:v>24228.872500000005</c:v>
                </c:pt>
                <c:pt idx="881">
                  <c:v>24315.550000000003</c:v>
                </c:pt>
                <c:pt idx="882">
                  <c:v>24394.68</c:v>
                </c:pt>
                <c:pt idx="883">
                  <c:v>24449.370000000003</c:v>
                </c:pt>
                <c:pt idx="884">
                  <c:v>24477.287500000002</c:v>
                </c:pt>
                <c:pt idx="885">
                  <c:v>24509.5975</c:v>
                </c:pt>
                <c:pt idx="886">
                  <c:v>24523.635000000002</c:v>
                </c:pt>
                <c:pt idx="887">
                  <c:v>24553.9575</c:v>
                </c:pt>
                <c:pt idx="888">
                  <c:v>24602.047500000004</c:v>
                </c:pt>
                <c:pt idx="889">
                  <c:v>24626.932500000003</c:v>
                </c:pt>
                <c:pt idx="890">
                  <c:v>24647.757500000003</c:v>
                </c:pt>
                <c:pt idx="891">
                  <c:v>24672.727500000008</c:v>
                </c:pt>
                <c:pt idx="892">
                  <c:v>24692.927500000005</c:v>
                </c:pt>
                <c:pt idx="893">
                  <c:v>24705.700000000004</c:v>
                </c:pt>
                <c:pt idx="894">
                  <c:v>24713.845000000001</c:v>
                </c:pt>
                <c:pt idx="895">
                  <c:v>24724.135000000002</c:v>
                </c:pt>
                <c:pt idx="896">
                  <c:v>24747.99</c:v>
                </c:pt>
                <c:pt idx="897">
                  <c:v>24797.7425</c:v>
                </c:pt>
                <c:pt idx="898">
                  <c:v>24806.667500000003</c:v>
                </c:pt>
                <c:pt idx="899">
                  <c:v>24832.962500000001</c:v>
                </c:pt>
                <c:pt idx="900">
                  <c:v>24856.687500000004</c:v>
                </c:pt>
                <c:pt idx="901">
                  <c:v>24847.9925</c:v>
                </c:pt>
                <c:pt idx="902">
                  <c:v>24832.932500000003</c:v>
                </c:pt>
                <c:pt idx="903">
                  <c:v>24832.985000000004</c:v>
                </c:pt>
                <c:pt idx="904">
                  <c:v>24841.460000000003</c:v>
                </c:pt>
                <c:pt idx="905">
                  <c:v>24841.390000000003</c:v>
                </c:pt>
                <c:pt idx="906">
                  <c:v>24850.567500000001</c:v>
                </c:pt>
                <c:pt idx="907">
                  <c:v>24863.530000000002</c:v>
                </c:pt>
                <c:pt idx="908">
                  <c:v>24862.067500000005</c:v>
                </c:pt>
                <c:pt idx="909">
                  <c:v>24872.975000000002</c:v>
                </c:pt>
                <c:pt idx="910">
                  <c:v>24897.59</c:v>
                </c:pt>
                <c:pt idx="911">
                  <c:v>24933.360000000001</c:v>
                </c:pt>
                <c:pt idx="912">
                  <c:v>24977.715000000004</c:v>
                </c:pt>
                <c:pt idx="913">
                  <c:v>25017.737499999999</c:v>
                </c:pt>
                <c:pt idx="914">
                  <c:v>25067.702499999999</c:v>
                </c:pt>
                <c:pt idx="915">
                  <c:v>25109.362499999999</c:v>
                </c:pt>
                <c:pt idx="916">
                  <c:v>25142.082499999997</c:v>
                </c:pt>
                <c:pt idx="917">
                  <c:v>25164.979999999996</c:v>
                </c:pt>
                <c:pt idx="918">
                  <c:v>25182.884999999998</c:v>
                </c:pt>
                <c:pt idx="919">
                  <c:v>25203.797499999997</c:v>
                </c:pt>
                <c:pt idx="920">
                  <c:v>25220.532499999998</c:v>
                </c:pt>
                <c:pt idx="921">
                  <c:v>25243.884999999998</c:v>
                </c:pt>
                <c:pt idx="922">
                  <c:v>25265.447499999998</c:v>
                </c:pt>
                <c:pt idx="923">
                  <c:v>25272.237499999996</c:v>
                </c:pt>
                <c:pt idx="924">
                  <c:v>25289.357499999995</c:v>
                </c:pt>
                <c:pt idx="925">
                  <c:v>25309.357499999991</c:v>
                </c:pt>
                <c:pt idx="926">
                  <c:v>25325.267499999994</c:v>
                </c:pt>
                <c:pt idx="927">
                  <c:v>25318.067499999997</c:v>
                </c:pt>
                <c:pt idx="928">
                  <c:v>25324.0075</c:v>
                </c:pt>
                <c:pt idx="929">
                  <c:v>25324.834999999999</c:v>
                </c:pt>
                <c:pt idx="930">
                  <c:v>25323.592500000002</c:v>
                </c:pt>
                <c:pt idx="931">
                  <c:v>25299.247500000001</c:v>
                </c:pt>
                <c:pt idx="932">
                  <c:v>25259.207500000004</c:v>
                </c:pt>
                <c:pt idx="933">
                  <c:v>25217.4</c:v>
                </c:pt>
                <c:pt idx="934">
                  <c:v>25181.365000000002</c:v>
                </c:pt>
                <c:pt idx="935">
                  <c:v>25151.447500000002</c:v>
                </c:pt>
                <c:pt idx="936">
                  <c:v>25119.599999999999</c:v>
                </c:pt>
                <c:pt idx="937">
                  <c:v>25074.817499999997</c:v>
                </c:pt>
                <c:pt idx="938">
                  <c:v>25037.89</c:v>
                </c:pt>
                <c:pt idx="939">
                  <c:v>24994.242499999997</c:v>
                </c:pt>
                <c:pt idx="940">
                  <c:v>24949.147499999999</c:v>
                </c:pt>
                <c:pt idx="941">
                  <c:v>24911.192499999997</c:v>
                </c:pt>
                <c:pt idx="942">
                  <c:v>24871.864999999998</c:v>
                </c:pt>
                <c:pt idx="943">
                  <c:v>24847.002499999995</c:v>
                </c:pt>
                <c:pt idx="944">
                  <c:v>24811.582499999997</c:v>
                </c:pt>
                <c:pt idx="945">
                  <c:v>24781.947499999998</c:v>
                </c:pt>
                <c:pt idx="946">
                  <c:v>24757.94</c:v>
                </c:pt>
                <c:pt idx="947">
                  <c:v>24753.3675</c:v>
                </c:pt>
                <c:pt idx="948">
                  <c:v>24747.865000000002</c:v>
                </c:pt>
                <c:pt idx="949">
                  <c:v>24747.3475</c:v>
                </c:pt>
                <c:pt idx="950">
                  <c:v>24740.54</c:v>
                </c:pt>
                <c:pt idx="951">
                  <c:v>24730.94</c:v>
                </c:pt>
                <c:pt idx="952">
                  <c:v>24737.477500000001</c:v>
                </c:pt>
                <c:pt idx="953">
                  <c:v>24739.034999999996</c:v>
                </c:pt>
                <c:pt idx="954">
                  <c:v>24723.024999999998</c:v>
                </c:pt>
                <c:pt idx="955">
                  <c:v>24701.614999999998</c:v>
                </c:pt>
                <c:pt idx="956">
                  <c:v>24694.449999999997</c:v>
                </c:pt>
                <c:pt idx="957">
                  <c:v>24695.162499999999</c:v>
                </c:pt>
                <c:pt idx="958">
                  <c:v>24694.777499999997</c:v>
                </c:pt>
                <c:pt idx="959">
                  <c:v>24699.014999999996</c:v>
                </c:pt>
                <c:pt idx="960">
                  <c:v>24707.354999999996</c:v>
                </c:pt>
                <c:pt idx="961">
                  <c:v>24716.204999999998</c:v>
                </c:pt>
                <c:pt idx="962">
                  <c:v>24741.469999999994</c:v>
                </c:pt>
                <c:pt idx="963">
                  <c:v>24760.872499999994</c:v>
                </c:pt>
                <c:pt idx="964">
                  <c:v>24786.777499999993</c:v>
                </c:pt>
                <c:pt idx="965">
                  <c:v>24811.509999999995</c:v>
                </c:pt>
                <c:pt idx="966">
                  <c:v>24833.404999999995</c:v>
                </c:pt>
                <c:pt idx="967">
                  <c:v>24851.512499999997</c:v>
                </c:pt>
                <c:pt idx="968">
                  <c:v>24868.9925</c:v>
                </c:pt>
                <c:pt idx="969">
                  <c:v>24887.644999999997</c:v>
                </c:pt>
                <c:pt idx="970">
                  <c:v>24899.809999999994</c:v>
                </c:pt>
                <c:pt idx="971">
                  <c:v>24916.422499999993</c:v>
                </c:pt>
                <c:pt idx="972">
                  <c:v>24926.509999999995</c:v>
                </c:pt>
                <c:pt idx="973">
                  <c:v>24943.752499999995</c:v>
                </c:pt>
                <c:pt idx="974">
                  <c:v>24963.249999999996</c:v>
                </c:pt>
                <c:pt idx="975">
                  <c:v>24974.642499999994</c:v>
                </c:pt>
                <c:pt idx="976">
                  <c:v>24975.135000000002</c:v>
                </c:pt>
                <c:pt idx="977">
                  <c:v>24976.71</c:v>
                </c:pt>
                <c:pt idx="978">
                  <c:v>24982.772499999999</c:v>
                </c:pt>
                <c:pt idx="979">
                  <c:v>24990.77</c:v>
                </c:pt>
                <c:pt idx="980">
                  <c:v>25007.602500000001</c:v>
                </c:pt>
                <c:pt idx="981">
                  <c:v>25024.36</c:v>
                </c:pt>
                <c:pt idx="982">
                  <c:v>25033.237499999999</c:v>
                </c:pt>
                <c:pt idx="983">
                  <c:v>25043.672500000001</c:v>
                </c:pt>
                <c:pt idx="984">
                  <c:v>25057.665000000001</c:v>
                </c:pt>
                <c:pt idx="985">
                  <c:v>25063.332499999997</c:v>
                </c:pt>
                <c:pt idx="986">
                  <c:v>25067.147499999999</c:v>
                </c:pt>
                <c:pt idx="987">
                  <c:v>25071.37</c:v>
                </c:pt>
                <c:pt idx="988">
                  <c:v>25084.122499999998</c:v>
                </c:pt>
                <c:pt idx="989">
                  <c:v>25098.434999999994</c:v>
                </c:pt>
                <c:pt idx="990">
                  <c:v>25124.239999999998</c:v>
                </c:pt>
                <c:pt idx="991">
                  <c:v>25157.552499999994</c:v>
                </c:pt>
                <c:pt idx="992">
                  <c:v>25193.647499999995</c:v>
                </c:pt>
                <c:pt idx="993">
                  <c:v>25230.559999999998</c:v>
                </c:pt>
                <c:pt idx="994">
                  <c:v>25284.32</c:v>
                </c:pt>
                <c:pt idx="995">
                  <c:v>25348.395</c:v>
                </c:pt>
                <c:pt idx="996">
                  <c:v>25419.345000000001</c:v>
                </c:pt>
                <c:pt idx="997">
                  <c:v>25482.682500000003</c:v>
                </c:pt>
                <c:pt idx="998">
                  <c:v>25526.9725</c:v>
                </c:pt>
                <c:pt idx="999">
                  <c:v>25570.427499999998</c:v>
                </c:pt>
                <c:pt idx="1000">
                  <c:v>25596.427499999998</c:v>
                </c:pt>
                <c:pt idx="1001">
                  <c:v>25616.497500000001</c:v>
                </c:pt>
                <c:pt idx="1002">
                  <c:v>25638.805</c:v>
                </c:pt>
                <c:pt idx="1003">
                  <c:v>25658.432499999999</c:v>
                </c:pt>
                <c:pt idx="1004">
                  <c:v>25678.912499999999</c:v>
                </c:pt>
                <c:pt idx="1005">
                  <c:v>25711.334999999999</c:v>
                </c:pt>
                <c:pt idx="1006">
                  <c:v>25748.017499999998</c:v>
                </c:pt>
                <c:pt idx="1007">
                  <c:v>25777.342499999999</c:v>
                </c:pt>
                <c:pt idx="1008">
                  <c:v>25798.75</c:v>
                </c:pt>
                <c:pt idx="1009">
                  <c:v>25808.760000000002</c:v>
                </c:pt>
                <c:pt idx="1010">
                  <c:v>25819.235000000001</c:v>
                </c:pt>
                <c:pt idx="1011">
                  <c:v>25835.412500000002</c:v>
                </c:pt>
                <c:pt idx="1012">
                  <c:v>25844.250000000004</c:v>
                </c:pt>
                <c:pt idx="1013">
                  <c:v>25852.467500000006</c:v>
                </c:pt>
                <c:pt idx="1014">
                  <c:v>25848.405000000006</c:v>
                </c:pt>
                <c:pt idx="1015">
                  <c:v>25861.860000000004</c:v>
                </c:pt>
                <c:pt idx="1016">
                  <c:v>25869.942500000001</c:v>
                </c:pt>
                <c:pt idx="1017">
                  <c:v>25886.197500000002</c:v>
                </c:pt>
                <c:pt idx="1018">
                  <c:v>25908.880000000001</c:v>
                </c:pt>
                <c:pt idx="1019">
                  <c:v>25922.322500000002</c:v>
                </c:pt>
                <c:pt idx="1020">
                  <c:v>25941.739999999998</c:v>
                </c:pt>
                <c:pt idx="1021">
                  <c:v>25967.942499999997</c:v>
                </c:pt>
                <c:pt idx="1022">
                  <c:v>26002.65</c:v>
                </c:pt>
                <c:pt idx="1023">
                  <c:v>26021.96</c:v>
                </c:pt>
                <c:pt idx="1024">
                  <c:v>26029.195</c:v>
                </c:pt>
                <c:pt idx="1025">
                  <c:v>26023.305</c:v>
                </c:pt>
                <c:pt idx="1026">
                  <c:v>26024.275000000001</c:v>
                </c:pt>
                <c:pt idx="1027">
                  <c:v>26031.119999999999</c:v>
                </c:pt>
                <c:pt idx="1028">
                  <c:v>26031.8125</c:v>
                </c:pt>
                <c:pt idx="1029">
                  <c:v>26029.314999999999</c:v>
                </c:pt>
                <c:pt idx="1030">
                  <c:v>26017.61</c:v>
                </c:pt>
                <c:pt idx="1031">
                  <c:v>25998.78</c:v>
                </c:pt>
                <c:pt idx="1032">
                  <c:v>25993.692500000001</c:v>
                </c:pt>
                <c:pt idx="1033">
                  <c:v>26004.337500000001</c:v>
                </c:pt>
                <c:pt idx="1034">
                  <c:v>26018.955000000002</c:v>
                </c:pt>
                <c:pt idx="1035">
                  <c:v>26015.795000000002</c:v>
                </c:pt>
                <c:pt idx="1036">
                  <c:v>26007.1325</c:v>
                </c:pt>
                <c:pt idx="1037">
                  <c:v>25994.089999999997</c:v>
                </c:pt>
                <c:pt idx="1038">
                  <c:v>25982.244999999999</c:v>
                </c:pt>
              </c:numCache>
            </c:numRef>
          </c:val>
          <c:smooth val="0"/>
          <c:extLst>
            <c:ext xmlns:c16="http://schemas.microsoft.com/office/drawing/2014/chart" uri="{C3380CC4-5D6E-409C-BE32-E72D297353CC}">
              <c16:uniqueId val="{00000001-8F7E-4B6D-9561-84EC178E8EA3}"/>
            </c:ext>
          </c:extLst>
        </c:ser>
        <c:ser>
          <c:idx val="2"/>
          <c:order val="2"/>
          <c:tx>
            <c:strRef>
              <c:f>'Price trend line table'!$D$1:$D$201</c:f>
              <c:strCache>
                <c:ptCount val="201"/>
                <c:pt idx="0">
                  <c:v>50 Day moving average</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pt idx="28">
                  <c:v>-</c:v>
                </c:pt>
                <c:pt idx="29">
                  <c:v>-</c:v>
                </c:pt>
                <c:pt idx="30">
                  <c:v>-</c:v>
                </c:pt>
                <c:pt idx="31">
                  <c:v>-</c:v>
                </c:pt>
                <c:pt idx="32">
                  <c:v>-</c:v>
                </c:pt>
                <c:pt idx="33">
                  <c:v>-</c:v>
                </c:pt>
                <c:pt idx="34">
                  <c:v>-</c:v>
                </c:pt>
                <c:pt idx="35">
                  <c:v>-</c:v>
                </c:pt>
                <c:pt idx="36">
                  <c:v>-</c:v>
                </c:pt>
                <c:pt idx="37">
                  <c:v>-</c:v>
                </c:pt>
                <c:pt idx="38">
                  <c:v>-</c:v>
                </c:pt>
                <c:pt idx="39">
                  <c:v>-</c:v>
                </c:pt>
                <c:pt idx="40">
                  <c:v>-</c:v>
                </c:pt>
                <c:pt idx="41">
                  <c:v>-</c:v>
                </c:pt>
                <c:pt idx="42">
                  <c:v>-</c:v>
                </c:pt>
                <c:pt idx="43">
                  <c:v>-</c:v>
                </c:pt>
                <c:pt idx="44">
                  <c:v>-</c:v>
                </c:pt>
                <c:pt idx="45">
                  <c:v>-</c:v>
                </c:pt>
                <c:pt idx="46">
                  <c:v>-</c:v>
                </c:pt>
                <c:pt idx="47">
                  <c:v>-</c:v>
                </c:pt>
                <c:pt idx="48">
                  <c:v>-</c:v>
                </c:pt>
                <c:pt idx="49">
                  <c:v>-</c:v>
                </c:pt>
                <c:pt idx="50">
                  <c:v>-</c:v>
                </c:pt>
                <c:pt idx="51">
                  <c:v>14699.277</c:v>
                </c:pt>
                <c:pt idx="52">
                  <c:v>14717.116</c:v>
                </c:pt>
                <c:pt idx="53">
                  <c:v>14728.884</c:v>
                </c:pt>
                <c:pt idx="54">
                  <c:v>14736.051</c:v>
                </c:pt>
                <c:pt idx="55">
                  <c:v>14748.006</c:v>
                </c:pt>
                <c:pt idx="56">
                  <c:v>14759.987</c:v>
                </c:pt>
                <c:pt idx="57">
                  <c:v>14769.337</c:v>
                </c:pt>
                <c:pt idx="58">
                  <c:v>14770.63</c:v>
                </c:pt>
                <c:pt idx="59">
                  <c:v>14765.859</c:v>
                </c:pt>
                <c:pt idx="60">
                  <c:v>14764.708</c:v>
                </c:pt>
                <c:pt idx="61">
                  <c:v>14769.698</c:v>
                </c:pt>
                <c:pt idx="62">
                  <c:v>14774.838</c:v>
                </c:pt>
                <c:pt idx="63">
                  <c:v>14786.559</c:v>
                </c:pt>
                <c:pt idx="64">
                  <c:v>14788.892</c:v>
                </c:pt>
                <c:pt idx="65">
                  <c:v>14789.668</c:v>
                </c:pt>
                <c:pt idx="66">
                  <c:v>14794.242</c:v>
                </c:pt>
                <c:pt idx="67">
                  <c:v>14804.28</c:v>
                </c:pt>
                <c:pt idx="68">
                  <c:v>14816.199</c:v>
                </c:pt>
                <c:pt idx="69">
                  <c:v>14823.065</c:v>
                </c:pt>
                <c:pt idx="70">
                  <c:v>14836.81</c:v>
                </c:pt>
                <c:pt idx="71">
                  <c:v>14855.747</c:v>
                </c:pt>
                <c:pt idx="72">
                  <c:v>14862.48</c:v>
                </c:pt>
                <c:pt idx="73">
                  <c:v>14856.712</c:v>
                </c:pt>
                <c:pt idx="74">
                  <c:v>14846.841</c:v>
                </c:pt>
                <c:pt idx="75">
                  <c:v>14837.051</c:v>
                </c:pt>
                <c:pt idx="76">
                  <c:v>14825.393</c:v>
                </c:pt>
                <c:pt idx="77">
                  <c:v>14812.777</c:v>
                </c:pt>
                <c:pt idx="78">
                  <c:v>14803.652</c:v>
                </c:pt>
                <c:pt idx="79">
                  <c:v>14798.813</c:v>
                </c:pt>
                <c:pt idx="80">
                  <c:v>14793.245</c:v>
                </c:pt>
                <c:pt idx="81">
                  <c:v>14782.601</c:v>
                </c:pt>
                <c:pt idx="82">
                  <c:v>14768.99</c:v>
                </c:pt>
                <c:pt idx="83">
                  <c:v>14752.651</c:v>
                </c:pt>
                <c:pt idx="84">
                  <c:v>14740.83</c:v>
                </c:pt>
                <c:pt idx="85">
                  <c:v>14732.947</c:v>
                </c:pt>
                <c:pt idx="86">
                  <c:v>14729.775</c:v>
                </c:pt>
                <c:pt idx="87">
                  <c:v>14735.108</c:v>
                </c:pt>
                <c:pt idx="88">
                  <c:v>14737.967</c:v>
                </c:pt>
                <c:pt idx="89">
                  <c:v>14732.257</c:v>
                </c:pt>
                <c:pt idx="90">
                  <c:v>14723.866</c:v>
                </c:pt>
                <c:pt idx="91">
                  <c:v>14731.746</c:v>
                </c:pt>
                <c:pt idx="92">
                  <c:v>14738.677</c:v>
                </c:pt>
                <c:pt idx="93">
                  <c:v>14740.898</c:v>
                </c:pt>
                <c:pt idx="94">
                  <c:v>14734.107</c:v>
                </c:pt>
                <c:pt idx="95">
                  <c:v>14735.998</c:v>
                </c:pt>
                <c:pt idx="96">
                  <c:v>14741.19</c:v>
                </c:pt>
                <c:pt idx="97">
                  <c:v>14746.235</c:v>
                </c:pt>
                <c:pt idx="98">
                  <c:v>14750.296</c:v>
                </c:pt>
                <c:pt idx="99">
                  <c:v>14753.557</c:v>
                </c:pt>
                <c:pt idx="100">
                  <c:v>14761.651</c:v>
                </c:pt>
                <c:pt idx="101">
                  <c:v>14774.717</c:v>
                </c:pt>
                <c:pt idx="102">
                  <c:v>14788.005</c:v>
                </c:pt>
                <c:pt idx="103">
                  <c:v>14805.103</c:v>
                </c:pt>
                <c:pt idx="104">
                  <c:v>14827.753</c:v>
                </c:pt>
                <c:pt idx="105">
                  <c:v>14846.278</c:v>
                </c:pt>
                <c:pt idx="106">
                  <c:v>14866.583</c:v>
                </c:pt>
                <c:pt idx="107">
                  <c:v>14885.09</c:v>
                </c:pt>
                <c:pt idx="108">
                  <c:v>14906.809</c:v>
                </c:pt>
                <c:pt idx="109">
                  <c:v>14935.066</c:v>
                </c:pt>
                <c:pt idx="110">
                  <c:v>14960.907</c:v>
                </c:pt>
                <c:pt idx="111">
                  <c:v>14980.242</c:v>
                </c:pt>
                <c:pt idx="112">
                  <c:v>15003.813</c:v>
                </c:pt>
                <c:pt idx="113">
                  <c:v>15021.817</c:v>
                </c:pt>
                <c:pt idx="114">
                  <c:v>15042.889</c:v>
                </c:pt>
                <c:pt idx="115">
                  <c:v>15062.886</c:v>
                </c:pt>
                <c:pt idx="116">
                  <c:v>15081.435</c:v>
                </c:pt>
                <c:pt idx="117">
                  <c:v>15099.414</c:v>
                </c:pt>
                <c:pt idx="118">
                  <c:v>15116.456</c:v>
                </c:pt>
                <c:pt idx="119">
                  <c:v>15146.049</c:v>
                </c:pt>
                <c:pt idx="120">
                  <c:v>15173.16</c:v>
                </c:pt>
                <c:pt idx="121">
                  <c:v>15197.825</c:v>
                </c:pt>
                <c:pt idx="122">
                  <c:v>15220.437</c:v>
                </c:pt>
                <c:pt idx="123">
                  <c:v>15247.678</c:v>
                </c:pt>
                <c:pt idx="124">
                  <c:v>15275.35</c:v>
                </c:pt>
                <c:pt idx="125">
                  <c:v>15301.671</c:v>
                </c:pt>
                <c:pt idx="126">
                  <c:v>15331.531</c:v>
                </c:pt>
                <c:pt idx="127">
                  <c:v>15358.196</c:v>
                </c:pt>
                <c:pt idx="128">
                  <c:v>15382.728</c:v>
                </c:pt>
                <c:pt idx="129">
                  <c:v>15399.995</c:v>
                </c:pt>
                <c:pt idx="130">
                  <c:v>15415.893</c:v>
                </c:pt>
                <c:pt idx="131">
                  <c:v>15437.123</c:v>
                </c:pt>
                <c:pt idx="132">
                  <c:v>15460.687</c:v>
                </c:pt>
                <c:pt idx="133">
                  <c:v>15487.836</c:v>
                </c:pt>
                <c:pt idx="134">
                  <c:v>15513.963</c:v>
                </c:pt>
                <c:pt idx="135">
                  <c:v>15537.935</c:v>
                </c:pt>
                <c:pt idx="136">
                  <c:v>15556.52</c:v>
                </c:pt>
                <c:pt idx="137">
                  <c:v>15570.315</c:v>
                </c:pt>
                <c:pt idx="138">
                  <c:v>15589.781</c:v>
                </c:pt>
                <c:pt idx="139">
                  <c:v>15612.972</c:v>
                </c:pt>
                <c:pt idx="140">
                  <c:v>15635.905</c:v>
                </c:pt>
                <c:pt idx="141">
                  <c:v>15652.371</c:v>
                </c:pt>
                <c:pt idx="142">
                  <c:v>15664.397</c:v>
                </c:pt>
                <c:pt idx="143">
                  <c:v>15679.363</c:v>
                </c:pt>
                <c:pt idx="144">
                  <c:v>15696.503</c:v>
                </c:pt>
                <c:pt idx="145">
                  <c:v>15710.7</c:v>
                </c:pt>
                <c:pt idx="146">
                  <c:v>15729.361</c:v>
                </c:pt>
                <c:pt idx="147">
                  <c:v>15750.368</c:v>
                </c:pt>
                <c:pt idx="148">
                  <c:v>15770.231</c:v>
                </c:pt>
                <c:pt idx="149">
                  <c:v>15788.238</c:v>
                </c:pt>
                <c:pt idx="150">
                  <c:v>15804.69</c:v>
                </c:pt>
                <c:pt idx="151">
                  <c:v>15818.636</c:v>
                </c:pt>
                <c:pt idx="152">
                  <c:v>15832.784</c:v>
                </c:pt>
                <c:pt idx="153">
                  <c:v>15848.548</c:v>
                </c:pt>
                <c:pt idx="154">
                  <c:v>15865.323</c:v>
                </c:pt>
                <c:pt idx="155">
                  <c:v>15883.179</c:v>
                </c:pt>
                <c:pt idx="156">
                  <c:v>15900.438</c:v>
                </c:pt>
                <c:pt idx="157">
                  <c:v>15917.013</c:v>
                </c:pt>
                <c:pt idx="158">
                  <c:v>15933.316</c:v>
                </c:pt>
                <c:pt idx="159">
                  <c:v>15948.49</c:v>
                </c:pt>
                <c:pt idx="160">
                  <c:v>15964.995</c:v>
                </c:pt>
                <c:pt idx="161">
                  <c:v>15981.451</c:v>
                </c:pt>
                <c:pt idx="162">
                  <c:v>15996.804</c:v>
                </c:pt>
                <c:pt idx="163">
                  <c:v>16015.557</c:v>
                </c:pt>
                <c:pt idx="164">
                  <c:v>16040.35</c:v>
                </c:pt>
                <c:pt idx="165">
                  <c:v>16069.327</c:v>
                </c:pt>
                <c:pt idx="166">
                  <c:v>16095.922</c:v>
                </c:pt>
                <c:pt idx="167">
                  <c:v>16125.15</c:v>
                </c:pt>
                <c:pt idx="168">
                  <c:v>16157.883</c:v>
                </c:pt>
                <c:pt idx="169">
                  <c:v>16189.63</c:v>
                </c:pt>
                <c:pt idx="170">
                  <c:v>16219.665</c:v>
                </c:pt>
                <c:pt idx="171">
                  <c:v>16250.441</c:v>
                </c:pt>
                <c:pt idx="172">
                  <c:v>16282.857</c:v>
                </c:pt>
                <c:pt idx="173">
                  <c:v>16315.533</c:v>
                </c:pt>
                <c:pt idx="174">
                  <c:v>16349.533</c:v>
                </c:pt>
                <c:pt idx="175">
                  <c:v>16385.478</c:v>
                </c:pt>
                <c:pt idx="176">
                  <c:v>16421.381</c:v>
                </c:pt>
                <c:pt idx="177">
                  <c:v>16456.719</c:v>
                </c:pt>
                <c:pt idx="178">
                  <c:v>16487.064</c:v>
                </c:pt>
                <c:pt idx="179">
                  <c:v>16523.746</c:v>
                </c:pt>
                <c:pt idx="180">
                  <c:v>16560.883</c:v>
                </c:pt>
                <c:pt idx="181">
                  <c:v>16603.49</c:v>
                </c:pt>
                <c:pt idx="182">
                  <c:v>16644.307</c:v>
                </c:pt>
                <c:pt idx="183">
                  <c:v>16684.33</c:v>
                </c:pt>
                <c:pt idx="184">
                  <c:v>16720.818</c:v>
                </c:pt>
                <c:pt idx="185">
                  <c:v>16756.576</c:v>
                </c:pt>
                <c:pt idx="186">
                  <c:v>16793.891</c:v>
                </c:pt>
                <c:pt idx="187">
                  <c:v>16831.89</c:v>
                </c:pt>
                <c:pt idx="188">
                  <c:v>16869.234</c:v>
                </c:pt>
                <c:pt idx="189">
                  <c:v>16908.559</c:v>
                </c:pt>
                <c:pt idx="190">
                  <c:v>16944.99</c:v>
                </c:pt>
                <c:pt idx="191">
                  <c:v>16985.868</c:v>
                </c:pt>
                <c:pt idx="192">
                  <c:v>17029.584</c:v>
                </c:pt>
                <c:pt idx="193">
                  <c:v>17072.934</c:v>
                </c:pt>
                <c:pt idx="194">
                  <c:v>17117.512</c:v>
                </c:pt>
                <c:pt idx="195">
                  <c:v>17163.044</c:v>
                </c:pt>
                <c:pt idx="196">
                  <c:v>17207.2</c:v>
                </c:pt>
                <c:pt idx="197">
                  <c:v>17251.565</c:v>
                </c:pt>
                <c:pt idx="198">
                  <c:v>17294.048</c:v>
                </c:pt>
                <c:pt idx="199">
                  <c:v>17334.616</c:v>
                </c:pt>
                <c:pt idx="200">
                  <c:v>17373.013</c:v>
                </c:pt>
              </c:strCache>
            </c:strRef>
          </c:tx>
          <c:spPr>
            <a:ln w="22225" cap="rnd" cmpd="sng" algn="ctr">
              <a:solidFill>
                <a:schemeClr val="accent3"/>
              </a:solidFill>
              <a:round/>
            </a:ln>
            <a:effectLst/>
          </c:spPr>
          <c:marker>
            <c:symbol val="none"/>
          </c:marker>
          <c:cat>
            <c:numRef>
              <c:f>'Price trend line table'!$A$202:$A$1241</c:f>
              <c:numCache>
                <c:formatCode>d\-mmm\-yy</c:formatCode>
                <c:ptCount val="1040"/>
                <c:pt idx="0">
                  <c:v>44494</c:v>
                </c:pt>
                <c:pt idx="1">
                  <c:v>44495</c:v>
                </c:pt>
                <c:pt idx="2">
                  <c:v>44496</c:v>
                </c:pt>
                <c:pt idx="3">
                  <c:v>44497</c:v>
                </c:pt>
                <c:pt idx="4">
                  <c:v>44498</c:v>
                </c:pt>
                <c:pt idx="5">
                  <c:v>44501</c:v>
                </c:pt>
                <c:pt idx="6">
                  <c:v>44502</c:v>
                </c:pt>
                <c:pt idx="7">
                  <c:v>44503</c:v>
                </c:pt>
                <c:pt idx="8">
                  <c:v>44504</c:v>
                </c:pt>
                <c:pt idx="9">
                  <c:v>44508</c:v>
                </c:pt>
                <c:pt idx="10">
                  <c:v>44509</c:v>
                </c:pt>
                <c:pt idx="11">
                  <c:v>44510</c:v>
                </c:pt>
                <c:pt idx="12">
                  <c:v>44511</c:v>
                </c:pt>
                <c:pt idx="13">
                  <c:v>44512</c:v>
                </c:pt>
                <c:pt idx="14">
                  <c:v>44515</c:v>
                </c:pt>
                <c:pt idx="15">
                  <c:v>44516</c:v>
                </c:pt>
                <c:pt idx="16">
                  <c:v>44517</c:v>
                </c:pt>
                <c:pt idx="17">
                  <c:v>44518</c:v>
                </c:pt>
                <c:pt idx="18">
                  <c:v>44522</c:v>
                </c:pt>
                <c:pt idx="19">
                  <c:v>44523</c:v>
                </c:pt>
                <c:pt idx="20">
                  <c:v>44524</c:v>
                </c:pt>
                <c:pt idx="21">
                  <c:v>44525</c:v>
                </c:pt>
                <c:pt idx="22">
                  <c:v>44526</c:v>
                </c:pt>
                <c:pt idx="23">
                  <c:v>44529</c:v>
                </c:pt>
                <c:pt idx="24">
                  <c:v>44530</c:v>
                </c:pt>
                <c:pt idx="25">
                  <c:v>44531</c:v>
                </c:pt>
                <c:pt idx="26">
                  <c:v>44532</c:v>
                </c:pt>
                <c:pt idx="27">
                  <c:v>44533</c:v>
                </c:pt>
                <c:pt idx="28">
                  <c:v>44536</c:v>
                </c:pt>
                <c:pt idx="29">
                  <c:v>44537</c:v>
                </c:pt>
                <c:pt idx="30">
                  <c:v>44538</c:v>
                </c:pt>
                <c:pt idx="31">
                  <c:v>44539</c:v>
                </c:pt>
                <c:pt idx="32">
                  <c:v>44540</c:v>
                </c:pt>
                <c:pt idx="33">
                  <c:v>44543</c:v>
                </c:pt>
                <c:pt idx="34">
                  <c:v>44544</c:v>
                </c:pt>
                <c:pt idx="35">
                  <c:v>44545</c:v>
                </c:pt>
                <c:pt idx="36">
                  <c:v>44546</c:v>
                </c:pt>
                <c:pt idx="37">
                  <c:v>44547</c:v>
                </c:pt>
                <c:pt idx="38">
                  <c:v>44550</c:v>
                </c:pt>
                <c:pt idx="39">
                  <c:v>44551</c:v>
                </c:pt>
                <c:pt idx="40">
                  <c:v>44552</c:v>
                </c:pt>
                <c:pt idx="41">
                  <c:v>44553</c:v>
                </c:pt>
                <c:pt idx="42">
                  <c:v>44554</c:v>
                </c:pt>
                <c:pt idx="43">
                  <c:v>44557</c:v>
                </c:pt>
                <c:pt idx="44">
                  <c:v>44558</c:v>
                </c:pt>
                <c:pt idx="45">
                  <c:v>44559</c:v>
                </c:pt>
                <c:pt idx="46">
                  <c:v>44560</c:v>
                </c:pt>
                <c:pt idx="47">
                  <c:v>44561</c:v>
                </c:pt>
                <c:pt idx="48">
                  <c:v>44564</c:v>
                </c:pt>
                <c:pt idx="49">
                  <c:v>44565</c:v>
                </c:pt>
                <c:pt idx="50">
                  <c:v>44566</c:v>
                </c:pt>
                <c:pt idx="51">
                  <c:v>44567</c:v>
                </c:pt>
                <c:pt idx="52">
                  <c:v>44568</c:v>
                </c:pt>
                <c:pt idx="53">
                  <c:v>44571</c:v>
                </c:pt>
                <c:pt idx="54">
                  <c:v>44572</c:v>
                </c:pt>
                <c:pt idx="55">
                  <c:v>44573</c:v>
                </c:pt>
                <c:pt idx="56">
                  <c:v>44574</c:v>
                </c:pt>
                <c:pt idx="57">
                  <c:v>44575</c:v>
                </c:pt>
                <c:pt idx="58">
                  <c:v>44578</c:v>
                </c:pt>
                <c:pt idx="59">
                  <c:v>44579</c:v>
                </c:pt>
                <c:pt idx="60">
                  <c:v>44580</c:v>
                </c:pt>
                <c:pt idx="61">
                  <c:v>44581</c:v>
                </c:pt>
                <c:pt idx="62">
                  <c:v>44582</c:v>
                </c:pt>
                <c:pt idx="63">
                  <c:v>44585</c:v>
                </c:pt>
                <c:pt idx="64">
                  <c:v>44586</c:v>
                </c:pt>
                <c:pt idx="65">
                  <c:v>44588</c:v>
                </c:pt>
                <c:pt idx="66">
                  <c:v>44589</c:v>
                </c:pt>
                <c:pt idx="67">
                  <c:v>44592</c:v>
                </c:pt>
                <c:pt idx="68">
                  <c:v>44593</c:v>
                </c:pt>
                <c:pt idx="69">
                  <c:v>44594</c:v>
                </c:pt>
                <c:pt idx="70">
                  <c:v>44595</c:v>
                </c:pt>
                <c:pt idx="71">
                  <c:v>44596</c:v>
                </c:pt>
                <c:pt idx="72">
                  <c:v>44599</c:v>
                </c:pt>
                <c:pt idx="73">
                  <c:v>44600</c:v>
                </c:pt>
                <c:pt idx="74">
                  <c:v>44601</c:v>
                </c:pt>
                <c:pt idx="75">
                  <c:v>44602</c:v>
                </c:pt>
                <c:pt idx="76">
                  <c:v>44603</c:v>
                </c:pt>
                <c:pt idx="77">
                  <c:v>44606</c:v>
                </c:pt>
                <c:pt idx="78">
                  <c:v>44607</c:v>
                </c:pt>
                <c:pt idx="79">
                  <c:v>44608</c:v>
                </c:pt>
                <c:pt idx="80">
                  <c:v>44609</c:v>
                </c:pt>
                <c:pt idx="81">
                  <c:v>44610</c:v>
                </c:pt>
                <c:pt idx="82">
                  <c:v>44613</c:v>
                </c:pt>
                <c:pt idx="83">
                  <c:v>44614</c:v>
                </c:pt>
                <c:pt idx="84">
                  <c:v>44615</c:v>
                </c:pt>
                <c:pt idx="85">
                  <c:v>44616</c:v>
                </c:pt>
                <c:pt idx="86">
                  <c:v>44617</c:v>
                </c:pt>
                <c:pt idx="87">
                  <c:v>44620</c:v>
                </c:pt>
                <c:pt idx="88">
                  <c:v>44622</c:v>
                </c:pt>
                <c:pt idx="89">
                  <c:v>44623</c:v>
                </c:pt>
                <c:pt idx="90">
                  <c:v>44624</c:v>
                </c:pt>
                <c:pt idx="91">
                  <c:v>44627</c:v>
                </c:pt>
                <c:pt idx="92">
                  <c:v>44628</c:v>
                </c:pt>
                <c:pt idx="93">
                  <c:v>44629</c:v>
                </c:pt>
                <c:pt idx="94">
                  <c:v>44630</c:v>
                </c:pt>
                <c:pt idx="95">
                  <c:v>44631</c:v>
                </c:pt>
                <c:pt idx="96">
                  <c:v>44634</c:v>
                </c:pt>
                <c:pt idx="97">
                  <c:v>44635</c:v>
                </c:pt>
                <c:pt idx="98">
                  <c:v>44636</c:v>
                </c:pt>
                <c:pt idx="99">
                  <c:v>44637</c:v>
                </c:pt>
                <c:pt idx="100">
                  <c:v>44641</c:v>
                </c:pt>
                <c:pt idx="101">
                  <c:v>44642</c:v>
                </c:pt>
                <c:pt idx="102">
                  <c:v>44643</c:v>
                </c:pt>
                <c:pt idx="103">
                  <c:v>44644</c:v>
                </c:pt>
                <c:pt idx="104">
                  <c:v>44645</c:v>
                </c:pt>
                <c:pt idx="105">
                  <c:v>44648</c:v>
                </c:pt>
                <c:pt idx="106">
                  <c:v>44649</c:v>
                </c:pt>
                <c:pt idx="107">
                  <c:v>44650</c:v>
                </c:pt>
                <c:pt idx="108">
                  <c:v>44651</c:v>
                </c:pt>
                <c:pt idx="109">
                  <c:v>44652</c:v>
                </c:pt>
                <c:pt idx="110">
                  <c:v>44655</c:v>
                </c:pt>
                <c:pt idx="111">
                  <c:v>44656</c:v>
                </c:pt>
                <c:pt idx="112">
                  <c:v>44657</c:v>
                </c:pt>
                <c:pt idx="113">
                  <c:v>44658</c:v>
                </c:pt>
                <c:pt idx="114">
                  <c:v>44659</c:v>
                </c:pt>
                <c:pt idx="115">
                  <c:v>44662</c:v>
                </c:pt>
                <c:pt idx="116">
                  <c:v>44663</c:v>
                </c:pt>
                <c:pt idx="117">
                  <c:v>44664</c:v>
                </c:pt>
                <c:pt idx="118">
                  <c:v>44669</c:v>
                </c:pt>
                <c:pt idx="119">
                  <c:v>44670</c:v>
                </c:pt>
                <c:pt idx="120">
                  <c:v>44671</c:v>
                </c:pt>
                <c:pt idx="121">
                  <c:v>44672</c:v>
                </c:pt>
                <c:pt idx="122">
                  <c:v>44673</c:v>
                </c:pt>
                <c:pt idx="123">
                  <c:v>44676</c:v>
                </c:pt>
                <c:pt idx="124">
                  <c:v>44677</c:v>
                </c:pt>
                <c:pt idx="125">
                  <c:v>44678</c:v>
                </c:pt>
                <c:pt idx="126">
                  <c:v>44679</c:v>
                </c:pt>
                <c:pt idx="127">
                  <c:v>44680</c:v>
                </c:pt>
                <c:pt idx="128">
                  <c:v>44683</c:v>
                </c:pt>
                <c:pt idx="129">
                  <c:v>44685</c:v>
                </c:pt>
                <c:pt idx="130">
                  <c:v>44686</c:v>
                </c:pt>
                <c:pt idx="131">
                  <c:v>44687</c:v>
                </c:pt>
                <c:pt idx="132">
                  <c:v>44690</c:v>
                </c:pt>
                <c:pt idx="133">
                  <c:v>44691</c:v>
                </c:pt>
                <c:pt idx="134">
                  <c:v>44692</c:v>
                </c:pt>
                <c:pt idx="135">
                  <c:v>44693</c:v>
                </c:pt>
                <c:pt idx="136">
                  <c:v>44694</c:v>
                </c:pt>
                <c:pt idx="137">
                  <c:v>44697</c:v>
                </c:pt>
                <c:pt idx="138">
                  <c:v>44698</c:v>
                </c:pt>
                <c:pt idx="139">
                  <c:v>44699</c:v>
                </c:pt>
                <c:pt idx="140">
                  <c:v>44700</c:v>
                </c:pt>
                <c:pt idx="141">
                  <c:v>44701</c:v>
                </c:pt>
                <c:pt idx="142">
                  <c:v>44704</c:v>
                </c:pt>
                <c:pt idx="143">
                  <c:v>44705</c:v>
                </c:pt>
                <c:pt idx="144">
                  <c:v>44706</c:v>
                </c:pt>
                <c:pt idx="145">
                  <c:v>44707</c:v>
                </c:pt>
                <c:pt idx="146">
                  <c:v>44708</c:v>
                </c:pt>
                <c:pt idx="147">
                  <c:v>44711</c:v>
                </c:pt>
                <c:pt idx="148">
                  <c:v>44712</c:v>
                </c:pt>
                <c:pt idx="149">
                  <c:v>44713</c:v>
                </c:pt>
                <c:pt idx="150">
                  <c:v>44714</c:v>
                </c:pt>
                <c:pt idx="151">
                  <c:v>44715</c:v>
                </c:pt>
                <c:pt idx="152">
                  <c:v>44718</c:v>
                </c:pt>
                <c:pt idx="153">
                  <c:v>44719</c:v>
                </c:pt>
                <c:pt idx="154">
                  <c:v>44720</c:v>
                </c:pt>
                <c:pt idx="155">
                  <c:v>44721</c:v>
                </c:pt>
                <c:pt idx="156">
                  <c:v>44722</c:v>
                </c:pt>
                <c:pt idx="157">
                  <c:v>44725</c:v>
                </c:pt>
                <c:pt idx="158">
                  <c:v>44726</c:v>
                </c:pt>
                <c:pt idx="159">
                  <c:v>44727</c:v>
                </c:pt>
                <c:pt idx="160">
                  <c:v>44728</c:v>
                </c:pt>
                <c:pt idx="161">
                  <c:v>44729</c:v>
                </c:pt>
                <c:pt idx="162">
                  <c:v>44732</c:v>
                </c:pt>
                <c:pt idx="163">
                  <c:v>44733</c:v>
                </c:pt>
                <c:pt idx="164">
                  <c:v>44734</c:v>
                </c:pt>
                <c:pt idx="165">
                  <c:v>44735</c:v>
                </c:pt>
                <c:pt idx="166">
                  <c:v>44736</c:v>
                </c:pt>
                <c:pt idx="167">
                  <c:v>44739</c:v>
                </c:pt>
                <c:pt idx="168">
                  <c:v>44740</c:v>
                </c:pt>
                <c:pt idx="169">
                  <c:v>44741</c:v>
                </c:pt>
                <c:pt idx="170">
                  <c:v>44742</c:v>
                </c:pt>
                <c:pt idx="171">
                  <c:v>44743</c:v>
                </c:pt>
                <c:pt idx="172">
                  <c:v>44746</c:v>
                </c:pt>
                <c:pt idx="173">
                  <c:v>44747</c:v>
                </c:pt>
                <c:pt idx="174">
                  <c:v>44748</c:v>
                </c:pt>
                <c:pt idx="175">
                  <c:v>44749</c:v>
                </c:pt>
                <c:pt idx="176">
                  <c:v>44750</c:v>
                </c:pt>
                <c:pt idx="177">
                  <c:v>44753</c:v>
                </c:pt>
                <c:pt idx="178">
                  <c:v>44754</c:v>
                </c:pt>
                <c:pt idx="179">
                  <c:v>44755</c:v>
                </c:pt>
                <c:pt idx="180">
                  <c:v>44756</c:v>
                </c:pt>
                <c:pt idx="181">
                  <c:v>44757</c:v>
                </c:pt>
                <c:pt idx="182">
                  <c:v>44760</c:v>
                </c:pt>
                <c:pt idx="183">
                  <c:v>44761</c:v>
                </c:pt>
                <c:pt idx="184">
                  <c:v>44762</c:v>
                </c:pt>
                <c:pt idx="185">
                  <c:v>44763</c:v>
                </c:pt>
                <c:pt idx="186">
                  <c:v>44764</c:v>
                </c:pt>
                <c:pt idx="187">
                  <c:v>44767</c:v>
                </c:pt>
                <c:pt idx="188">
                  <c:v>44768</c:v>
                </c:pt>
                <c:pt idx="189">
                  <c:v>44769</c:v>
                </c:pt>
                <c:pt idx="190">
                  <c:v>44770</c:v>
                </c:pt>
                <c:pt idx="191">
                  <c:v>44771</c:v>
                </c:pt>
                <c:pt idx="192">
                  <c:v>44774</c:v>
                </c:pt>
                <c:pt idx="193">
                  <c:v>44775</c:v>
                </c:pt>
                <c:pt idx="194">
                  <c:v>44776</c:v>
                </c:pt>
                <c:pt idx="195">
                  <c:v>44777</c:v>
                </c:pt>
                <c:pt idx="196">
                  <c:v>44778</c:v>
                </c:pt>
                <c:pt idx="197">
                  <c:v>44781</c:v>
                </c:pt>
                <c:pt idx="198">
                  <c:v>44783</c:v>
                </c:pt>
                <c:pt idx="199">
                  <c:v>44784</c:v>
                </c:pt>
                <c:pt idx="200">
                  <c:v>44785</c:v>
                </c:pt>
                <c:pt idx="201">
                  <c:v>44789</c:v>
                </c:pt>
                <c:pt idx="202">
                  <c:v>44790</c:v>
                </c:pt>
                <c:pt idx="203">
                  <c:v>44791</c:v>
                </c:pt>
                <c:pt idx="204">
                  <c:v>44792</c:v>
                </c:pt>
                <c:pt idx="205">
                  <c:v>44795</c:v>
                </c:pt>
                <c:pt idx="206">
                  <c:v>44796</c:v>
                </c:pt>
                <c:pt idx="207">
                  <c:v>44797</c:v>
                </c:pt>
                <c:pt idx="208">
                  <c:v>44798</c:v>
                </c:pt>
                <c:pt idx="209">
                  <c:v>44799</c:v>
                </c:pt>
                <c:pt idx="210">
                  <c:v>44802</c:v>
                </c:pt>
                <c:pt idx="211">
                  <c:v>44803</c:v>
                </c:pt>
                <c:pt idx="212">
                  <c:v>44805</c:v>
                </c:pt>
                <c:pt idx="213">
                  <c:v>44806</c:v>
                </c:pt>
                <c:pt idx="214">
                  <c:v>44809</c:v>
                </c:pt>
                <c:pt idx="215">
                  <c:v>44810</c:v>
                </c:pt>
                <c:pt idx="216">
                  <c:v>44811</c:v>
                </c:pt>
                <c:pt idx="217">
                  <c:v>44812</c:v>
                </c:pt>
                <c:pt idx="218">
                  <c:v>44813</c:v>
                </c:pt>
                <c:pt idx="219">
                  <c:v>44816</c:v>
                </c:pt>
                <c:pt idx="220">
                  <c:v>44817</c:v>
                </c:pt>
                <c:pt idx="221">
                  <c:v>44818</c:v>
                </c:pt>
                <c:pt idx="222">
                  <c:v>44819</c:v>
                </c:pt>
                <c:pt idx="223">
                  <c:v>44820</c:v>
                </c:pt>
                <c:pt idx="224">
                  <c:v>44823</c:v>
                </c:pt>
                <c:pt idx="225">
                  <c:v>44824</c:v>
                </c:pt>
                <c:pt idx="226">
                  <c:v>44825</c:v>
                </c:pt>
                <c:pt idx="227">
                  <c:v>44826</c:v>
                </c:pt>
                <c:pt idx="228">
                  <c:v>44827</c:v>
                </c:pt>
                <c:pt idx="229">
                  <c:v>44830</c:v>
                </c:pt>
                <c:pt idx="230">
                  <c:v>44831</c:v>
                </c:pt>
                <c:pt idx="231">
                  <c:v>44832</c:v>
                </c:pt>
                <c:pt idx="232">
                  <c:v>44833</c:v>
                </c:pt>
                <c:pt idx="233">
                  <c:v>44834</c:v>
                </c:pt>
                <c:pt idx="234">
                  <c:v>44837</c:v>
                </c:pt>
                <c:pt idx="235">
                  <c:v>44838</c:v>
                </c:pt>
                <c:pt idx="236">
                  <c:v>44840</c:v>
                </c:pt>
                <c:pt idx="237">
                  <c:v>44841</c:v>
                </c:pt>
                <c:pt idx="238">
                  <c:v>44844</c:v>
                </c:pt>
                <c:pt idx="239">
                  <c:v>44845</c:v>
                </c:pt>
                <c:pt idx="240">
                  <c:v>44846</c:v>
                </c:pt>
                <c:pt idx="241">
                  <c:v>44847</c:v>
                </c:pt>
                <c:pt idx="242">
                  <c:v>44848</c:v>
                </c:pt>
                <c:pt idx="243">
                  <c:v>44851</c:v>
                </c:pt>
                <c:pt idx="244">
                  <c:v>44852</c:v>
                </c:pt>
                <c:pt idx="245">
                  <c:v>44853</c:v>
                </c:pt>
                <c:pt idx="246">
                  <c:v>44854</c:v>
                </c:pt>
                <c:pt idx="247">
                  <c:v>44855</c:v>
                </c:pt>
                <c:pt idx="248">
                  <c:v>44858</c:v>
                </c:pt>
                <c:pt idx="249">
                  <c:v>44859</c:v>
                </c:pt>
                <c:pt idx="250">
                  <c:v>44861</c:v>
                </c:pt>
                <c:pt idx="251">
                  <c:v>44862</c:v>
                </c:pt>
                <c:pt idx="252">
                  <c:v>44865</c:v>
                </c:pt>
                <c:pt idx="253">
                  <c:v>44866</c:v>
                </c:pt>
                <c:pt idx="254">
                  <c:v>44867</c:v>
                </c:pt>
                <c:pt idx="255">
                  <c:v>44868</c:v>
                </c:pt>
                <c:pt idx="256">
                  <c:v>44869</c:v>
                </c:pt>
                <c:pt idx="257">
                  <c:v>44872</c:v>
                </c:pt>
                <c:pt idx="258">
                  <c:v>44874</c:v>
                </c:pt>
                <c:pt idx="259">
                  <c:v>44875</c:v>
                </c:pt>
                <c:pt idx="260">
                  <c:v>44876</c:v>
                </c:pt>
                <c:pt idx="261">
                  <c:v>44879</c:v>
                </c:pt>
                <c:pt idx="262">
                  <c:v>44880</c:v>
                </c:pt>
                <c:pt idx="263">
                  <c:v>44881</c:v>
                </c:pt>
                <c:pt idx="264">
                  <c:v>44882</c:v>
                </c:pt>
                <c:pt idx="265">
                  <c:v>44883</c:v>
                </c:pt>
                <c:pt idx="266">
                  <c:v>44886</c:v>
                </c:pt>
                <c:pt idx="267">
                  <c:v>44887</c:v>
                </c:pt>
                <c:pt idx="268">
                  <c:v>44888</c:v>
                </c:pt>
                <c:pt idx="269">
                  <c:v>44889</c:v>
                </c:pt>
                <c:pt idx="270">
                  <c:v>44890</c:v>
                </c:pt>
                <c:pt idx="271">
                  <c:v>44893</c:v>
                </c:pt>
                <c:pt idx="272">
                  <c:v>44894</c:v>
                </c:pt>
                <c:pt idx="273">
                  <c:v>44895</c:v>
                </c:pt>
                <c:pt idx="274">
                  <c:v>44896</c:v>
                </c:pt>
                <c:pt idx="275">
                  <c:v>44897</c:v>
                </c:pt>
                <c:pt idx="276">
                  <c:v>44900</c:v>
                </c:pt>
                <c:pt idx="277">
                  <c:v>44901</c:v>
                </c:pt>
                <c:pt idx="278">
                  <c:v>44902</c:v>
                </c:pt>
                <c:pt idx="279">
                  <c:v>44903</c:v>
                </c:pt>
                <c:pt idx="280">
                  <c:v>44904</c:v>
                </c:pt>
                <c:pt idx="281">
                  <c:v>44907</c:v>
                </c:pt>
                <c:pt idx="282">
                  <c:v>44908</c:v>
                </c:pt>
                <c:pt idx="283">
                  <c:v>44909</c:v>
                </c:pt>
                <c:pt idx="284">
                  <c:v>44910</c:v>
                </c:pt>
                <c:pt idx="285">
                  <c:v>44911</c:v>
                </c:pt>
                <c:pt idx="286">
                  <c:v>44914</c:v>
                </c:pt>
                <c:pt idx="287">
                  <c:v>44915</c:v>
                </c:pt>
                <c:pt idx="288">
                  <c:v>44916</c:v>
                </c:pt>
                <c:pt idx="289">
                  <c:v>44917</c:v>
                </c:pt>
                <c:pt idx="290">
                  <c:v>44918</c:v>
                </c:pt>
                <c:pt idx="291">
                  <c:v>44921</c:v>
                </c:pt>
                <c:pt idx="292">
                  <c:v>44922</c:v>
                </c:pt>
                <c:pt idx="293">
                  <c:v>44923</c:v>
                </c:pt>
                <c:pt idx="294">
                  <c:v>44924</c:v>
                </c:pt>
                <c:pt idx="295">
                  <c:v>44925</c:v>
                </c:pt>
                <c:pt idx="296">
                  <c:v>44928</c:v>
                </c:pt>
                <c:pt idx="297">
                  <c:v>44929</c:v>
                </c:pt>
                <c:pt idx="298">
                  <c:v>44930</c:v>
                </c:pt>
                <c:pt idx="299">
                  <c:v>44931</c:v>
                </c:pt>
                <c:pt idx="300">
                  <c:v>44932</c:v>
                </c:pt>
                <c:pt idx="301">
                  <c:v>44935</c:v>
                </c:pt>
                <c:pt idx="302">
                  <c:v>44936</c:v>
                </c:pt>
                <c:pt idx="303">
                  <c:v>44937</c:v>
                </c:pt>
                <c:pt idx="304">
                  <c:v>44938</c:v>
                </c:pt>
                <c:pt idx="305">
                  <c:v>44939</c:v>
                </c:pt>
                <c:pt idx="306">
                  <c:v>44942</c:v>
                </c:pt>
                <c:pt idx="307">
                  <c:v>44943</c:v>
                </c:pt>
                <c:pt idx="308">
                  <c:v>44944</c:v>
                </c:pt>
                <c:pt idx="309">
                  <c:v>44945</c:v>
                </c:pt>
                <c:pt idx="310">
                  <c:v>44946</c:v>
                </c:pt>
                <c:pt idx="311">
                  <c:v>44949</c:v>
                </c:pt>
                <c:pt idx="312">
                  <c:v>44950</c:v>
                </c:pt>
                <c:pt idx="313">
                  <c:v>44951</c:v>
                </c:pt>
                <c:pt idx="314">
                  <c:v>44953</c:v>
                </c:pt>
                <c:pt idx="315">
                  <c:v>44956</c:v>
                </c:pt>
                <c:pt idx="316">
                  <c:v>44957</c:v>
                </c:pt>
                <c:pt idx="317">
                  <c:v>44958</c:v>
                </c:pt>
                <c:pt idx="318">
                  <c:v>44959</c:v>
                </c:pt>
                <c:pt idx="319">
                  <c:v>44960</c:v>
                </c:pt>
                <c:pt idx="320">
                  <c:v>44963</c:v>
                </c:pt>
                <c:pt idx="321">
                  <c:v>44964</c:v>
                </c:pt>
                <c:pt idx="322">
                  <c:v>44965</c:v>
                </c:pt>
                <c:pt idx="323">
                  <c:v>44966</c:v>
                </c:pt>
                <c:pt idx="324">
                  <c:v>44967</c:v>
                </c:pt>
                <c:pt idx="325">
                  <c:v>44970</c:v>
                </c:pt>
                <c:pt idx="326">
                  <c:v>44971</c:v>
                </c:pt>
                <c:pt idx="327">
                  <c:v>44972</c:v>
                </c:pt>
                <c:pt idx="328">
                  <c:v>44973</c:v>
                </c:pt>
                <c:pt idx="329">
                  <c:v>44974</c:v>
                </c:pt>
                <c:pt idx="330">
                  <c:v>44977</c:v>
                </c:pt>
                <c:pt idx="331">
                  <c:v>44978</c:v>
                </c:pt>
                <c:pt idx="332">
                  <c:v>44979</c:v>
                </c:pt>
                <c:pt idx="333">
                  <c:v>44980</c:v>
                </c:pt>
                <c:pt idx="334">
                  <c:v>44981</c:v>
                </c:pt>
                <c:pt idx="335">
                  <c:v>44984</c:v>
                </c:pt>
                <c:pt idx="336">
                  <c:v>44985</c:v>
                </c:pt>
                <c:pt idx="337">
                  <c:v>44986</c:v>
                </c:pt>
                <c:pt idx="338">
                  <c:v>44987</c:v>
                </c:pt>
                <c:pt idx="339">
                  <c:v>44988</c:v>
                </c:pt>
                <c:pt idx="340">
                  <c:v>44991</c:v>
                </c:pt>
                <c:pt idx="341">
                  <c:v>44993</c:v>
                </c:pt>
                <c:pt idx="342">
                  <c:v>44994</c:v>
                </c:pt>
                <c:pt idx="343">
                  <c:v>44995</c:v>
                </c:pt>
                <c:pt idx="344">
                  <c:v>44998</c:v>
                </c:pt>
                <c:pt idx="345">
                  <c:v>44999</c:v>
                </c:pt>
                <c:pt idx="346">
                  <c:v>45000</c:v>
                </c:pt>
                <c:pt idx="347">
                  <c:v>45001</c:v>
                </c:pt>
                <c:pt idx="348">
                  <c:v>45002</c:v>
                </c:pt>
                <c:pt idx="349">
                  <c:v>45005</c:v>
                </c:pt>
                <c:pt idx="350">
                  <c:v>45006</c:v>
                </c:pt>
                <c:pt idx="351">
                  <c:v>45007</c:v>
                </c:pt>
                <c:pt idx="352">
                  <c:v>45008</c:v>
                </c:pt>
                <c:pt idx="353">
                  <c:v>45009</c:v>
                </c:pt>
                <c:pt idx="354">
                  <c:v>45012</c:v>
                </c:pt>
                <c:pt idx="355">
                  <c:v>45013</c:v>
                </c:pt>
                <c:pt idx="356">
                  <c:v>45014</c:v>
                </c:pt>
                <c:pt idx="357">
                  <c:v>45016</c:v>
                </c:pt>
                <c:pt idx="358">
                  <c:v>45019</c:v>
                </c:pt>
                <c:pt idx="359">
                  <c:v>45021</c:v>
                </c:pt>
                <c:pt idx="360">
                  <c:v>45022</c:v>
                </c:pt>
                <c:pt idx="361">
                  <c:v>45026</c:v>
                </c:pt>
                <c:pt idx="362">
                  <c:v>45027</c:v>
                </c:pt>
                <c:pt idx="363">
                  <c:v>45028</c:v>
                </c:pt>
                <c:pt idx="364">
                  <c:v>45029</c:v>
                </c:pt>
                <c:pt idx="365">
                  <c:v>45033</c:v>
                </c:pt>
                <c:pt idx="366">
                  <c:v>45034</c:v>
                </c:pt>
                <c:pt idx="367">
                  <c:v>45035</c:v>
                </c:pt>
                <c:pt idx="368">
                  <c:v>45036</c:v>
                </c:pt>
                <c:pt idx="369">
                  <c:v>45037</c:v>
                </c:pt>
                <c:pt idx="370">
                  <c:v>45040</c:v>
                </c:pt>
                <c:pt idx="371">
                  <c:v>45041</c:v>
                </c:pt>
                <c:pt idx="372">
                  <c:v>45042</c:v>
                </c:pt>
                <c:pt idx="373">
                  <c:v>45043</c:v>
                </c:pt>
                <c:pt idx="374">
                  <c:v>45044</c:v>
                </c:pt>
                <c:pt idx="375">
                  <c:v>45048</c:v>
                </c:pt>
                <c:pt idx="376">
                  <c:v>45049</c:v>
                </c:pt>
                <c:pt idx="377">
                  <c:v>45050</c:v>
                </c:pt>
                <c:pt idx="378">
                  <c:v>45051</c:v>
                </c:pt>
                <c:pt idx="379">
                  <c:v>45054</c:v>
                </c:pt>
                <c:pt idx="380">
                  <c:v>45055</c:v>
                </c:pt>
                <c:pt idx="381">
                  <c:v>45056</c:v>
                </c:pt>
                <c:pt idx="382">
                  <c:v>45057</c:v>
                </c:pt>
                <c:pt idx="383">
                  <c:v>45058</c:v>
                </c:pt>
                <c:pt idx="384">
                  <c:v>45061</c:v>
                </c:pt>
                <c:pt idx="385">
                  <c:v>45062</c:v>
                </c:pt>
                <c:pt idx="386">
                  <c:v>45063</c:v>
                </c:pt>
                <c:pt idx="387">
                  <c:v>45064</c:v>
                </c:pt>
                <c:pt idx="388">
                  <c:v>45065</c:v>
                </c:pt>
                <c:pt idx="389">
                  <c:v>45068</c:v>
                </c:pt>
                <c:pt idx="390">
                  <c:v>45069</c:v>
                </c:pt>
                <c:pt idx="391">
                  <c:v>45070</c:v>
                </c:pt>
                <c:pt idx="392">
                  <c:v>45071</c:v>
                </c:pt>
                <c:pt idx="393">
                  <c:v>45072</c:v>
                </c:pt>
                <c:pt idx="394">
                  <c:v>45075</c:v>
                </c:pt>
                <c:pt idx="395">
                  <c:v>45076</c:v>
                </c:pt>
                <c:pt idx="396">
                  <c:v>45077</c:v>
                </c:pt>
                <c:pt idx="397">
                  <c:v>45078</c:v>
                </c:pt>
                <c:pt idx="398">
                  <c:v>45079</c:v>
                </c:pt>
                <c:pt idx="399">
                  <c:v>45082</c:v>
                </c:pt>
                <c:pt idx="400">
                  <c:v>45083</c:v>
                </c:pt>
                <c:pt idx="401">
                  <c:v>45084</c:v>
                </c:pt>
                <c:pt idx="402">
                  <c:v>45085</c:v>
                </c:pt>
                <c:pt idx="403">
                  <c:v>45086</c:v>
                </c:pt>
                <c:pt idx="404">
                  <c:v>45089</c:v>
                </c:pt>
                <c:pt idx="405">
                  <c:v>45090</c:v>
                </c:pt>
                <c:pt idx="406">
                  <c:v>45091</c:v>
                </c:pt>
                <c:pt idx="407">
                  <c:v>45092</c:v>
                </c:pt>
                <c:pt idx="408">
                  <c:v>45093</c:v>
                </c:pt>
                <c:pt idx="409">
                  <c:v>45096</c:v>
                </c:pt>
                <c:pt idx="410">
                  <c:v>45097</c:v>
                </c:pt>
                <c:pt idx="411">
                  <c:v>45098</c:v>
                </c:pt>
                <c:pt idx="412">
                  <c:v>45099</c:v>
                </c:pt>
                <c:pt idx="413">
                  <c:v>45100</c:v>
                </c:pt>
                <c:pt idx="414">
                  <c:v>45103</c:v>
                </c:pt>
                <c:pt idx="415">
                  <c:v>45104</c:v>
                </c:pt>
                <c:pt idx="416">
                  <c:v>45105</c:v>
                </c:pt>
                <c:pt idx="417">
                  <c:v>45107</c:v>
                </c:pt>
                <c:pt idx="418">
                  <c:v>45110</c:v>
                </c:pt>
                <c:pt idx="419">
                  <c:v>45111</c:v>
                </c:pt>
                <c:pt idx="420">
                  <c:v>45112</c:v>
                </c:pt>
                <c:pt idx="421">
                  <c:v>45113</c:v>
                </c:pt>
                <c:pt idx="422">
                  <c:v>45114</c:v>
                </c:pt>
                <c:pt idx="423">
                  <c:v>45117</c:v>
                </c:pt>
                <c:pt idx="424">
                  <c:v>45118</c:v>
                </c:pt>
                <c:pt idx="425">
                  <c:v>45119</c:v>
                </c:pt>
                <c:pt idx="426">
                  <c:v>45120</c:v>
                </c:pt>
                <c:pt idx="427">
                  <c:v>45121</c:v>
                </c:pt>
                <c:pt idx="428">
                  <c:v>45124</c:v>
                </c:pt>
                <c:pt idx="429">
                  <c:v>45125</c:v>
                </c:pt>
                <c:pt idx="430">
                  <c:v>45126</c:v>
                </c:pt>
                <c:pt idx="431">
                  <c:v>45127</c:v>
                </c:pt>
                <c:pt idx="432">
                  <c:v>45128</c:v>
                </c:pt>
                <c:pt idx="433">
                  <c:v>45131</c:v>
                </c:pt>
                <c:pt idx="434">
                  <c:v>45132</c:v>
                </c:pt>
                <c:pt idx="435">
                  <c:v>45133</c:v>
                </c:pt>
                <c:pt idx="436">
                  <c:v>45134</c:v>
                </c:pt>
                <c:pt idx="437">
                  <c:v>45135</c:v>
                </c:pt>
                <c:pt idx="438">
                  <c:v>45138</c:v>
                </c:pt>
                <c:pt idx="439">
                  <c:v>45139</c:v>
                </c:pt>
                <c:pt idx="440">
                  <c:v>45140</c:v>
                </c:pt>
                <c:pt idx="441">
                  <c:v>45141</c:v>
                </c:pt>
                <c:pt idx="442">
                  <c:v>45142</c:v>
                </c:pt>
                <c:pt idx="443">
                  <c:v>45145</c:v>
                </c:pt>
                <c:pt idx="444">
                  <c:v>45146</c:v>
                </c:pt>
                <c:pt idx="445">
                  <c:v>45147</c:v>
                </c:pt>
                <c:pt idx="446">
                  <c:v>45148</c:v>
                </c:pt>
                <c:pt idx="447">
                  <c:v>45149</c:v>
                </c:pt>
                <c:pt idx="448">
                  <c:v>45152</c:v>
                </c:pt>
                <c:pt idx="449">
                  <c:v>45154</c:v>
                </c:pt>
                <c:pt idx="450">
                  <c:v>45155</c:v>
                </c:pt>
                <c:pt idx="451">
                  <c:v>45156</c:v>
                </c:pt>
                <c:pt idx="452">
                  <c:v>45159</c:v>
                </c:pt>
                <c:pt idx="453">
                  <c:v>45160</c:v>
                </c:pt>
                <c:pt idx="454">
                  <c:v>45161</c:v>
                </c:pt>
                <c:pt idx="455">
                  <c:v>45162</c:v>
                </c:pt>
                <c:pt idx="456">
                  <c:v>45163</c:v>
                </c:pt>
                <c:pt idx="457">
                  <c:v>45166</c:v>
                </c:pt>
                <c:pt idx="458">
                  <c:v>45167</c:v>
                </c:pt>
                <c:pt idx="459">
                  <c:v>45168</c:v>
                </c:pt>
                <c:pt idx="460">
                  <c:v>45169</c:v>
                </c:pt>
                <c:pt idx="461">
                  <c:v>45170</c:v>
                </c:pt>
                <c:pt idx="462">
                  <c:v>45173</c:v>
                </c:pt>
                <c:pt idx="463">
                  <c:v>45174</c:v>
                </c:pt>
                <c:pt idx="464">
                  <c:v>45175</c:v>
                </c:pt>
                <c:pt idx="465">
                  <c:v>45176</c:v>
                </c:pt>
                <c:pt idx="466">
                  <c:v>45177</c:v>
                </c:pt>
                <c:pt idx="467">
                  <c:v>45180</c:v>
                </c:pt>
                <c:pt idx="468">
                  <c:v>45181</c:v>
                </c:pt>
                <c:pt idx="469">
                  <c:v>45182</c:v>
                </c:pt>
                <c:pt idx="470">
                  <c:v>45183</c:v>
                </c:pt>
                <c:pt idx="471">
                  <c:v>45184</c:v>
                </c:pt>
                <c:pt idx="472">
                  <c:v>45187</c:v>
                </c:pt>
                <c:pt idx="473">
                  <c:v>45189</c:v>
                </c:pt>
                <c:pt idx="474">
                  <c:v>45190</c:v>
                </c:pt>
                <c:pt idx="475">
                  <c:v>45191</c:v>
                </c:pt>
                <c:pt idx="476">
                  <c:v>45194</c:v>
                </c:pt>
                <c:pt idx="477">
                  <c:v>45195</c:v>
                </c:pt>
                <c:pt idx="478">
                  <c:v>45196</c:v>
                </c:pt>
                <c:pt idx="479">
                  <c:v>45197</c:v>
                </c:pt>
                <c:pt idx="480">
                  <c:v>45198</c:v>
                </c:pt>
                <c:pt idx="481">
                  <c:v>45202</c:v>
                </c:pt>
                <c:pt idx="482">
                  <c:v>45203</c:v>
                </c:pt>
                <c:pt idx="483">
                  <c:v>45204</c:v>
                </c:pt>
                <c:pt idx="484">
                  <c:v>45205</c:v>
                </c:pt>
                <c:pt idx="485">
                  <c:v>45208</c:v>
                </c:pt>
                <c:pt idx="486">
                  <c:v>45209</c:v>
                </c:pt>
                <c:pt idx="487">
                  <c:v>45210</c:v>
                </c:pt>
                <c:pt idx="488">
                  <c:v>45211</c:v>
                </c:pt>
                <c:pt idx="489">
                  <c:v>45212</c:v>
                </c:pt>
                <c:pt idx="490">
                  <c:v>45215</c:v>
                </c:pt>
                <c:pt idx="491">
                  <c:v>45216</c:v>
                </c:pt>
                <c:pt idx="492">
                  <c:v>45217</c:v>
                </c:pt>
                <c:pt idx="493">
                  <c:v>45218</c:v>
                </c:pt>
                <c:pt idx="494">
                  <c:v>45219</c:v>
                </c:pt>
                <c:pt idx="495">
                  <c:v>45222</c:v>
                </c:pt>
                <c:pt idx="496">
                  <c:v>45224</c:v>
                </c:pt>
                <c:pt idx="497">
                  <c:v>45225</c:v>
                </c:pt>
                <c:pt idx="498">
                  <c:v>45226</c:v>
                </c:pt>
                <c:pt idx="499">
                  <c:v>45229</c:v>
                </c:pt>
                <c:pt idx="500">
                  <c:v>45230</c:v>
                </c:pt>
                <c:pt idx="501">
                  <c:v>45231</c:v>
                </c:pt>
                <c:pt idx="502">
                  <c:v>45232</c:v>
                </c:pt>
                <c:pt idx="503">
                  <c:v>45233</c:v>
                </c:pt>
                <c:pt idx="504">
                  <c:v>45236</c:v>
                </c:pt>
                <c:pt idx="505">
                  <c:v>45237</c:v>
                </c:pt>
                <c:pt idx="506">
                  <c:v>45238</c:v>
                </c:pt>
                <c:pt idx="507">
                  <c:v>45239</c:v>
                </c:pt>
                <c:pt idx="508">
                  <c:v>45240</c:v>
                </c:pt>
                <c:pt idx="509">
                  <c:v>45242</c:v>
                </c:pt>
                <c:pt idx="510">
                  <c:v>45243</c:v>
                </c:pt>
                <c:pt idx="511">
                  <c:v>45245</c:v>
                </c:pt>
                <c:pt idx="512">
                  <c:v>45246</c:v>
                </c:pt>
                <c:pt idx="513">
                  <c:v>45247</c:v>
                </c:pt>
                <c:pt idx="514">
                  <c:v>45250</c:v>
                </c:pt>
                <c:pt idx="515">
                  <c:v>45251</c:v>
                </c:pt>
                <c:pt idx="516">
                  <c:v>45252</c:v>
                </c:pt>
                <c:pt idx="517">
                  <c:v>45253</c:v>
                </c:pt>
                <c:pt idx="518">
                  <c:v>45254</c:v>
                </c:pt>
                <c:pt idx="519">
                  <c:v>45258</c:v>
                </c:pt>
                <c:pt idx="520">
                  <c:v>45259</c:v>
                </c:pt>
                <c:pt idx="521">
                  <c:v>45260</c:v>
                </c:pt>
                <c:pt idx="522">
                  <c:v>45261</c:v>
                </c:pt>
                <c:pt idx="523">
                  <c:v>45264</c:v>
                </c:pt>
                <c:pt idx="524">
                  <c:v>45265</c:v>
                </c:pt>
                <c:pt idx="525">
                  <c:v>45266</c:v>
                </c:pt>
                <c:pt idx="526">
                  <c:v>45267</c:v>
                </c:pt>
                <c:pt idx="527">
                  <c:v>45268</c:v>
                </c:pt>
                <c:pt idx="528">
                  <c:v>45271</c:v>
                </c:pt>
                <c:pt idx="529">
                  <c:v>45272</c:v>
                </c:pt>
                <c:pt idx="530">
                  <c:v>45273</c:v>
                </c:pt>
                <c:pt idx="531">
                  <c:v>45274</c:v>
                </c:pt>
                <c:pt idx="532">
                  <c:v>45275</c:v>
                </c:pt>
                <c:pt idx="533">
                  <c:v>45278</c:v>
                </c:pt>
                <c:pt idx="534">
                  <c:v>45279</c:v>
                </c:pt>
                <c:pt idx="535">
                  <c:v>45280</c:v>
                </c:pt>
                <c:pt idx="536">
                  <c:v>45281</c:v>
                </c:pt>
                <c:pt idx="537">
                  <c:v>45282</c:v>
                </c:pt>
                <c:pt idx="538">
                  <c:v>45286</c:v>
                </c:pt>
                <c:pt idx="539">
                  <c:v>45287</c:v>
                </c:pt>
                <c:pt idx="540">
                  <c:v>45288</c:v>
                </c:pt>
                <c:pt idx="541">
                  <c:v>45289</c:v>
                </c:pt>
                <c:pt idx="542">
                  <c:v>45292</c:v>
                </c:pt>
                <c:pt idx="543">
                  <c:v>45293</c:v>
                </c:pt>
                <c:pt idx="544">
                  <c:v>45294</c:v>
                </c:pt>
                <c:pt idx="545">
                  <c:v>45295</c:v>
                </c:pt>
                <c:pt idx="546">
                  <c:v>45296</c:v>
                </c:pt>
                <c:pt idx="547">
                  <c:v>45299</c:v>
                </c:pt>
                <c:pt idx="548">
                  <c:v>45300</c:v>
                </c:pt>
                <c:pt idx="549">
                  <c:v>45301</c:v>
                </c:pt>
                <c:pt idx="550">
                  <c:v>45302</c:v>
                </c:pt>
                <c:pt idx="551">
                  <c:v>45303</c:v>
                </c:pt>
                <c:pt idx="552">
                  <c:v>45306</c:v>
                </c:pt>
                <c:pt idx="553">
                  <c:v>45307</c:v>
                </c:pt>
                <c:pt idx="554">
                  <c:v>45308</c:v>
                </c:pt>
                <c:pt idx="555">
                  <c:v>45309</c:v>
                </c:pt>
                <c:pt idx="556">
                  <c:v>45310</c:v>
                </c:pt>
                <c:pt idx="557">
                  <c:v>45311</c:v>
                </c:pt>
                <c:pt idx="558">
                  <c:v>45314</c:v>
                </c:pt>
                <c:pt idx="559">
                  <c:v>45315</c:v>
                </c:pt>
                <c:pt idx="560">
                  <c:v>45316</c:v>
                </c:pt>
                <c:pt idx="561">
                  <c:v>45320</c:v>
                </c:pt>
                <c:pt idx="562">
                  <c:v>45321</c:v>
                </c:pt>
                <c:pt idx="563">
                  <c:v>45322</c:v>
                </c:pt>
                <c:pt idx="564">
                  <c:v>45323</c:v>
                </c:pt>
                <c:pt idx="565">
                  <c:v>45324</c:v>
                </c:pt>
                <c:pt idx="566">
                  <c:v>45327</c:v>
                </c:pt>
                <c:pt idx="567">
                  <c:v>45328</c:v>
                </c:pt>
                <c:pt idx="568">
                  <c:v>45329</c:v>
                </c:pt>
                <c:pt idx="569">
                  <c:v>45330</c:v>
                </c:pt>
                <c:pt idx="570">
                  <c:v>45331</c:v>
                </c:pt>
                <c:pt idx="571">
                  <c:v>45334</c:v>
                </c:pt>
                <c:pt idx="572">
                  <c:v>45335</c:v>
                </c:pt>
                <c:pt idx="573">
                  <c:v>45336</c:v>
                </c:pt>
                <c:pt idx="574">
                  <c:v>45337</c:v>
                </c:pt>
                <c:pt idx="575">
                  <c:v>45338</c:v>
                </c:pt>
                <c:pt idx="576">
                  <c:v>45341</c:v>
                </c:pt>
                <c:pt idx="577">
                  <c:v>45342</c:v>
                </c:pt>
                <c:pt idx="578">
                  <c:v>45343</c:v>
                </c:pt>
                <c:pt idx="579">
                  <c:v>45344</c:v>
                </c:pt>
                <c:pt idx="580">
                  <c:v>45345</c:v>
                </c:pt>
                <c:pt idx="581">
                  <c:v>45348</c:v>
                </c:pt>
                <c:pt idx="582">
                  <c:v>45349</c:v>
                </c:pt>
                <c:pt idx="583">
                  <c:v>45350</c:v>
                </c:pt>
                <c:pt idx="584">
                  <c:v>45351</c:v>
                </c:pt>
                <c:pt idx="585">
                  <c:v>45352</c:v>
                </c:pt>
                <c:pt idx="586">
                  <c:v>45355</c:v>
                </c:pt>
                <c:pt idx="587">
                  <c:v>45356</c:v>
                </c:pt>
                <c:pt idx="588">
                  <c:v>45357</c:v>
                </c:pt>
                <c:pt idx="589">
                  <c:v>45358</c:v>
                </c:pt>
                <c:pt idx="590">
                  <c:v>45362</c:v>
                </c:pt>
                <c:pt idx="591">
                  <c:v>45363</c:v>
                </c:pt>
                <c:pt idx="592">
                  <c:v>45364</c:v>
                </c:pt>
                <c:pt idx="593">
                  <c:v>45365</c:v>
                </c:pt>
                <c:pt idx="594">
                  <c:v>45366</c:v>
                </c:pt>
                <c:pt idx="595">
                  <c:v>45369</c:v>
                </c:pt>
                <c:pt idx="596">
                  <c:v>45370</c:v>
                </c:pt>
                <c:pt idx="597">
                  <c:v>45371</c:v>
                </c:pt>
                <c:pt idx="598">
                  <c:v>45372</c:v>
                </c:pt>
                <c:pt idx="599">
                  <c:v>45373</c:v>
                </c:pt>
                <c:pt idx="600">
                  <c:v>45377</c:v>
                </c:pt>
                <c:pt idx="601">
                  <c:v>45378</c:v>
                </c:pt>
                <c:pt idx="602">
                  <c:v>45379</c:v>
                </c:pt>
                <c:pt idx="603">
                  <c:v>45383</c:v>
                </c:pt>
                <c:pt idx="604">
                  <c:v>45384</c:v>
                </c:pt>
                <c:pt idx="605">
                  <c:v>45385</c:v>
                </c:pt>
                <c:pt idx="606">
                  <c:v>45386</c:v>
                </c:pt>
                <c:pt idx="607">
                  <c:v>45387</c:v>
                </c:pt>
                <c:pt idx="608">
                  <c:v>45390</c:v>
                </c:pt>
                <c:pt idx="609">
                  <c:v>45391</c:v>
                </c:pt>
                <c:pt idx="610">
                  <c:v>45392</c:v>
                </c:pt>
                <c:pt idx="611">
                  <c:v>45394</c:v>
                </c:pt>
                <c:pt idx="612">
                  <c:v>45397</c:v>
                </c:pt>
                <c:pt idx="613">
                  <c:v>45398</c:v>
                </c:pt>
                <c:pt idx="614">
                  <c:v>45400</c:v>
                </c:pt>
                <c:pt idx="615">
                  <c:v>45401</c:v>
                </c:pt>
                <c:pt idx="616">
                  <c:v>45404</c:v>
                </c:pt>
                <c:pt idx="617">
                  <c:v>45405</c:v>
                </c:pt>
                <c:pt idx="618">
                  <c:v>45406</c:v>
                </c:pt>
                <c:pt idx="619">
                  <c:v>45407</c:v>
                </c:pt>
                <c:pt idx="620">
                  <c:v>45408</c:v>
                </c:pt>
                <c:pt idx="621">
                  <c:v>45411</c:v>
                </c:pt>
                <c:pt idx="622">
                  <c:v>45412</c:v>
                </c:pt>
                <c:pt idx="623">
                  <c:v>45414</c:v>
                </c:pt>
                <c:pt idx="624">
                  <c:v>45415</c:v>
                </c:pt>
                <c:pt idx="625">
                  <c:v>45418</c:v>
                </c:pt>
                <c:pt idx="626">
                  <c:v>45419</c:v>
                </c:pt>
                <c:pt idx="627">
                  <c:v>45420</c:v>
                </c:pt>
                <c:pt idx="628">
                  <c:v>45421</c:v>
                </c:pt>
                <c:pt idx="629">
                  <c:v>45422</c:v>
                </c:pt>
                <c:pt idx="630">
                  <c:v>45425</c:v>
                </c:pt>
                <c:pt idx="631">
                  <c:v>45426</c:v>
                </c:pt>
                <c:pt idx="632">
                  <c:v>45427</c:v>
                </c:pt>
                <c:pt idx="633">
                  <c:v>45428</c:v>
                </c:pt>
                <c:pt idx="634">
                  <c:v>45429</c:v>
                </c:pt>
                <c:pt idx="635">
                  <c:v>45430</c:v>
                </c:pt>
                <c:pt idx="636">
                  <c:v>45433</c:v>
                </c:pt>
                <c:pt idx="637">
                  <c:v>45434</c:v>
                </c:pt>
                <c:pt idx="638">
                  <c:v>45435</c:v>
                </c:pt>
                <c:pt idx="639">
                  <c:v>45436</c:v>
                </c:pt>
                <c:pt idx="640">
                  <c:v>45439</c:v>
                </c:pt>
                <c:pt idx="641">
                  <c:v>45440</c:v>
                </c:pt>
                <c:pt idx="642">
                  <c:v>45441</c:v>
                </c:pt>
                <c:pt idx="643">
                  <c:v>45442</c:v>
                </c:pt>
                <c:pt idx="644">
                  <c:v>45443</c:v>
                </c:pt>
                <c:pt idx="645">
                  <c:v>45446</c:v>
                </c:pt>
                <c:pt idx="646">
                  <c:v>45447</c:v>
                </c:pt>
                <c:pt idx="647">
                  <c:v>45448</c:v>
                </c:pt>
                <c:pt idx="648">
                  <c:v>45449</c:v>
                </c:pt>
                <c:pt idx="649">
                  <c:v>45450</c:v>
                </c:pt>
                <c:pt idx="650">
                  <c:v>45453</c:v>
                </c:pt>
                <c:pt idx="651">
                  <c:v>45454</c:v>
                </c:pt>
                <c:pt idx="652">
                  <c:v>45455</c:v>
                </c:pt>
                <c:pt idx="653">
                  <c:v>45456</c:v>
                </c:pt>
                <c:pt idx="654">
                  <c:v>45457</c:v>
                </c:pt>
                <c:pt idx="655">
                  <c:v>45461</c:v>
                </c:pt>
                <c:pt idx="656">
                  <c:v>45462</c:v>
                </c:pt>
                <c:pt idx="657">
                  <c:v>45463</c:v>
                </c:pt>
                <c:pt idx="658">
                  <c:v>45464</c:v>
                </c:pt>
                <c:pt idx="659">
                  <c:v>45467</c:v>
                </c:pt>
                <c:pt idx="660">
                  <c:v>45468</c:v>
                </c:pt>
                <c:pt idx="661">
                  <c:v>45469</c:v>
                </c:pt>
                <c:pt idx="662">
                  <c:v>45470</c:v>
                </c:pt>
                <c:pt idx="663">
                  <c:v>45471</c:v>
                </c:pt>
                <c:pt idx="664">
                  <c:v>45474</c:v>
                </c:pt>
                <c:pt idx="665">
                  <c:v>45475</c:v>
                </c:pt>
                <c:pt idx="666">
                  <c:v>45476</c:v>
                </c:pt>
                <c:pt idx="667">
                  <c:v>45477</c:v>
                </c:pt>
                <c:pt idx="668">
                  <c:v>45478</c:v>
                </c:pt>
                <c:pt idx="669">
                  <c:v>45481</c:v>
                </c:pt>
                <c:pt idx="670">
                  <c:v>45482</c:v>
                </c:pt>
                <c:pt idx="671">
                  <c:v>45483</c:v>
                </c:pt>
                <c:pt idx="672">
                  <c:v>45484</c:v>
                </c:pt>
                <c:pt idx="673">
                  <c:v>45485</c:v>
                </c:pt>
                <c:pt idx="674">
                  <c:v>45488</c:v>
                </c:pt>
                <c:pt idx="675">
                  <c:v>45489</c:v>
                </c:pt>
                <c:pt idx="676">
                  <c:v>45491</c:v>
                </c:pt>
                <c:pt idx="677">
                  <c:v>45492</c:v>
                </c:pt>
                <c:pt idx="678">
                  <c:v>45495</c:v>
                </c:pt>
                <c:pt idx="679">
                  <c:v>45496</c:v>
                </c:pt>
                <c:pt idx="680">
                  <c:v>45497</c:v>
                </c:pt>
                <c:pt idx="681">
                  <c:v>45498</c:v>
                </c:pt>
                <c:pt idx="682">
                  <c:v>45499</c:v>
                </c:pt>
                <c:pt idx="683">
                  <c:v>45502</c:v>
                </c:pt>
                <c:pt idx="684">
                  <c:v>45503</c:v>
                </c:pt>
                <c:pt idx="685">
                  <c:v>45504</c:v>
                </c:pt>
                <c:pt idx="686">
                  <c:v>45505</c:v>
                </c:pt>
                <c:pt idx="687">
                  <c:v>45506</c:v>
                </c:pt>
                <c:pt idx="688">
                  <c:v>45509</c:v>
                </c:pt>
                <c:pt idx="689">
                  <c:v>45510</c:v>
                </c:pt>
                <c:pt idx="690">
                  <c:v>45511</c:v>
                </c:pt>
                <c:pt idx="691">
                  <c:v>45512</c:v>
                </c:pt>
                <c:pt idx="692">
                  <c:v>45513</c:v>
                </c:pt>
                <c:pt idx="693">
                  <c:v>45516</c:v>
                </c:pt>
                <c:pt idx="694">
                  <c:v>45517</c:v>
                </c:pt>
                <c:pt idx="695">
                  <c:v>45518</c:v>
                </c:pt>
                <c:pt idx="696">
                  <c:v>45520</c:v>
                </c:pt>
                <c:pt idx="697">
                  <c:v>45523</c:v>
                </c:pt>
                <c:pt idx="698">
                  <c:v>45524</c:v>
                </c:pt>
                <c:pt idx="699">
                  <c:v>45525</c:v>
                </c:pt>
                <c:pt idx="700">
                  <c:v>45526</c:v>
                </c:pt>
                <c:pt idx="701">
                  <c:v>45527</c:v>
                </c:pt>
                <c:pt idx="702">
                  <c:v>45530</c:v>
                </c:pt>
                <c:pt idx="703">
                  <c:v>45531</c:v>
                </c:pt>
                <c:pt idx="704">
                  <c:v>45532</c:v>
                </c:pt>
                <c:pt idx="705">
                  <c:v>45533</c:v>
                </c:pt>
                <c:pt idx="706">
                  <c:v>45534</c:v>
                </c:pt>
                <c:pt idx="707">
                  <c:v>45537</c:v>
                </c:pt>
                <c:pt idx="708">
                  <c:v>45538</c:v>
                </c:pt>
                <c:pt idx="709">
                  <c:v>45539</c:v>
                </c:pt>
                <c:pt idx="710">
                  <c:v>45540</c:v>
                </c:pt>
                <c:pt idx="711">
                  <c:v>45541</c:v>
                </c:pt>
                <c:pt idx="712">
                  <c:v>45544</c:v>
                </c:pt>
                <c:pt idx="713">
                  <c:v>45545</c:v>
                </c:pt>
                <c:pt idx="714">
                  <c:v>45546</c:v>
                </c:pt>
                <c:pt idx="715">
                  <c:v>45547</c:v>
                </c:pt>
                <c:pt idx="716">
                  <c:v>45548</c:v>
                </c:pt>
                <c:pt idx="717">
                  <c:v>45551</c:v>
                </c:pt>
                <c:pt idx="718">
                  <c:v>45552</c:v>
                </c:pt>
                <c:pt idx="719">
                  <c:v>45553</c:v>
                </c:pt>
                <c:pt idx="720">
                  <c:v>45554</c:v>
                </c:pt>
                <c:pt idx="721">
                  <c:v>45555</c:v>
                </c:pt>
                <c:pt idx="722">
                  <c:v>45558</c:v>
                </c:pt>
                <c:pt idx="723">
                  <c:v>45559</c:v>
                </c:pt>
                <c:pt idx="724">
                  <c:v>45560</c:v>
                </c:pt>
                <c:pt idx="725">
                  <c:v>45561</c:v>
                </c:pt>
                <c:pt idx="726">
                  <c:v>45562</c:v>
                </c:pt>
                <c:pt idx="727">
                  <c:v>45565</c:v>
                </c:pt>
                <c:pt idx="728">
                  <c:v>45566</c:v>
                </c:pt>
                <c:pt idx="729">
                  <c:v>45568</c:v>
                </c:pt>
                <c:pt idx="730">
                  <c:v>45569</c:v>
                </c:pt>
                <c:pt idx="731">
                  <c:v>45572</c:v>
                </c:pt>
                <c:pt idx="732">
                  <c:v>45573</c:v>
                </c:pt>
                <c:pt idx="733">
                  <c:v>45574</c:v>
                </c:pt>
                <c:pt idx="734">
                  <c:v>45575</c:v>
                </c:pt>
                <c:pt idx="735">
                  <c:v>45576</c:v>
                </c:pt>
                <c:pt idx="736">
                  <c:v>45579</c:v>
                </c:pt>
                <c:pt idx="737">
                  <c:v>45580</c:v>
                </c:pt>
                <c:pt idx="738">
                  <c:v>45581</c:v>
                </c:pt>
                <c:pt idx="739">
                  <c:v>45582</c:v>
                </c:pt>
                <c:pt idx="740">
                  <c:v>45583</c:v>
                </c:pt>
                <c:pt idx="741">
                  <c:v>45586</c:v>
                </c:pt>
                <c:pt idx="742">
                  <c:v>45587</c:v>
                </c:pt>
                <c:pt idx="743">
                  <c:v>45588</c:v>
                </c:pt>
                <c:pt idx="744">
                  <c:v>45589</c:v>
                </c:pt>
                <c:pt idx="745">
                  <c:v>45590</c:v>
                </c:pt>
                <c:pt idx="746">
                  <c:v>45593</c:v>
                </c:pt>
                <c:pt idx="747">
                  <c:v>45594</c:v>
                </c:pt>
                <c:pt idx="748">
                  <c:v>45595</c:v>
                </c:pt>
                <c:pt idx="749">
                  <c:v>45596</c:v>
                </c:pt>
                <c:pt idx="750">
                  <c:v>45597</c:v>
                </c:pt>
                <c:pt idx="751">
                  <c:v>45600</c:v>
                </c:pt>
                <c:pt idx="752">
                  <c:v>45601</c:v>
                </c:pt>
                <c:pt idx="753">
                  <c:v>45602</c:v>
                </c:pt>
                <c:pt idx="754">
                  <c:v>45603</c:v>
                </c:pt>
                <c:pt idx="755">
                  <c:v>45604</c:v>
                </c:pt>
                <c:pt idx="756">
                  <c:v>45607</c:v>
                </c:pt>
                <c:pt idx="757">
                  <c:v>45608</c:v>
                </c:pt>
                <c:pt idx="758">
                  <c:v>45609</c:v>
                </c:pt>
                <c:pt idx="759">
                  <c:v>45610</c:v>
                </c:pt>
                <c:pt idx="760">
                  <c:v>45614</c:v>
                </c:pt>
                <c:pt idx="761">
                  <c:v>45615</c:v>
                </c:pt>
                <c:pt idx="762">
                  <c:v>45617</c:v>
                </c:pt>
                <c:pt idx="763">
                  <c:v>45618</c:v>
                </c:pt>
                <c:pt idx="764">
                  <c:v>45621</c:v>
                </c:pt>
                <c:pt idx="765">
                  <c:v>45622</c:v>
                </c:pt>
                <c:pt idx="766">
                  <c:v>45623</c:v>
                </c:pt>
                <c:pt idx="767">
                  <c:v>45624</c:v>
                </c:pt>
                <c:pt idx="768">
                  <c:v>45625</c:v>
                </c:pt>
                <c:pt idx="769">
                  <c:v>45628</c:v>
                </c:pt>
                <c:pt idx="770">
                  <c:v>45629</c:v>
                </c:pt>
                <c:pt idx="771">
                  <c:v>45630</c:v>
                </c:pt>
                <c:pt idx="772">
                  <c:v>45631</c:v>
                </c:pt>
                <c:pt idx="773">
                  <c:v>45632</c:v>
                </c:pt>
                <c:pt idx="774">
                  <c:v>45635</c:v>
                </c:pt>
                <c:pt idx="775">
                  <c:v>45636</c:v>
                </c:pt>
                <c:pt idx="776">
                  <c:v>45637</c:v>
                </c:pt>
                <c:pt idx="777">
                  <c:v>45638</c:v>
                </c:pt>
                <c:pt idx="778">
                  <c:v>45639</c:v>
                </c:pt>
                <c:pt idx="779">
                  <c:v>45642</c:v>
                </c:pt>
                <c:pt idx="780">
                  <c:v>45643</c:v>
                </c:pt>
                <c:pt idx="781">
                  <c:v>45644</c:v>
                </c:pt>
                <c:pt idx="782">
                  <c:v>45645</c:v>
                </c:pt>
                <c:pt idx="783">
                  <c:v>45646</c:v>
                </c:pt>
                <c:pt idx="784">
                  <c:v>45649</c:v>
                </c:pt>
                <c:pt idx="785">
                  <c:v>45650</c:v>
                </c:pt>
                <c:pt idx="786">
                  <c:v>45652</c:v>
                </c:pt>
                <c:pt idx="787">
                  <c:v>45653</c:v>
                </c:pt>
                <c:pt idx="788">
                  <c:v>45656</c:v>
                </c:pt>
                <c:pt idx="789">
                  <c:v>45657</c:v>
                </c:pt>
                <c:pt idx="790">
                  <c:v>45658</c:v>
                </c:pt>
                <c:pt idx="791">
                  <c:v>45659</c:v>
                </c:pt>
                <c:pt idx="792">
                  <c:v>45660</c:v>
                </c:pt>
                <c:pt idx="793">
                  <c:v>45663</c:v>
                </c:pt>
                <c:pt idx="794">
                  <c:v>45664</c:v>
                </c:pt>
                <c:pt idx="795">
                  <c:v>45665</c:v>
                </c:pt>
                <c:pt idx="796">
                  <c:v>45666</c:v>
                </c:pt>
                <c:pt idx="797">
                  <c:v>45667</c:v>
                </c:pt>
                <c:pt idx="798">
                  <c:v>45670</c:v>
                </c:pt>
                <c:pt idx="799">
                  <c:v>45671</c:v>
                </c:pt>
                <c:pt idx="800">
                  <c:v>45672</c:v>
                </c:pt>
                <c:pt idx="801">
                  <c:v>45673</c:v>
                </c:pt>
                <c:pt idx="802">
                  <c:v>45674</c:v>
                </c:pt>
                <c:pt idx="803">
                  <c:v>45677</c:v>
                </c:pt>
                <c:pt idx="804">
                  <c:v>45678</c:v>
                </c:pt>
                <c:pt idx="805">
                  <c:v>45679</c:v>
                </c:pt>
                <c:pt idx="806">
                  <c:v>45680</c:v>
                </c:pt>
                <c:pt idx="807">
                  <c:v>45681</c:v>
                </c:pt>
                <c:pt idx="808">
                  <c:v>45684</c:v>
                </c:pt>
                <c:pt idx="809">
                  <c:v>45685</c:v>
                </c:pt>
                <c:pt idx="810">
                  <c:v>45686</c:v>
                </c:pt>
                <c:pt idx="811">
                  <c:v>45687</c:v>
                </c:pt>
                <c:pt idx="812">
                  <c:v>45688</c:v>
                </c:pt>
                <c:pt idx="813">
                  <c:v>45689</c:v>
                </c:pt>
                <c:pt idx="814">
                  <c:v>45691</c:v>
                </c:pt>
                <c:pt idx="815">
                  <c:v>45692</c:v>
                </c:pt>
                <c:pt idx="816">
                  <c:v>45693</c:v>
                </c:pt>
                <c:pt idx="817">
                  <c:v>45694</c:v>
                </c:pt>
                <c:pt idx="818">
                  <c:v>45695</c:v>
                </c:pt>
                <c:pt idx="819">
                  <c:v>45698</c:v>
                </c:pt>
                <c:pt idx="820">
                  <c:v>45699</c:v>
                </c:pt>
                <c:pt idx="821">
                  <c:v>45700</c:v>
                </c:pt>
                <c:pt idx="822">
                  <c:v>45701</c:v>
                </c:pt>
                <c:pt idx="823">
                  <c:v>45702</c:v>
                </c:pt>
                <c:pt idx="824">
                  <c:v>45705</c:v>
                </c:pt>
                <c:pt idx="825">
                  <c:v>45706</c:v>
                </c:pt>
                <c:pt idx="826">
                  <c:v>45707</c:v>
                </c:pt>
                <c:pt idx="827">
                  <c:v>45708</c:v>
                </c:pt>
                <c:pt idx="828">
                  <c:v>45709</c:v>
                </c:pt>
                <c:pt idx="829">
                  <c:v>45712</c:v>
                </c:pt>
                <c:pt idx="830">
                  <c:v>45713</c:v>
                </c:pt>
                <c:pt idx="831">
                  <c:v>45715</c:v>
                </c:pt>
                <c:pt idx="832">
                  <c:v>45716</c:v>
                </c:pt>
                <c:pt idx="833">
                  <c:v>45719</c:v>
                </c:pt>
                <c:pt idx="834">
                  <c:v>45720</c:v>
                </c:pt>
                <c:pt idx="835">
                  <c:v>45721</c:v>
                </c:pt>
                <c:pt idx="836">
                  <c:v>45722</c:v>
                </c:pt>
                <c:pt idx="837">
                  <c:v>45723</c:v>
                </c:pt>
                <c:pt idx="838">
                  <c:v>45726</c:v>
                </c:pt>
                <c:pt idx="839">
                  <c:v>45727</c:v>
                </c:pt>
                <c:pt idx="840">
                  <c:v>45728</c:v>
                </c:pt>
                <c:pt idx="841">
                  <c:v>45729</c:v>
                </c:pt>
                <c:pt idx="842">
                  <c:v>45733</c:v>
                </c:pt>
                <c:pt idx="843">
                  <c:v>45734</c:v>
                </c:pt>
                <c:pt idx="844">
                  <c:v>45735</c:v>
                </c:pt>
                <c:pt idx="845">
                  <c:v>45736</c:v>
                </c:pt>
                <c:pt idx="846">
                  <c:v>45737</c:v>
                </c:pt>
                <c:pt idx="847">
                  <c:v>45740</c:v>
                </c:pt>
                <c:pt idx="848">
                  <c:v>45741</c:v>
                </c:pt>
                <c:pt idx="849">
                  <c:v>45742</c:v>
                </c:pt>
                <c:pt idx="850">
                  <c:v>45743</c:v>
                </c:pt>
                <c:pt idx="851">
                  <c:v>45744</c:v>
                </c:pt>
                <c:pt idx="852">
                  <c:v>45748</c:v>
                </c:pt>
                <c:pt idx="853">
                  <c:v>45749</c:v>
                </c:pt>
                <c:pt idx="854">
                  <c:v>45750</c:v>
                </c:pt>
                <c:pt idx="855">
                  <c:v>45751</c:v>
                </c:pt>
                <c:pt idx="856">
                  <c:v>45754</c:v>
                </c:pt>
                <c:pt idx="857">
                  <c:v>45755</c:v>
                </c:pt>
                <c:pt idx="858">
                  <c:v>45756</c:v>
                </c:pt>
                <c:pt idx="859">
                  <c:v>45758</c:v>
                </c:pt>
                <c:pt idx="860">
                  <c:v>45762</c:v>
                </c:pt>
                <c:pt idx="861">
                  <c:v>45763</c:v>
                </c:pt>
                <c:pt idx="862">
                  <c:v>45764</c:v>
                </c:pt>
                <c:pt idx="863">
                  <c:v>45768</c:v>
                </c:pt>
                <c:pt idx="864">
                  <c:v>45769</c:v>
                </c:pt>
                <c:pt idx="865">
                  <c:v>45770</c:v>
                </c:pt>
                <c:pt idx="866">
                  <c:v>45771</c:v>
                </c:pt>
                <c:pt idx="867">
                  <c:v>45772</c:v>
                </c:pt>
                <c:pt idx="868">
                  <c:v>45775</c:v>
                </c:pt>
                <c:pt idx="869">
                  <c:v>45776</c:v>
                </c:pt>
                <c:pt idx="870">
                  <c:v>45777</c:v>
                </c:pt>
                <c:pt idx="871">
                  <c:v>45779</c:v>
                </c:pt>
                <c:pt idx="872">
                  <c:v>45782</c:v>
                </c:pt>
                <c:pt idx="873">
                  <c:v>45783</c:v>
                </c:pt>
                <c:pt idx="874">
                  <c:v>45784</c:v>
                </c:pt>
                <c:pt idx="875">
                  <c:v>45785</c:v>
                </c:pt>
                <c:pt idx="876">
                  <c:v>45786</c:v>
                </c:pt>
                <c:pt idx="877">
                  <c:v>45789</c:v>
                </c:pt>
                <c:pt idx="878">
                  <c:v>45790</c:v>
                </c:pt>
                <c:pt idx="879">
                  <c:v>45791</c:v>
                </c:pt>
                <c:pt idx="880">
                  <c:v>45792</c:v>
                </c:pt>
                <c:pt idx="881">
                  <c:v>45793</c:v>
                </c:pt>
                <c:pt idx="882">
                  <c:v>45796</c:v>
                </c:pt>
                <c:pt idx="883">
                  <c:v>45797</c:v>
                </c:pt>
                <c:pt idx="884">
                  <c:v>45798</c:v>
                </c:pt>
                <c:pt idx="885">
                  <c:v>45799</c:v>
                </c:pt>
                <c:pt idx="886">
                  <c:v>45800</c:v>
                </c:pt>
                <c:pt idx="887">
                  <c:v>45803</c:v>
                </c:pt>
                <c:pt idx="888">
                  <c:v>45804</c:v>
                </c:pt>
                <c:pt idx="889">
                  <c:v>45805</c:v>
                </c:pt>
                <c:pt idx="890">
                  <c:v>45806</c:v>
                </c:pt>
                <c:pt idx="891">
                  <c:v>45807</c:v>
                </c:pt>
                <c:pt idx="892">
                  <c:v>45810</c:v>
                </c:pt>
                <c:pt idx="893">
                  <c:v>45811</c:v>
                </c:pt>
                <c:pt idx="894">
                  <c:v>45812</c:v>
                </c:pt>
                <c:pt idx="895">
                  <c:v>45813</c:v>
                </c:pt>
                <c:pt idx="896">
                  <c:v>45814</c:v>
                </c:pt>
                <c:pt idx="897">
                  <c:v>45817</c:v>
                </c:pt>
                <c:pt idx="898">
                  <c:v>45818</c:v>
                </c:pt>
                <c:pt idx="899">
                  <c:v>45819</c:v>
                </c:pt>
                <c:pt idx="900">
                  <c:v>45820</c:v>
                </c:pt>
                <c:pt idx="901">
                  <c:v>45821</c:v>
                </c:pt>
                <c:pt idx="902">
                  <c:v>45824</c:v>
                </c:pt>
                <c:pt idx="903">
                  <c:v>45825</c:v>
                </c:pt>
                <c:pt idx="904">
                  <c:v>45826</c:v>
                </c:pt>
                <c:pt idx="905">
                  <c:v>45827</c:v>
                </c:pt>
                <c:pt idx="906">
                  <c:v>45828</c:v>
                </c:pt>
                <c:pt idx="907">
                  <c:v>45831</c:v>
                </c:pt>
                <c:pt idx="908">
                  <c:v>45832</c:v>
                </c:pt>
                <c:pt idx="909">
                  <c:v>45833</c:v>
                </c:pt>
                <c:pt idx="910">
                  <c:v>45834</c:v>
                </c:pt>
                <c:pt idx="911">
                  <c:v>45835</c:v>
                </c:pt>
                <c:pt idx="912">
                  <c:v>45838</c:v>
                </c:pt>
                <c:pt idx="913">
                  <c:v>45839</c:v>
                </c:pt>
                <c:pt idx="914">
                  <c:v>45840</c:v>
                </c:pt>
                <c:pt idx="915">
                  <c:v>45841</c:v>
                </c:pt>
                <c:pt idx="916">
                  <c:v>45842</c:v>
                </c:pt>
                <c:pt idx="917">
                  <c:v>45845</c:v>
                </c:pt>
                <c:pt idx="918">
                  <c:v>45846</c:v>
                </c:pt>
                <c:pt idx="919">
                  <c:v>45847</c:v>
                </c:pt>
                <c:pt idx="920">
                  <c:v>45848</c:v>
                </c:pt>
                <c:pt idx="921">
                  <c:v>45849</c:v>
                </c:pt>
                <c:pt idx="922">
                  <c:v>45852</c:v>
                </c:pt>
                <c:pt idx="923">
                  <c:v>45853</c:v>
                </c:pt>
                <c:pt idx="924">
                  <c:v>45854</c:v>
                </c:pt>
                <c:pt idx="925">
                  <c:v>45855</c:v>
                </c:pt>
                <c:pt idx="926">
                  <c:v>45856</c:v>
                </c:pt>
                <c:pt idx="927">
                  <c:v>45859</c:v>
                </c:pt>
                <c:pt idx="928">
                  <c:v>45860</c:v>
                </c:pt>
                <c:pt idx="929">
                  <c:v>45861</c:v>
                </c:pt>
                <c:pt idx="930">
                  <c:v>45862</c:v>
                </c:pt>
                <c:pt idx="931">
                  <c:v>45863</c:v>
                </c:pt>
                <c:pt idx="932">
                  <c:v>45866</c:v>
                </c:pt>
                <c:pt idx="933">
                  <c:v>45867</c:v>
                </c:pt>
                <c:pt idx="934">
                  <c:v>45868</c:v>
                </c:pt>
                <c:pt idx="935">
                  <c:v>45869</c:v>
                </c:pt>
                <c:pt idx="936">
                  <c:v>45870</c:v>
                </c:pt>
                <c:pt idx="937">
                  <c:v>45873</c:v>
                </c:pt>
                <c:pt idx="938">
                  <c:v>45874</c:v>
                </c:pt>
                <c:pt idx="939">
                  <c:v>45875</c:v>
                </c:pt>
                <c:pt idx="940">
                  <c:v>45876</c:v>
                </c:pt>
                <c:pt idx="941">
                  <c:v>45877</c:v>
                </c:pt>
                <c:pt idx="942">
                  <c:v>45880</c:v>
                </c:pt>
                <c:pt idx="943">
                  <c:v>45881</c:v>
                </c:pt>
                <c:pt idx="944">
                  <c:v>45882</c:v>
                </c:pt>
                <c:pt idx="945">
                  <c:v>45883</c:v>
                </c:pt>
                <c:pt idx="946">
                  <c:v>45887</c:v>
                </c:pt>
                <c:pt idx="947">
                  <c:v>45888</c:v>
                </c:pt>
                <c:pt idx="948">
                  <c:v>45889</c:v>
                </c:pt>
                <c:pt idx="949">
                  <c:v>45890</c:v>
                </c:pt>
                <c:pt idx="950">
                  <c:v>45891</c:v>
                </c:pt>
                <c:pt idx="951">
                  <c:v>45894</c:v>
                </c:pt>
                <c:pt idx="952">
                  <c:v>45895</c:v>
                </c:pt>
                <c:pt idx="953">
                  <c:v>45897</c:v>
                </c:pt>
                <c:pt idx="954">
                  <c:v>45898</c:v>
                </c:pt>
                <c:pt idx="955">
                  <c:v>45901</c:v>
                </c:pt>
                <c:pt idx="956">
                  <c:v>45902</c:v>
                </c:pt>
                <c:pt idx="957">
                  <c:v>45903</c:v>
                </c:pt>
                <c:pt idx="958">
                  <c:v>45904</c:v>
                </c:pt>
                <c:pt idx="959">
                  <c:v>45905</c:v>
                </c:pt>
                <c:pt idx="960">
                  <c:v>45908</c:v>
                </c:pt>
                <c:pt idx="961">
                  <c:v>45909</c:v>
                </c:pt>
                <c:pt idx="962">
                  <c:v>45910</c:v>
                </c:pt>
                <c:pt idx="963">
                  <c:v>45911</c:v>
                </c:pt>
                <c:pt idx="964">
                  <c:v>45912</c:v>
                </c:pt>
                <c:pt idx="965">
                  <c:v>45915</c:v>
                </c:pt>
                <c:pt idx="966">
                  <c:v>45916</c:v>
                </c:pt>
                <c:pt idx="967">
                  <c:v>45917</c:v>
                </c:pt>
                <c:pt idx="968">
                  <c:v>45918</c:v>
                </c:pt>
                <c:pt idx="969">
                  <c:v>45919</c:v>
                </c:pt>
                <c:pt idx="970">
                  <c:v>45922</c:v>
                </c:pt>
                <c:pt idx="971">
                  <c:v>45923</c:v>
                </c:pt>
                <c:pt idx="972">
                  <c:v>45924</c:v>
                </c:pt>
                <c:pt idx="973">
                  <c:v>45925</c:v>
                </c:pt>
                <c:pt idx="974">
                  <c:v>45926</c:v>
                </c:pt>
                <c:pt idx="975">
                  <c:v>45929</c:v>
                </c:pt>
                <c:pt idx="976">
                  <c:v>45930</c:v>
                </c:pt>
                <c:pt idx="977">
                  <c:v>45931</c:v>
                </c:pt>
                <c:pt idx="978">
                  <c:v>45933</c:v>
                </c:pt>
                <c:pt idx="979">
                  <c:v>45936</c:v>
                </c:pt>
                <c:pt idx="980">
                  <c:v>45937</c:v>
                </c:pt>
                <c:pt idx="981">
                  <c:v>45938</c:v>
                </c:pt>
                <c:pt idx="982">
                  <c:v>45939</c:v>
                </c:pt>
                <c:pt idx="983">
                  <c:v>45940</c:v>
                </c:pt>
                <c:pt idx="984">
                  <c:v>45943</c:v>
                </c:pt>
                <c:pt idx="985">
                  <c:v>45944</c:v>
                </c:pt>
                <c:pt idx="986">
                  <c:v>45945</c:v>
                </c:pt>
                <c:pt idx="987">
                  <c:v>45946</c:v>
                </c:pt>
                <c:pt idx="988">
                  <c:v>45947</c:v>
                </c:pt>
                <c:pt idx="989">
                  <c:v>45950</c:v>
                </c:pt>
                <c:pt idx="990">
                  <c:v>45951</c:v>
                </c:pt>
                <c:pt idx="991">
                  <c:v>45953</c:v>
                </c:pt>
                <c:pt idx="992">
                  <c:v>45954</c:v>
                </c:pt>
                <c:pt idx="993">
                  <c:v>45957</c:v>
                </c:pt>
                <c:pt idx="994">
                  <c:v>45958</c:v>
                </c:pt>
                <c:pt idx="995">
                  <c:v>45959</c:v>
                </c:pt>
                <c:pt idx="996">
                  <c:v>45960</c:v>
                </c:pt>
                <c:pt idx="997">
                  <c:v>45961</c:v>
                </c:pt>
                <c:pt idx="998">
                  <c:v>45964</c:v>
                </c:pt>
                <c:pt idx="999">
                  <c:v>45965</c:v>
                </c:pt>
                <c:pt idx="1000">
                  <c:v>45967</c:v>
                </c:pt>
                <c:pt idx="1001">
                  <c:v>45968</c:v>
                </c:pt>
                <c:pt idx="1002">
                  <c:v>45971</c:v>
                </c:pt>
                <c:pt idx="1003">
                  <c:v>45972</c:v>
                </c:pt>
                <c:pt idx="1004">
                  <c:v>45973</c:v>
                </c:pt>
                <c:pt idx="1005">
                  <c:v>45974</c:v>
                </c:pt>
                <c:pt idx="1006">
                  <c:v>45975</c:v>
                </c:pt>
                <c:pt idx="1007">
                  <c:v>45978</c:v>
                </c:pt>
                <c:pt idx="1008">
                  <c:v>45979</c:v>
                </c:pt>
                <c:pt idx="1009">
                  <c:v>45980</c:v>
                </c:pt>
                <c:pt idx="1010">
                  <c:v>45981</c:v>
                </c:pt>
                <c:pt idx="1011">
                  <c:v>45982</c:v>
                </c:pt>
                <c:pt idx="1012">
                  <c:v>45985</c:v>
                </c:pt>
                <c:pt idx="1013">
                  <c:v>45986</c:v>
                </c:pt>
                <c:pt idx="1014">
                  <c:v>45987</c:v>
                </c:pt>
                <c:pt idx="1015">
                  <c:v>45988</c:v>
                </c:pt>
                <c:pt idx="1016">
                  <c:v>45989</c:v>
                </c:pt>
                <c:pt idx="1017">
                  <c:v>45992</c:v>
                </c:pt>
                <c:pt idx="1018">
                  <c:v>45993</c:v>
                </c:pt>
                <c:pt idx="1019">
                  <c:v>45994</c:v>
                </c:pt>
                <c:pt idx="1020">
                  <c:v>45995</c:v>
                </c:pt>
                <c:pt idx="1021">
                  <c:v>45996</c:v>
                </c:pt>
                <c:pt idx="1022">
                  <c:v>45999</c:v>
                </c:pt>
                <c:pt idx="1023">
                  <c:v>46000</c:v>
                </c:pt>
                <c:pt idx="1024">
                  <c:v>46001</c:v>
                </c:pt>
                <c:pt idx="1025">
                  <c:v>46002</c:v>
                </c:pt>
                <c:pt idx="1026">
                  <c:v>46003</c:v>
                </c:pt>
                <c:pt idx="1027">
                  <c:v>46006</c:v>
                </c:pt>
                <c:pt idx="1028">
                  <c:v>46007</c:v>
                </c:pt>
                <c:pt idx="1029">
                  <c:v>46008</c:v>
                </c:pt>
                <c:pt idx="1030">
                  <c:v>46009</c:v>
                </c:pt>
                <c:pt idx="1031">
                  <c:v>46010</c:v>
                </c:pt>
                <c:pt idx="1032">
                  <c:v>46013</c:v>
                </c:pt>
                <c:pt idx="1033">
                  <c:v>46014</c:v>
                </c:pt>
                <c:pt idx="1034">
                  <c:v>46015</c:v>
                </c:pt>
                <c:pt idx="1035">
                  <c:v>46017</c:v>
                </c:pt>
                <c:pt idx="1036">
                  <c:v>46020</c:v>
                </c:pt>
                <c:pt idx="1037">
                  <c:v>46021</c:v>
                </c:pt>
                <c:pt idx="1038">
                  <c:v>46022</c:v>
                </c:pt>
              </c:numCache>
            </c:numRef>
          </c:cat>
          <c:val>
            <c:numRef>
              <c:f>'Price trend line table'!$D$202:$D$1241</c:f>
              <c:numCache>
                <c:formatCode>General</c:formatCode>
                <c:ptCount val="1040"/>
                <c:pt idx="0">
                  <c:v>17409.709000000003</c:v>
                </c:pt>
                <c:pt idx="1">
                  <c:v>17446.572</c:v>
                </c:pt>
                <c:pt idx="2">
                  <c:v>17484.652000000006</c:v>
                </c:pt>
                <c:pt idx="3">
                  <c:v>17518.289000000001</c:v>
                </c:pt>
                <c:pt idx="4">
                  <c:v>17544.172999999999</c:v>
                </c:pt>
                <c:pt idx="5">
                  <c:v>17565.314000000002</c:v>
                </c:pt>
                <c:pt idx="6">
                  <c:v>17592.53</c:v>
                </c:pt>
                <c:pt idx="7">
                  <c:v>17621.298999999999</c:v>
                </c:pt>
                <c:pt idx="8">
                  <c:v>17647.953999999998</c:v>
                </c:pt>
                <c:pt idx="9">
                  <c:v>17673.797999999999</c:v>
                </c:pt>
                <c:pt idx="10">
                  <c:v>17702.476000000002</c:v>
                </c:pt>
                <c:pt idx="11">
                  <c:v>17730.623</c:v>
                </c:pt>
                <c:pt idx="12">
                  <c:v>17756.862999999998</c:v>
                </c:pt>
                <c:pt idx="13">
                  <c:v>17775.714</c:v>
                </c:pt>
                <c:pt idx="14">
                  <c:v>17795.125</c:v>
                </c:pt>
                <c:pt idx="15">
                  <c:v>17815.789000000001</c:v>
                </c:pt>
                <c:pt idx="16">
                  <c:v>17831.089999999997</c:v>
                </c:pt>
                <c:pt idx="17">
                  <c:v>17842.590999999997</c:v>
                </c:pt>
                <c:pt idx="18">
                  <c:v>17850.330999999998</c:v>
                </c:pt>
                <c:pt idx="19">
                  <c:v>17851.419999999998</c:v>
                </c:pt>
                <c:pt idx="20">
                  <c:v>17854.416999999998</c:v>
                </c:pt>
                <c:pt idx="21">
                  <c:v>17855.332999999999</c:v>
                </c:pt>
                <c:pt idx="22">
                  <c:v>17858.952000000001</c:v>
                </c:pt>
                <c:pt idx="23">
                  <c:v>17851.880999999998</c:v>
                </c:pt>
                <c:pt idx="24">
                  <c:v>17842.571</c:v>
                </c:pt>
                <c:pt idx="25">
                  <c:v>17829.644999999997</c:v>
                </c:pt>
                <c:pt idx="26">
                  <c:v>17821.28</c:v>
                </c:pt>
                <c:pt idx="27">
                  <c:v>17821.375</c:v>
                </c:pt>
                <c:pt idx="28">
                  <c:v>17814.069</c:v>
                </c:pt>
                <c:pt idx="29">
                  <c:v>17801.381000000001</c:v>
                </c:pt>
                <c:pt idx="30">
                  <c:v>17788.455999999998</c:v>
                </c:pt>
                <c:pt idx="31">
                  <c:v>17780.787</c:v>
                </c:pt>
                <c:pt idx="32">
                  <c:v>17774.021999999997</c:v>
                </c:pt>
                <c:pt idx="33">
                  <c:v>17769.276000000002</c:v>
                </c:pt>
                <c:pt idx="34">
                  <c:v>17762.415000000001</c:v>
                </c:pt>
                <c:pt idx="35">
                  <c:v>17756.55</c:v>
                </c:pt>
                <c:pt idx="36">
                  <c:v>17750.337000000003</c:v>
                </c:pt>
                <c:pt idx="37">
                  <c:v>17741.480000000003</c:v>
                </c:pt>
                <c:pt idx="38">
                  <c:v>17724.738000000001</c:v>
                </c:pt>
                <c:pt idx="39">
                  <c:v>17704.101999999999</c:v>
                </c:pt>
                <c:pt idx="40">
                  <c:v>17683.711999999996</c:v>
                </c:pt>
                <c:pt idx="41">
                  <c:v>17664.916999999994</c:v>
                </c:pt>
                <c:pt idx="42">
                  <c:v>17647.449999999993</c:v>
                </c:pt>
                <c:pt idx="43">
                  <c:v>17627.685999999994</c:v>
                </c:pt>
                <c:pt idx="44">
                  <c:v>17606.175999999996</c:v>
                </c:pt>
                <c:pt idx="45">
                  <c:v>17584.069999999996</c:v>
                </c:pt>
                <c:pt idx="46">
                  <c:v>17558.800999999996</c:v>
                </c:pt>
                <c:pt idx="47">
                  <c:v>17534.504999999994</c:v>
                </c:pt>
                <c:pt idx="48">
                  <c:v>17516.253999999997</c:v>
                </c:pt>
                <c:pt idx="49">
                  <c:v>17505.205999999998</c:v>
                </c:pt>
                <c:pt idx="50">
                  <c:v>17499.012999999999</c:v>
                </c:pt>
                <c:pt idx="51">
                  <c:v>17495.009999999998</c:v>
                </c:pt>
                <c:pt idx="52">
                  <c:v>17484.560000000001</c:v>
                </c:pt>
                <c:pt idx="53">
                  <c:v>17476.594999999998</c:v>
                </c:pt>
                <c:pt idx="54">
                  <c:v>17479.516</c:v>
                </c:pt>
                <c:pt idx="55">
                  <c:v>17487.197999999997</c:v>
                </c:pt>
                <c:pt idx="56">
                  <c:v>17492.851999999999</c:v>
                </c:pt>
                <c:pt idx="57">
                  <c:v>17500.228999999999</c:v>
                </c:pt>
                <c:pt idx="58">
                  <c:v>17508.759999999998</c:v>
                </c:pt>
                <c:pt idx="59">
                  <c:v>17516.585999999999</c:v>
                </c:pt>
                <c:pt idx="60">
                  <c:v>17517.476000000002</c:v>
                </c:pt>
                <c:pt idx="61">
                  <c:v>17515.359000000004</c:v>
                </c:pt>
                <c:pt idx="62">
                  <c:v>17510.155000000002</c:v>
                </c:pt>
                <c:pt idx="63">
                  <c:v>17505.026000000002</c:v>
                </c:pt>
                <c:pt idx="64">
                  <c:v>17485.953000000001</c:v>
                </c:pt>
                <c:pt idx="65">
                  <c:v>17469.323</c:v>
                </c:pt>
                <c:pt idx="66">
                  <c:v>17451.542000000001</c:v>
                </c:pt>
                <c:pt idx="67">
                  <c:v>17435.608</c:v>
                </c:pt>
                <c:pt idx="68">
                  <c:v>17427.109</c:v>
                </c:pt>
                <c:pt idx="69">
                  <c:v>17430.314999999999</c:v>
                </c:pt>
                <c:pt idx="70">
                  <c:v>17435.848000000002</c:v>
                </c:pt>
                <c:pt idx="71">
                  <c:v>17438.750999999997</c:v>
                </c:pt>
                <c:pt idx="72">
                  <c:v>17438.351999999999</c:v>
                </c:pt>
                <c:pt idx="73">
                  <c:v>17442.094999999998</c:v>
                </c:pt>
                <c:pt idx="74">
                  <c:v>17446.350999999999</c:v>
                </c:pt>
                <c:pt idx="75">
                  <c:v>17455.963</c:v>
                </c:pt>
                <c:pt idx="76">
                  <c:v>17464.741999999998</c:v>
                </c:pt>
                <c:pt idx="77">
                  <c:v>17464.203999999998</c:v>
                </c:pt>
                <c:pt idx="78">
                  <c:v>17457.126</c:v>
                </c:pt>
                <c:pt idx="79">
                  <c:v>17465.93</c:v>
                </c:pt>
                <c:pt idx="80">
                  <c:v>17468.839999999997</c:v>
                </c:pt>
                <c:pt idx="81">
                  <c:v>17465.536999999997</c:v>
                </c:pt>
                <c:pt idx="82">
                  <c:v>17460.725999999995</c:v>
                </c:pt>
                <c:pt idx="83">
                  <c:v>17454.632999999998</c:v>
                </c:pt>
                <c:pt idx="84">
                  <c:v>17449.111999999997</c:v>
                </c:pt>
                <c:pt idx="85">
                  <c:v>17443.878999999997</c:v>
                </c:pt>
                <c:pt idx="86">
                  <c:v>17424.409999999996</c:v>
                </c:pt>
                <c:pt idx="87">
                  <c:v>17412.609999999997</c:v>
                </c:pt>
                <c:pt idx="88">
                  <c:v>17408.784</c:v>
                </c:pt>
                <c:pt idx="89">
                  <c:v>17408.618999999995</c:v>
                </c:pt>
                <c:pt idx="90">
                  <c:v>17403.162999999997</c:v>
                </c:pt>
                <c:pt idx="91">
                  <c:v>17388.960999999999</c:v>
                </c:pt>
                <c:pt idx="92">
                  <c:v>17364.772000000001</c:v>
                </c:pt>
                <c:pt idx="93">
                  <c:v>17344.966</c:v>
                </c:pt>
                <c:pt idx="94">
                  <c:v>17330.147999999997</c:v>
                </c:pt>
                <c:pt idx="95">
                  <c:v>17317.380999999998</c:v>
                </c:pt>
                <c:pt idx="96">
                  <c:v>17305.717999999997</c:v>
                </c:pt>
                <c:pt idx="97">
                  <c:v>17299.064999999995</c:v>
                </c:pt>
                <c:pt idx="98">
                  <c:v>17285.243999999995</c:v>
                </c:pt>
                <c:pt idx="99">
                  <c:v>17272.236999999994</c:v>
                </c:pt>
                <c:pt idx="100">
                  <c:v>17261.873</c:v>
                </c:pt>
                <c:pt idx="101">
                  <c:v>17245.719999999998</c:v>
                </c:pt>
                <c:pt idx="102">
                  <c:v>17237.111999999997</c:v>
                </c:pt>
                <c:pt idx="103">
                  <c:v>17225.770999999997</c:v>
                </c:pt>
                <c:pt idx="104">
                  <c:v>17210.159999999996</c:v>
                </c:pt>
                <c:pt idx="105">
                  <c:v>17192.105</c:v>
                </c:pt>
                <c:pt idx="106">
                  <c:v>17172.297999999999</c:v>
                </c:pt>
                <c:pt idx="107">
                  <c:v>17153.648000000001</c:v>
                </c:pt>
                <c:pt idx="108">
                  <c:v>17138.498000000003</c:v>
                </c:pt>
                <c:pt idx="109">
                  <c:v>17121.631000000005</c:v>
                </c:pt>
                <c:pt idx="110">
                  <c:v>17112.779000000002</c:v>
                </c:pt>
                <c:pt idx="111">
                  <c:v>17115.079000000002</c:v>
                </c:pt>
                <c:pt idx="112">
                  <c:v>17119.087000000003</c:v>
                </c:pt>
                <c:pt idx="113">
                  <c:v>17122.897000000004</c:v>
                </c:pt>
                <c:pt idx="114">
                  <c:v>17132.706000000002</c:v>
                </c:pt>
                <c:pt idx="115">
                  <c:v>17142.834000000003</c:v>
                </c:pt>
                <c:pt idx="116">
                  <c:v>17154.130000000005</c:v>
                </c:pt>
                <c:pt idx="117">
                  <c:v>17162.697000000004</c:v>
                </c:pt>
                <c:pt idx="118">
                  <c:v>17165.413000000004</c:v>
                </c:pt>
                <c:pt idx="119">
                  <c:v>17157.349000000002</c:v>
                </c:pt>
                <c:pt idx="120">
                  <c:v>17140.922000000006</c:v>
                </c:pt>
                <c:pt idx="121">
                  <c:v>17132.449000000004</c:v>
                </c:pt>
                <c:pt idx="122">
                  <c:v>17129.975000000002</c:v>
                </c:pt>
                <c:pt idx="123">
                  <c:v>17129.142000000003</c:v>
                </c:pt>
                <c:pt idx="124">
                  <c:v>17122.886000000002</c:v>
                </c:pt>
                <c:pt idx="125">
                  <c:v>17117.626000000004</c:v>
                </c:pt>
                <c:pt idx="126">
                  <c:v>17106.277000000002</c:v>
                </c:pt>
                <c:pt idx="127">
                  <c:v>17103.683000000005</c:v>
                </c:pt>
                <c:pt idx="128">
                  <c:v>17108.878000000004</c:v>
                </c:pt>
                <c:pt idx="129">
                  <c:v>17103.211000000003</c:v>
                </c:pt>
                <c:pt idx="130">
                  <c:v>17090.319000000003</c:v>
                </c:pt>
                <c:pt idx="131">
                  <c:v>17077.880000000005</c:v>
                </c:pt>
                <c:pt idx="132">
                  <c:v>17060.579000000005</c:v>
                </c:pt>
                <c:pt idx="133">
                  <c:v>17042.483000000004</c:v>
                </c:pt>
                <c:pt idx="134">
                  <c:v>17025.440000000006</c:v>
                </c:pt>
                <c:pt idx="135">
                  <c:v>17007.517000000003</c:v>
                </c:pt>
                <c:pt idx="136">
                  <c:v>16998.718000000004</c:v>
                </c:pt>
                <c:pt idx="137">
                  <c:v>16981.193000000003</c:v>
                </c:pt>
                <c:pt idx="138">
                  <c:v>16962.161000000004</c:v>
                </c:pt>
                <c:pt idx="139">
                  <c:v>16955.228000000006</c:v>
                </c:pt>
                <c:pt idx="140">
                  <c:v>16950.073000000004</c:v>
                </c:pt>
                <c:pt idx="141">
                  <c:v>16941.354000000007</c:v>
                </c:pt>
                <c:pt idx="142">
                  <c:v>16949.414000000008</c:v>
                </c:pt>
                <c:pt idx="143">
                  <c:v>16953.439000000006</c:v>
                </c:pt>
                <c:pt idx="144">
                  <c:v>16949.035000000007</c:v>
                </c:pt>
                <c:pt idx="145">
                  <c:v>16937.653000000006</c:v>
                </c:pt>
                <c:pt idx="146">
                  <c:v>16928.447000000007</c:v>
                </c:pt>
                <c:pt idx="147">
                  <c:v>16918.070000000003</c:v>
                </c:pt>
                <c:pt idx="148">
                  <c:v>16918.038000000004</c:v>
                </c:pt>
                <c:pt idx="149">
                  <c:v>16910.222000000005</c:v>
                </c:pt>
                <c:pt idx="150">
                  <c:v>16894.936000000005</c:v>
                </c:pt>
                <c:pt idx="151">
                  <c:v>16885.144000000008</c:v>
                </c:pt>
                <c:pt idx="152">
                  <c:v>16870.520000000008</c:v>
                </c:pt>
                <c:pt idx="153">
                  <c:v>16856.998000000007</c:v>
                </c:pt>
                <c:pt idx="154">
                  <c:v>16840.870000000006</c:v>
                </c:pt>
                <c:pt idx="155">
                  <c:v>16824.935000000005</c:v>
                </c:pt>
                <c:pt idx="156">
                  <c:v>16810.057000000004</c:v>
                </c:pt>
                <c:pt idx="157">
                  <c:v>16787.587000000003</c:v>
                </c:pt>
                <c:pt idx="158">
                  <c:v>16753.110000000004</c:v>
                </c:pt>
                <c:pt idx="159">
                  <c:v>16718.457000000002</c:v>
                </c:pt>
                <c:pt idx="160">
                  <c:v>16678.891</c:v>
                </c:pt>
                <c:pt idx="161">
                  <c:v>16625.035000000003</c:v>
                </c:pt>
                <c:pt idx="162">
                  <c:v>16571.757000000001</c:v>
                </c:pt>
                <c:pt idx="163">
                  <c:v>16522.607000000004</c:v>
                </c:pt>
                <c:pt idx="164">
                  <c:v>16482.592000000004</c:v>
                </c:pt>
                <c:pt idx="165">
                  <c:v>16435.171000000006</c:v>
                </c:pt>
                <c:pt idx="166">
                  <c:v>16392.805000000004</c:v>
                </c:pt>
                <c:pt idx="167">
                  <c:v>16356.184000000007</c:v>
                </c:pt>
                <c:pt idx="168">
                  <c:v>16323.312000000007</c:v>
                </c:pt>
                <c:pt idx="169">
                  <c:v>16296.843000000008</c:v>
                </c:pt>
                <c:pt idx="170">
                  <c:v>16273.652000000007</c:v>
                </c:pt>
                <c:pt idx="171">
                  <c:v>16246.526000000005</c:v>
                </c:pt>
                <c:pt idx="172">
                  <c:v>16213.715000000004</c:v>
                </c:pt>
                <c:pt idx="173">
                  <c:v>16186.983000000006</c:v>
                </c:pt>
                <c:pt idx="174">
                  <c:v>16164.121000000003</c:v>
                </c:pt>
                <c:pt idx="175">
                  <c:v>16139.901000000003</c:v>
                </c:pt>
                <c:pt idx="176">
                  <c:v>16121.791000000003</c:v>
                </c:pt>
                <c:pt idx="177">
                  <c:v>16101.302000000001</c:v>
                </c:pt>
                <c:pt idx="178">
                  <c:v>16083.571000000004</c:v>
                </c:pt>
                <c:pt idx="179">
                  <c:v>16063.355000000003</c:v>
                </c:pt>
                <c:pt idx="180">
                  <c:v>16049.136</c:v>
                </c:pt>
                <c:pt idx="181">
                  <c:v>16034.256000000003</c:v>
                </c:pt>
                <c:pt idx="182">
                  <c:v>16027.014999999999</c:v>
                </c:pt>
                <c:pt idx="183">
                  <c:v>16026.547999999999</c:v>
                </c:pt>
                <c:pt idx="184">
                  <c:v>16028.558000000001</c:v>
                </c:pt>
                <c:pt idx="185">
                  <c:v>16035.633</c:v>
                </c:pt>
                <c:pt idx="186">
                  <c:v>16051.578000000001</c:v>
                </c:pt>
                <c:pt idx="187">
                  <c:v>16070.324000000001</c:v>
                </c:pt>
                <c:pt idx="188">
                  <c:v>16086.098</c:v>
                </c:pt>
                <c:pt idx="189">
                  <c:v>16090.589</c:v>
                </c:pt>
                <c:pt idx="190">
                  <c:v>16098.619000000001</c:v>
                </c:pt>
                <c:pt idx="191">
                  <c:v>16121.023000000001</c:v>
                </c:pt>
                <c:pt idx="192">
                  <c:v>16138.865</c:v>
                </c:pt>
                <c:pt idx="193">
                  <c:v>16161.371999999999</c:v>
                </c:pt>
                <c:pt idx="194">
                  <c:v>16185.777999999998</c:v>
                </c:pt>
                <c:pt idx="195">
                  <c:v>16213.025</c:v>
                </c:pt>
                <c:pt idx="196">
                  <c:v>16237.261999999999</c:v>
                </c:pt>
                <c:pt idx="197">
                  <c:v>16258.162999999999</c:v>
                </c:pt>
                <c:pt idx="198">
                  <c:v>16275.436999999998</c:v>
                </c:pt>
                <c:pt idx="199">
                  <c:v>16294.440999999999</c:v>
                </c:pt>
                <c:pt idx="200">
                  <c:v>16317.165999999999</c:v>
                </c:pt>
                <c:pt idx="201">
                  <c:v>16338.569</c:v>
                </c:pt>
                <c:pt idx="202">
                  <c:v>16363.387999999999</c:v>
                </c:pt>
                <c:pt idx="203">
                  <c:v>16390.881999999998</c:v>
                </c:pt>
                <c:pt idx="204">
                  <c:v>16421.684999999998</c:v>
                </c:pt>
                <c:pt idx="205">
                  <c:v>16449.728999999996</c:v>
                </c:pt>
                <c:pt idx="206">
                  <c:v>16469.981</c:v>
                </c:pt>
                <c:pt idx="207">
                  <c:v>16497.494999999999</c:v>
                </c:pt>
                <c:pt idx="208">
                  <c:v>16534.106</c:v>
                </c:pt>
                <c:pt idx="209">
                  <c:v>16569.912999999997</c:v>
                </c:pt>
                <c:pt idx="210">
                  <c:v>16607.247999999996</c:v>
                </c:pt>
                <c:pt idx="211">
                  <c:v>16646.293999999998</c:v>
                </c:pt>
                <c:pt idx="212">
                  <c:v>16695.609999999997</c:v>
                </c:pt>
                <c:pt idx="213">
                  <c:v>16739.463</c:v>
                </c:pt>
                <c:pt idx="214">
                  <c:v>16777.475999999995</c:v>
                </c:pt>
                <c:pt idx="215">
                  <c:v>16822.525999999998</c:v>
                </c:pt>
                <c:pt idx="216">
                  <c:v>16864.504999999997</c:v>
                </c:pt>
                <c:pt idx="217">
                  <c:v>16903.007999999998</c:v>
                </c:pt>
                <c:pt idx="218">
                  <c:v>16942.342000000001</c:v>
                </c:pt>
                <c:pt idx="219">
                  <c:v>16982.004999999997</c:v>
                </c:pt>
                <c:pt idx="220">
                  <c:v>17024.749999999996</c:v>
                </c:pt>
                <c:pt idx="221">
                  <c:v>17070.545999999998</c:v>
                </c:pt>
                <c:pt idx="222">
                  <c:v>17115.580000000002</c:v>
                </c:pt>
                <c:pt idx="223">
                  <c:v>17156.421000000002</c:v>
                </c:pt>
                <c:pt idx="224">
                  <c:v>17190.821</c:v>
                </c:pt>
                <c:pt idx="225">
                  <c:v>17223.47</c:v>
                </c:pt>
                <c:pt idx="226">
                  <c:v>17257.137000000002</c:v>
                </c:pt>
                <c:pt idx="227">
                  <c:v>17287.092000000001</c:v>
                </c:pt>
                <c:pt idx="228">
                  <c:v>17315.368000000006</c:v>
                </c:pt>
                <c:pt idx="229">
                  <c:v>17340.749000000003</c:v>
                </c:pt>
                <c:pt idx="230">
                  <c:v>17361.742000000006</c:v>
                </c:pt>
                <c:pt idx="231">
                  <c:v>17383.117000000006</c:v>
                </c:pt>
                <c:pt idx="232">
                  <c:v>17399.305000000004</c:v>
                </c:pt>
                <c:pt idx="233">
                  <c:v>17410.097000000002</c:v>
                </c:pt>
                <c:pt idx="234">
                  <c:v>17425.173000000003</c:v>
                </c:pt>
                <c:pt idx="235">
                  <c:v>17432.503000000001</c:v>
                </c:pt>
                <c:pt idx="236">
                  <c:v>17445.884000000002</c:v>
                </c:pt>
                <c:pt idx="237">
                  <c:v>17458.131000000005</c:v>
                </c:pt>
                <c:pt idx="238">
                  <c:v>17471.804000000004</c:v>
                </c:pt>
                <c:pt idx="239">
                  <c:v>17486.947000000004</c:v>
                </c:pt>
                <c:pt idx="240">
                  <c:v>17493.782000000003</c:v>
                </c:pt>
                <c:pt idx="241">
                  <c:v>17497.662</c:v>
                </c:pt>
                <c:pt idx="242">
                  <c:v>17494.784000000003</c:v>
                </c:pt>
                <c:pt idx="243">
                  <c:v>17491.697</c:v>
                </c:pt>
                <c:pt idx="244">
                  <c:v>17491.024000000001</c:v>
                </c:pt>
                <c:pt idx="245">
                  <c:v>17493</c:v>
                </c:pt>
                <c:pt idx="246">
                  <c:v>17495.605</c:v>
                </c:pt>
                <c:pt idx="247">
                  <c:v>17498.933999999997</c:v>
                </c:pt>
                <c:pt idx="248">
                  <c:v>17499.957999999999</c:v>
                </c:pt>
                <c:pt idx="249">
                  <c:v>17503.877999999997</c:v>
                </c:pt>
                <c:pt idx="250">
                  <c:v>17503.824999999997</c:v>
                </c:pt>
                <c:pt idx="251">
                  <c:v>17504.600999999995</c:v>
                </c:pt>
                <c:pt idx="252">
                  <c:v>17503.831999999999</c:v>
                </c:pt>
                <c:pt idx="253">
                  <c:v>17505.190999999995</c:v>
                </c:pt>
                <c:pt idx="254">
                  <c:v>17508.968999999997</c:v>
                </c:pt>
                <c:pt idx="255">
                  <c:v>17515.456999999999</c:v>
                </c:pt>
                <c:pt idx="256">
                  <c:v>17526.696999999996</c:v>
                </c:pt>
                <c:pt idx="257">
                  <c:v>17537.489999999994</c:v>
                </c:pt>
                <c:pt idx="258">
                  <c:v>17549.446999999996</c:v>
                </c:pt>
                <c:pt idx="259">
                  <c:v>17562.137999999992</c:v>
                </c:pt>
                <c:pt idx="260">
                  <c:v>17571.523999999994</c:v>
                </c:pt>
                <c:pt idx="261">
                  <c:v>17592.259999999995</c:v>
                </c:pt>
                <c:pt idx="262">
                  <c:v>17603.656999999992</c:v>
                </c:pt>
                <c:pt idx="263">
                  <c:v>17620.868999999995</c:v>
                </c:pt>
                <c:pt idx="264">
                  <c:v>17638.272999999997</c:v>
                </c:pt>
                <c:pt idx="265">
                  <c:v>17651.834999999999</c:v>
                </c:pt>
                <c:pt idx="266">
                  <c:v>17664.876</c:v>
                </c:pt>
                <c:pt idx="267">
                  <c:v>17675.586999999996</c:v>
                </c:pt>
                <c:pt idx="268">
                  <c:v>17684.495999999996</c:v>
                </c:pt>
                <c:pt idx="269">
                  <c:v>17693.173999999995</c:v>
                </c:pt>
                <c:pt idx="270">
                  <c:v>17704.128999999997</c:v>
                </c:pt>
                <c:pt idx="271">
                  <c:v>17712.982999999997</c:v>
                </c:pt>
                <c:pt idx="272">
                  <c:v>17724.162999999997</c:v>
                </c:pt>
                <c:pt idx="273">
                  <c:v>17738.975999999999</c:v>
                </c:pt>
                <c:pt idx="274">
                  <c:v>17763.525999999998</c:v>
                </c:pt>
                <c:pt idx="275">
                  <c:v>17787.330999999998</c:v>
                </c:pt>
                <c:pt idx="276">
                  <c:v>17804.928</c:v>
                </c:pt>
                <c:pt idx="277">
                  <c:v>17824.581999999999</c:v>
                </c:pt>
                <c:pt idx="278">
                  <c:v>17844.841</c:v>
                </c:pt>
                <c:pt idx="279">
                  <c:v>17869.504000000001</c:v>
                </c:pt>
                <c:pt idx="280">
                  <c:v>17901.365000000002</c:v>
                </c:pt>
                <c:pt idx="281">
                  <c:v>17931.148999999998</c:v>
                </c:pt>
                <c:pt idx="282">
                  <c:v>17963.919999999998</c:v>
                </c:pt>
                <c:pt idx="283">
                  <c:v>17999.718000000001</c:v>
                </c:pt>
                <c:pt idx="284">
                  <c:v>18031.037</c:v>
                </c:pt>
                <c:pt idx="285">
                  <c:v>18061.588000000003</c:v>
                </c:pt>
                <c:pt idx="286">
                  <c:v>18081.482000000004</c:v>
                </c:pt>
                <c:pt idx="287">
                  <c:v>18103.255000000001</c:v>
                </c:pt>
                <c:pt idx="288">
                  <c:v>18124.668000000005</c:v>
                </c:pt>
                <c:pt idx="289">
                  <c:v>18143.830000000005</c:v>
                </c:pt>
                <c:pt idx="290">
                  <c:v>18166.706000000006</c:v>
                </c:pt>
                <c:pt idx="291">
                  <c:v>18180.370000000006</c:v>
                </c:pt>
                <c:pt idx="292">
                  <c:v>18200.375000000004</c:v>
                </c:pt>
                <c:pt idx="293">
                  <c:v>18219.307000000004</c:v>
                </c:pt>
                <c:pt idx="294">
                  <c:v>18235.521000000004</c:v>
                </c:pt>
                <c:pt idx="295">
                  <c:v>18249.602000000003</c:v>
                </c:pt>
                <c:pt idx="296">
                  <c:v>18261.463000000003</c:v>
                </c:pt>
                <c:pt idx="297">
                  <c:v>18274.133000000005</c:v>
                </c:pt>
                <c:pt idx="298">
                  <c:v>18287.258000000002</c:v>
                </c:pt>
                <c:pt idx="299">
                  <c:v>18293.502</c:v>
                </c:pt>
                <c:pt idx="300">
                  <c:v>18300.218000000004</c:v>
                </c:pt>
                <c:pt idx="301">
                  <c:v>18302.668000000001</c:v>
                </c:pt>
                <c:pt idx="302">
                  <c:v>18308.955999999998</c:v>
                </c:pt>
                <c:pt idx="303">
                  <c:v>18306.994999999999</c:v>
                </c:pt>
                <c:pt idx="304">
                  <c:v>18302.000999999997</c:v>
                </c:pt>
                <c:pt idx="305">
                  <c:v>18297.507999999994</c:v>
                </c:pt>
                <c:pt idx="306">
                  <c:v>18295.585999999996</c:v>
                </c:pt>
                <c:pt idx="307">
                  <c:v>18291.139999999996</c:v>
                </c:pt>
                <c:pt idx="308">
                  <c:v>18288.149999999998</c:v>
                </c:pt>
                <c:pt idx="309">
                  <c:v>18288.316999999995</c:v>
                </c:pt>
                <c:pt idx="310">
                  <c:v>18289.909999999996</c:v>
                </c:pt>
                <c:pt idx="311">
                  <c:v>18283.468999999997</c:v>
                </c:pt>
                <c:pt idx="312">
                  <c:v>18279.256999999998</c:v>
                </c:pt>
                <c:pt idx="313">
                  <c:v>18273.554999999997</c:v>
                </c:pt>
                <c:pt idx="314">
                  <c:v>18263.200999999997</c:v>
                </c:pt>
                <c:pt idx="315">
                  <c:v>18248.409999999996</c:v>
                </c:pt>
                <c:pt idx="316">
                  <c:v>18235.235999999997</c:v>
                </c:pt>
                <c:pt idx="317">
                  <c:v>18225.279999999995</c:v>
                </c:pt>
                <c:pt idx="318">
                  <c:v>18212.721999999994</c:v>
                </c:pt>
                <c:pt idx="319">
                  <c:v>18199.584999999995</c:v>
                </c:pt>
                <c:pt idx="320">
                  <c:v>18186.983999999997</c:v>
                </c:pt>
                <c:pt idx="321">
                  <c:v>18172.020999999997</c:v>
                </c:pt>
                <c:pt idx="322">
                  <c:v>18155.195999999996</c:v>
                </c:pt>
                <c:pt idx="323">
                  <c:v>18140.268999999997</c:v>
                </c:pt>
                <c:pt idx="324">
                  <c:v>18122.970999999998</c:v>
                </c:pt>
                <c:pt idx="325">
                  <c:v>18103.850999999999</c:v>
                </c:pt>
                <c:pt idx="326">
                  <c:v>18085.346999999998</c:v>
                </c:pt>
                <c:pt idx="327">
                  <c:v>18069.923000000003</c:v>
                </c:pt>
                <c:pt idx="328">
                  <c:v>18057.385000000002</c:v>
                </c:pt>
                <c:pt idx="329">
                  <c:v>18046.892</c:v>
                </c:pt>
                <c:pt idx="330">
                  <c:v>18033.589</c:v>
                </c:pt>
                <c:pt idx="331">
                  <c:v>18020.548999999999</c:v>
                </c:pt>
                <c:pt idx="332">
                  <c:v>18007.139999999996</c:v>
                </c:pt>
                <c:pt idx="333">
                  <c:v>17986.065999999995</c:v>
                </c:pt>
                <c:pt idx="334">
                  <c:v>17963.084999999995</c:v>
                </c:pt>
                <c:pt idx="335">
                  <c:v>17944.102999999999</c:v>
                </c:pt>
                <c:pt idx="336">
                  <c:v>17926.576999999997</c:v>
                </c:pt>
                <c:pt idx="337">
                  <c:v>17904.246999999996</c:v>
                </c:pt>
                <c:pt idx="338">
                  <c:v>17885.558999999997</c:v>
                </c:pt>
                <c:pt idx="339">
                  <c:v>17868.014999999996</c:v>
                </c:pt>
                <c:pt idx="340">
                  <c:v>17857.354999999996</c:v>
                </c:pt>
                <c:pt idx="341">
                  <c:v>17855.447999999993</c:v>
                </c:pt>
                <c:pt idx="342">
                  <c:v>17850.243999999995</c:v>
                </c:pt>
                <c:pt idx="343">
                  <c:v>17839.389999999996</c:v>
                </c:pt>
                <c:pt idx="344">
                  <c:v>17825.197999999997</c:v>
                </c:pt>
                <c:pt idx="345">
                  <c:v>17804.463999999996</c:v>
                </c:pt>
                <c:pt idx="346">
                  <c:v>17783.223999999998</c:v>
                </c:pt>
                <c:pt idx="347">
                  <c:v>17758.718000000001</c:v>
                </c:pt>
                <c:pt idx="348">
                  <c:v>17733.778999999999</c:v>
                </c:pt>
                <c:pt idx="349">
                  <c:v>17714.921000000002</c:v>
                </c:pt>
                <c:pt idx="350">
                  <c:v>17694.846000000001</c:v>
                </c:pt>
                <c:pt idx="351">
                  <c:v>17679.807000000001</c:v>
                </c:pt>
                <c:pt idx="352">
                  <c:v>17660.821000000004</c:v>
                </c:pt>
                <c:pt idx="353">
                  <c:v>17644.076000000005</c:v>
                </c:pt>
                <c:pt idx="354">
                  <c:v>17625.063000000002</c:v>
                </c:pt>
                <c:pt idx="355">
                  <c:v>17607.613000000001</c:v>
                </c:pt>
                <c:pt idx="356">
                  <c:v>17587.514999999999</c:v>
                </c:pt>
                <c:pt idx="357">
                  <c:v>17571.232000000004</c:v>
                </c:pt>
                <c:pt idx="358">
                  <c:v>17557.361000000001</c:v>
                </c:pt>
                <c:pt idx="359">
                  <c:v>17542.015000000003</c:v>
                </c:pt>
                <c:pt idx="360">
                  <c:v>17530.999000000003</c:v>
                </c:pt>
                <c:pt idx="361">
                  <c:v>17522.429000000004</c:v>
                </c:pt>
                <c:pt idx="362">
                  <c:v>17512.539000000004</c:v>
                </c:pt>
                <c:pt idx="363">
                  <c:v>17504.61900000001</c:v>
                </c:pt>
                <c:pt idx="364">
                  <c:v>17503.028000000006</c:v>
                </c:pt>
                <c:pt idx="365">
                  <c:v>17507.501000000007</c:v>
                </c:pt>
                <c:pt idx="366">
                  <c:v>17508.659000000007</c:v>
                </c:pt>
                <c:pt idx="367">
                  <c:v>17508.619000000006</c:v>
                </c:pt>
                <c:pt idx="368">
                  <c:v>17508.668000000009</c:v>
                </c:pt>
                <c:pt idx="369">
                  <c:v>17508.949000000008</c:v>
                </c:pt>
                <c:pt idx="370">
                  <c:v>17504.349000000006</c:v>
                </c:pt>
                <c:pt idx="371">
                  <c:v>17503.925000000007</c:v>
                </c:pt>
                <c:pt idx="372">
                  <c:v>17504.880000000005</c:v>
                </c:pt>
                <c:pt idx="373">
                  <c:v>17503.718000000004</c:v>
                </c:pt>
                <c:pt idx="374">
                  <c:v>17504.150000000005</c:v>
                </c:pt>
                <c:pt idx="375">
                  <c:v>17508.320000000003</c:v>
                </c:pt>
                <c:pt idx="376">
                  <c:v>17515.855000000007</c:v>
                </c:pt>
                <c:pt idx="377">
                  <c:v>17519.055000000008</c:v>
                </c:pt>
                <c:pt idx="378">
                  <c:v>17523.854000000007</c:v>
                </c:pt>
                <c:pt idx="379">
                  <c:v>17524.517000000007</c:v>
                </c:pt>
                <c:pt idx="380">
                  <c:v>17530.921000000006</c:v>
                </c:pt>
                <c:pt idx="381">
                  <c:v>17539.348000000005</c:v>
                </c:pt>
                <c:pt idx="382">
                  <c:v>17549.116000000002</c:v>
                </c:pt>
                <c:pt idx="383">
                  <c:v>17563.97</c:v>
                </c:pt>
                <c:pt idx="384">
                  <c:v>17580.041000000005</c:v>
                </c:pt>
                <c:pt idx="385">
                  <c:v>17598.702000000001</c:v>
                </c:pt>
                <c:pt idx="386">
                  <c:v>17616.578000000001</c:v>
                </c:pt>
                <c:pt idx="387">
                  <c:v>17634.134000000002</c:v>
                </c:pt>
                <c:pt idx="388">
                  <c:v>17647.715000000004</c:v>
                </c:pt>
                <c:pt idx="389">
                  <c:v>17665.345000000001</c:v>
                </c:pt>
                <c:pt idx="390">
                  <c:v>17679.745999999999</c:v>
                </c:pt>
                <c:pt idx="391">
                  <c:v>17692.477000000003</c:v>
                </c:pt>
                <c:pt idx="392">
                  <c:v>17703.097000000002</c:v>
                </c:pt>
                <c:pt idx="393">
                  <c:v>17717.728000000003</c:v>
                </c:pt>
                <c:pt idx="394">
                  <c:v>17739.457000000002</c:v>
                </c:pt>
                <c:pt idx="395">
                  <c:v>17768.344000000001</c:v>
                </c:pt>
                <c:pt idx="396">
                  <c:v>17800.155000000002</c:v>
                </c:pt>
                <c:pt idx="397">
                  <c:v>17831.400000000001</c:v>
                </c:pt>
                <c:pt idx="398">
                  <c:v>17861.442999999999</c:v>
                </c:pt>
                <c:pt idx="399">
                  <c:v>17890.124</c:v>
                </c:pt>
                <c:pt idx="400">
                  <c:v>17922.232999999997</c:v>
                </c:pt>
                <c:pt idx="401">
                  <c:v>17952.062999999998</c:v>
                </c:pt>
                <c:pt idx="402">
                  <c:v>17983.553</c:v>
                </c:pt>
                <c:pt idx="403">
                  <c:v>18014.706000000002</c:v>
                </c:pt>
                <c:pt idx="404">
                  <c:v>18047.073</c:v>
                </c:pt>
                <c:pt idx="405">
                  <c:v>18079.389000000003</c:v>
                </c:pt>
                <c:pt idx="406">
                  <c:v>18114.678</c:v>
                </c:pt>
                <c:pt idx="407">
                  <c:v>18148.182000000001</c:v>
                </c:pt>
                <c:pt idx="408">
                  <c:v>18174.749</c:v>
                </c:pt>
                <c:pt idx="409">
                  <c:v>18203.308000000005</c:v>
                </c:pt>
                <c:pt idx="410">
                  <c:v>18227.276000000002</c:v>
                </c:pt>
                <c:pt idx="411">
                  <c:v>18251.627</c:v>
                </c:pt>
                <c:pt idx="412">
                  <c:v>18276.282999999999</c:v>
                </c:pt>
                <c:pt idx="413">
                  <c:v>18297.261999999999</c:v>
                </c:pt>
                <c:pt idx="414">
                  <c:v>18314.324000000001</c:v>
                </c:pt>
                <c:pt idx="415">
                  <c:v>18331.588</c:v>
                </c:pt>
                <c:pt idx="416">
                  <c:v>18353.798999999999</c:v>
                </c:pt>
                <c:pt idx="417">
                  <c:v>18380.038</c:v>
                </c:pt>
                <c:pt idx="418">
                  <c:v>18411.444000000003</c:v>
                </c:pt>
                <c:pt idx="419">
                  <c:v>18445.406000000003</c:v>
                </c:pt>
                <c:pt idx="420">
                  <c:v>18480.705000000002</c:v>
                </c:pt>
                <c:pt idx="421">
                  <c:v>18513.807000000004</c:v>
                </c:pt>
                <c:pt idx="422">
                  <c:v>18548.368000000002</c:v>
                </c:pt>
                <c:pt idx="423">
                  <c:v>18578.732000000004</c:v>
                </c:pt>
                <c:pt idx="424">
                  <c:v>18607.549000000003</c:v>
                </c:pt>
                <c:pt idx="425">
                  <c:v>18635.037</c:v>
                </c:pt>
                <c:pt idx="426">
                  <c:v>18659.770000000004</c:v>
                </c:pt>
                <c:pt idx="427">
                  <c:v>18686.248000000003</c:v>
                </c:pt>
                <c:pt idx="428">
                  <c:v>18712.422000000002</c:v>
                </c:pt>
                <c:pt idx="429">
                  <c:v>18745.271000000004</c:v>
                </c:pt>
                <c:pt idx="430">
                  <c:v>18774.968000000001</c:v>
                </c:pt>
                <c:pt idx="431">
                  <c:v>18806.312000000002</c:v>
                </c:pt>
                <c:pt idx="432">
                  <c:v>18839.593000000004</c:v>
                </c:pt>
                <c:pt idx="433">
                  <c:v>18868.553000000004</c:v>
                </c:pt>
                <c:pt idx="434">
                  <c:v>18895.704000000005</c:v>
                </c:pt>
                <c:pt idx="435">
                  <c:v>18921.339000000004</c:v>
                </c:pt>
                <c:pt idx="436">
                  <c:v>18951.175000000007</c:v>
                </c:pt>
                <c:pt idx="437">
                  <c:v>18980.738000000008</c:v>
                </c:pt>
                <c:pt idx="438">
                  <c:v>19011.060000000009</c:v>
                </c:pt>
                <c:pt idx="439">
                  <c:v>19042.068000000007</c:v>
                </c:pt>
                <c:pt idx="440">
                  <c:v>19070.451000000008</c:v>
                </c:pt>
                <c:pt idx="441">
                  <c:v>19094.022000000008</c:v>
                </c:pt>
                <c:pt idx="442">
                  <c:v>19115.947000000007</c:v>
                </c:pt>
                <c:pt idx="443">
                  <c:v>19139.864000000009</c:v>
                </c:pt>
                <c:pt idx="444">
                  <c:v>19161.823000000008</c:v>
                </c:pt>
                <c:pt idx="445">
                  <c:v>19181.267000000007</c:v>
                </c:pt>
                <c:pt idx="446">
                  <c:v>19201.241000000005</c:v>
                </c:pt>
                <c:pt idx="447">
                  <c:v>19221.415000000008</c:v>
                </c:pt>
                <c:pt idx="448">
                  <c:v>19240.22600000001</c:v>
                </c:pt>
                <c:pt idx="449">
                  <c:v>19258.235000000008</c:v>
                </c:pt>
                <c:pt idx="450">
                  <c:v>19275.658000000007</c:v>
                </c:pt>
                <c:pt idx="451">
                  <c:v>19290.983000000007</c:v>
                </c:pt>
                <c:pt idx="452">
                  <c:v>19302.65800000001</c:v>
                </c:pt>
                <c:pt idx="453">
                  <c:v>19317.839000000007</c:v>
                </c:pt>
                <c:pt idx="454">
                  <c:v>19334.500000000007</c:v>
                </c:pt>
                <c:pt idx="455">
                  <c:v>19351.350000000009</c:v>
                </c:pt>
                <c:pt idx="456">
                  <c:v>19364.76100000001</c:v>
                </c:pt>
                <c:pt idx="457">
                  <c:v>19374.95900000001</c:v>
                </c:pt>
                <c:pt idx="458">
                  <c:v>19387.318000000007</c:v>
                </c:pt>
                <c:pt idx="459">
                  <c:v>19397.651000000009</c:v>
                </c:pt>
                <c:pt idx="460">
                  <c:v>19409.491000000005</c:v>
                </c:pt>
                <c:pt idx="461">
                  <c:v>19418.233000000004</c:v>
                </c:pt>
                <c:pt idx="462">
                  <c:v>19429.802000000007</c:v>
                </c:pt>
                <c:pt idx="463">
                  <c:v>19444.953000000005</c:v>
                </c:pt>
                <c:pt idx="464">
                  <c:v>19463.141000000007</c:v>
                </c:pt>
                <c:pt idx="465">
                  <c:v>19481.538000000004</c:v>
                </c:pt>
                <c:pt idx="466">
                  <c:v>19499.731000000007</c:v>
                </c:pt>
                <c:pt idx="467">
                  <c:v>19516.688000000006</c:v>
                </c:pt>
                <c:pt idx="468">
                  <c:v>19532.834000000003</c:v>
                </c:pt>
                <c:pt idx="469">
                  <c:v>19546.247000000003</c:v>
                </c:pt>
                <c:pt idx="470">
                  <c:v>19559.867000000002</c:v>
                </c:pt>
                <c:pt idx="471">
                  <c:v>19573.959000000003</c:v>
                </c:pt>
                <c:pt idx="472">
                  <c:v>19587.86</c:v>
                </c:pt>
                <c:pt idx="473">
                  <c:v>19603.89</c:v>
                </c:pt>
                <c:pt idx="474">
                  <c:v>19614.8</c:v>
                </c:pt>
                <c:pt idx="475">
                  <c:v>19620.859</c:v>
                </c:pt>
                <c:pt idx="476">
                  <c:v>19626.657999999999</c:v>
                </c:pt>
                <c:pt idx="477">
                  <c:v>19631.874</c:v>
                </c:pt>
                <c:pt idx="478">
                  <c:v>19633.878000000001</c:v>
                </c:pt>
                <c:pt idx="479">
                  <c:v>19633.977999999999</c:v>
                </c:pt>
                <c:pt idx="480">
                  <c:v>19629.464</c:v>
                </c:pt>
                <c:pt idx="481">
                  <c:v>19625.567000000003</c:v>
                </c:pt>
                <c:pt idx="482">
                  <c:v>19616.559000000001</c:v>
                </c:pt>
                <c:pt idx="483">
                  <c:v>19610.381000000001</c:v>
                </c:pt>
                <c:pt idx="484">
                  <c:v>19607.849000000002</c:v>
                </c:pt>
                <c:pt idx="485">
                  <c:v>19607.307000000001</c:v>
                </c:pt>
                <c:pt idx="486">
                  <c:v>19601.988000000001</c:v>
                </c:pt>
                <c:pt idx="487">
                  <c:v>19602.587</c:v>
                </c:pt>
                <c:pt idx="488">
                  <c:v>19605.892999999996</c:v>
                </c:pt>
                <c:pt idx="489">
                  <c:v>19606.696999999996</c:v>
                </c:pt>
                <c:pt idx="490">
                  <c:v>19607.046999999999</c:v>
                </c:pt>
                <c:pt idx="491">
                  <c:v>19611.150999999998</c:v>
                </c:pt>
                <c:pt idx="492">
                  <c:v>19619.748</c:v>
                </c:pt>
                <c:pt idx="493">
                  <c:v>19622.830000000002</c:v>
                </c:pt>
                <c:pt idx="494">
                  <c:v>19623.377999999997</c:v>
                </c:pt>
                <c:pt idx="495">
                  <c:v>19622.813999999998</c:v>
                </c:pt>
                <c:pt idx="496">
                  <c:v>19615.797999999999</c:v>
                </c:pt>
                <c:pt idx="497">
                  <c:v>19607.378999999997</c:v>
                </c:pt>
                <c:pt idx="498">
                  <c:v>19595.957999999999</c:v>
                </c:pt>
                <c:pt idx="499">
                  <c:v>19588.211999999996</c:v>
                </c:pt>
                <c:pt idx="500">
                  <c:v>19581.729999999996</c:v>
                </c:pt>
                <c:pt idx="501">
                  <c:v>19576.016999999996</c:v>
                </c:pt>
                <c:pt idx="502">
                  <c:v>19569.596999999998</c:v>
                </c:pt>
                <c:pt idx="503">
                  <c:v>19564.39</c:v>
                </c:pt>
                <c:pt idx="504">
                  <c:v>19561.072999999997</c:v>
                </c:pt>
                <c:pt idx="505">
                  <c:v>19560.427999999996</c:v>
                </c:pt>
                <c:pt idx="506">
                  <c:v>19560.827999999994</c:v>
                </c:pt>
                <c:pt idx="507">
                  <c:v>19564.381999999998</c:v>
                </c:pt>
                <c:pt idx="508">
                  <c:v>19566.166999999998</c:v>
                </c:pt>
                <c:pt idx="509">
                  <c:v>19567.821</c:v>
                </c:pt>
                <c:pt idx="510">
                  <c:v>19571.383000000002</c:v>
                </c:pt>
                <c:pt idx="511">
                  <c:v>19575.178</c:v>
                </c:pt>
                <c:pt idx="512">
                  <c:v>19579.981</c:v>
                </c:pt>
                <c:pt idx="513">
                  <c:v>19584.708999999995</c:v>
                </c:pt>
                <c:pt idx="514">
                  <c:v>19587.846999999998</c:v>
                </c:pt>
                <c:pt idx="515">
                  <c:v>19589.505999999998</c:v>
                </c:pt>
                <c:pt idx="516">
                  <c:v>19590.632999999998</c:v>
                </c:pt>
                <c:pt idx="517">
                  <c:v>19590.470999999998</c:v>
                </c:pt>
                <c:pt idx="518">
                  <c:v>19586.583999999999</c:v>
                </c:pt>
                <c:pt idx="519">
                  <c:v>19582.613999999998</c:v>
                </c:pt>
                <c:pt idx="520">
                  <c:v>19579.007999999998</c:v>
                </c:pt>
                <c:pt idx="521">
                  <c:v>19578.877999999997</c:v>
                </c:pt>
                <c:pt idx="522">
                  <c:v>19577.693999999996</c:v>
                </c:pt>
                <c:pt idx="523">
                  <c:v>19580.385999999999</c:v>
                </c:pt>
                <c:pt idx="524">
                  <c:v>19596.094000000001</c:v>
                </c:pt>
                <c:pt idx="525">
                  <c:v>19618.348999999998</c:v>
                </c:pt>
                <c:pt idx="526">
                  <c:v>19643.617999999999</c:v>
                </c:pt>
                <c:pt idx="527">
                  <c:v>19668.150000000001</c:v>
                </c:pt>
                <c:pt idx="528">
                  <c:v>19694.244000000002</c:v>
                </c:pt>
                <c:pt idx="529">
                  <c:v>19719.857</c:v>
                </c:pt>
                <c:pt idx="530">
                  <c:v>19747.514000000003</c:v>
                </c:pt>
                <c:pt idx="531">
                  <c:v>19773.275000000001</c:v>
                </c:pt>
                <c:pt idx="532">
                  <c:v>19806.353999999999</c:v>
                </c:pt>
                <c:pt idx="533">
                  <c:v>19846.764999999999</c:v>
                </c:pt>
                <c:pt idx="534">
                  <c:v>19884.222999999994</c:v>
                </c:pt>
                <c:pt idx="535">
                  <c:v>19920.214999999997</c:v>
                </c:pt>
                <c:pt idx="536">
                  <c:v>19952.970999999998</c:v>
                </c:pt>
                <c:pt idx="537">
                  <c:v>19984.275000000001</c:v>
                </c:pt>
                <c:pt idx="538">
                  <c:v>20015.036</c:v>
                </c:pt>
                <c:pt idx="539">
                  <c:v>20047.982999999997</c:v>
                </c:pt>
                <c:pt idx="540">
                  <c:v>20086.057000000001</c:v>
                </c:pt>
                <c:pt idx="541">
                  <c:v>20126.995999999999</c:v>
                </c:pt>
                <c:pt idx="542">
                  <c:v>20165.394</c:v>
                </c:pt>
                <c:pt idx="543">
                  <c:v>20206.810000000001</c:v>
                </c:pt>
                <c:pt idx="544">
                  <c:v>20247.632000000005</c:v>
                </c:pt>
                <c:pt idx="545">
                  <c:v>20287.126</c:v>
                </c:pt>
                <c:pt idx="546">
                  <c:v>20334.663</c:v>
                </c:pt>
                <c:pt idx="547">
                  <c:v>20386.436000000002</c:v>
                </c:pt>
                <c:pt idx="548">
                  <c:v>20439.550999999999</c:v>
                </c:pt>
                <c:pt idx="549">
                  <c:v>20489.503000000001</c:v>
                </c:pt>
                <c:pt idx="550">
                  <c:v>20539.059000000001</c:v>
                </c:pt>
                <c:pt idx="551">
                  <c:v>20590.411</c:v>
                </c:pt>
                <c:pt idx="552">
                  <c:v>20648.519</c:v>
                </c:pt>
                <c:pt idx="553">
                  <c:v>20707.803</c:v>
                </c:pt>
                <c:pt idx="554">
                  <c:v>20763.837000000003</c:v>
                </c:pt>
                <c:pt idx="555">
                  <c:v>20807.041000000001</c:v>
                </c:pt>
                <c:pt idx="556">
                  <c:v>20848.151999999998</c:v>
                </c:pt>
                <c:pt idx="557">
                  <c:v>20891.730000000003</c:v>
                </c:pt>
                <c:pt idx="558">
                  <c:v>20935.260000000002</c:v>
                </c:pt>
                <c:pt idx="559">
                  <c:v>20971.529000000002</c:v>
                </c:pt>
                <c:pt idx="560">
                  <c:v>21010.097000000002</c:v>
                </c:pt>
                <c:pt idx="561">
                  <c:v>21048.278000000002</c:v>
                </c:pt>
                <c:pt idx="562">
                  <c:v>21089.521000000001</c:v>
                </c:pt>
                <c:pt idx="563">
                  <c:v>21124.659000000003</c:v>
                </c:pt>
                <c:pt idx="564">
                  <c:v>21164.537</c:v>
                </c:pt>
                <c:pt idx="565">
                  <c:v>21204.606</c:v>
                </c:pt>
                <c:pt idx="566">
                  <c:v>21246.013999999999</c:v>
                </c:pt>
                <c:pt idx="567">
                  <c:v>21285.210999999999</c:v>
                </c:pt>
                <c:pt idx="568">
                  <c:v>21327.758999999998</c:v>
                </c:pt>
                <c:pt idx="569">
                  <c:v>21370.474999999999</c:v>
                </c:pt>
                <c:pt idx="570">
                  <c:v>21407.039999999994</c:v>
                </c:pt>
                <c:pt idx="571">
                  <c:v>21440.757999999998</c:v>
                </c:pt>
                <c:pt idx="572">
                  <c:v>21470.415999999997</c:v>
                </c:pt>
                <c:pt idx="573">
                  <c:v>21499.922999999995</c:v>
                </c:pt>
                <c:pt idx="574">
                  <c:v>21522.987999999998</c:v>
                </c:pt>
                <c:pt idx="575">
                  <c:v>21544.100999999995</c:v>
                </c:pt>
                <c:pt idx="576">
                  <c:v>21566.160999999996</c:v>
                </c:pt>
                <c:pt idx="577">
                  <c:v>21590.582999999999</c:v>
                </c:pt>
                <c:pt idx="578">
                  <c:v>21615.133999999998</c:v>
                </c:pt>
                <c:pt idx="579">
                  <c:v>21636.292999999998</c:v>
                </c:pt>
                <c:pt idx="580">
                  <c:v>21662.513999999996</c:v>
                </c:pt>
                <c:pt idx="581">
                  <c:v>21688.240999999995</c:v>
                </c:pt>
                <c:pt idx="582">
                  <c:v>21707.027999999998</c:v>
                </c:pt>
                <c:pt idx="583">
                  <c:v>21721.861999999997</c:v>
                </c:pt>
                <c:pt idx="584">
                  <c:v>21732.511999999999</c:v>
                </c:pt>
                <c:pt idx="585">
                  <c:v>21743.105999999996</c:v>
                </c:pt>
                <c:pt idx="586">
                  <c:v>21766.877999999997</c:v>
                </c:pt>
                <c:pt idx="587">
                  <c:v>21789.888999999999</c:v>
                </c:pt>
                <c:pt idx="588">
                  <c:v>21810.027000000002</c:v>
                </c:pt>
                <c:pt idx="589">
                  <c:v>21830.681</c:v>
                </c:pt>
                <c:pt idx="590">
                  <c:v>21847.457000000002</c:v>
                </c:pt>
                <c:pt idx="591">
                  <c:v>21858.536</c:v>
                </c:pt>
                <c:pt idx="592">
                  <c:v>21870.621999999996</c:v>
                </c:pt>
                <c:pt idx="593">
                  <c:v>21875.737999999998</c:v>
                </c:pt>
                <c:pt idx="594">
                  <c:v>21885.355</c:v>
                </c:pt>
                <c:pt idx="595">
                  <c:v>21895.474999999999</c:v>
                </c:pt>
                <c:pt idx="596">
                  <c:v>21903.417000000001</c:v>
                </c:pt>
                <c:pt idx="597">
                  <c:v>21905.55</c:v>
                </c:pt>
                <c:pt idx="598">
                  <c:v>21912.072</c:v>
                </c:pt>
                <c:pt idx="599">
                  <c:v>21921.414000000001</c:v>
                </c:pt>
                <c:pt idx="600">
                  <c:v>21930.974999999999</c:v>
                </c:pt>
                <c:pt idx="601">
                  <c:v>21938.125</c:v>
                </c:pt>
                <c:pt idx="602">
                  <c:v>21942.706999999999</c:v>
                </c:pt>
                <c:pt idx="603">
                  <c:v>21947.295999999995</c:v>
                </c:pt>
                <c:pt idx="604">
                  <c:v>21955.889999999996</c:v>
                </c:pt>
                <c:pt idx="605">
                  <c:v>21973.516999999996</c:v>
                </c:pt>
                <c:pt idx="606">
                  <c:v>21992.965</c:v>
                </c:pt>
                <c:pt idx="607">
                  <c:v>22010.809999999994</c:v>
                </c:pt>
                <c:pt idx="608">
                  <c:v>22029.647999999997</c:v>
                </c:pt>
                <c:pt idx="609">
                  <c:v>22058.197999999997</c:v>
                </c:pt>
                <c:pt idx="610">
                  <c:v>22081.973999999998</c:v>
                </c:pt>
                <c:pt idx="611">
                  <c:v>22109.998</c:v>
                </c:pt>
                <c:pt idx="612">
                  <c:v>22125.633999999998</c:v>
                </c:pt>
                <c:pt idx="613">
                  <c:v>22140.641999999996</c:v>
                </c:pt>
                <c:pt idx="614">
                  <c:v>22149.085999999996</c:v>
                </c:pt>
                <c:pt idx="615">
                  <c:v>22155.054</c:v>
                </c:pt>
                <c:pt idx="616">
                  <c:v>22160.917999999998</c:v>
                </c:pt>
                <c:pt idx="617">
                  <c:v>22172.211999999996</c:v>
                </c:pt>
                <c:pt idx="618">
                  <c:v>22180.983999999993</c:v>
                </c:pt>
                <c:pt idx="619">
                  <c:v>22190.421999999999</c:v>
                </c:pt>
                <c:pt idx="620">
                  <c:v>22207.47</c:v>
                </c:pt>
                <c:pt idx="621">
                  <c:v>22220.218999999997</c:v>
                </c:pt>
                <c:pt idx="622">
                  <c:v>22240.766</c:v>
                </c:pt>
                <c:pt idx="623">
                  <c:v>22257.998000000003</c:v>
                </c:pt>
                <c:pt idx="624">
                  <c:v>22274.161</c:v>
                </c:pt>
                <c:pt idx="625">
                  <c:v>22285.463000000003</c:v>
                </c:pt>
                <c:pt idx="626">
                  <c:v>22293.503000000004</c:v>
                </c:pt>
                <c:pt idx="627">
                  <c:v>22297.108000000004</c:v>
                </c:pt>
                <c:pt idx="628">
                  <c:v>22299.219000000005</c:v>
                </c:pt>
                <c:pt idx="629">
                  <c:v>22297.267999999996</c:v>
                </c:pt>
                <c:pt idx="630">
                  <c:v>22294.023000000001</c:v>
                </c:pt>
                <c:pt idx="631">
                  <c:v>22291.85</c:v>
                </c:pt>
                <c:pt idx="632">
                  <c:v>22293.766</c:v>
                </c:pt>
                <c:pt idx="633">
                  <c:v>22293.81</c:v>
                </c:pt>
                <c:pt idx="634">
                  <c:v>22302.864000000005</c:v>
                </c:pt>
                <c:pt idx="635">
                  <c:v>22312.530000000006</c:v>
                </c:pt>
                <c:pt idx="636">
                  <c:v>22315.795000000006</c:v>
                </c:pt>
                <c:pt idx="637">
                  <c:v>22318.264000000003</c:v>
                </c:pt>
                <c:pt idx="638">
                  <c:v>22323.094000000005</c:v>
                </c:pt>
                <c:pt idx="639">
                  <c:v>22332.965999999997</c:v>
                </c:pt>
                <c:pt idx="640">
                  <c:v>22342.237000000001</c:v>
                </c:pt>
                <c:pt idx="641">
                  <c:v>22354.232999999997</c:v>
                </c:pt>
                <c:pt idx="642">
                  <c:v>22365.281999999996</c:v>
                </c:pt>
                <c:pt idx="643">
                  <c:v>22379.421999999999</c:v>
                </c:pt>
                <c:pt idx="644">
                  <c:v>22386.261999999992</c:v>
                </c:pt>
                <c:pt idx="645">
                  <c:v>22396.408999999996</c:v>
                </c:pt>
                <c:pt idx="646">
                  <c:v>22420.572999999993</c:v>
                </c:pt>
                <c:pt idx="647">
                  <c:v>22421.913999999993</c:v>
                </c:pt>
                <c:pt idx="648">
                  <c:v>22437.539000000001</c:v>
                </c:pt>
                <c:pt idx="649">
                  <c:v>22453.727999999999</c:v>
                </c:pt>
                <c:pt idx="650">
                  <c:v>22477.595999999998</c:v>
                </c:pt>
                <c:pt idx="651">
                  <c:v>22502.685999999998</c:v>
                </c:pt>
                <c:pt idx="652">
                  <c:v>22525.509999999995</c:v>
                </c:pt>
                <c:pt idx="653">
                  <c:v>22545.431</c:v>
                </c:pt>
                <c:pt idx="654">
                  <c:v>22564.168999999998</c:v>
                </c:pt>
                <c:pt idx="655">
                  <c:v>22584.415000000001</c:v>
                </c:pt>
                <c:pt idx="656">
                  <c:v>22606.880000000001</c:v>
                </c:pt>
                <c:pt idx="657">
                  <c:v>22626.906999999996</c:v>
                </c:pt>
                <c:pt idx="658">
                  <c:v>22647.972999999998</c:v>
                </c:pt>
                <c:pt idx="659">
                  <c:v>22664.668999999998</c:v>
                </c:pt>
                <c:pt idx="660">
                  <c:v>22682.571</c:v>
                </c:pt>
                <c:pt idx="661">
                  <c:v>22701.921000000002</c:v>
                </c:pt>
                <c:pt idx="662">
                  <c:v>22728.909000000003</c:v>
                </c:pt>
                <c:pt idx="663">
                  <c:v>22764.348999999998</c:v>
                </c:pt>
                <c:pt idx="664">
                  <c:v>22801.602999999999</c:v>
                </c:pt>
                <c:pt idx="665">
                  <c:v>22844.524999999994</c:v>
                </c:pt>
                <c:pt idx="666">
                  <c:v>22884.061999999998</c:v>
                </c:pt>
                <c:pt idx="667">
                  <c:v>22923.063999999998</c:v>
                </c:pt>
                <c:pt idx="668">
                  <c:v>22961.746999999996</c:v>
                </c:pt>
                <c:pt idx="669">
                  <c:v>23000.175999999999</c:v>
                </c:pt>
                <c:pt idx="670">
                  <c:v>23035.18</c:v>
                </c:pt>
                <c:pt idx="671">
                  <c:v>23075.445</c:v>
                </c:pt>
                <c:pt idx="672">
                  <c:v>23109.065999999995</c:v>
                </c:pt>
                <c:pt idx="673">
                  <c:v>23143.287999999997</c:v>
                </c:pt>
                <c:pt idx="674">
                  <c:v>23180.366999999998</c:v>
                </c:pt>
                <c:pt idx="675">
                  <c:v>23222.583999999995</c:v>
                </c:pt>
                <c:pt idx="676">
                  <c:v>23265.989999999994</c:v>
                </c:pt>
                <c:pt idx="677">
                  <c:v>23315.956999999999</c:v>
                </c:pt>
                <c:pt idx="678">
                  <c:v>23360.524999999994</c:v>
                </c:pt>
                <c:pt idx="679">
                  <c:v>23411.56</c:v>
                </c:pt>
                <c:pt idx="680">
                  <c:v>23460.037</c:v>
                </c:pt>
                <c:pt idx="681">
                  <c:v>23506.226000000002</c:v>
                </c:pt>
                <c:pt idx="682">
                  <c:v>23549.991000000002</c:v>
                </c:pt>
                <c:pt idx="683">
                  <c:v>23602.677000000003</c:v>
                </c:pt>
                <c:pt idx="684">
                  <c:v>23651.322000000007</c:v>
                </c:pt>
                <c:pt idx="685">
                  <c:v>23699.146000000004</c:v>
                </c:pt>
                <c:pt idx="686">
                  <c:v>23748.129000000004</c:v>
                </c:pt>
                <c:pt idx="687">
                  <c:v>23797.766</c:v>
                </c:pt>
                <c:pt idx="688">
                  <c:v>23840.163999999993</c:v>
                </c:pt>
                <c:pt idx="689">
                  <c:v>23861.922999999995</c:v>
                </c:pt>
                <c:pt idx="690">
                  <c:v>23882.631999999994</c:v>
                </c:pt>
                <c:pt idx="691">
                  <c:v>23909.932999999994</c:v>
                </c:pt>
                <c:pt idx="692">
                  <c:v>23934.509999999995</c:v>
                </c:pt>
                <c:pt idx="693">
                  <c:v>23967.766</c:v>
                </c:pt>
                <c:pt idx="694">
                  <c:v>24004.932999999997</c:v>
                </c:pt>
                <c:pt idx="695">
                  <c:v>24037.098999999998</c:v>
                </c:pt>
                <c:pt idx="696">
                  <c:v>24054.695999999996</c:v>
                </c:pt>
                <c:pt idx="697">
                  <c:v>24107.828999999994</c:v>
                </c:pt>
                <c:pt idx="698">
                  <c:v>24146.874999999989</c:v>
                </c:pt>
                <c:pt idx="699">
                  <c:v>24184.423999999995</c:v>
                </c:pt>
                <c:pt idx="700">
                  <c:v>24214.024999999994</c:v>
                </c:pt>
                <c:pt idx="701">
                  <c:v>24245.070999999996</c:v>
                </c:pt>
                <c:pt idx="702">
                  <c:v>24276.236999999997</c:v>
                </c:pt>
                <c:pt idx="703">
                  <c:v>24309.99</c:v>
                </c:pt>
                <c:pt idx="704">
                  <c:v>24342.367000000002</c:v>
                </c:pt>
                <c:pt idx="705">
                  <c:v>24374.102000000006</c:v>
                </c:pt>
                <c:pt idx="706">
                  <c:v>24405.983000000004</c:v>
                </c:pt>
                <c:pt idx="707">
                  <c:v>24440.381000000001</c:v>
                </c:pt>
                <c:pt idx="708">
                  <c:v>24474.615000000002</c:v>
                </c:pt>
                <c:pt idx="709">
                  <c:v>24510.190000000006</c:v>
                </c:pt>
                <c:pt idx="710">
                  <c:v>24543.407000000003</c:v>
                </c:pt>
                <c:pt idx="711">
                  <c:v>24571.883000000002</c:v>
                </c:pt>
                <c:pt idx="712">
                  <c:v>24591.55</c:v>
                </c:pt>
                <c:pt idx="713">
                  <c:v>24609.387999999992</c:v>
                </c:pt>
                <c:pt idx="714">
                  <c:v>24629.998</c:v>
                </c:pt>
                <c:pt idx="715">
                  <c:v>24645.527999999998</c:v>
                </c:pt>
                <c:pt idx="716">
                  <c:v>24670.828999999994</c:v>
                </c:pt>
                <c:pt idx="717">
                  <c:v>24692.228999999996</c:v>
                </c:pt>
                <c:pt idx="718">
                  <c:v>24713.86099999999</c:v>
                </c:pt>
                <c:pt idx="719">
                  <c:v>24735.75499999999</c:v>
                </c:pt>
                <c:pt idx="720">
                  <c:v>24756.894999999997</c:v>
                </c:pt>
                <c:pt idx="721">
                  <c:v>24776.546999999999</c:v>
                </c:pt>
                <c:pt idx="722">
                  <c:v>24805.876999999997</c:v>
                </c:pt>
                <c:pt idx="723">
                  <c:v>24838.339</c:v>
                </c:pt>
                <c:pt idx="724">
                  <c:v>24867.103999999999</c:v>
                </c:pt>
                <c:pt idx="725">
                  <c:v>24895.452999999994</c:v>
                </c:pt>
                <c:pt idx="726">
                  <c:v>24927.513999999996</c:v>
                </c:pt>
                <c:pt idx="727">
                  <c:v>24955.07599999999</c:v>
                </c:pt>
                <c:pt idx="728">
                  <c:v>24980.674999999996</c:v>
                </c:pt>
                <c:pt idx="729">
                  <c:v>25006.428</c:v>
                </c:pt>
                <c:pt idx="730">
                  <c:v>25021.848999999995</c:v>
                </c:pt>
                <c:pt idx="731">
                  <c:v>25033.870999999999</c:v>
                </c:pt>
                <c:pt idx="732">
                  <c:v>25041.664000000004</c:v>
                </c:pt>
                <c:pt idx="733">
                  <c:v>25045.23</c:v>
                </c:pt>
                <c:pt idx="734">
                  <c:v>25048.147000000001</c:v>
                </c:pt>
                <c:pt idx="735">
                  <c:v>25050.970000000005</c:v>
                </c:pt>
                <c:pt idx="736">
                  <c:v>25051.232000000004</c:v>
                </c:pt>
                <c:pt idx="737">
                  <c:v>25053.573000000004</c:v>
                </c:pt>
                <c:pt idx="738">
                  <c:v>25060.366000000002</c:v>
                </c:pt>
                <c:pt idx="739">
                  <c:v>25078.68</c:v>
                </c:pt>
                <c:pt idx="740">
                  <c:v>25093.826000000001</c:v>
                </c:pt>
                <c:pt idx="741">
                  <c:v>25104.957000000002</c:v>
                </c:pt>
                <c:pt idx="742">
                  <c:v>25118.239000000009</c:v>
                </c:pt>
                <c:pt idx="743">
                  <c:v>25120.331000000009</c:v>
                </c:pt>
                <c:pt idx="744">
                  <c:v>25122.10100000001</c:v>
                </c:pt>
                <c:pt idx="745">
                  <c:v>25127.309000000008</c:v>
                </c:pt>
                <c:pt idx="746">
                  <c:v>25128.05000000001</c:v>
                </c:pt>
                <c:pt idx="747">
                  <c:v>25124.010000000006</c:v>
                </c:pt>
                <c:pt idx="748">
                  <c:v>25121.894000000008</c:v>
                </c:pt>
                <c:pt idx="749">
                  <c:v>25114.734000000004</c:v>
                </c:pt>
                <c:pt idx="750">
                  <c:v>25103.437000000005</c:v>
                </c:pt>
                <c:pt idx="751">
                  <c:v>25093.294000000005</c:v>
                </c:pt>
                <c:pt idx="752">
                  <c:v>25076.738000000001</c:v>
                </c:pt>
                <c:pt idx="753">
                  <c:v>25060.792000000005</c:v>
                </c:pt>
                <c:pt idx="754">
                  <c:v>25050.118000000006</c:v>
                </c:pt>
                <c:pt idx="755">
                  <c:v>25033.058000000012</c:v>
                </c:pt>
                <c:pt idx="756">
                  <c:v>25012.983000000007</c:v>
                </c:pt>
                <c:pt idx="757">
                  <c:v>24991.091000000011</c:v>
                </c:pt>
                <c:pt idx="758">
                  <c:v>24963.186000000005</c:v>
                </c:pt>
                <c:pt idx="759">
                  <c:v>24928.770000000004</c:v>
                </c:pt>
                <c:pt idx="760">
                  <c:v>24895.45</c:v>
                </c:pt>
                <c:pt idx="761">
                  <c:v>24861.624</c:v>
                </c:pt>
                <c:pt idx="762">
                  <c:v>24834.951000000001</c:v>
                </c:pt>
                <c:pt idx="763">
                  <c:v>24803.220999999998</c:v>
                </c:pt>
                <c:pt idx="764">
                  <c:v>24780.543999999998</c:v>
                </c:pt>
                <c:pt idx="765">
                  <c:v>24766.612999999994</c:v>
                </c:pt>
                <c:pt idx="766">
                  <c:v>24742.724999999995</c:v>
                </c:pt>
                <c:pt idx="767">
                  <c:v>24721.092999999997</c:v>
                </c:pt>
                <c:pt idx="768">
                  <c:v>24691.70099999999</c:v>
                </c:pt>
                <c:pt idx="769">
                  <c:v>24665.951999999994</c:v>
                </c:pt>
                <c:pt idx="770">
                  <c:v>24643.921999999999</c:v>
                </c:pt>
                <c:pt idx="771">
                  <c:v>24624.749</c:v>
                </c:pt>
                <c:pt idx="772">
                  <c:v>24598.278999999995</c:v>
                </c:pt>
                <c:pt idx="773">
                  <c:v>24573.665999999997</c:v>
                </c:pt>
                <c:pt idx="774">
                  <c:v>24548.413999999993</c:v>
                </c:pt>
                <c:pt idx="775">
                  <c:v>24520.710999999996</c:v>
                </c:pt>
                <c:pt idx="776">
                  <c:v>24488.591</c:v>
                </c:pt>
                <c:pt idx="777">
                  <c:v>24457.847999999998</c:v>
                </c:pt>
                <c:pt idx="778">
                  <c:v>24432.605</c:v>
                </c:pt>
                <c:pt idx="779">
                  <c:v>24412.033000000003</c:v>
                </c:pt>
                <c:pt idx="780">
                  <c:v>24400.396000000004</c:v>
                </c:pt>
                <c:pt idx="781">
                  <c:v>24386.824000000004</c:v>
                </c:pt>
                <c:pt idx="782">
                  <c:v>24374.886000000006</c:v>
                </c:pt>
                <c:pt idx="783">
                  <c:v>24353.657000000003</c:v>
                </c:pt>
                <c:pt idx="784">
                  <c:v>24325.768000000004</c:v>
                </c:pt>
                <c:pt idx="785">
                  <c:v>24300.868000000002</c:v>
                </c:pt>
                <c:pt idx="786">
                  <c:v>24276.136000000002</c:v>
                </c:pt>
                <c:pt idx="787">
                  <c:v>24248.581000000002</c:v>
                </c:pt>
                <c:pt idx="788">
                  <c:v>24223.701999999997</c:v>
                </c:pt>
                <c:pt idx="789">
                  <c:v>24197.173999999995</c:v>
                </c:pt>
                <c:pt idx="790">
                  <c:v>24175.072999999993</c:v>
                </c:pt>
                <c:pt idx="791">
                  <c:v>24152.849999999995</c:v>
                </c:pt>
                <c:pt idx="792">
                  <c:v>24141.000999999997</c:v>
                </c:pt>
                <c:pt idx="793">
                  <c:v>24131.653999999995</c:v>
                </c:pt>
                <c:pt idx="794">
                  <c:v>24115.264999999999</c:v>
                </c:pt>
                <c:pt idx="795">
                  <c:v>24101.434999999994</c:v>
                </c:pt>
                <c:pt idx="796">
                  <c:v>24091.597999999998</c:v>
                </c:pt>
                <c:pt idx="797">
                  <c:v>24075.345000000001</c:v>
                </c:pt>
                <c:pt idx="798">
                  <c:v>24054.638000000003</c:v>
                </c:pt>
                <c:pt idx="799">
                  <c:v>24029.54</c:v>
                </c:pt>
                <c:pt idx="800">
                  <c:v>24008.954000000005</c:v>
                </c:pt>
                <c:pt idx="801">
                  <c:v>23987.131000000001</c:v>
                </c:pt>
                <c:pt idx="802">
                  <c:v>23973.460000000006</c:v>
                </c:pt>
                <c:pt idx="803">
                  <c:v>23953.258000000002</c:v>
                </c:pt>
                <c:pt idx="804">
                  <c:v>23930.472000000002</c:v>
                </c:pt>
                <c:pt idx="805">
                  <c:v>23906.977999999999</c:v>
                </c:pt>
                <c:pt idx="806">
                  <c:v>23887.120999999996</c:v>
                </c:pt>
                <c:pt idx="807">
                  <c:v>23868.402000000002</c:v>
                </c:pt>
                <c:pt idx="808">
                  <c:v>23852.576999999997</c:v>
                </c:pt>
                <c:pt idx="809">
                  <c:v>23837.978999999999</c:v>
                </c:pt>
                <c:pt idx="810">
                  <c:v>23826.47</c:v>
                </c:pt>
                <c:pt idx="811">
                  <c:v>23820.656000000003</c:v>
                </c:pt>
                <c:pt idx="812">
                  <c:v>23815.276000000002</c:v>
                </c:pt>
                <c:pt idx="813">
                  <c:v>23818.445999999996</c:v>
                </c:pt>
                <c:pt idx="814">
                  <c:v>23809.944</c:v>
                </c:pt>
                <c:pt idx="815">
                  <c:v>23792.726999999999</c:v>
                </c:pt>
                <c:pt idx="816">
                  <c:v>23783.621999999996</c:v>
                </c:pt>
                <c:pt idx="817">
                  <c:v>23772.05</c:v>
                </c:pt>
                <c:pt idx="818">
                  <c:v>23765.834000000003</c:v>
                </c:pt>
                <c:pt idx="819">
                  <c:v>23754.411</c:v>
                </c:pt>
                <c:pt idx="820">
                  <c:v>23736.522000000008</c:v>
                </c:pt>
                <c:pt idx="821">
                  <c:v>23708.815000000006</c:v>
                </c:pt>
                <c:pt idx="822">
                  <c:v>23680.371000000006</c:v>
                </c:pt>
                <c:pt idx="823">
                  <c:v>23646.831000000002</c:v>
                </c:pt>
                <c:pt idx="824">
                  <c:v>23611.860000000004</c:v>
                </c:pt>
                <c:pt idx="825">
                  <c:v>23578.670000000006</c:v>
                </c:pt>
                <c:pt idx="826">
                  <c:v>23545.375</c:v>
                </c:pt>
                <c:pt idx="827">
                  <c:v>23511.196999999996</c:v>
                </c:pt>
                <c:pt idx="828">
                  <c:v>23478.485999999997</c:v>
                </c:pt>
                <c:pt idx="829">
                  <c:v>23439.037999999997</c:v>
                </c:pt>
                <c:pt idx="830">
                  <c:v>23396.739999999994</c:v>
                </c:pt>
                <c:pt idx="831">
                  <c:v>23360.971000000001</c:v>
                </c:pt>
                <c:pt idx="832">
                  <c:v>23327.895</c:v>
                </c:pt>
                <c:pt idx="833">
                  <c:v>23291.355000000003</c:v>
                </c:pt>
                <c:pt idx="834">
                  <c:v>23261.991000000005</c:v>
                </c:pt>
                <c:pt idx="835">
                  <c:v>23228.575000000004</c:v>
                </c:pt>
                <c:pt idx="836">
                  <c:v>23200.768000000004</c:v>
                </c:pt>
                <c:pt idx="837">
                  <c:v>23176.658000000003</c:v>
                </c:pt>
                <c:pt idx="838">
                  <c:v>23151.440000000006</c:v>
                </c:pt>
                <c:pt idx="839">
                  <c:v>23127.748000000007</c:v>
                </c:pt>
                <c:pt idx="840">
                  <c:v>23104.810000000005</c:v>
                </c:pt>
                <c:pt idx="841">
                  <c:v>23079.362000000008</c:v>
                </c:pt>
                <c:pt idx="842">
                  <c:v>23043.533000000007</c:v>
                </c:pt>
                <c:pt idx="843">
                  <c:v>23013.613000000001</c:v>
                </c:pt>
                <c:pt idx="844">
                  <c:v>22997.978000000003</c:v>
                </c:pt>
                <c:pt idx="845">
                  <c:v>22981.972000000012</c:v>
                </c:pt>
                <c:pt idx="846">
                  <c:v>22972.006000000005</c:v>
                </c:pt>
                <c:pt idx="847">
                  <c:v>22968.484000000008</c:v>
                </c:pt>
                <c:pt idx="848">
                  <c:v>22973.021000000004</c:v>
                </c:pt>
                <c:pt idx="849">
                  <c:v>22984.674999999999</c:v>
                </c:pt>
                <c:pt idx="850">
                  <c:v>22990.891000000007</c:v>
                </c:pt>
                <c:pt idx="851">
                  <c:v>22998.466000000004</c:v>
                </c:pt>
                <c:pt idx="852">
                  <c:v>23002.617000000006</c:v>
                </c:pt>
                <c:pt idx="853">
                  <c:v>23001.867000000006</c:v>
                </c:pt>
                <c:pt idx="854">
                  <c:v>23001.61900000001</c:v>
                </c:pt>
                <c:pt idx="855">
                  <c:v>23006.128000000008</c:v>
                </c:pt>
                <c:pt idx="856">
                  <c:v>23001.110000000004</c:v>
                </c:pt>
                <c:pt idx="857">
                  <c:v>22980.235000000008</c:v>
                </c:pt>
                <c:pt idx="858">
                  <c:v>22969.108000000007</c:v>
                </c:pt>
                <c:pt idx="859">
                  <c:v>22960.508000000002</c:v>
                </c:pt>
                <c:pt idx="860">
                  <c:v>22957.934000000005</c:v>
                </c:pt>
                <c:pt idx="861">
                  <c:v>22961.243000000002</c:v>
                </c:pt>
                <c:pt idx="862">
                  <c:v>22964.996999999996</c:v>
                </c:pt>
                <c:pt idx="863">
                  <c:v>22971.861999999994</c:v>
                </c:pt>
                <c:pt idx="864">
                  <c:v>22984.729999999996</c:v>
                </c:pt>
                <c:pt idx="865">
                  <c:v>23000.853999999996</c:v>
                </c:pt>
                <c:pt idx="866">
                  <c:v>23012.647999999997</c:v>
                </c:pt>
                <c:pt idx="867">
                  <c:v>23023.655999999992</c:v>
                </c:pt>
                <c:pt idx="868">
                  <c:v>23032.375999999997</c:v>
                </c:pt>
                <c:pt idx="869">
                  <c:v>23047.747000000003</c:v>
                </c:pt>
                <c:pt idx="870">
                  <c:v>23066.833999999999</c:v>
                </c:pt>
                <c:pt idx="871">
                  <c:v>23092.081999999999</c:v>
                </c:pt>
                <c:pt idx="872">
                  <c:v>23118.11099999999</c:v>
                </c:pt>
                <c:pt idx="873">
                  <c:v>23146.705999999991</c:v>
                </c:pt>
                <c:pt idx="874">
                  <c:v>23175.712999999992</c:v>
                </c:pt>
                <c:pt idx="875">
                  <c:v>23204.810999999991</c:v>
                </c:pt>
                <c:pt idx="876">
                  <c:v>23231.380999999998</c:v>
                </c:pt>
                <c:pt idx="877">
                  <c:v>23252.882999999994</c:v>
                </c:pt>
                <c:pt idx="878">
                  <c:v>23293.113999999994</c:v>
                </c:pt>
                <c:pt idx="879">
                  <c:v>23328.762999999992</c:v>
                </c:pt>
                <c:pt idx="880">
                  <c:v>23371.033999999996</c:v>
                </c:pt>
                <c:pt idx="881">
                  <c:v>23421.324999999997</c:v>
                </c:pt>
                <c:pt idx="882">
                  <c:v>23470.82</c:v>
                </c:pt>
                <c:pt idx="883">
                  <c:v>23527.235000000001</c:v>
                </c:pt>
                <c:pt idx="884">
                  <c:v>23578.526999999998</c:v>
                </c:pt>
                <c:pt idx="885">
                  <c:v>23633.142999999993</c:v>
                </c:pt>
                <c:pt idx="886">
                  <c:v>23678.590999999993</c:v>
                </c:pt>
                <c:pt idx="887">
                  <c:v>23724.759999999991</c:v>
                </c:pt>
                <c:pt idx="888">
                  <c:v>23773.732999999989</c:v>
                </c:pt>
                <c:pt idx="889">
                  <c:v>23821.050999999989</c:v>
                </c:pt>
                <c:pt idx="890">
                  <c:v>23866.141999999989</c:v>
                </c:pt>
                <c:pt idx="891">
                  <c:v>23913.403999999991</c:v>
                </c:pt>
                <c:pt idx="892">
                  <c:v>23960.473999999991</c:v>
                </c:pt>
                <c:pt idx="893">
                  <c:v>24004.63099999999</c:v>
                </c:pt>
                <c:pt idx="894">
                  <c:v>24038.794999999995</c:v>
                </c:pt>
                <c:pt idx="895">
                  <c:v>24073.046999999999</c:v>
                </c:pt>
                <c:pt idx="896">
                  <c:v>24104.251999999997</c:v>
                </c:pt>
                <c:pt idx="897">
                  <c:v>24137.304999999997</c:v>
                </c:pt>
                <c:pt idx="898">
                  <c:v>24166.201999999997</c:v>
                </c:pt>
                <c:pt idx="899">
                  <c:v>24194.913999999993</c:v>
                </c:pt>
                <c:pt idx="900">
                  <c:v>24228.00499999999</c:v>
                </c:pt>
                <c:pt idx="901">
                  <c:v>24253.929999999989</c:v>
                </c:pt>
                <c:pt idx="902">
                  <c:v>24277.91499999999</c:v>
                </c:pt>
                <c:pt idx="903">
                  <c:v>24313.530999999992</c:v>
                </c:pt>
                <c:pt idx="904">
                  <c:v>24343.951999999994</c:v>
                </c:pt>
                <c:pt idx="905">
                  <c:v>24375.190999999995</c:v>
                </c:pt>
                <c:pt idx="906">
                  <c:v>24412.966999999997</c:v>
                </c:pt>
                <c:pt idx="907">
                  <c:v>24471.982999999993</c:v>
                </c:pt>
                <c:pt idx="908">
                  <c:v>24520.703999999994</c:v>
                </c:pt>
                <c:pt idx="909">
                  <c:v>24573.607999999993</c:v>
                </c:pt>
                <c:pt idx="910">
                  <c:v>24621.931999999993</c:v>
                </c:pt>
                <c:pt idx="911">
                  <c:v>24666.340999999993</c:v>
                </c:pt>
                <c:pt idx="912">
                  <c:v>24710.352999999992</c:v>
                </c:pt>
                <c:pt idx="913">
                  <c:v>24743.660999999996</c:v>
                </c:pt>
                <c:pt idx="914">
                  <c:v>24771.986000000001</c:v>
                </c:pt>
                <c:pt idx="915">
                  <c:v>24797.708999999999</c:v>
                </c:pt>
                <c:pt idx="916">
                  <c:v>24819.236000000001</c:v>
                </c:pt>
                <c:pt idx="917">
                  <c:v>24843.522000000001</c:v>
                </c:pt>
                <c:pt idx="918">
                  <c:v>24871.960999999999</c:v>
                </c:pt>
                <c:pt idx="919">
                  <c:v>24895.841</c:v>
                </c:pt>
                <c:pt idx="920">
                  <c:v>24918.644000000004</c:v>
                </c:pt>
                <c:pt idx="921">
                  <c:v>24939.06500000001</c:v>
                </c:pt>
                <c:pt idx="922">
                  <c:v>24955.128000000012</c:v>
                </c:pt>
                <c:pt idx="923">
                  <c:v>24967.55100000001</c:v>
                </c:pt>
                <c:pt idx="924">
                  <c:v>24983.875000000015</c:v>
                </c:pt>
                <c:pt idx="925">
                  <c:v>24999.828000000012</c:v>
                </c:pt>
                <c:pt idx="926">
                  <c:v>25016.581000000009</c:v>
                </c:pt>
                <c:pt idx="927">
                  <c:v>25035.789000000012</c:v>
                </c:pt>
                <c:pt idx="928">
                  <c:v>25039.109000000008</c:v>
                </c:pt>
                <c:pt idx="929">
                  <c:v>25048.760000000006</c:v>
                </c:pt>
                <c:pt idx="930">
                  <c:v>25059.820000000003</c:v>
                </c:pt>
                <c:pt idx="931">
                  <c:v>25059.82</c:v>
                </c:pt>
                <c:pt idx="932">
                  <c:v>25056.164000000004</c:v>
                </c:pt>
                <c:pt idx="933">
                  <c:v>25050.873000000003</c:v>
                </c:pt>
                <c:pt idx="934">
                  <c:v>25053.617000000002</c:v>
                </c:pt>
                <c:pt idx="935">
                  <c:v>25054.449000000004</c:v>
                </c:pt>
                <c:pt idx="936">
                  <c:v>25057.622000000007</c:v>
                </c:pt>
                <c:pt idx="937">
                  <c:v>25051.866000000009</c:v>
                </c:pt>
                <c:pt idx="938">
                  <c:v>25046.298000000013</c:v>
                </c:pt>
                <c:pt idx="939">
                  <c:v>25042.765000000014</c:v>
                </c:pt>
                <c:pt idx="940">
                  <c:v>25039.200000000008</c:v>
                </c:pt>
                <c:pt idx="941">
                  <c:v>25034.451000000012</c:v>
                </c:pt>
                <c:pt idx="942">
                  <c:v>25026.703000000012</c:v>
                </c:pt>
                <c:pt idx="943">
                  <c:v>25024.072000000007</c:v>
                </c:pt>
                <c:pt idx="944">
                  <c:v>25022.970000000005</c:v>
                </c:pt>
                <c:pt idx="945">
                  <c:v>25022.953000000001</c:v>
                </c:pt>
                <c:pt idx="946">
                  <c:v>25020.561000000002</c:v>
                </c:pt>
                <c:pt idx="947">
                  <c:v>25018.039000000001</c:v>
                </c:pt>
                <c:pt idx="948">
                  <c:v>25015.588</c:v>
                </c:pt>
                <c:pt idx="949">
                  <c:v>25014.513999999999</c:v>
                </c:pt>
                <c:pt idx="950">
                  <c:v>25013.361000000001</c:v>
                </c:pt>
                <c:pt idx="951">
                  <c:v>25012.999000000003</c:v>
                </c:pt>
                <c:pt idx="952">
                  <c:v>25017.982000000007</c:v>
                </c:pt>
                <c:pt idx="953">
                  <c:v>25013.293000000001</c:v>
                </c:pt>
                <c:pt idx="954">
                  <c:v>25006.242999999999</c:v>
                </c:pt>
                <c:pt idx="955">
                  <c:v>24998.539000000004</c:v>
                </c:pt>
                <c:pt idx="956">
                  <c:v>24995.175000000003</c:v>
                </c:pt>
                <c:pt idx="957">
                  <c:v>24984.519000000008</c:v>
                </c:pt>
                <c:pt idx="958">
                  <c:v>24979.382000000005</c:v>
                </c:pt>
                <c:pt idx="959">
                  <c:v>24973.181000000011</c:v>
                </c:pt>
                <c:pt idx="960">
                  <c:v>24963.106000000011</c:v>
                </c:pt>
                <c:pt idx="961">
                  <c:v>24947.589000000004</c:v>
                </c:pt>
                <c:pt idx="962">
                  <c:v>24932.205000000009</c:v>
                </c:pt>
                <c:pt idx="963">
                  <c:v>24921.326000000012</c:v>
                </c:pt>
                <c:pt idx="964">
                  <c:v>24910.600000000009</c:v>
                </c:pt>
                <c:pt idx="965">
                  <c:v>24903.812000000005</c:v>
                </c:pt>
                <c:pt idx="966">
                  <c:v>24897.090000000004</c:v>
                </c:pt>
                <c:pt idx="967">
                  <c:v>24892.652000000006</c:v>
                </c:pt>
                <c:pt idx="968">
                  <c:v>24890.03100000001</c:v>
                </c:pt>
                <c:pt idx="969">
                  <c:v>24888.053000000011</c:v>
                </c:pt>
                <c:pt idx="970">
                  <c:v>24885.072000000011</c:v>
                </c:pt>
                <c:pt idx="971">
                  <c:v>24882.01400000001</c:v>
                </c:pt>
                <c:pt idx="972">
                  <c:v>24882.407000000007</c:v>
                </c:pt>
                <c:pt idx="973">
                  <c:v>24881.899000000009</c:v>
                </c:pt>
                <c:pt idx="974">
                  <c:v>24875.800000000003</c:v>
                </c:pt>
                <c:pt idx="975">
                  <c:v>24864.653000000006</c:v>
                </c:pt>
                <c:pt idx="976">
                  <c:v>24855.122000000003</c:v>
                </c:pt>
                <c:pt idx="977">
                  <c:v>24847.976000000002</c:v>
                </c:pt>
                <c:pt idx="978">
                  <c:v>24842.888000000003</c:v>
                </c:pt>
                <c:pt idx="979">
                  <c:v>24839.555</c:v>
                </c:pt>
                <c:pt idx="980">
                  <c:v>24836.71</c:v>
                </c:pt>
                <c:pt idx="981">
                  <c:v>24837.633999999998</c:v>
                </c:pt>
                <c:pt idx="982">
                  <c:v>24841.816999999995</c:v>
                </c:pt>
                <c:pt idx="983">
                  <c:v>24851.834999999999</c:v>
                </c:pt>
                <c:pt idx="984">
                  <c:v>24861.119999999999</c:v>
                </c:pt>
                <c:pt idx="985">
                  <c:v>24868.566000000003</c:v>
                </c:pt>
                <c:pt idx="986">
                  <c:v>24876.109</c:v>
                </c:pt>
                <c:pt idx="987">
                  <c:v>24891.273000000001</c:v>
                </c:pt>
                <c:pt idx="988">
                  <c:v>24908.523999999998</c:v>
                </c:pt>
                <c:pt idx="989">
                  <c:v>24929.730000000003</c:v>
                </c:pt>
                <c:pt idx="990">
                  <c:v>24955.109000000004</c:v>
                </c:pt>
                <c:pt idx="991">
                  <c:v>24980.558000000008</c:v>
                </c:pt>
                <c:pt idx="992">
                  <c:v>25011.119999999999</c:v>
                </c:pt>
                <c:pt idx="993">
                  <c:v>25035.322</c:v>
                </c:pt>
                <c:pt idx="994">
                  <c:v>25064.895</c:v>
                </c:pt>
                <c:pt idx="995">
                  <c:v>25091.231999999996</c:v>
                </c:pt>
                <c:pt idx="996">
                  <c:v>25119.683999999997</c:v>
                </c:pt>
                <c:pt idx="997">
                  <c:v>25139.702000000001</c:v>
                </c:pt>
                <c:pt idx="998">
                  <c:v>25154.531000000003</c:v>
                </c:pt>
                <c:pt idx="999">
                  <c:v>25168.787</c:v>
                </c:pt>
                <c:pt idx="1000">
                  <c:v>25179.064999999999</c:v>
                </c:pt>
                <c:pt idx="1001">
                  <c:v>25191.857000000004</c:v>
                </c:pt>
                <c:pt idx="1002">
                  <c:v>25202.348000000002</c:v>
                </c:pt>
                <c:pt idx="1003">
                  <c:v>25219.594000000008</c:v>
                </c:pt>
                <c:pt idx="1004">
                  <c:v>25243.475000000009</c:v>
                </c:pt>
                <c:pt idx="1005">
                  <c:v>25272.454000000009</c:v>
                </c:pt>
                <c:pt idx="1006">
                  <c:v>25297.536000000007</c:v>
                </c:pt>
                <c:pt idx="1007">
                  <c:v>25324.145000000004</c:v>
                </c:pt>
                <c:pt idx="1008">
                  <c:v>25350.113000000001</c:v>
                </c:pt>
                <c:pt idx="1009">
                  <c:v>25373.628000000008</c:v>
                </c:pt>
                <c:pt idx="1010">
                  <c:v>25399.861000000001</c:v>
                </c:pt>
                <c:pt idx="1011">
                  <c:v>25428.240999999995</c:v>
                </c:pt>
                <c:pt idx="1012">
                  <c:v>25452.231999999996</c:v>
                </c:pt>
                <c:pt idx="1013">
                  <c:v>25471.959999999995</c:v>
                </c:pt>
                <c:pt idx="1014">
                  <c:v>25489.545999999995</c:v>
                </c:pt>
                <c:pt idx="1015">
                  <c:v>25511.371999999996</c:v>
                </c:pt>
                <c:pt idx="1016">
                  <c:v>25534.298999999999</c:v>
                </c:pt>
                <c:pt idx="1017">
                  <c:v>25553.575999999997</c:v>
                </c:pt>
                <c:pt idx="1018">
                  <c:v>25570.485999999997</c:v>
                </c:pt>
                <c:pt idx="1019">
                  <c:v>25582.657999999999</c:v>
                </c:pt>
                <c:pt idx="1020">
                  <c:v>25595.837000000003</c:v>
                </c:pt>
                <c:pt idx="1021">
                  <c:v>25612.465</c:v>
                </c:pt>
                <c:pt idx="1022">
                  <c:v>25632.804</c:v>
                </c:pt>
                <c:pt idx="1023">
                  <c:v>25650.877</c:v>
                </c:pt>
                <c:pt idx="1024">
                  <c:v>25669.852999999999</c:v>
                </c:pt>
                <c:pt idx="1025">
                  <c:v>25691.918999999998</c:v>
                </c:pt>
                <c:pt idx="1026">
                  <c:v>25717.192000000003</c:v>
                </c:pt>
                <c:pt idx="1027">
                  <c:v>25745.909</c:v>
                </c:pt>
                <c:pt idx="1028">
                  <c:v>25769.729000000003</c:v>
                </c:pt>
                <c:pt idx="1029">
                  <c:v>25789.046000000002</c:v>
                </c:pt>
                <c:pt idx="1030">
                  <c:v>25803.864000000005</c:v>
                </c:pt>
                <c:pt idx="1031">
                  <c:v>25818.009000000009</c:v>
                </c:pt>
                <c:pt idx="1032">
                  <c:v>25836.414000000004</c:v>
                </c:pt>
                <c:pt idx="1033">
                  <c:v>25856.226000000006</c:v>
                </c:pt>
                <c:pt idx="1034">
                  <c:v>25874.062000000002</c:v>
                </c:pt>
                <c:pt idx="1035">
                  <c:v>25892.357000000004</c:v>
                </c:pt>
                <c:pt idx="1036">
                  <c:v>25910.293000000009</c:v>
                </c:pt>
                <c:pt idx="1037">
                  <c:v>25922.664000000004</c:v>
                </c:pt>
                <c:pt idx="1038">
                  <c:v>25929.735000000008</c:v>
                </c:pt>
              </c:numCache>
            </c:numRef>
          </c:val>
          <c:smooth val="0"/>
          <c:extLst>
            <c:ext xmlns:c16="http://schemas.microsoft.com/office/drawing/2014/chart" uri="{C3380CC4-5D6E-409C-BE32-E72D297353CC}">
              <c16:uniqueId val="{00000002-8F7E-4B6D-9561-84EC178E8EA3}"/>
            </c:ext>
          </c:extLst>
        </c:ser>
        <c:ser>
          <c:idx val="3"/>
          <c:order val="3"/>
          <c:tx>
            <c:strRef>
              <c:f>'Price trend line table'!$E$1:$E$201</c:f>
              <c:strCache>
                <c:ptCount val="201"/>
                <c:pt idx="0">
                  <c:v>200 Day moving average</c:v>
                </c:pt>
                <c:pt idx="1">
                  <c:v>-</c:v>
                </c:pt>
                <c:pt idx="2">
                  <c:v>-</c:v>
                </c:pt>
                <c:pt idx="3">
                  <c:v>-</c:v>
                </c:pt>
                <c:pt idx="4">
                  <c:v>-</c:v>
                </c:pt>
                <c:pt idx="5">
                  <c:v>-</c:v>
                </c:pt>
                <c:pt idx="6">
                  <c:v>-</c:v>
                </c:pt>
                <c:pt idx="7">
                  <c:v>-</c:v>
                </c:pt>
                <c:pt idx="8">
                  <c:v>-</c:v>
                </c:pt>
                <c:pt idx="9">
                  <c:v>-</c:v>
                </c:pt>
                <c:pt idx="10">
                  <c:v>-</c:v>
                </c:pt>
                <c:pt idx="11">
                  <c:v>-</c:v>
                </c:pt>
                <c:pt idx="12">
                  <c:v>-</c:v>
                </c:pt>
                <c:pt idx="13">
                  <c:v>-</c:v>
                </c:pt>
                <c:pt idx="14">
                  <c:v>-</c:v>
                </c:pt>
                <c:pt idx="15">
                  <c:v>-</c:v>
                </c:pt>
                <c:pt idx="16">
                  <c:v>-</c:v>
                </c:pt>
                <c:pt idx="17">
                  <c:v>-</c:v>
                </c:pt>
                <c:pt idx="18">
                  <c:v>-</c:v>
                </c:pt>
                <c:pt idx="19">
                  <c:v>-</c:v>
                </c:pt>
                <c:pt idx="20">
                  <c:v>-</c:v>
                </c:pt>
                <c:pt idx="21">
                  <c:v>-</c:v>
                </c:pt>
                <c:pt idx="22">
                  <c:v>-</c:v>
                </c:pt>
                <c:pt idx="23">
                  <c:v>-</c:v>
                </c:pt>
                <c:pt idx="24">
                  <c:v>-</c:v>
                </c:pt>
                <c:pt idx="25">
                  <c:v>-</c:v>
                </c:pt>
                <c:pt idx="26">
                  <c:v>-</c:v>
                </c:pt>
                <c:pt idx="27">
                  <c:v>-</c:v>
                </c:pt>
                <c:pt idx="28">
                  <c:v>-</c:v>
                </c:pt>
                <c:pt idx="29">
                  <c:v>-</c:v>
                </c:pt>
                <c:pt idx="30">
                  <c:v>-</c:v>
                </c:pt>
                <c:pt idx="31">
                  <c:v>-</c:v>
                </c:pt>
                <c:pt idx="32">
                  <c:v>-</c:v>
                </c:pt>
                <c:pt idx="33">
                  <c:v>-</c:v>
                </c:pt>
                <c:pt idx="34">
                  <c:v>-</c:v>
                </c:pt>
                <c:pt idx="35">
                  <c:v>-</c:v>
                </c:pt>
                <c:pt idx="36">
                  <c:v>-</c:v>
                </c:pt>
                <c:pt idx="37">
                  <c:v>-</c:v>
                </c:pt>
                <c:pt idx="38">
                  <c:v>-</c:v>
                </c:pt>
                <c:pt idx="39">
                  <c:v>-</c:v>
                </c:pt>
                <c:pt idx="40">
                  <c:v>-</c:v>
                </c:pt>
                <c:pt idx="41">
                  <c:v>-</c:v>
                </c:pt>
                <c:pt idx="42">
                  <c:v>-</c:v>
                </c:pt>
                <c:pt idx="43">
                  <c:v>-</c:v>
                </c:pt>
                <c:pt idx="44">
                  <c:v>-</c:v>
                </c:pt>
                <c:pt idx="45">
                  <c:v>-</c:v>
                </c:pt>
                <c:pt idx="46">
                  <c:v>-</c:v>
                </c:pt>
                <c:pt idx="47">
                  <c:v>-</c:v>
                </c:pt>
                <c:pt idx="48">
                  <c:v>-</c:v>
                </c:pt>
                <c:pt idx="49">
                  <c:v>-</c:v>
                </c:pt>
                <c:pt idx="50">
                  <c:v>-</c:v>
                </c:pt>
                <c:pt idx="51">
                  <c:v>-</c:v>
                </c:pt>
                <c:pt idx="52">
                  <c:v>-</c:v>
                </c:pt>
                <c:pt idx="53">
                  <c:v>-</c:v>
                </c:pt>
                <c:pt idx="54">
                  <c:v>-</c:v>
                </c:pt>
                <c:pt idx="55">
                  <c:v>-</c:v>
                </c:pt>
                <c:pt idx="56">
                  <c:v>-</c:v>
                </c:pt>
                <c:pt idx="57">
                  <c:v>-</c:v>
                </c:pt>
                <c:pt idx="58">
                  <c:v>-</c:v>
                </c:pt>
                <c:pt idx="59">
                  <c:v>-</c:v>
                </c:pt>
                <c:pt idx="60">
                  <c:v>-</c:v>
                </c:pt>
                <c:pt idx="61">
                  <c:v>-</c:v>
                </c:pt>
                <c:pt idx="62">
                  <c:v>-</c:v>
                </c:pt>
                <c:pt idx="63">
                  <c:v>-</c:v>
                </c:pt>
                <c:pt idx="64">
                  <c:v>-</c:v>
                </c:pt>
                <c:pt idx="65">
                  <c:v>-</c:v>
                </c:pt>
                <c:pt idx="66">
                  <c:v>-</c:v>
                </c:pt>
                <c:pt idx="67">
                  <c:v>-</c:v>
                </c:pt>
                <c:pt idx="68">
                  <c:v>-</c:v>
                </c:pt>
                <c:pt idx="69">
                  <c:v>-</c:v>
                </c:pt>
                <c:pt idx="70">
                  <c:v>-</c:v>
                </c:pt>
                <c:pt idx="71">
                  <c:v>-</c:v>
                </c:pt>
                <c:pt idx="72">
                  <c:v>-</c:v>
                </c:pt>
                <c:pt idx="73">
                  <c:v>-</c:v>
                </c:pt>
                <c:pt idx="74">
                  <c:v>-</c:v>
                </c:pt>
                <c:pt idx="75">
                  <c:v>-</c:v>
                </c:pt>
                <c:pt idx="76">
                  <c:v>-</c:v>
                </c:pt>
                <c:pt idx="77">
                  <c:v>-</c:v>
                </c:pt>
                <c:pt idx="78">
                  <c:v>-</c:v>
                </c:pt>
                <c:pt idx="79">
                  <c:v>-</c:v>
                </c:pt>
                <c:pt idx="80">
                  <c:v>-</c:v>
                </c:pt>
                <c:pt idx="81">
                  <c:v>-</c:v>
                </c:pt>
                <c:pt idx="82">
                  <c:v>-</c:v>
                </c:pt>
                <c:pt idx="83">
                  <c:v>-</c:v>
                </c:pt>
                <c:pt idx="84">
                  <c:v>-</c:v>
                </c:pt>
                <c:pt idx="85">
                  <c:v>-</c:v>
                </c:pt>
                <c:pt idx="86">
                  <c:v>-</c:v>
                </c:pt>
                <c:pt idx="87">
                  <c:v>-</c:v>
                </c:pt>
                <c:pt idx="88">
                  <c:v>-</c:v>
                </c:pt>
                <c:pt idx="89">
                  <c:v>-</c:v>
                </c:pt>
                <c:pt idx="90">
                  <c:v>-</c:v>
                </c:pt>
                <c:pt idx="91">
                  <c:v>-</c:v>
                </c:pt>
                <c:pt idx="92">
                  <c:v>-</c:v>
                </c:pt>
                <c:pt idx="93">
                  <c:v>-</c:v>
                </c:pt>
                <c:pt idx="94">
                  <c:v>-</c:v>
                </c:pt>
                <c:pt idx="95">
                  <c:v>-</c:v>
                </c:pt>
                <c:pt idx="96">
                  <c:v>-</c:v>
                </c:pt>
                <c:pt idx="97">
                  <c:v>-</c:v>
                </c:pt>
                <c:pt idx="98">
                  <c:v>-</c:v>
                </c:pt>
                <c:pt idx="99">
                  <c:v>-</c:v>
                </c:pt>
                <c:pt idx="100">
                  <c:v>-</c:v>
                </c:pt>
                <c:pt idx="101">
                  <c:v>-</c:v>
                </c:pt>
                <c:pt idx="102">
                  <c:v>-</c:v>
                </c:pt>
                <c:pt idx="103">
                  <c:v>-</c:v>
                </c:pt>
                <c:pt idx="104">
                  <c:v>-</c:v>
                </c:pt>
                <c:pt idx="105">
                  <c:v>-</c:v>
                </c:pt>
                <c:pt idx="106">
                  <c:v>-</c:v>
                </c:pt>
                <c:pt idx="107">
                  <c:v>-</c:v>
                </c:pt>
                <c:pt idx="108">
                  <c:v>-</c:v>
                </c:pt>
                <c:pt idx="109">
                  <c:v>-</c:v>
                </c:pt>
                <c:pt idx="110">
                  <c:v>-</c:v>
                </c:pt>
                <c:pt idx="111">
                  <c:v>-</c:v>
                </c:pt>
                <c:pt idx="112">
                  <c:v>-</c:v>
                </c:pt>
                <c:pt idx="113">
                  <c:v>-</c:v>
                </c:pt>
                <c:pt idx="114">
                  <c:v>-</c:v>
                </c:pt>
                <c:pt idx="115">
                  <c:v>-</c:v>
                </c:pt>
                <c:pt idx="116">
                  <c:v>-</c:v>
                </c:pt>
                <c:pt idx="117">
                  <c:v>-</c:v>
                </c:pt>
                <c:pt idx="118">
                  <c:v>-</c:v>
                </c:pt>
                <c:pt idx="119">
                  <c:v>-</c:v>
                </c:pt>
                <c:pt idx="120">
                  <c:v>-</c:v>
                </c:pt>
                <c:pt idx="121">
                  <c:v>-</c:v>
                </c:pt>
                <c:pt idx="122">
                  <c:v>-</c:v>
                </c:pt>
                <c:pt idx="123">
                  <c:v>-</c:v>
                </c:pt>
                <c:pt idx="124">
                  <c:v>-</c:v>
                </c:pt>
                <c:pt idx="125">
                  <c:v>-</c:v>
                </c:pt>
                <c:pt idx="126">
                  <c:v>-</c:v>
                </c:pt>
                <c:pt idx="127">
                  <c:v>-</c:v>
                </c:pt>
                <c:pt idx="128">
                  <c:v>-</c:v>
                </c:pt>
                <c:pt idx="129">
                  <c:v>-</c:v>
                </c:pt>
                <c:pt idx="130">
                  <c:v>-</c:v>
                </c:pt>
                <c:pt idx="131">
                  <c:v>-</c:v>
                </c:pt>
                <c:pt idx="132">
                  <c:v>-</c:v>
                </c:pt>
                <c:pt idx="133">
                  <c:v>-</c:v>
                </c:pt>
                <c:pt idx="134">
                  <c:v>-</c:v>
                </c:pt>
                <c:pt idx="135">
                  <c:v>-</c:v>
                </c:pt>
                <c:pt idx="136">
                  <c:v>-</c:v>
                </c:pt>
                <c:pt idx="137">
                  <c:v>-</c:v>
                </c:pt>
                <c:pt idx="138">
                  <c:v>-</c:v>
                </c:pt>
                <c:pt idx="139">
                  <c:v>-</c:v>
                </c:pt>
                <c:pt idx="140">
                  <c:v>-</c:v>
                </c:pt>
                <c:pt idx="141">
                  <c:v>-</c:v>
                </c:pt>
                <c:pt idx="142">
                  <c:v>-</c:v>
                </c:pt>
                <c:pt idx="143">
                  <c:v>-</c:v>
                </c:pt>
                <c:pt idx="144">
                  <c:v>-</c:v>
                </c:pt>
                <c:pt idx="145">
                  <c:v>-</c:v>
                </c:pt>
                <c:pt idx="146">
                  <c:v>-</c:v>
                </c:pt>
                <c:pt idx="147">
                  <c:v>-</c:v>
                </c:pt>
                <c:pt idx="148">
                  <c:v>-</c:v>
                </c:pt>
                <c:pt idx="149">
                  <c:v>-</c:v>
                </c:pt>
                <c:pt idx="150">
                  <c:v>-</c:v>
                </c:pt>
                <c:pt idx="151">
                  <c:v>-</c:v>
                </c:pt>
                <c:pt idx="152">
                  <c:v>-</c:v>
                </c:pt>
                <c:pt idx="153">
                  <c:v>-</c:v>
                </c:pt>
                <c:pt idx="154">
                  <c:v>-</c:v>
                </c:pt>
                <c:pt idx="155">
                  <c:v>-</c:v>
                </c:pt>
                <c:pt idx="156">
                  <c:v>-</c:v>
                </c:pt>
                <c:pt idx="157">
                  <c:v>-</c:v>
                </c:pt>
                <c:pt idx="158">
                  <c:v>-</c:v>
                </c:pt>
                <c:pt idx="159">
                  <c:v>-</c:v>
                </c:pt>
                <c:pt idx="160">
                  <c:v>-</c:v>
                </c:pt>
                <c:pt idx="161">
                  <c:v>-</c:v>
                </c:pt>
                <c:pt idx="162">
                  <c:v>-</c:v>
                </c:pt>
                <c:pt idx="163">
                  <c:v>-</c:v>
                </c:pt>
                <c:pt idx="164">
                  <c:v>-</c:v>
                </c:pt>
                <c:pt idx="165">
                  <c:v>-</c:v>
                </c:pt>
                <c:pt idx="166">
                  <c:v>-</c:v>
                </c:pt>
                <c:pt idx="167">
                  <c:v>-</c:v>
                </c:pt>
                <c:pt idx="168">
                  <c:v>-</c:v>
                </c:pt>
                <c:pt idx="169">
                  <c:v>-</c:v>
                </c:pt>
                <c:pt idx="170">
                  <c:v>-</c:v>
                </c:pt>
                <c:pt idx="171">
                  <c:v>-</c:v>
                </c:pt>
                <c:pt idx="172">
                  <c:v>-</c:v>
                </c:pt>
                <c:pt idx="173">
                  <c:v>-</c:v>
                </c:pt>
                <c:pt idx="174">
                  <c:v>-</c:v>
                </c:pt>
                <c:pt idx="175">
                  <c:v>-</c:v>
                </c:pt>
                <c:pt idx="176">
                  <c:v>-</c:v>
                </c:pt>
                <c:pt idx="177">
                  <c:v>-</c:v>
                </c:pt>
                <c:pt idx="178">
                  <c:v>-</c:v>
                </c:pt>
                <c:pt idx="179">
                  <c:v>-</c:v>
                </c:pt>
                <c:pt idx="180">
                  <c:v>-</c:v>
                </c:pt>
                <c:pt idx="181">
                  <c:v>-</c:v>
                </c:pt>
                <c:pt idx="182">
                  <c:v>-</c:v>
                </c:pt>
                <c:pt idx="183">
                  <c:v>-</c:v>
                </c:pt>
                <c:pt idx="184">
                  <c:v>-</c:v>
                </c:pt>
                <c:pt idx="185">
                  <c:v>-</c:v>
                </c:pt>
                <c:pt idx="186">
                  <c:v>-</c:v>
                </c:pt>
                <c:pt idx="187">
                  <c:v>-</c:v>
                </c:pt>
                <c:pt idx="188">
                  <c:v>-</c:v>
                </c:pt>
                <c:pt idx="189">
                  <c:v>-</c:v>
                </c:pt>
                <c:pt idx="190">
                  <c:v>-</c:v>
                </c:pt>
                <c:pt idx="191">
                  <c:v>-</c:v>
                </c:pt>
                <c:pt idx="192">
                  <c:v>-</c:v>
                </c:pt>
                <c:pt idx="193">
                  <c:v>-</c:v>
                </c:pt>
                <c:pt idx="194">
                  <c:v>-</c:v>
                </c:pt>
                <c:pt idx="195">
                  <c:v>-</c:v>
                </c:pt>
                <c:pt idx="196">
                  <c:v>-</c:v>
                </c:pt>
                <c:pt idx="197">
                  <c:v>-</c:v>
                </c:pt>
                <c:pt idx="198">
                  <c:v>-</c:v>
                </c:pt>
                <c:pt idx="199">
                  <c:v>-</c:v>
                </c:pt>
                <c:pt idx="200">
                  <c:v>-</c:v>
                </c:pt>
              </c:strCache>
            </c:strRef>
          </c:tx>
          <c:spPr>
            <a:ln w="22225" cap="rnd" cmpd="sng" algn="ctr">
              <a:solidFill>
                <a:schemeClr val="accent4"/>
              </a:solidFill>
              <a:round/>
            </a:ln>
            <a:effectLst/>
          </c:spPr>
          <c:marker>
            <c:symbol val="none"/>
          </c:marker>
          <c:cat>
            <c:numRef>
              <c:f>'Price trend line table'!$A$202:$A$1241</c:f>
              <c:numCache>
                <c:formatCode>d\-mmm\-yy</c:formatCode>
                <c:ptCount val="1040"/>
                <c:pt idx="0">
                  <c:v>44494</c:v>
                </c:pt>
                <c:pt idx="1">
                  <c:v>44495</c:v>
                </c:pt>
                <c:pt idx="2">
                  <c:v>44496</c:v>
                </c:pt>
                <c:pt idx="3">
                  <c:v>44497</c:v>
                </c:pt>
                <c:pt idx="4">
                  <c:v>44498</c:v>
                </c:pt>
                <c:pt idx="5">
                  <c:v>44501</c:v>
                </c:pt>
                <c:pt idx="6">
                  <c:v>44502</c:v>
                </c:pt>
                <c:pt idx="7">
                  <c:v>44503</c:v>
                </c:pt>
                <c:pt idx="8">
                  <c:v>44504</c:v>
                </c:pt>
                <c:pt idx="9">
                  <c:v>44508</c:v>
                </c:pt>
                <c:pt idx="10">
                  <c:v>44509</c:v>
                </c:pt>
                <c:pt idx="11">
                  <c:v>44510</c:v>
                </c:pt>
                <c:pt idx="12">
                  <c:v>44511</c:v>
                </c:pt>
                <c:pt idx="13">
                  <c:v>44512</c:v>
                </c:pt>
                <c:pt idx="14">
                  <c:v>44515</c:v>
                </c:pt>
                <c:pt idx="15">
                  <c:v>44516</c:v>
                </c:pt>
                <c:pt idx="16">
                  <c:v>44517</c:v>
                </c:pt>
                <c:pt idx="17">
                  <c:v>44518</c:v>
                </c:pt>
                <c:pt idx="18">
                  <c:v>44522</c:v>
                </c:pt>
                <c:pt idx="19">
                  <c:v>44523</c:v>
                </c:pt>
                <c:pt idx="20">
                  <c:v>44524</c:v>
                </c:pt>
                <c:pt idx="21">
                  <c:v>44525</c:v>
                </c:pt>
                <c:pt idx="22">
                  <c:v>44526</c:v>
                </c:pt>
                <c:pt idx="23">
                  <c:v>44529</c:v>
                </c:pt>
                <c:pt idx="24">
                  <c:v>44530</c:v>
                </c:pt>
                <c:pt idx="25">
                  <c:v>44531</c:v>
                </c:pt>
                <c:pt idx="26">
                  <c:v>44532</c:v>
                </c:pt>
                <c:pt idx="27">
                  <c:v>44533</c:v>
                </c:pt>
                <c:pt idx="28">
                  <c:v>44536</c:v>
                </c:pt>
                <c:pt idx="29">
                  <c:v>44537</c:v>
                </c:pt>
                <c:pt idx="30">
                  <c:v>44538</c:v>
                </c:pt>
                <c:pt idx="31">
                  <c:v>44539</c:v>
                </c:pt>
                <c:pt idx="32">
                  <c:v>44540</c:v>
                </c:pt>
                <c:pt idx="33">
                  <c:v>44543</c:v>
                </c:pt>
                <c:pt idx="34">
                  <c:v>44544</c:v>
                </c:pt>
                <c:pt idx="35">
                  <c:v>44545</c:v>
                </c:pt>
                <c:pt idx="36">
                  <c:v>44546</c:v>
                </c:pt>
                <c:pt idx="37">
                  <c:v>44547</c:v>
                </c:pt>
                <c:pt idx="38">
                  <c:v>44550</c:v>
                </c:pt>
                <c:pt idx="39">
                  <c:v>44551</c:v>
                </c:pt>
                <c:pt idx="40">
                  <c:v>44552</c:v>
                </c:pt>
                <c:pt idx="41">
                  <c:v>44553</c:v>
                </c:pt>
                <c:pt idx="42">
                  <c:v>44554</c:v>
                </c:pt>
                <c:pt idx="43">
                  <c:v>44557</c:v>
                </c:pt>
                <c:pt idx="44">
                  <c:v>44558</c:v>
                </c:pt>
                <c:pt idx="45">
                  <c:v>44559</c:v>
                </c:pt>
                <c:pt idx="46">
                  <c:v>44560</c:v>
                </c:pt>
                <c:pt idx="47">
                  <c:v>44561</c:v>
                </c:pt>
                <c:pt idx="48">
                  <c:v>44564</c:v>
                </c:pt>
                <c:pt idx="49">
                  <c:v>44565</c:v>
                </c:pt>
                <c:pt idx="50">
                  <c:v>44566</c:v>
                </c:pt>
                <c:pt idx="51">
                  <c:v>44567</c:v>
                </c:pt>
                <c:pt idx="52">
                  <c:v>44568</c:v>
                </c:pt>
                <c:pt idx="53">
                  <c:v>44571</c:v>
                </c:pt>
                <c:pt idx="54">
                  <c:v>44572</c:v>
                </c:pt>
                <c:pt idx="55">
                  <c:v>44573</c:v>
                </c:pt>
                <c:pt idx="56">
                  <c:v>44574</c:v>
                </c:pt>
                <c:pt idx="57">
                  <c:v>44575</c:v>
                </c:pt>
                <c:pt idx="58">
                  <c:v>44578</c:v>
                </c:pt>
                <c:pt idx="59">
                  <c:v>44579</c:v>
                </c:pt>
                <c:pt idx="60">
                  <c:v>44580</c:v>
                </c:pt>
                <c:pt idx="61">
                  <c:v>44581</c:v>
                </c:pt>
                <c:pt idx="62">
                  <c:v>44582</c:v>
                </c:pt>
                <c:pt idx="63">
                  <c:v>44585</c:v>
                </c:pt>
                <c:pt idx="64">
                  <c:v>44586</c:v>
                </c:pt>
                <c:pt idx="65">
                  <c:v>44588</c:v>
                </c:pt>
                <c:pt idx="66">
                  <c:v>44589</c:v>
                </c:pt>
                <c:pt idx="67">
                  <c:v>44592</c:v>
                </c:pt>
                <c:pt idx="68">
                  <c:v>44593</c:v>
                </c:pt>
                <c:pt idx="69">
                  <c:v>44594</c:v>
                </c:pt>
                <c:pt idx="70">
                  <c:v>44595</c:v>
                </c:pt>
                <c:pt idx="71">
                  <c:v>44596</c:v>
                </c:pt>
                <c:pt idx="72">
                  <c:v>44599</c:v>
                </c:pt>
                <c:pt idx="73">
                  <c:v>44600</c:v>
                </c:pt>
                <c:pt idx="74">
                  <c:v>44601</c:v>
                </c:pt>
                <c:pt idx="75">
                  <c:v>44602</c:v>
                </c:pt>
                <c:pt idx="76">
                  <c:v>44603</c:v>
                </c:pt>
                <c:pt idx="77">
                  <c:v>44606</c:v>
                </c:pt>
                <c:pt idx="78">
                  <c:v>44607</c:v>
                </c:pt>
                <c:pt idx="79">
                  <c:v>44608</c:v>
                </c:pt>
                <c:pt idx="80">
                  <c:v>44609</c:v>
                </c:pt>
                <c:pt idx="81">
                  <c:v>44610</c:v>
                </c:pt>
                <c:pt idx="82">
                  <c:v>44613</c:v>
                </c:pt>
                <c:pt idx="83">
                  <c:v>44614</c:v>
                </c:pt>
                <c:pt idx="84">
                  <c:v>44615</c:v>
                </c:pt>
                <c:pt idx="85">
                  <c:v>44616</c:v>
                </c:pt>
                <c:pt idx="86">
                  <c:v>44617</c:v>
                </c:pt>
                <c:pt idx="87">
                  <c:v>44620</c:v>
                </c:pt>
                <c:pt idx="88">
                  <c:v>44622</c:v>
                </c:pt>
                <c:pt idx="89">
                  <c:v>44623</c:v>
                </c:pt>
                <c:pt idx="90">
                  <c:v>44624</c:v>
                </c:pt>
                <c:pt idx="91">
                  <c:v>44627</c:v>
                </c:pt>
                <c:pt idx="92">
                  <c:v>44628</c:v>
                </c:pt>
                <c:pt idx="93">
                  <c:v>44629</c:v>
                </c:pt>
                <c:pt idx="94">
                  <c:v>44630</c:v>
                </c:pt>
                <c:pt idx="95">
                  <c:v>44631</c:v>
                </c:pt>
                <c:pt idx="96">
                  <c:v>44634</c:v>
                </c:pt>
                <c:pt idx="97">
                  <c:v>44635</c:v>
                </c:pt>
                <c:pt idx="98">
                  <c:v>44636</c:v>
                </c:pt>
                <c:pt idx="99">
                  <c:v>44637</c:v>
                </c:pt>
                <c:pt idx="100">
                  <c:v>44641</c:v>
                </c:pt>
                <c:pt idx="101">
                  <c:v>44642</c:v>
                </c:pt>
                <c:pt idx="102">
                  <c:v>44643</c:v>
                </c:pt>
                <c:pt idx="103">
                  <c:v>44644</c:v>
                </c:pt>
                <c:pt idx="104">
                  <c:v>44645</c:v>
                </c:pt>
                <c:pt idx="105">
                  <c:v>44648</c:v>
                </c:pt>
                <c:pt idx="106">
                  <c:v>44649</c:v>
                </c:pt>
                <c:pt idx="107">
                  <c:v>44650</c:v>
                </c:pt>
                <c:pt idx="108">
                  <c:v>44651</c:v>
                </c:pt>
                <c:pt idx="109">
                  <c:v>44652</c:v>
                </c:pt>
                <c:pt idx="110">
                  <c:v>44655</c:v>
                </c:pt>
                <c:pt idx="111">
                  <c:v>44656</c:v>
                </c:pt>
                <c:pt idx="112">
                  <c:v>44657</c:v>
                </c:pt>
                <c:pt idx="113">
                  <c:v>44658</c:v>
                </c:pt>
                <c:pt idx="114">
                  <c:v>44659</c:v>
                </c:pt>
                <c:pt idx="115">
                  <c:v>44662</c:v>
                </c:pt>
                <c:pt idx="116">
                  <c:v>44663</c:v>
                </c:pt>
                <c:pt idx="117">
                  <c:v>44664</c:v>
                </c:pt>
                <c:pt idx="118">
                  <c:v>44669</c:v>
                </c:pt>
                <c:pt idx="119">
                  <c:v>44670</c:v>
                </c:pt>
                <c:pt idx="120">
                  <c:v>44671</c:v>
                </c:pt>
                <c:pt idx="121">
                  <c:v>44672</c:v>
                </c:pt>
                <c:pt idx="122">
                  <c:v>44673</c:v>
                </c:pt>
                <c:pt idx="123">
                  <c:v>44676</c:v>
                </c:pt>
                <c:pt idx="124">
                  <c:v>44677</c:v>
                </c:pt>
                <c:pt idx="125">
                  <c:v>44678</c:v>
                </c:pt>
                <c:pt idx="126">
                  <c:v>44679</c:v>
                </c:pt>
                <c:pt idx="127">
                  <c:v>44680</c:v>
                </c:pt>
                <c:pt idx="128">
                  <c:v>44683</c:v>
                </c:pt>
                <c:pt idx="129">
                  <c:v>44685</c:v>
                </c:pt>
                <c:pt idx="130">
                  <c:v>44686</c:v>
                </c:pt>
                <c:pt idx="131">
                  <c:v>44687</c:v>
                </c:pt>
                <c:pt idx="132">
                  <c:v>44690</c:v>
                </c:pt>
                <c:pt idx="133">
                  <c:v>44691</c:v>
                </c:pt>
                <c:pt idx="134">
                  <c:v>44692</c:v>
                </c:pt>
                <c:pt idx="135">
                  <c:v>44693</c:v>
                </c:pt>
                <c:pt idx="136">
                  <c:v>44694</c:v>
                </c:pt>
                <c:pt idx="137">
                  <c:v>44697</c:v>
                </c:pt>
                <c:pt idx="138">
                  <c:v>44698</c:v>
                </c:pt>
                <c:pt idx="139">
                  <c:v>44699</c:v>
                </c:pt>
                <c:pt idx="140">
                  <c:v>44700</c:v>
                </c:pt>
                <c:pt idx="141">
                  <c:v>44701</c:v>
                </c:pt>
                <c:pt idx="142">
                  <c:v>44704</c:v>
                </c:pt>
                <c:pt idx="143">
                  <c:v>44705</c:v>
                </c:pt>
                <c:pt idx="144">
                  <c:v>44706</c:v>
                </c:pt>
                <c:pt idx="145">
                  <c:v>44707</c:v>
                </c:pt>
                <c:pt idx="146">
                  <c:v>44708</c:v>
                </c:pt>
                <c:pt idx="147">
                  <c:v>44711</c:v>
                </c:pt>
                <c:pt idx="148">
                  <c:v>44712</c:v>
                </c:pt>
                <c:pt idx="149">
                  <c:v>44713</c:v>
                </c:pt>
                <c:pt idx="150">
                  <c:v>44714</c:v>
                </c:pt>
                <c:pt idx="151">
                  <c:v>44715</c:v>
                </c:pt>
                <c:pt idx="152">
                  <c:v>44718</c:v>
                </c:pt>
                <c:pt idx="153">
                  <c:v>44719</c:v>
                </c:pt>
                <c:pt idx="154">
                  <c:v>44720</c:v>
                </c:pt>
                <c:pt idx="155">
                  <c:v>44721</c:v>
                </c:pt>
                <c:pt idx="156">
                  <c:v>44722</c:v>
                </c:pt>
                <c:pt idx="157">
                  <c:v>44725</c:v>
                </c:pt>
                <c:pt idx="158">
                  <c:v>44726</c:v>
                </c:pt>
                <c:pt idx="159">
                  <c:v>44727</c:v>
                </c:pt>
                <c:pt idx="160">
                  <c:v>44728</c:v>
                </c:pt>
                <c:pt idx="161">
                  <c:v>44729</c:v>
                </c:pt>
                <c:pt idx="162">
                  <c:v>44732</c:v>
                </c:pt>
                <c:pt idx="163">
                  <c:v>44733</c:v>
                </c:pt>
                <c:pt idx="164">
                  <c:v>44734</c:v>
                </c:pt>
                <c:pt idx="165">
                  <c:v>44735</c:v>
                </c:pt>
                <c:pt idx="166">
                  <c:v>44736</c:v>
                </c:pt>
                <c:pt idx="167">
                  <c:v>44739</c:v>
                </c:pt>
                <c:pt idx="168">
                  <c:v>44740</c:v>
                </c:pt>
                <c:pt idx="169">
                  <c:v>44741</c:v>
                </c:pt>
                <c:pt idx="170">
                  <c:v>44742</c:v>
                </c:pt>
                <c:pt idx="171">
                  <c:v>44743</c:v>
                </c:pt>
                <c:pt idx="172">
                  <c:v>44746</c:v>
                </c:pt>
                <c:pt idx="173">
                  <c:v>44747</c:v>
                </c:pt>
                <c:pt idx="174">
                  <c:v>44748</c:v>
                </c:pt>
                <c:pt idx="175">
                  <c:v>44749</c:v>
                </c:pt>
                <c:pt idx="176">
                  <c:v>44750</c:v>
                </c:pt>
                <c:pt idx="177">
                  <c:v>44753</c:v>
                </c:pt>
                <c:pt idx="178">
                  <c:v>44754</c:v>
                </c:pt>
                <c:pt idx="179">
                  <c:v>44755</c:v>
                </c:pt>
                <c:pt idx="180">
                  <c:v>44756</c:v>
                </c:pt>
                <c:pt idx="181">
                  <c:v>44757</c:v>
                </c:pt>
                <c:pt idx="182">
                  <c:v>44760</c:v>
                </c:pt>
                <c:pt idx="183">
                  <c:v>44761</c:v>
                </c:pt>
                <c:pt idx="184">
                  <c:v>44762</c:v>
                </c:pt>
                <c:pt idx="185">
                  <c:v>44763</c:v>
                </c:pt>
                <c:pt idx="186">
                  <c:v>44764</c:v>
                </c:pt>
                <c:pt idx="187">
                  <c:v>44767</c:v>
                </c:pt>
                <c:pt idx="188">
                  <c:v>44768</c:v>
                </c:pt>
                <c:pt idx="189">
                  <c:v>44769</c:v>
                </c:pt>
                <c:pt idx="190">
                  <c:v>44770</c:v>
                </c:pt>
                <c:pt idx="191">
                  <c:v>44771</c:v>
                </c:pt>
                <c:pt idx="192">
                  <c:v>44774</c:v>
                </c:pt>
                <c:pt idx="193">
                  <c:v>44775</c:v>
                </c:pt>
                <c:pt idx="194">
                  <c:v>44776</c:v>
                </c:pt>
                <c:pt idx="195">
                  <c:v>44777</c:v>
                </c:pt>
                <c:pt idx="196">
                  <c:v>44778</c:v>
                </c:pt>
                <c:pt idx="197">
                  <c:v>44781</c:v>
                </c:pt>
                <c:pt idx="198">
                  <c:v>44783</c:v>
                </c:pt>
                <c:pt idx="199">
                  <c:v>44784</c:v>
                </c:pt>
                <c:pt idx="200">
                  <c:v>44785</c:v>
                </c:pt>
                <c:pt idx="201">
                  <c:v>44789</c:v>
                </c:pt>
                <c:pt idx="202">
                  <c:v>44790</c:v>
                </c:pt>
                <c:pt idx="203">
                  <c:v>44791</c:v>
                </c:pt>
                <c:pt idx="204">
                  <c:v>44792</c:v>
                </c:pt>
                <c:pt idx="205">
                  <c:v>44795</c:v>
                </c:pt>
                <c:pt idx="206">
                  <c:v>44796</c:v>
                </c:pt>
                <c:pt idx="207">
                  <c:v>44797</c:v>
                </c:pt>
                <c:pt idx="208">
                  <c:v>44798</c:v>
                </c:pt>
                <c:pt idx="209">
                  <c:v>44799</c:v>
                </c:pt>
                <c:pt idx="210">
                  <c:v>44802</c:v>
                </c:pt>
                <c:pt idx="211">
                  <c:v>44803</c:v>
                </c:pt>
                <c:pt idx="212">
                  <c:v>44805</c:v>
                </c:pt>
                <c:pt idx="213">
                  <c:v>44806</c:v>
                </c:pt>
                <c:pt idx="214">
                  <c:v>44809</c:v>
                </c:pt>
                <c:pt idx="215">
                  <c:v>44810</c:v>
                </c:pt>
                <c:pt idx="216">
                  <c:v>44811</c:v>
                </c:pt>
                <c:pt idx="217">
                  <c:v>44812</c:v>
                </c:pt>
                <c:pt idx="218">
                  <c:v>44813</c:v>
                </c:pt>
                <c:pt idx="219">
                  <c:v>44816</c:v>
                </c:pt>
                <c:pt idx="220">
                  <c:v>44817</c:v>
                </c:pt>
                <c:pt idx="221">
                  <c:v>44818</c:v>
                </c:pt>
                <c:pt idx="222">
                  <c:v>44819</c:v>
                </c:pt>
                <c:pt idx="223">
                  <c:v>44820</c:v>
                </c:pt>
                <c:pt idx="224">
                  <c:v>44823</c:v>
                </c:pt>
                <c:pt idx="225">
                  <c:v>44824</c:v>
                </c:pt>
                <c:pt idx="226">
                  <c:v>44825</c:v>
                </c:pt>
                <c:pt idx="227">
                  <c:v>44826</c:v>
                </c:pt>
                <c:pt idx="228">
                  <c:v>44827</c:v>
                </c:pt>
                <c:pt idx="229">
                  <c:v>44830</c:v>
                </c:pt>
                <c:pt idx="230">
                  <c:v>44831</c:v>
                </c:pt>
                <c:pt idx="231">
                  <c:v>44832</c:v>
                </c:pt>
                <c:pt idx="232">
                  <c:v>44833</c:v>
                </c:pt>
                <c:pt idx="233">
                  <c:v>44834</c:v>
                </c:pt>
                <c:pt idx="234">
                  <c:v>44837</c:v>
                </c:pt>
                <c:pt idx="235">
                  <c:v>44838</c:v>
                </c:pt>
                <c:pt idx="236">
                  <c:v>44840</c:v>
                </c:pt>
                <c:pt idx="237">
                  <c:v>44841</c:v>
                </c:pt>
                <c:pt idx="238">
                  <c:v>44844</c:v>
                </c:pt>
                <c:pt idx="239">
                  <c:v>44845</c:v>
                </c:pt>
                <c:pt idx="240">
                  <c:v>44846</c:v>
                </c:pt>
                <c:pt idx="241">
                  <c:v>44847</c:v>
                </c:pt>
                <c:pt idx="242">
                  <c:v>44848</c:v>
                </c:pt>
                <c:pt idx="243">
                  <c:v>44851</c:v>
                </c:pt>
                <c:pt idx="244">
                  <c:v>44852</c:v>
                </c:pt>
                <c:pt idx="245">
                  <c:v>44853</c:v>
                </c:pt>
                <c:pt idx="246">
                  <c:v>44854</c:v>
                </c:pt>
                <c:pt idx="247">
                  <c:v>44855</c:v>
                </c:pt>
                <c:pt idx="248">
                  <c:v>44858</c:v>
                </c:pt>
                <c:pt idx="249">
                  <c:v>44859</c:v>
                </c:pt>
                <c:pt idx="250">
                  <c:v>44861</c:v>
                </c:pt>
                <c:pt idx="251">
                  <c:v>44862</c:v>
                </c:pt>
                <c:pt idx="252">
                  <c:v>44865</c:v>
                </c:pt>
                <c:pt idx="253">
                  <c:v>44866</c:v>
                </c:pt>
                <c:pt idx="254">
                  <c:v>44867</c:v>
                </c:pt>
                <c:pt idx="255">
                  <c:v>44868</c:v>
                </c:pt>
                <c:pt idx="256">
                  <c:v>44869</c:v>
                </c:pt>
                <c:pt idx="257">
                  <c:v>44872</c:v>
                </c:pt>
                <c:pt idx="258">
                  <c:v>44874</c:v>
                </c:pt>
                <c:pt idx="259">
                  <c:v>44875</c:v>
                </c:pt>
                <c:pt idx="260">
                  <c:v>44876</c:v>
                </c:pt>
                <c:pt idx="261">
                  <c:v>44879</c:v>
                </c:pt>
                <c:pt idx="262">
                  <c:v>44880</c:v>
                </c:pt>
                <c:pt idx="263">
                  <c:v>44881</c:v>
                </c:pt>
                <c:pt idx="264">
                  <c:v>44882</c:v>
                </c:pt>
                <c:pt idx="265">
                  <c:v>44883</c:v>
                </c:pt>
                <c:pt idx="266">
                  <c:v>44886</c:v>
                </c:pt>
                <c:pt idx="267">
                  <c:v>44887</c:v>
                </c:pt>
                <c:pt idx="268">
                  <c:v>44888</c:v>
                </c:pt>
                <c:pt idx="269">
                  <c:v>44889</c:v>
                </c:pt>
                <c:pt idx="270">
                  <c:v>44890</c:v>
                </c:pt>
                <c:pt idx="271">
                  <c:v>44893</c:v>
                </c:pt>
                <c:pt idx="272">
                  <c:v>44894</c:v>
                </c:pt>
                <c:pt idx="273">
                  <c:v>44895</c:v>
                </c:pt>
                <c:pt idx="274">
                  <c:v>44896</c:v>
                </c:pt>
                <c:pt idx="275">
                  <c:v>44897</c:v>
                </c:pt>
                <c:pt idx="276">
                  <c:v>44900</c:v>
                </c:pt>
                <c:pt idx="277">
                  <c:v>44901</c:v>
                </c:pt>
                <c:pt idx="278">
                  <c:v>44902</c:v>
                </c:pt>
                <c:pt idx="279">
                  <c:v>44903</c:v>
                </c:pt>
                <c:pt idx="280">
                  <c:v>44904</c:v>
                </c:pt>
                <c:pt idx="281">
                  <c:v>44907</c:v>
                </c:pt>
                <c:pt idx="282">
                  <c:v>44908</c:v>
                </c:pt>
                <c:pt idx="283">
                  <c:v>44909</c:v>
                </c:pt>
                <c:pt idx="284">
                  <c:v>44910</c:v>
                </c:pt>
                <c:pt idx="285">
                  <c:v>44911</c:v>
                </c:pt>
                <c:pt idx="286">
                  <c:v>44914</c:v>
                </c:pt>
                <c:pt idx="287">
                  <c:v>44915</c:v>
                </c:pt>
                <c:pt idx="288">
                  <c:v>44916</c:v>
                </c:pt>
                <c:pt idx="289">
                  <c:v>44917</c:v>
                </c:pt>
                <c:pt idx="290">
                  <c:v>44918</c:v>
                </c:pt>
                <c:pt idx="291">
                  <c:v>44921</c:v>
                </c:pt>
                <c:pt idx="292">
                  <c:v>44922</c:v>
                </c:pt>
                <c:pt idx="293">
                  <c:v>44923</c:v>
                </c:pt>
                <c:pt idx="294">
                  <c:v>44924</c:v>
                </c:pt>
                <c:pt idx="295">
                  <c:v>44925</c:v>
                </c:pt>
                <c:pt idx="296">
                  <c:v>44928</c:v>
                </c:pt>
                <c:pt idx="297">
                  <c:v>44929</c:v>
                </c:pt>
                <c:pt idx="298">
                  <c:v>44930</c:v>
                </c:pt>
                <c:pt idx="299">
                  <c:v>44931</c:v>
                </c:pt>
                <c:pt idx="300">
                  <c:v>44932</c:v>
                </c:pt>
                <c:pt idx="301">
                  <c:v>44935</c:v>
                </c:pt>
                <c:pt idx="302">
                  <c:v>44936</c:v>
                </c:pt>
                <c:pt idx="303">
                  <c:v>44937</c:v>
                </c:pt>
                <c:pt idx="304">
                  <c:v>44938</c:v>
                </c:pt>
                <c:pt idx="305">
                  <c:v>44939</c:v>
                </c:pt>
                <c:pt idx="306">
                  <c:v>44942</c:v>
                </c:pt>
                <c:pt idx="307">
                  <c:v>44943</c:v>
                </c:pt>
                <c:pt idx="308">
                  <c:v>44944</c:v>
                </c:pt>
                <c:pt idx="309">
                  <c:v>44945</c:v>
                </c:pt>
                <c:pt idx="310">
                  <c:v>44946</c:v>
                </c:pt>
                <c:pt idx="311">
                  <c:v>44949</c:v>
                </c:pt>
                <c:pt idx="312">
                  <c:v>44950</c:v>
                </c:pt>
                <c:pt idx="313">
                  <c:v>44951</c:v>
                </c:pt>
                <c:pt idx="314">
                  <c:v>44953</c:v>
                </c:pt>
                <c:pt idx="315">
                  <c:v>44956</c:v>
                </c:pt>
                <c:pt idx="316">
                  <c:v>44957</c:v>
                </c:pt>
                <c:pt idx="317">
                  <c:v>44958</c:v>
                </c:pt>
                <c:pt idx="318">
                  <c:v>44959</c:v>
                </c:pt>
                <c:pt idx="319">
                  <c:v>44960</c:v>
                </c:pt>
                <c:pt idx="320">
                  <c:v>44963</c:v>
                </c:pt>
                <c:pt idx="321">
                  <c:v>44964</c:v>
                </c:pt>
                <c:pt idx="322">
                  <c:v>44965</c:v>
                </c:pt>
                <c:pt idx="323">
                  <c:v>44966</c:v>
                </c:pt>
                <c:pt idx="324">
                  <c:v>44967</c:v>
                </c:pt>
                <c:pt idx="325">
                  <c:v>44970</c:v>
                </c:pt>
                <c:pt idx="326">
                  <c:v>44971</c:v>
                </c:pt>
                <c:pt idx="327">
                  <c:v>44972</c:v>
                </c:pt>
                <c:pt idx="328">
                  <c:v>44973</c:v>
                </c:pt>
                <c:pt idx="329">
                  <c:v>44974</c:v>
                </c:pt>
                <c:pt idx="330">
                  <c:v>44977</c:v>
                </c:pt>
                <c:pt idx="331">
                  <c:v>44978</c:v>
                </c:pt>
                <c:pt idx="332">
                  <c:v>44979</c:v>
                </c:pt>
                <c:pt idx="333">
                  <c:v>44980</c:v>
                </c:pt>
                <c:pt idx="334">
                  <c:v>44981</c:v>
                </c:pt>
                <c:pt idx="335">
                  <c:v>44984</c:v>
                </c:pt>
                <c:pt idx="336">
                  <c:v>44985</c:v>
                </c:pt>
                <c:pt idx="337">
                  <c:v>44986</c:v>
                </c:pt>
                <c:pt idx="338">
                  <c:v>44987</c:v>
                </c:pt>
                <c:pt idx="339">
                  <c:v>44988</c:v>
                </c:pt>
                <c:pt idx="340">
                  <c:v>44991</c:v>
                </c:pt>
                <c:pt idx="341">
                  <c:v>44993</c:v>
                </c:pt>
                <c:pt idx="342">
                  <c:v>44994</c:v>
                </c:pt>
                <c:pt idx="343">
                  <c:v>44995</c:v>
                </c:pt>
                <c:pt idx="344">
                  <c:v>44998</c:v>
                </c:pt>
                <c:pt idx="345">
                  <c:v>44999</c:v>
                </c:pt>
                <c:pt idx="346">
                  <c:v>45000</c:v>
                </c:pt>
                <c:pt idx="347">
                  <c:v>45001</c:v>
                </c:pt>
                <c:pt idx="348">
                  <c:v>45002</c:v>
                </c:pt>
                <c:pt idx="349">
                  <c:v>45005</c:v>
                </c:pt>
                <c:pt idx="350">
                  <c:v>45006</c:v>
                </c:pt>
                <c:pt idx="351">
                  <c:v>45007</c:v>
                </c:pt>
                <c:pt idx="352">
                  <c:v>45008</c:v>
                </c:pt>
                <c:pt idx="353">
                  <c:v>45009</c:v>
                </c:pt>
                <c:pt idx="354">
                  <c:v>45012</c:v>
                </c:pt>
                <c:pt idx="355">
                  <c:v>45013</c:v>
                </c:pt>
                <c:pt idx="356">
                  <c:v>45014</c:v>
                </c:pt>
                <c:pt idx="357">
                  <c:v>45016</c:v>
                </c:pt>
                <c:pt idx="358">
                  <c:v>45019</c:v>
                </c:pt>
                <c:pt idx="359">
                  <c:v>45021</c:v>
                </c:pt>
                <c:pt idx="360">
                  <c:v>45022</c:v>
                </c:pt>
                <c:pt idx="361">
                  <c:v>45026</c:v>
                </c:pt>
                <c:pt idx="362">
                  <c:v>45027</c:v>
                </c:pt>
                <c:pt idx="363">
                  <c:v>45028</c:v>
                </c:pt>
                <c:pt idx="364">
                  <c:v>45029</c:v>
                </c:pt>
                <c:pt idx="365">
                  <c:v>45033</c:v>
                </c:pt>
                <c:pt idx="366">
                  <c:v>45034</c:v>
                </c:pt>
                <c:pt idx="367">
                  <c:v>45035</c:v>
                </c:pt>
                <c:pt idx="368">
                  <c:v>45036</c:v>
                </c:pt>
                <c:pt idx="369">
                  <c:v>45037</c:v>
                </c:pt>
                <c:pt idx="370">
                  <c:v>45040</c:v>
                </c:pt>
                <c:pt idx="371">
                  <c:v>45041</c:v>
                </c:pt>
                <c:pt idx="372">
                  <c:v>45042</c:v>
                </c:pt>
                <c:pt idx="373">
                  <c:v>45043</c:v>
                </c:pt>
                <c:pt idx="374">
                  <c:v>45044</c:v>
                </c:pt>
                <c:pt idx="375">
                  <c:v>45048</c:v>
                </c:pt>
                <c:pt idx="376">
                  <c:v>45049</c:v>
                </c:pt>
                <c:pt idx="377">
                  <c:v>45050</c:v>
                </c:pt>
                <c:pt idx="378">
                  <c:v>45051</c:v>
                </c:pt>
                <c:pt idx="379">
                  <c:v>45054</c:v>
                </c:pt>
                <c:pt idx="380">
                  <c:v>45055</c:v>
                </c:pt>
                <c:pt idx="381">
                  <c:v>45056</c:v>
                </c:pt>
                <c:pt idx="382">
                  <c:v>45057</c:v>
                </c:pt>
                <c:pt idx="383">
                  <c:v>45058</c:v>
                </c:pt>
                <c:pt idx="384">
                  <c:v>45061</c:v>
                </c:pt>
                <c:pt idx="385">
                  <c:v>45062</c:v>
                </c:pt>
                <c:pt idx="386">
                  <c:v>45063</c:v>
                </c:pt>
                <c:pt idx="387">
                  <c:v>45064</c:v>
                </c:pt>
                <c:pt idx="388">
                  <c:v>45065</c:v>
                </c:pt>
                <c:pt idx="389">
                  <c:v>45068</c:v>
                </c:pt>
                <c:pt idx="390">
                  <c:v>45069</c:v>
                </c:pt>
                <c:pt idx="391">
                  <c:v>45070</c:v>
                </c:pt>
                <c:pt idx="392">
                  <c:v>45071</c:v>
                </c:pt>
                <c:pt idx="393">
                  <c:v>45072</c:v>
                </c:pt>
                <c:pt idx="394">
                  <c:v>45075</c:v>
                </c:pt>
                <c:pt idx="395">
                  <c:v>45076</c:v>
                </c:pt>
                <c:pt idx="396">
                  <c:v>45077</c:v>
                </c:pt>
                <c:pt idx="397">
                  <c:v>45078</c:v>
                </c:pt>
                <c:pt idx="398">
                  <c:v>45079</c:v>
                </c:pt>
                <c:pt idx="399">
                  <c:v>45082</c:v>
                </c:pt>
                <c:pt idx="400">
                  <c:v>45083</c:v>
                </c:pt>
                <c:pt idx="401">
                  <c:v>45084</c:v>
                </c:pt>
                <c:pt idx="402">
                  <c:v>45085</c:v>
                </c:pt>
                <c:pt idx="403">
                  <c:v>45086</c:v>
                </c:pt>
                <c:pt idx="404">
                  <c:v>45089</c:v>
                </c:pt>
                <c:pt idx="405">
                  <c:v>45090</c:v>
                </c:pt>
                <c:pt idx="406">
                  <c:v>45091</c:v>
                </c:pt>
                <c:pt idx="407">
                  <c:v>45092</c:v>
                </c:pt>
                <c:pt idx="408">
                  <c:v>45093</c:v>
                </c:pt>
                <c:pt idx="409">
                  <c:v>45096</c:v>
                </c:pt>
                <c:pt idx="410">
                  <c:v>45097</c:v>
                </c:pt>
                <c:pt idx="411">
                  <c:v>45098</c:v>
                </c:pt>
                <c:pt idx="412">
                  <c:v>45099</c:v>
                </c:pt>
                <c:pt idx="413">
                  <c:v>45100</c:v>
                </c:pt>
                <c:pt idx="414">
                  <c:v>45103</c:v>
                </c:pt>
                <c:pt idx="415">
                  <c:v>45104</c:v>
                </c:pt>
                <c:pt idx="416">
                  <c:v>45105</c:v>
                </c:pt>
                <c:pt idx="417">
                  <c:v>45107</c:v>
                </c:pt>
                <c:pt idx="418">
                  <c:v>45110</c:v>
                </c:pt>
                <c:pt idx="419">
                  <c:v>45111</c:v>
                </c:pt>
                <c:pt idx="420">
                  <c:v>45112</c:v>
                </c:pt>
                <c:pt idx="421">
                  <c:v>45113</c:v>
                </c:pt>
                <c:pt idx="422">
                  <c:v>45114</c:v>
                </c:pt>
                <c:pt idx="423">
                  <c:v>45117</c:v>
                </c:pt>
                <c:pt idx="424">
                  <c:v>45118</c:v>
                </c:pt>
                <c:pt idx="425">
                  <c:v>45119</c:v>
                </c:pt>
                <c:pt idx="426">
                  <c:v>45120</c:v>
                </c:pt>
                <c:pt idx="427">
                  <c:v>45121</c:v>
                </c:pt>
                <c:pt idx="428">
                  <c:v>45124</c:v>
                </c:pt>
                <c:pt idx="429">
                  <c:v>45125</c:v>
                </c:pt>
                <c:pt idx="430">
                  <c:v>45126</c:v>
                </c:pt>
                <c:pt idx="431">
                  <c:v>45127</c:v>
                </c:pt>
                <c:pt idx="432">
                  <c:v>45128</c:v>
                </c:pt>
                <c:pt idx="433">
                  <c:v>45131</c:v>
                </c:pt>
                <c:pt idx="434">
                  <c:v>45132</c:v>
                </c:pt>
                <c:pt idx="435">
                  <c:v>45133</c:v>
                </c:pt>
                <c:pt idx="436">
                  <c:v>45134</c:v>
                </c:pt>
                <c:pt idx="437">
                  <c:v>45135</c:v>
                </c:pt>
                <c:pt idx="438">
                  <c:v>45138</c:v>
                </c:pt>
                <c:pt idx="439">
                  <c:v>45139</c:v>
                </c:pt>
                <c:pt idx="440">
                  <c:v>45140</c:v>
                </c:pt>
                <c:pt idx="441">
                  <c:v>45141</c:v>
                </c:pt>
                <c:pt idx="442">
                  <c:v>45142</c:v>
                </c:pt>
                <c:pt idx="443">
                  <c:v>45145</c:v>
                </c:pt>
                <c:pt idx="444">
                  <c:v>45146</c:v>
                </c:pt>
                <c:pt idx="445">
                  <c:v>45147</c:v>
                </c:pt>
                <c:pt idx="446">
                  <c:v>45148</c:v>
                </c:pt>
                <c:pt idx="447">
                  <c:v>45149</c:v>
                </c:pt>
                <c:pt idx="448">
                  <c:v>45152</c:v>
                </c:pt>
                <c:pt idx="449">
                  <c:v>45154</c:v>
                </c:pt>
                <c:pt idx="450">
                  <c:v>45155</c:v>
                </c:pt>
                <c:pt idx="451">
                  <c:v>45156</c:v>
                </c:pt>
                <c:pt idx="452">
                  <c:v>45159</c:v>
                </c:pt>
                <c:pt idx="453">
                  <c:v>45160</c:v>
                </c:pt>
                <c:pt idx="454">
                  <c:v>45161</c:v>
                </c:pt>
                <c:pt idx="455">
                  <c:v>45162</c:v>
                </c:pt>
                <c:pt idx="456">
                  <c:v>45163</c:v>
                </c:pt>
                <c:pt idx="457">
                  <c:v>45166</c:v>
                </c:pt>
                <c:pt idx="458">
                  <c:v>45167</c:v>
                </c:pt>
                <c:pt idx="459">
                  <c:v>45168</c:v>
                </c:pt>
                <c:pt idx="460">
                  <c:v>45169</c:v>
                </c:pt>
                <c:pt idx="461">
                  <c:v>45170</c:v>
                </c:pt>
                <c:pt idx="462">
                  <c:v>45173</c:v>
                </c:pt>
                <c:pt idx="463">
                  <c:v>45174</c:v>
                </c:pt>
                <c:pt idx="464">
                  <c:v>45175</c:v>
                </c:pt>
                <c:pt idx="465">
                  <c:v>45176</c:v>
                </c:pt>
                <c:pt idx="466">
                  <c:v>45177</c:v>
                </c:pt>
                <c:pt idx="467">
                  <c:v>45180</c:v>
                </c:pt>
                <c:pt idx="468">
                  <c:v>45181</c:v>
                </c:pt>
                <c:pt idx="469">
                  <c:v>45182</c:v>
                </c:pt>
                <c:pt idx="470">
                  <c:v>45183</c:v>
                </c:pt>
                <c:pt idx="471">
                  <c:v>45184</c:v>
                </c:pt>
                <c:pt idx="472">
                  <c:v>45187</c:v>
                </c:pt>
                <c:pt idx="473">
                  <c:v>45189</c:v>
                </c:pt>
                <c:pt idx="474">
                  <c:v>45190</c:v>
                </c:pt>
                <c:pt idx="475">
                  <c:v>45191</c:v>
                </c:pt>
                <c:pt idx="476">
                  <c:v>45194</c:v>
                </c:pt>
                <c:pt idx="477">
                  <c:v>45195</c:v>
                </c:pt>
                <c:pt idx="478">
                  <c:v>45196</c:v>
                </c:pt>
                <c:pt idx="479">
                  <c:v>45197</c:v>
                </c:pt>
                <c:pt idx="480">
                  <c:v>45198</c:v>
                </c:pt>
                <c:pt idx="481">
                  <c:v>45202</c:v>
                </c:pt>
                <c:pt idx="482">
                  <c:v>45203</c:v>
                </c:pt>
                <c:pt idx="483">
                  <c:v>45204</c:v>
                </c:pt>
                <c:pt idx="484">
                  <c:v>45205</c:v>
                </c:pt>
                <c:pt idx="485">
                  <c:v>45208</c:v>
                </c:pt>
                <c:pt idx="486">
                  <c:v>45209</c:v>
                </c:pt>
                <c:pt idx="487">
                  <c:v>45210</c:v>
                </c:pt>
                <c:pt idx="488">
                  <c:v>45211</c:v>
                </c:pt>
                <c:pt idx="489">
                  <c:v>45212</c:v>
                </c:pt>
                <c:pt idx="490">
                  <c:v>45215</c:v>
                </c:pt>
                <c:pt idx="491">
                  <c:v>45216</c:v>
                </c:pt>
                <c:pt idx="492">
                  <c:v>45217</c:v>
                </c:pt>
                <c:pt idx="493">
                  <c:v>45218</c:v>
                </c:pt>
                <c:pt idx="494">
                  <c:v>45219</c:v>
                </c:pt>
                <c:pt idx="495">
                  <c:v>45222</c:v>
                </c:pt>
                <c:pt idx="496">
                  <c:v>45224</c:v>
                </c:pt>
                <c:pt idx="497">
                  <c:v>45225</c:v>
                </c:pt>
                <c:pt idx="498">
                  <c:v>45226</c:v>
                </c:pt>
                <c:pt idx="499">
                  <c:v>45229</c:v>
                </c:pt>
                <c:pt idx="500">
                  <c:v>45230</c:v>
                </c:pt>
                <c:pt idx="501">
                  <c:v>45231</c:v>
                </c:pt>
                <c:pt idx="502">
                  <c:v>45232</c:v>
                </c:pt>
                <c:pt idx="503">
                  <c:v>45233</c:v>
                </c:pt>
                <c:pt idx="504">
                  <c:v>45236</c:v>
                </c:pt>
                <c:pt idx="505">
                  <c:v>45237</c:v>
                </c:pt>
                <c:pt idx="506">
                  <c:v>45238</c:v>
                </c:pt>
                <c:pt idx="507">
                  <c:v>45239</c:v>
                </c:pt>
                <c:pt idx="508">
                  <c:v>45240</c:v>
                </c:pt>
                <c:pt idx="509">
                  <c:v>45242</c:v>
                </c:pt>
                <c:pt idx="510">
                  <c:v>45243</c:v>
                </c:pt>
                <c:pt idx="511">
                  <c:v>45245</c:v>
                </c:pt>
                <c:pt idx="512">
                  <c:v>45246</c:v>
                </c:pt>
                <c:pt idx="513">
                  <c:v>45247</c:v>
                </c:pt>
                <c:pt idx="514">
                  <c:v>45250</c:v>
                </c:pt>
                <c:pt idx="515">
                  <c:v>45251</c:v>
                </c:pt>
                <c:pt idx="516">
                  <c:v>45252</c:v>
                </c:pt>
                <c:pt idx="517">
                  <c:v>45253</c:v>
                </c:pt>
                <c:pt idx="518">
                  <c:v>45254</c:v>
                </c:pt>
                <c:pt idx="519">
                  <c:v>45258</c:v>
                </c:pt>
                <c:pt idx="520">
                  <c:v>45259</c:v>
                </c:pt>
                <c:pt idx="521">
                  <c:v>45260</c:v>
                </c:pt>
                <c:pt idx="522">
                  <c:v>45261</c:v>
                </c:pt>
                <c:pt idx="523">
                  <c:v>45264</c:v>
                </c:pt>
                <c:pt idx="524">
                  <c:v>45265</c:v>
                </c:pt>
                <c:pt idx="525">
                  <c:v>45266</c:v>
                </c:pt>
                <c:pt idx="526">
                  <c:v>45267</c:v>
                </c:pt>
                <c:pt idx="527">
                  <c:v>45268</c:v>
                </c:pt>
                <c:pt idx="528">
                  <c:v>45271</c:v>
                </c:pt>
                <c:pt idx="529">
                  <c:v>45272</c:v>
                </c:pt>
                <c:pt idx="530">
                  <c:v>45273</c:v>
                </c:pt>
                <c:pt idx="531">
                  <c:v>45274</c:v>
                </c:pt>
                <c:pt idx="532">
                  <c:v>45275</c:v>
                </c:pt>
                <c:pt idx="533">
                  <c:v>45278</c:v>
                </c:pt>
                <c:pt idx="534">
                  <c:v>45279</c:v>
                </c:pt>
                <c:pt idx="535">
                  <c:v>45280</c:v>
                </c:pt>
                <c:pt idx="536">
                  <c:v>45281</c:v>
                </c:pt>
                <c:pt idx="537">
                  <c:v>45282</c:v>
                </c:pt>
                <c:pt idx="538">
                  <c:v>45286</c:v>
                </c:pt>
                <c:pt idx="539">
                  <c:v>45287</c:v>
                </c:pt>
                <c:pt idx="540">
                  <c:v>45288</c:v>
                </c:pt>
                <c:pt idx="541">
                  <c:v>45289</c:v>
                </c:pt>
                <c:pt idx="542">
                  <c:v>45292</c:v>
                </c:pt>
                <c:pt idx="543">
                  <c:v>45293</c:v>
                </c:pt>
                <c:pt idx="544">
                  <c:v>45294</c:v>
                </c:pt>
                <c:pt idx="545">
                  <c:v>45295</c:v>
                </c:pt>
                <c:pt idx="546">
                  <c:v>45296</c:v>
                </c:pt>
                <c:pt idx="547">
                  <c:v>45299</c:v>
                </c:pt>
                <c:pt idx="548">
                  <c:v>45300</c:v>
                </c:pt>
                <c:pt idx="549">
                  <c:v>45301</c:v>
                </c:pt>
                <c:pt idx="550">
                  <c:v>45302</c:v>
                </c:pt>
                <c:pt idx="551">
                  <c:v>45303</c:v>
                </c:pt>
                <c:pt idx="552">
                  <c:v>45306</c:v>
                </c:pt>
                <c:pt idx="553">
                  <c:v>45307</c:v>
                </c:pt>
                <c:pt idx="554">
                  <c:v>45308</c:v>
                </c:pt>
                <c:pt idx="555">
                  <c:v>45309</c:v>
                </c:pt>
                <c:pt idx="556">
                  <c:v>45310</c:v>
                </c:pt>
                <c:pt idx="557">
                  <c:v>45311</c:v>
                </c:pt>
                <c:pt idx="558">
                  <c:v>45314</c:v>
                </c:pt>
                <c:pt idx="559">
                  <c:v>45315</c:v>
                </c:pt>
                <c:pt idx="560">
                  <c:v>45316</c:v>
                </c:pt>
                <c:pt idx="561">
                  <c:v>45320</c:v>
                </c:pt>
                <c:pt idx="562">
                  <c:v>45321</c:v>
                </c:pt>
                <c:pt idx="563">
                  <c:v>45322</c:v>
                </c:pt>
                <c:pt idx="564">
                  <c:v>45323</c:v>
                </c:pt>
                <c:pt idx="565">
                  <c:v>45324</c:v>
                </c:pt>
                <c:pt idx="566">
                  <c:v>45327</c:v>
                </c:pt>
                <c:pt idx="567">
                  <c:v>45328</c:v>
                </c:pt>
                <c:pt idx="568">
                  <c:v>45329</c:v>
                </c:pt>
                <c:pt idx="569">
                  <c:v>45330</c:v>
                </c:pt>
                <c:pt idx="570">
                  <c:v>45331</c:v>
                </c:pt>
                <c:pt idx="571">
                  <c:v>45334</c:v>
                </c:pt>
                <c:pt idx="572">
                  <c:v>45335</c:v>
                </c:pt>
                <c:pt idx="573">
                  <c:v>45336</c:v>
                </c:pt>
                <c:pt idx="574">
                  <c:v>45337</c:v>
                </c:pt>
                <c:pt idx="575">
                  <c:v>45338</c:v>
                </c:pt>
                <c:pt idx="576">
                  <c:v>45341</c:v>
                </c:pt>
                <c:pt idx="577">
                  <c:v>45342</c:v>
                </c:pt>
                <c:pt idx="578">
                  <c:v>45343</c:v>
                </c:pt>
                <c:pt idx="579">
                  <c:v>45344</c:v>
                </c:pt>
                <c:pt idx="580">
                  <c:v>45345</c:v>
                </c:pt>
                <c:pt idx="581">
                  <c:v>45348</c:v>
                </c:pt>
                <c:pt idx="582">
                  <c:v>45349</c:v>
                </c:pt>
                <c:pt idx="583">
                  <c:v>45350</c:v>
                </c:pt>
                <c:pt idx="584">
                  <c:v>45351</c:v>
                </c:pt>
                <c:pt idx="585">
                  <c:v>45352</c:v>
                </c:pt>
                <c:pt idx="586">
                  <c:v>45355</c:v>
                </c:pt>
                <c:pt idx="587">
                  <c:v>45356</c:v>
                </c:pt>
                <c:pt idx="588">
                  <c:v>45357</c:v>
                </c:pt>
                <c:pt idx="589">
                  <c:v>45358</c:v>
                </c:pt>
                <c:pt idx="590">
                  <c:v>45362</c:v>
                </c:pt>
                <c:pt idx="591">
                  <c:v>45363</c:v>
                </c:pt>
                <c:pt idx="592">
                  <c:v>45364</c:v>
                </c:pt>
                <c:pt idx="593">
                  <c:v>45365</c:v>
                </c:pt>
                <c:pt idx="594">
                  <c:v>45366</c:v>
                </c:pt>
                <c:pt idx="595">
                  <c:v>45369</c:v>
                </c:pt>
                <c:pt idx="596">
                  <c:v>45370</c:v>
                </c:pt>
                <c:pt idx="597">
                  <c:v>45371</c:v>
                </c:pt>
                <c:pt idx="598">
                  <c:v>45372</c:v>
                </c:pt>
                <c:pt idx="599">
                  <c:v>45373</c:v>
                </c:pt>
                <c:pt idx="600">
                  <c:v>45377</c:v>
                </c:pt>
                <c:pt idx="601">
                  <c:v>45378</c:v>
                </c:pt>
                <c:pt idx="602">
                  <c:v>45379</c:v>
                </c:pt>
                <c:pt idx="603">
                  <c:v>45383</c:v>
                </c:pt>
                <c:pt idx="604">
                  <c:v>45384</c:v>
                </c:pt>
                <c:pt idx="605">
                  <c:v>45385</c:v>
                </c:pt>
                <c:pt idx="606">
                  <c:v>45386</c:v>
                </c:pt>
                <c:pt idx="607">
                  <c:v>45387</c:v>
                </c:pt>
                <c:pt idx="608">
                  <c:v>45390</c:v>
                </c:pt>
                <c:pt idx="609">
                  <c:v>45391</c:v>
                </c:pt>
                <c:pt idx="610">
                  <c:v>45392</c:v>
                </c:pt>
                <c:pt idx="611">
                  <c:v>45394</c:v>
                </c:pt>
                <c:pt idx="612">
                  <c:v>45397</c:v>
                </c:pt>
                <c:pt idx="613">
                  <c:v>45398</c:v>
                </c:pt>
                <c:pt idx="614">
                  <c:v>45400</c:v>
                </c:pt>
                <c:pt idx="615">
                  <c:v>45401</c:v>
                </c:pt>
                <c:pt idx="616">
                  <c:v>45404</c:v>
                </c:pt>
                <c:pt idx="617">
                  <c:v>45405</c:v>
                </c:pt>
                <c:pt idx="618">
                  <c:v>45406</c:v>
                </c:pt>
                <c:pt idx="619">
                  <c:v>45407</c:v>
                </c:pt>
                <c:pt idx="620">
                  <c:v>45408</c:v>
                </c:pt>
                <c:pt idx="621">
                  <c:v>45411</c:v>
                </c:pt>
                <c:pt idx="622">
                  <c:v>45412</c:v>
                </c:pt>
                <c:pt idx="623">
                  <c:v>45414</c:v>
                </c:pt>
                <c:pt idx="624">
                  <c:v>45415</c:v>
                </c:pt>
                <c:pt idx="625">
                  <c:v>45418</c:v>
                </c:pt>
                <c:pt idx="626">
                  <c:v>45419</c:v>
                </c:pt>
                <c:pt idx="627">
                  <c:v>45420</c:v>
                </c:pt>
                <c:pt idx="628">
                  <c:v>45421</c:v>
                </c:pt>
                <c:pt idx="629">
                  <c:v>45422</c:v>
                </c:pt>
                <c:pt idx="630">
                  <c:v>45425</c:v>
                </c:pt>
                <c:pt idx="631">
                  <c:v>45426</c:v>
                </c:pt>
                <c:pt idx="632">
                  <c:v>45427</c:v>
                </c:pt>
                <c:pt idx="633">
                  <c:v>45428</c:v>
                </c:pt>
                <c:pt idx="634">
                  <c:v>45429</c:v>
                </c:pt>
                <c:pt idx="635">
                  <c:v>45430</c:v>
                </c:pt>
                <c:pt idx="636">
                  <c:v>45433</c:v>
                </c:pt>
                <c:pt idx="637">
                  <c:v>45434</c:v>
                </c:pt>
                <c:pt idx="638">
                  <c:v>45435</c:v>
                </c:pt>
                <c:pt idx="639">
                  <c:v>45436</c:v>
                </c:pt>
                <c:pt idx="640">
                  <c:v>45439</c:v>
                </c:pt>
                <c:pt idx="641">
                  <c:v>45440</c:v>
                </c:pt>
                <c:pt idx="642">
                  <c:v>45441</c:v>
                </c:pt>
                <c:pt idx="643">
                  <c:v>45442</c:v>
                </c:pt>
                <c:pt idx="644">
                  <c:v>45443</c:v>
                </c:pt>
                <c:pt idx="645">
                  <c:v>45446</c:v>
                </c:pt>
                <c:pt idx="646">
                  <c:v>45447</c:v>
                </c:pt>
                <c:pt idx="647">
                  <c:v>45448</c:v>
                </c:pt>
                <c:pt idx="648">
                  <c:v>45449</c:v>
                </c:pt>
                <c:pt idx="649">
                  <c:v>45450</c:v>
                </c:pt>
                <c:pt idx="650">
                  <c:v>45453</c:v>
                </c:pt>
                <c:pt idx="651">
                  <c:v>45454</c:v>
                </c:pt>
                <c:pt idx="652">
                  <c:v>45455</c:v>
                </c:pt>
                <c:pt idx="653">
                  <c:v>45456</c:v>
                </c:pt>
                <c:pt idx="654">
                  <c:v>45457</c:v>
                </c:pt>
                <c:pt idx="655">
                  <c:v>45461</c:v>
                </c:pt>
                <c:pt idx="656">
                  <c:v>45462</c:v>
                </c:pt>
                <c:pt idx="657">
                  <c:v>45463</c:v>
                </c:pt>
                <c:pt idx="658">
                  <c:v>45464</c:v>
                </c:pt>
                <c:pt idx="659">
                  <c:v>45467</c:v>
                </c:pt>
                <c:pt idx="660">
                  <c:v>45468</c:v>
                </c:pt>
                <c:pt idx="661">
                  <c:v>45469</c:v>
                </c:pt>
                <c:pt idx="662">
                  <c:v>45470</c:v>
                </c:pt>
                <c:pt idx="663">
                  <c:v>45471</c:v>
                </c:pt>
                <c:pt idx="664">
                  <c:v>45474</c:v>
                </c:pt>
                <c:pt idx="665">
                  <c:v>45475</c:v>
                </c:pt>
                <c:pt idx="666">
                  <c:v>45476</c:v>
                </c:pt>
                <c:pt idx="667">
                  <c:v>45477</c:v>
                </c:pt>
                <c:pt idx="668">
                  <c:v>45478</c:v>
                </c:pt>
                <c:pt idx="669">
                  <c:v>45481</c:v>
                </c:pt>
                <c:pt idx="670">
                  <c:v>45482</c:v>
                </c:pt>
                <c:pt idx="671">
                  <c:v>45483</c:v>
                </c:pt>
                <c:pt idx="672">
                  <c:v>45484</c:v>
                </c:pt>
                <c:pt idx="673">
                  <c:v>45485</c:v>
                </c:pt>
                <c:pt idx="674">
                  <c:v>45488</c:v>
                </c:pt>
                <c:pt idx="675">
                  <c:v>45489</c:v>
                </c:pt>
                <c:pt idx="676">
                  <c:v>45491</c:v>
                </c:pt>
                <c:pt idx="677">
                  <c:v>45492</c:v>
                </c:pt>
                <c:pt idx="678">
                  <c:v>45495</c:v>
                </c:pt>
                <c:pt idx="679">
                  <c:v>45496</c:v>
                </c:pt>
                <c:pt idx="680">
                  <c:v>45497</c:v>
                </c:pt>
                <c:pt idx="681">
                  <c:v>45498</c:v>
                </c:pt>
                <c:pt idx="682">
                  <c:v>45499</c:v>
                </c:pt>
                <c:pt idx="683">
                  <c:v>45502</c:v>
                </c:pt>
                <c:pt idx="684">
                  <c:v>45503</c:v>
                </c:pt>
                <c:pt idx="685">
                  <c:v>45504</c:v>
                </c:pt>
                <c:pt idx="686">
                  <c:v>45505</c:v>
                </c:pt>
                <c:pt idx="687">
                  <c:v>45506</c:v>
                </c:pt>
                <c:pt idx="688">
                  <c:v>45509</c:v>
                </c:pt>
                <c:pt idx="689">
                  <c:v>45510</c:v>
                </c:pt>
                <c:pt idx="690">
                  <c:v>45511</c:v>
                </c:pt>
                <c:pt idx="691">
                  <c:v>45512</c:v>
                </c:pt>
                <c:pt idx="692">
                  <c:v>45513</c:v>
                </c:pt>
                <c:pt idx="693">
                  <c:v>45516</c:v>
                </c:pt>
                <c:pt idx="694">
                  <c:v>45517</c:v>
                </c:pt>
                <c:pt idx="695">
                  <c:v>45518</c:v>
                </c:pt>
                <c:pt idx="696">
                  <c:v>45520</c:v>
                </c:pt>
                <c:pt idx="697">
                  <c:v>45523</c:v>
                </c:pt>
                <c:pt idx="698">
                  <c:v>45524</c:v>
                </c:pt>
                <c:pt idx="699">
                  <c:v>45525</c:v>
                </c:pt>
                <c:pt idx="700">
                  <c:v>45526</c:v>
                </c:pt>
                <c:pt idx="701">
                  <c:v>45527</c:v>
                </c:pt>
                <c:pt idx="702">
                  <c:v>45530</c:v>
                </c:pt>
                <c:pt idx="703">
                  <c:v>45531</c:v>
                </c:pt>
                <c:pt idx="704">
                  <c:v>45532</c:v>
                </c:pt>
                <c:pt idx="705">
                  <c:v>45533</c:v>
                </c:pt>
                <c:pt idx="706">
                  <c:v>45534</c:v>
                </c:pt>
                <c:pt idx="707">
                  <c:v>45537</c:v>
                </c:pt>
                <c:pt idx="708">
                  <c:v>45538</c:v>
                </c:pt>
                <c:pt idx="709">
                  <c:v>45539</c:v>
                </c:pt>
                <c:pt idx="710">
                  <c:v>45540</c:v>
                </c:pt>
                <c:pt idx="711">
                  <c:v>45541</c:v>
                </c:pt>
                <c:pt idx="712">
                  <c:v>45544</c:v>
                </c:pt>
                <c:pt idx="713">
                  <c:v>45545</c:v>
                </c:pt>
                <c:pt idx="714">
                  <c:v>45546</c:v>
                </c:pt>
                <c:pt idx="715">
                  <c:v>45547</c:v>
                </c:pt>
                <c:pt idx="716">
                  <c:v>45548</c:v>
                </c:pt>
                <c:pt idx="717">
                  <c:v>45551</c:v>
                </c:pt>
                <c:pt idx="718">
                  <c:v>45552</c:v>
                </c:pt>
                <c:pt idx="719">
                  <c:v>45553</c:v>
                </c:pt>
                <c:pt idx="720">
                  <c:v>45554</c:v>
                </c:pt>
                <c:pt idx="721">
                  <c:v>45555</c:v>
                </c:pt>
                <c:pt idx="722">
                  <c:v>45558</c:v>
                </c:pt>
                <c:pt idx="723">
                  <c:v>45559</c:v>
                </c:pt>
                <c:pt idx="724">
                  <c:v>45560</c:v>
                </c:pt>
                <c:pt idx="725">
                  <c:v>45561</c:v>
                </c:pt>
                <c:pt idx="726">
                  <c:v>45562</c:v>
                </c:pt>
                <c:pt idx="727">
                  <c:v>45565</c:v>
                </c:pt>
                <c:pt idx="728">
                  <c:v>45566</c:v>
                </c:pt>
                <c:pt idx="729">
                  <c:v>45568</c:v>
                </c:pt>
                <c:pt idx="730">
                  <c:v>45569</c:v>
                </c:pt>
                <c:pt idx="731">
                  <c:v>45572</c:v>
                </c:pt>
                <c:pt idx="732">
                  <c:v>45573</c:v>
                </c:pt>
                <c:pt idx="733">
                  <c:v>45574</c:v>
                </c:pt>
                <c:pt idx="734">
                  <c:v>45575</c:v>
                </c:pt>
                <c:pt idx="735">
                  <c:v>45576</c:v>
                </c:pt>
                <c:pt idx="736">
                  <c:v>45579</c:v>
                </c:pt>
                <c:pt idx="737">
                  <c:v>45580</c:v>
                </c:pt>
                <c:pt idx="738">
                  <c:v>45581</c:v>
                </c:pt>
                <c:pt idx="739">
                  <c:v>45582</c:v>
                </c:pt>
                <c:pt idx="740">
                  <c:v>45583</c:v>
                </c:pt>
                <c:pt idx="741">
                  <c:v>45586</c:v>
                </c:pt>
                <c:pt idx="742">
                  <c:v>45587</c:v>
                </c:pt>
                <c:pt idx="743">
                  <c:v>45588</c:v>
                </c:pt>
                <c:pt idx="744">
                  <c:v>45589</c:v>
                </c:pt>
                <c:pt idx="745">
                  <c:v>45590</c:v>
                </c:pt>
                <c:pt idx="746">
                  <c:v>45593</c:v>
                </c:pt>
                <c:pt idx="747">
                  <c:v>45594</c:v>
                </c:pt>
                <c:pt idx="748">
                  <c:v>45595</c:v>
                </c:pt>
                <c:pt idx="749">
                  <c:v>45596</c:v>
                </c:pt>
                <c:pt idx="750">
                  <c:v>45597</c:v>
                </c:pt>
                <c:pt idx="751">
                  <c:v>45600</c:v>
                </c:pt>
                <c:pt idx="752">
                  <c:v>45601</c:v>
                </c:pt>
                <c:pt idx="753">
                  <c:v>45602</c:v>
                </c:pt>
                <c:pt idx="754">
                  <c:v>45603</c:v>
                </c:pt>
                <c:pt idx="755">
                  <c:v>45604</c:v>
                </c:pt>
                <c:pt idx="756">
                  <c:v>45607</c:v>
                </c:pt>
                <c:pt idx="757">
                  <c:v>45608</c:v>
                </c:pt>
                <c:pt idx="758">
                  <c:v>45609</c:v>
                </c:pt>
                <c:pt idx="759">
                  <c:v>45610</c:v>
                </c:pt>
                <c:pt idx="760">
                  <c:v>45614</c:v>
                </c:pt>
                <c:pt idx="761">
                  <c:v>45615</c:v>
                </c:pt>
                <c:pt idx="762">
                  <c:v>45617</c:v>
                </c:pt>
                <c:pt idx="763">
                  <c:v>45618</c:v>
                </c:pt>
                <c:pt idx="764">
                  <c:v>45621</c:v>
                </c:pt>
                <c:pt idx="765">
                  <c:v>45622</c:v>
                </c:pt>
                <c:pt idx="766">
                  <c:v>45623</c:v>
                </c:pt>
                <c:pt idx="767">
                  <c:v>45624</c:v>
                </c:pt>
                <c:pt idx="768">
                  <c:v>45625</c:v>
                </c:pt>
                <c:pt idx="769">
                  <c:v>45628</c:v>
                </c:pt>
                <c:pt idx="770">
                  <c:v>45629</c:v>
                </c:pt>
                <c:pt idx="771">
                  <c:v>45630</c:v>
                </c:pt>
                <c:pt idx="772">
                  <c:v>45631</c:v>
                </c:pt>
                <c:pt idx="773">
                  <c:v>45632</c:v>
                </c:pt>
                <c:pt idx="774">
                  <c:v>45635</c:v>
                </c:pt>
                <c:pt idx="775">
                  <c:v>45636</c:v>
                </c:pt>
                <c:pt idx="776">
                  <c:v>45637</c:v>
                </c:pt>
                <c:pt idx="777">
                  <c:v>45638</c:v>
                </c:pt>
                <c:pt idx="778">
                  <c:v>45639</c:v>
                </c:pt>
                <c:pt idx="779">
                  <c:v>45642</c:v>
                </c:pt>
                <c:pt idx="780">
                  <c:v>45643</c:v>
                </c:pt>
                <c:pt idx="781">
                  <c:v>45644</c:v>
                </c:pt>
                <c:pt idx="782">
                  <c:v>45645</c:v>
                </c:pt>
                <c:pt idx="783">
                  <c:v>45646</c:v>
                </c:pt>
                <c:pt idx="784">
                  <c:v>45649</c:v>
                </c:pt>
                <c:pt idx="785">
                  <c:v>45650</c:v>
                </c:pt>
                <c:pt idx="786">
                  <c:v>45652</c:v>
                </c:pt>
                <c:pt idx="787">
                  <c:v>45653</c:v>
                </c:pt>
                <c:pt idx="788">
                  <c:v>45656</c:v>
                </c:pt>
                <c:pt idx="789">
                  <c:v>45657</c:v>
                </c:pt>
                <c:pt idx="790">
                  <c:v>45658</c:v>
                </c:pt>
                <c:pt idx="791">
                  <c:v>45659</c:v>
                </c:pt>
                <c:pt idx="792">
                  <c:v>45660</c:v>
                </c:pt>
                <c:pt idx="793">
                  <c:v>45663</c:v>
                </c:pt>
                <c:pt idx="794">
                  <c:v>45664</c:v>
                </c:pt>
                <c:pt idx="795">
                  <c:v>45665</c:v>
                </c:pt>
                <c:pt idx="796">
                  <c:v>45666</c:v>
                </c:pt>
                <c:pt idx="797">
                  <c:v>45667</c:v>
                </c:pt>
                <c:pt idx="798">
                  <c:v>45670</c:v>
                </c:pt>
                <c:pt idx="799">
                  <c:v>45671</c:v>
                </c:pt>
                <c:pt idx="800">
                  <c:v>45672</c:v>
                </c:pt>
                <c:pt idx="801">
                  <c:v>45673</c:v>
                </c:pt>
                <c:pt idx="802">
                  <c:v>45674</c:v>
                </c:pt>
                <c:pt idx="803">
                  <c:v>45677</c:v>
                </c:pt>
                <c:pt idx="804">
                  <c:v>45678</c:v>
                </c:pt>
                <c:pt idx="805">
                  <c:v>45679</c:v>
                </c:pt>
                <c:pt idx="806">
                  <c:v>45680</c:v>
                </c:pt>
                <c:pt idx="807">
                  <c:v>45681</c:v>
                </c:pt>
                <c:pt idx="808">
                  <c:v>45684</c:v>
                </c:pt>
                <c:pt idx="809">
                  <c:v>45685</c:v>
                </c:pt>
                <c:pt idx="810">
                  <c:v>45686</c:v>
                </c:pt>
                <c:pt idx="811">
                  <c:v>45687</c:v>
                </c:pt>
                <c:pt idx="812">
                  <c:v>45688</c:v>
                </c:pt>
                <c:pt idx="813">
                  <c:v>45689</c:v>
                </c:pt>
                <c:pt idx="814">
                  <c:v>45691</c:v>
                </c:pt>
                <c:pt idx="815">
                  <c:v>45692</c:v>
                </c:pt>
                <c:pt idx="816">
                  <c:v>45693</c:v>
                </c:pt>
                <c:pt idx="817">
                  <c:v>45694</c:v>
                </c:pt>
                <c:pt idx="818">
                  <c:v>45695</c:v>
                </c:pt>
                <c:pt idx="819">
                  <c:v>45698</c:v>
                </c:pt>
                <c:pt idx="820">
                  <c:v>45699</c:v>
                </c:pt>
                <c:pt idx="821">
                  <c:v>45700</c:v>
                </c:pt>
                <c:pt idx="822">
                  <c:v>45701</c:v>
                </c:pt>
                <c:pt idx="823">
                  <c:v>45702</c:v>
                </c:pt>
                <c:pt idx="824">
                  <c:v>45705</c:v>
                </c:pt>
                <c:pt idx="825">
                  <c:v>45706</c:v>
                </c:pt>
                <c:pt idx="826">
                  <c:v>45707</c:v>
                </c:pt>
                <c:pt idx="827">
                  <c:v>45708</c:v>
                </c:pt>
                <c:pt idx="828">
                  <c:v>45709</c:v>
                </c:pt>
                <c:pt idx="829">
                  <c:v>45712</c:v>
                </c:pt>
                <c:pt idx="830">
                  <c:v>45713</c:v>
                </c:pt>
                <c:pt idx="831">
                  <c:v>45715</c:v>
                </c:pt>
                <c:pt idx="832">
                  <c:v>45716</c:v>
                </c:pt>
                <c:pt idx="833">
                  <c:v>45719</c:v>
                </c:pt>
                <c:pt idx="834">
                  <c:v>45720</c:v>
                </c:pt>
                <c:pt idx="835">
                  <c:v>45721</c:v>
                </c:pt>
                <c:pt idx="836">
                  <c:v>45722</c:v>
                </c:pt>
                <c:pt idx="837">
                  <c:v>45723</c:v>
                </c:pt>
                <c:pt idx="838">
                  <c:v>45726</c:v>
                </c:pt>
                <c:pt idx="839">
                  <c:v>45727</c:v>
                </c:pt>
                <c:pt idx="840">
                  <c:v>45728</c:v>
                </c:pt>
                <c:pt idx="841">
                  <c:v>45729</c:v>
                </c:pt>
                <c:pt idx="842">
                  <c:v>45733</c:v>
                </c:pt>
                <c:pt idx="843">
                  <c:v>45734</c:v>
                </c:pt>
                <c:pt idx="844">
                  <c:v>45735</c:v>
                </c:pt>
                <c:pt idx="845">
                  <c:v>45736</c:v>
                </c:pt>
                <c:pt idx="846">
                  <c:v>45737</c:v>
                </c:pt>
                <c:pt idx="847">
                  <c:v>45740</c:v>
                </c:pt>
                <c:pt idx="848">
                  <c:v>45741</c:v>
                </c:pt>
                <c:pt idx="849">
                  <c:v>45742</c:v>
                </c:pt>
                <c:pt idx="850">
                  <c:v>45743</c:v>
                </c:pt>
                <c:pt idx="851">
                  <c:v>45744</c:v>
                </c:pt>
                <c:pt idx="852">
                  <c:v>45748</c:v>
                </c:pt>
                <c:pt idx="853">
                  <c:v>45749</c:v>
                </c:pt>
                <c:pt idx="854">
                  <c:v>45750</c:v>
                </c:pt>
                <c:pt idx="855">
                  <c:v>45751</c:v>
                </c:pt>
                <c:pt idx="856">
                  <c:v>45754</c:v>
                </c:pt>
                <c:pt idx="857">
                  <c:v>45755</c:v>
                </c:pt>
                <c:pt idx="858">
                  <c:v>45756</c:v>
                </c:pt>
                <c:pt idx="859">
                  <c:v>45758</c:v>
                </c:pt>
                <c:pt idx="860">
                  <c:v>45762</c:v>
                </c:pt>
                <c:pt idx="861">
                  <c:v>45763</c:v>
                </c:pt>
                <c:pt idx="862">
                  <c:v>45764</c:v>
                </c:pt>
                <c:pt idx="863">
                  <c:v>45768</c:v>
                </c:pt>
                <c:pt idx="864">
                  <c:v>45769</c:v>
                </c:pt>
                <c:pt idx="865">
                  <c:v>45770</c:v>
                </c:pt>
                <c:pt idx="866">
                  <c:v>45771</c:v>
                </c:pt>
                <c:pt idx="867">
                  <c:v>45772</c:v>
                </c:pt>
                <c:pt idx="868">
                  <c:v>45775</c:v>
                </c:pt>
                <c:pt idx="869">
                  <c:v>45776</c:v>
                </c:pt>
                <c:pt idx="870">
                  <c:v>45777</c:v>
                </c:pt>
                <c:pt idx="871">
                  <c:v>45779</c:v>
                </c:pt>
                <c:pt idx="872">
                  <c:v>45782</c:v>
                </c:pt>
                <c:pt idx="873">
                  <c:v>45783</c:v>
                </c:pt>
                <c:pt idx="874">
                  <c:v>45784</c:v>
                </c:pt>
                <c:pt idx="875">
                  <c:v>45785</c:v>
                </c:pt>
                <c:pt idx="876">
                  <c:v>45786</c:v>
                </c:pt>
                <c:pt idx="877">
                  <c:v>45789</c:v>
                </c:pt>
                <c:pt idx="878">
                  <c:v>45790</c:v>
                </c:pt>
                <c:pt idx="879">
                  <c:v>45791</c:v>
                </c:pt>
                <c:pt idx="880">
                  <c:v>45792</c:v>
                </c:pt>
                <c:pt idx="881">
                  <c:v>45793</c:v>
                </c:pt>
                <c:pt idx="882">
                  <c:v>45796</c:v>
                </c:pt>
                <c:pt idx="883">
                  <c:v>45797</c:v>
                </c:pt>
                <c:pt idx="884">
                  <c:v>45798</c:v>
                </c:pt>
                <c:pt idx="885">
                  <c:v>45799</c:v>
                </c:pt>
                <c:pt idx="886">
                  <c:v>45800</c:v>
                </c:pt>
                <c:pt idx="887">
                  <c:v>45803</c:v>
                </c:pt>
                <c:pt idx="888">
                  <c:v>45804</c:v>
                </c:pt>
                <c:pt idx="889">
                  <c:v>45805</c:v>
                </c:pt>
                <c:pt idx="890">
                  <c:v>45806</c:v>
                </c:pt>
                <c:pt idx="891">
                  <c:v>45807</c:v>
                </c:pt>
                <c:pt idx="892">
                  <c:v>45810</c:v>
                </c:pt>
                <c:pt idx="893">
                  <c:v>45811</c:v>
                </c:pt>
                <c:pt idx="894">
                  <c:v>45812</c:v>
                </c:pt>
                <c:pt idx="895">
                  <c:v>45813</c:v>
                </c:pt>
                <c:pt idx="896">
                  <c:v>45814</c:v>
                </c:pt>
                <c:pt idx="897">
                  <c:v>45817</c:v>
                </c:pt>
                <c:pt idx="898">
                  <c:v>45818</c:v>
                </c:pt>
                <c:pt idx="899">
                  <c:v>45819</c:v>
                </c:pt>
                <c:pt idx="900">
                  <c:v>45820</c:v>
                </c:pt>
                <c:pt idx="901">
                  <c:v>45821</c:v>
                </c:pt>
                <c:pt idx="902">
                  <c:v>45824</c:v>
                </c:pt>
                <c:pt idx="903">
                  <c:v>45825</c:v>
                </c:pt>
                <c:pt idx="904">
                  <c:v>45826</c:v>
                </c:pt>
                <c:pt idx="905">
                  <c:v>45827</c:v>
                </c:pt>
                <c:pt idx="906">
                  <c:v>45828</c:v>
                </c:pt>
                <c:pt idx="907">
                  <c:v>45831</c:v>
                </c:pt>
                <c:pt idx="908">
                  <c:v>45832</c:v>
                </c:pt>
                <c:pt idx="909">
                  <c:v>45833</c:v>
                </c:pt>
                <c:pt idx="910">
                  <c:v>45834</c:v>
                </c:pt>
                <c:pt idx="911">
                  <c:v>45835</c:v>
                </c:pt>
                <c:pt idx="912">
                  <c:v>45838</c:v>
                </c:pt>
                <c:pt idx="913">
                  <c:v>45839</c:v>
                </c:pt>
                <c:pt idx="914">
                  <c:v>45840</c:v>
                </c:pt>
                <c:pt idx="915">
                  <c:v>45841</c:v>
                </c:pt>
                <c:pt idx="916">
                  <c:v>45842</c:v>
                </c:pt>
                <c:pt idx="917">
                  <c:v>45845</c:v>
                </c:pt>
                <c:pt idx="918">
                  <c:v>45846</c:v>
                </c:pt>
                <c:pt idx="919">
                  <c:v>45847</c:v>
                </c:pt>
                <c:pt idx="920">
                  <c:v>45848</c:v>
                </c:pt>
                <c:pt idx="921">
                  <c:v>45849</c:v>
                </c:pt>
                <c:pt idx="922">
                  <c:v>45852</c:v>
                </c:pt>
                <c:pt idx="923">
                  <c:v>45853</c:v>
                </c:pt>
                <c:pt idx="924">
                  <c:v>45854</c:v>
                </c:pt>
                <c:pt idx="925">
                  <c:v>45855</c:v>
                </c:pt>
                <c:pt idx="926">
                  <c:v>45856</c:v>
                </c:pt>
                <c:pt idx="927">
                  <c:v>45859</c:v>
                </c:pt>
                <c:pt idx="928">
                  <c:v>45860</c:v>
                </c:pt>
                <c:pt idx="929">
                  <c:v>45861</c:v>
                </c:pt>
                <c:pt idx="930">
                  <c:v>45862</c:v>
                </c:pt>
                <c:pt idx="931">
                  <c:v>45863</c:v>
                </c:pt>
                <c:pt idx="932">
                  <c:v>45866</c:v>
                </c:pt>
                <c:pt idx="933">
                  <c:v>45867</c:v>
                </c:pt>
                <c:pt idx="934">
                  <c:v>45868</c:v>
                </c:pt>
                <c:pt idx="935">
                  <c:v>45869</c:v>
                </c:pt>
                <c:pt idx="936">
                  <c:v>45870</c:v>
                </c:pt>
                <c:pt idx="937">
                  <c:v>45873</c:v>
                </c:pt>
                <c:pt idx="938">
                  <c:v>45874</c:v>
                </c:pt>
                <c:pt idx="939">
                  <c:v>45875</c:v>
                </c:pt>
                <c:pt idx="940">
                  <c:v>45876</c:v>
                </c:pt>
                <c:pt idx="941">
                  <c:v>45877</c:v>
                </c:pt>
                <c:pt idx="942">
                  <c:v>45880</c:v>
                </c:pt>
                <c:pt idx="943">
                  <c:v>45881</c:v>
                </c:pt>
                <c:pt idx="944">
                  <c:v>45882</c:v>
                </c:pt>
                <c:pt idx="945">
                  <c:v>45883</c:v>
                </c:pt>
                <c:pt idx="946">
                  <c:v>45887</c:v>
                </c:pt>
                <c:pt idx="947">
                  <c:v>45888</c:v>
                </c:pt>
                <c:pt idx="948">
                  <c:v>45889</c:v>
                </c:pt>
                <c:pt idx="949">
                  <c:v>45890</c:v>
                </c:pt>
                <c:pt idx="950">
                  <c:v>45891</c:v>
                </c:pt>
                <c:pt idx="951">
                  <c:v>45894</c:v>
                </c:pt>
                <c:pt idx="952">
                  <c:v>45895</c:v>
                </c:pt>
                <c:pt idx="953">
                  <c:v>45897</c:v>
                </c:pt>
                <c:pt idx="954">
                  <c:v>45898</c:v>
                </c:pt>
                <c:pt idx="955">
                  <c:v>45901</c:v>
                </c:pt>
                <c:pt idx="956">
                  <c:v>45902</c:v>
                </c:pt>
                <c:pt idx="957">
                  <c:v>45903</c:v>
                </c:pt>
                <c:pt idx="958">
                  <c:v>45904</c:v>
                </c:pt>
                <c:pt idx="959">
                  <c:v>45905</c:v>
                </c:pt>
                <c:pt idx="960">
                  <c:v>45908</c:v>
                </c:pt>
                <c:pt idx="961">
                  <c:v>45909</c:v>
                </c:pt>
                <c:pt idx="962">
                  <c:v>45910</c:v>
                </c:pt>
                <c:pt idx="963">
                  <c:v>45911</c:v>
                </c:pt>
                <c:pt idx="964">
                  <c:v>45912</c:v>
                </c:pt>
                <c:pt idx="965">
                  <c:v>45915</c:v>
                </c:pt>
                <c:pt idx="966">
                  <c:v>45916</c:v>
                </c:pt>
                <c:pt idx="967">
                  <c:v>45917</c:v>
                </c:pt>
                <c:pt idx="968">
                  <c:v>45918</c:v>
                </c:pt>
                <c:pt idx="969">
                  <c:v>45919</c:v>
                </c:pt>
                <c:pt idx="970">
                  <c:v>45922</c:v>
                </c:pt>
                <c:pt idx="971">
                  <c:v>45923</c:v>
                </c:pt>
                <c:pt idx="972">
                  <c:v>45924</c:v>
                </c:pt>
                <c:pt idx="973">
                  <c:v>45925</c:v>
                </c:pt>
                <c:pt idx="974">
                  <c:v>45926</c:v>
                </c:pt>
                <c:pt idx="975">
                  <c:v>45929</c:v>
                </c:pt>
                <c:pt idx="976">
                  <c:v>45930</c:v>
                </c:pt>
                <c:pt idx="977">
                  <c:v>45931</c:v>
                </c:pt>
                <c:pt idx="978">
                  <c:v>45933</c:v>
                </c:pt>
                <c:pt idx="979">
                  <c:v>45936</c:v>
                </c:pt>
                <c:pt idx="980">
                  <c:v>45937</c:v>
                </c:pt>
                <c:pt idx="981">
                  <c:v>45938</c:v>
                </c:pt>
                <c:pt idx="982">
                  <c:v>45939</c:v>
                </c:pt>
                <c:pt idx="983">
                  <c:v>45940</c:v>
                </c:pt>
                <c:pt idx="984">
                  <c:v>45943</c:v>
                </c:pt>
                <c:pt idx="985">
                  <c:v>45944</c:v>
                </c:pt>
                <c:pt idx="986">
                  <c:v>45945</c:v>
                </c:pt>
                <c:pt idx="987">
                  <c:v>45946</c:v>
                </c:pt>
                <c:pt idx="988">
                  <c:v>45947</c:v>
                </c:pt>
                <c:pt idx="989">
                  <c:v>45950</c:v>
                </c:pt>
                <c:pt idx="990">
                  <c:v>45951</c:v>
                </c:pt>
                <c:pt idx="991">
                  <c:v>45953</c:v>
                </c:pt>
                <c:pt idx="992">
                  <c:v>45954</c:v>
                </c:pt>
                <c:pt idx="993">
                  <c:v>45957</c:v>
                </c:pt>
                <c:pt idx="994">
                  <c:v>45958</c:v>
                </c:pt>
                <c:pt idx="995">
                  <c:v>45959</c:v>
                </c:pt>
                <c:pt idx="996">
                  <c:v>45960</c:v>
                </c:pt>
                <c:pt idx="997">
                  <c:v>45961</c:v>
                </c:pt>
                <c:pt idx="998">
                  <c:v>45964</c:v>
                </c:pt>
                <c:pt idx="999">
                  <c:v>45965</c:v>
                </c:pt>
                <c:pt idx="1000">
                  <c:v>45967</c:v>
                </c:pt>
                <c:pt idx="1001">
                  <c:v>45968</c:v>
                </c:pt>
                <c:pt idx="1002">
                  <c:v>45971</c:v>
                </c:pt>
                <c:pt idx="1003">
                  <c:v>45972</c:v>
                </c:pt>
                <c:pt idx="1004">
                  <c:v>45973</c:v>
                </c:pt>
                <c:pt idx="1005">
                  <c:v>45974</c:v>
                </c:pt>
                <c:pt idx="1006">
                  <c:v>45975</c:v>
                </c:pt>
                <c:pt idx="1007">
                  <c:v>45978</c:v>
                </c:pt>
                <c:pt idx="1008">
                  <c:v>45979</c:v>
                </c:pt>
                <c:pt idx="1009">
                  <c:v>45980</c:v>
                </c:pt>
                <c:pt idx="1010">
                  <c:v>45981</c:v>
                </c:pt>
                <c:pt idx="1011">
                  <c:v>45982</c:v>
                </c:pt>
                <c:pt idx="1012">
                  <c:v>45985</c:v>
                </c:pt>
                <c:pt idx="1013">
                  <c:v>45986</c:v>
                </c:pt>
                <c:pt idx="1014">
                  <c:v>45987</c:v>
                </c:pt>
                <c:pt idx="1015">
                  <c:v>45988</c:v>
                </c:pt>
                <c:pt idx="1016">
                  <c:v>45989</c:v>
                </c:pt>
                <c:pt idx="1017">
                  <c:v>45992</c:v>
                </c:pt>
                <c:pt idx="1018">
                  <c:v>45993</c:v>
                </c:pt>
                <c:pt idx="1019">
                  <c:v>45994</c:v>
                </c:pt>
                <c:pt idx="1020">
                  <c:v>45995</c:v>
                </c:pt>
                <c:pt idx="1021">
                  <c:v>45996</c:v>
                </c:pt>
                <c:pt idx="1022">
                  <c:v>45999</c:v>
                </c:pt>
                <c:pt idx="1023">
                  <c:v>46000</c:v>
                </c:pt>
                <c:pt idx="1024">
                  <c:v>46001</c:v>
                </c:pt>
                <c:pt idx="1025">
                  <c:v>46002</c:v>
                </c:pt>
                <c:pt idx="1026">
                  <c:v>46003</c:v>
                </c:pt>
                <c:pt idx="1027">
                  <c:v>46006</c:v>
                </c:pt>
                <c:pt idx="1028">
                  <c:v>46007</c:v>
                </c:pt>
                <c:pt idx="1029">
                  <c:v>46008</c:v>
                </c:pt>
                <c:pt idx="1030">
                  <c:v>46009</c:v>
                </c:pt>
                <c:pt idx="1031">
                  <c:v>46010</c:v>
                </c:pt>
                <c:pt idx="1032">
                  <c:v>46013</c:v>
                </c:pt>
                <c:pt idx="1033">
                  <c:v>46014</c:v>
                </c:pt>
                <c:pt idx="1034">
                  <c:v>46015</c:v>
                </c:pt>
                <c:pt idx="1035">
                  <c:v>46017</c:v>
                </c:pt>
                <c:pt idx="1036">
                  <c:v>46020</c:v>
                </c:pt>
                <c:pt idx="1037">
                  <c:v>46021</c:v>
                </c:pt>
                <c:pt idx="1038">
                  <c:v>46022</c:v>
                </c:pt>
              </c:numCache>
            </c:numRef>
          </c:cat>
          <c:val>
            <c:numRef>
              <c:f>'Price trend line table'!$E$202:$E$1241</c:f>
              <c:numCache>
                <c:formatCode>General</c:formatCode>
                <c:ptCount val="1040"/>
                <c:pt idx="0">
                  <c:v>15675.584750000004</c:v>
                </c:pt>
                <c:pt idx="1">
                  <c:v>15696.119250000003</c:v>
                </c:pt>
                <c:pt idx="2">
                  <c:v>15716.796750000003</c:v>
                </c:pt>
                <c:pt idx="3">
                  <c:v>15736.854000000003</c:v>
                </c:pt>
                <c:pt idx="4">
                  <c:v>15755.409000000003</c:v>
                </c:pt>
                <c:pt idx="5">
                  <c:v>15773.080500000004</c:v>
                </c:pt>
                <c:pt idx="6">
                  <c:v>15790.992500000002</c:v>
                </c:pt>
                <c:pt idx="7">
                  <c:v>15808.013500000003</c:v>
                </c:pt>
                <c:pt idx="8">
                  <c:v>15824.342250000005</c:v>
                </c:pt>
                <c:pt idx="9">
                  <c:v>15841.102000000004</c:v>
                </c:pt>
                <c:pt idx="10">
                  <c:v>15858.466750000003</c:v>
                </c:pt>
                <c:pt idx="11">
                  <c:v>15876.519500000002</c:v>
                </c:pt>
                <c:pt idx="12">
                  <c:v>15895.199000000004</c:v>
                </c:pt>
                <c:pt idx="13">
                  <c:v>15911.961250000004</c:v>
                </c:pt>
                <c:pt idx="14">
                  <c:v>15929.251500000004</c:v>
                </c:pt>
                <c:pt idx="15">
                  <c:v>15946.847000000003</c:v>
                </c:pt>
                <c:pt idx="16">
                  <c:v>15964.983500000006</c:v>
                </c:pt>
                <c:pt idx="17">
                  <c:v>15983.282250000006</c:v>
                </c:pt>
                <c:pt idx="18">
                  <c:v>16002.268750000005</c:v>
                </c:pt>
                <c:pt idx="19">
                  <c:v>16020.263750000006</c:v>
                </c:pt>
                <c:pt idx="20">
                  <c:v>16039.607500000006</c:v>
                </c:pt>
                <c:pt idx="21">
                  <c:v>16055.276750000003</c:v>
                </c:pt>
                <c:pt idx="22">
                  <c:v>16069.718750000002</c:v>
                </c:pt>
                <c:pt idx="23">
                  <c:v>16080.901250000004</c:v>
                </c:pt>
                <c:pt idx="24">
                  <c:v>16091.692750000006</c:v>
                </c:pt>
                <c:pt idx="25">
                  <c:v>16101.987500000005</c:v>
                </c:pt>
                <c:pt idx="26">
                  <c:v>16112.243000000006</c:v>
                </c:pt>
                <c:pt idx="27">
                  <c:v>16123.704750000003</c:v>
                </c:pt>
                <c:pt idx="28">
                  <c:v>16134.155750000004</c:v>
                </c:pt>
                <c:pt idx="29">
                  <c:v>16142.850500000006</c:v>
                </c:pt>
                <c:pt idx="30">
                  <c:v>16152.917500000005</c:v>
                </c:pt>
                <c:pt idx="31">
                  <c:v>16163.692750000004</c:v>
                </c:pt>
                <c:pt idx="32">
                  <c:v>16174.709750000005</c:v>
                </c:pt>
                <c:pt idx="33">
                  <c:v>16186.221750000002</c:v>
                </c:pt>
                <c:pt idx="34">
                  <c:v>16197.468250000004</c:v>
                </c:pt>
                <c:pt idx="35">
                  <c:v>16209.184000000007</c:v>
                </c:pt>
                <c:pt idx="36">
                  <c:v>16221.912500000004</c:v>
                </c:pt>
                <c:pt idx="37">
                  <c:v>16234.615500000005</c:v>
                </c:pt>
                <c:pt idx="38">
                  <c:v>16244.631500000007</c:v>
                </c:pt>
                <c:pt idx="39">
                  <c:v>16252.215750000005</c:v>
                </c:pt>
                <c:pt idx="40">
                  <c:v>16263.424250000004</c:v>
                </c:pt>
                <c:pt idx="41">
                  <c:v>16274.393750000005</c:v>
                </c:pt>
                <c:pt idx="42">
                  <c:v>16285.161250000005</c:v>
                </c:pt>
                <c:pt idx="43">
                  <c:v>16293.952000000005</c:v>
                </c:pt>
                <c:pt idx="44">
                  <c:v>16303.979500000007</c:v>
                </c:pt>
                <c:pt idx="45">
                  <c:v>16315.455250000006</c:v>
                </c:pt>
                <c:pt idx="46">
                  <c:v>16326.742250000005</c:v>
                </c:pt>
                <c:pt idx="47">
                  <c:v>16337.270000000004</c:v>
                </c:pt>
                <c:pt idx="48">
                  <c:v>16348.166250000002</c:v>
                </c:pt>
                <c:pt idx="49">
                  <c:v>16361.140000000003</c:v>
                </c:pt>
                <c:pt idx="50">
                  <c:v>16375.518750000005</c:v>
                </c:pt>
                <c:pt idx="51">
                  <c:v>16390.592750000003</c:v>
                </c:pt>
                <c:pt idx="52">
                  <c:v>16405.715750000003</c:v>
                </c:pt>
                <c:pt idx="53">
                  <c:v>16421.990000000005</c:v>
                </c:pt>
                <c:pt idx="54">
                  <c:v>16438.286500000006</c:v>
                </c:pt>
                <c:pt idx="55">
                  <c:v>16454.883250000003</c:v>
                </c:pt>
                <c:pt idx="56">
                  <c:v>16471.871250000004</c:v>
                </c:pt>
                <c:pt idx="57">
                  <c:v>16490.413250000005</c:v>
                </c:pt>
                <c:pt idx="58">
                  <c:v>16510.067500000005</c:v>
                </c:pt>
                <c:pt idx="59">
                  <c:v>16529.071500000005</c:v>
                </c:pt>
                <c:pt idx="60">
                  <c:v>16545.411250000005</c:v>
                </c:pt>
                <c:pt idx="61">
                  <c:v>16561.649750000004</c:v>
                </c:pt>
                <c:pt idx="62">
                  <c:v>16576.098000000002</c:v>
                </c:pt>
                <c:pt idx="63">
                  <c:v>16590.994750000002</c:v>
                </c:pt>
                <c:pt idx="64">
                  <c:v>16603.322750000003</c:v>
                </c:pt>
                <c:pt idx="65">
                  <c:v>16615.617250000003</c:v>
                </c:pt>
                <c:pt idx="66">
                  <c:v>16626.799000000003</c:v>
                </c:pt>
                <c:pt idx="67">
                  <c:v>16638.134500000004</c:v>
                </c:pt>
                <c:pt idx="68">
                  <c:v>16653.279750000005</c:v>
                </c:pt>
                <c:pt idx="69">
                  <c:v>16668.640000000003</c:v>
                </c:pt>
                <c:pt idx="70">
                  <c:v>16684.632750000004</c:v>
                </c:pt>
                <c:pt idx="71">
                  <c:v>16699.34450000001</c:v>
                </c:pt>
                <c:pt idx="72">
                  <c:v>16715.128750000007</c:v>
                </c:pt>
                <c:pt idx="73">
                  <c:v>16729.714750000006</c:v>
                </c:pt>
                <c:pt idx="74">
                  <c:v>16744.017750000006</c:v>
                </c:pt>
                <c:pt idx="75">
                  <c:v>16759.630000000005</c:v>
                </c:pt>
                <c:pt idx="76">
                  <c:v>16775.234250000009</c:v>
                </c:pt>
                <c:pt idx="77">
                  <c:v>16788.842750000007</c:v>
                </c:pt>
                <c:pt idx="78">
                  <c:v>16798.734000000004</c:v>
                </c:pt>
                <c:pt idx="79">
                  <c:v>16811.021750000004</c:v>
                </c:pt>
                <c:pt idx="80">
                  <c:v>16824.477250000007</c:v>
                </c:pt>
                <c:pt idx="81">
                  <c:v>16837.829500000003</c:v>
                </c:pt>
                <c:pt idx="82">
                  <c:v>16851.728500000005</c:v>
                </c:pt>
                <c:pt idx="83">
                  <c:v>16864.672500000008</c:v>
                </c:pt>
                <c:pt idx="84">
                  <c:v>16876.509500000007</c:v>
                </c:pt>
                <c:pt idx="85">
                  <c:v>16887.710000000006</c:v>
                </c:pt>
                <c:pt idx="86">
                  <c:v>16894.238000000005</c:v>
                </c:pt>
                <c:pt idx="87">
                  <c:v>16903.276250000006</c:v>
                </c:pt>
                <c:pt idx="88">
                  <c:v>16913.763250000004</c:v>
                </c:pt>
                <c:pt idx="89">
                  <c:v>16923.404000000006</c:v>
                </c:pt>
                <c:pt idx="90">
                  <c:v>16931.278500000004</c:v>
                </c:pt>
                <c:pt idx="91">
                  <c:v>16936.964750000003</c:v>
                </c:pt>
                <c:pt idx="92">
                  <c:v>16941.129750000004</c:v>
                </c:pt>
                <c:pt idx="93">
                  <c:v>16946.666750000004</c:v>
                </c:pt>
                <c:pt idx="94">
                  <c:v>16952.517000000007</c:v>
                </c:pt>
                <c:pt idx="95">
                  <c:v>16959.503000000008</c:v>
                </c:pt>
                <c:pt idx="96">
                  <c:v>16966.613000000008</c:v>
                </c:pt>
                <c:pt idx="97">
                  <c:v>16974.462250000008</c:v>
                </c:pt>
                <c:pt idx="98">
                  <c:v>16981.088000000007</c:v>
                </c:pt>
                <c:pt idx="99">
                  <c:v>16988.786500000006</c:v>
                </c:pt>
                <c:pt idx="100">
                  <c:v>16997.307750000007</c:v>
                </c:pt>
                <c:pt idx="101">
                  <c:v>17005.021500000006</c:v>
                </c:pt>
                <c:pt idx="102">
                  <c:v>17013.718000000004</c:v>
                </c:pt>
                <c:pt idx="103">
                  <c:v>17021.494500000004</c:v>
                </c:pt>
                <c:pt idx="104">
                  <c:v>17029.257000000005</c:v>
                </c:pt>
                <c:pt idx="105">
                  <c:v>17036.263750000002</c:v>
                </c:pt>
                <c:pt idx="106">
                  <c:v>17043.673250000003</c:v>
                </c:pt>
                <c:pt idx="107">
                  <c:v>17052.123</c:v>
                </c:pt>
                <c:pt idx="108">
                  <c:v>17060.925500000001</c:v>
                </c:pt>
                <c:pt idx="109">
                  <c:v>17069.252500000002</c:v>
                </c:pt>
                <c:pt idx="110">
                  <c:v>17078.545500000004</c:v>
                </c:pt>
                <c:pt idx="111">
                  <c:v>17089.466250000001</c:v>
                </c:pt>
                <c:pt idx="112">
                  <c:v>17100.415500000003</c:v>
                </c:pt>
                <c:pt idx="113">
                  <c:v>17110.996750000002</c:v>
                </c:pt>
                <c:pt idx="114">
                  <c:v>17120.777750000001</c:v>
                </c:pt>
                <c:pt idx="115">
                  <c:v>17130.967000000001</c:v>
                </c:pt>
                <c:pt idx="116">
                  <c:v>17140.477999999999</c:v>
                </c:pt>
                <c:pt idx="117">
                  <c:v>17149.694750000002</c:v>
                </c:pt>
                <c:pt idx="118">
                  <c:v>17158.120749999998</c:v>
                </c:pt>
                <c:pt idx="119">
                  <c:v>17164.687249999995</c:v>
                </c:pt>
                <c:pt idx="120">
                  <c:v>17170.406999999996</c:v>
                </c:pt>
                <c:pt idx="121">
                  <c:v>17177.347499999996</c:v>
                </c:pt>
                <c:pt idx="122">
                  <c:v>17185.702999999994</c:v>
                </c:pt>
                <c:pt idx="123">
                  <c:v>17193.162749999996</c:v>
                </c:pt>
                <c:pt idx="124">
                  <c:v>17199.321499999998</c:v>
                </c:pt>
                <c:pt idx="125">
                  <c:v>17206.153749999994</c:v>
                </c:pt>
                <c:pt idx="126">
                  <c:v>17212.254499999995</c:v>
                </c:pt>
                <c:pt idx="127">
                  <c:v>17219.081499999993</c:v>
                </c:pt>
                <c:pt idx="128">
                  <c:v>17225.954749999994</c:v>
                </c:pt>
                <c:pt idx="129">
                  <c:v>17232.851249999996</c:v>
                </c:pt>
                <c:pt idx="130">
                  <c:v>17237.776249999995</c:v>
                </c:pt>
                <c:pt idx="131">
                  <c:v>17242.127749999992</c:v>
                </c:pt>
                <c:pt idx="132">
                  <c:v>17244.914249999994</c:v>
                </c:pt>
                <c:pt idx="133">
                  <c:v>17246.802499999994</c:v>
                </c:pt>
                <c:pt idx="134">
                  <c:v>17248.385749999994</c:v>
                </c:pt>
                <c:pt idx="135">
                  <c:v>17250.459249999993</c:v>
                </c:pt>
                <c:pt idx="136">
                  <c:v>17251.338749999995</c:v>
                </c:pt>
                <c:pt idx="137">
                  <c:v>17251.129249999994</c:v>
                </c:pt>
                <c:pt idx="138">
                  <c:v>17251.060499999992</c:v>
                </c:pt>
                <c:pt idx="139">
                  <c:v>17253.234749999992</c:v>
                </c:pt>
                <c:pt idx="140">
                  <c:v>17255.703999999991</c:v>
                </c:pt>
                <c:pt idx="141">
                  <c:v>17256.203999999991</c:v>
                </c:pt>
                <c:pt idx="142">
                  <c:v>17258.642499999994</c:v>
                </c:pt>
                <c:pt idx="143">
                  <c:v>17260.900749999993</c:v>
                </c:pt>
                <c:pt idx="144">
                  <c:v>17262.100749999994</c:v>
                </c:pt>
                <c:pt idx="145">
                  <c:v>17261.57599999999</c:v>
                </c:pt>
                <c:pt idx="146">
                  <c:v>17261.132749999993</c:v>
                </c:pt>
                <c:pt idx="147">
                  <c:v>17261.421999999991</c:v>
                </c:pt>
                <c:pt idx="148">
                  <c:v>17263.53799999999</c:v>
                </c:pt>
                <c:pt idx="149">
                  <c:v>17265.169499999989</c:v>
                </c:pt>
                <c:pt idx="150">
                  <c:v>17266.38274999999</c:v>
                </c:pt>
                <c:pt idx="151">
                  <c:v>17268.111499999988</c:v>
                </c:pt>
                <c:pt idx="152">
                  <c:v>17269.210999999988</c:v>
                </c:pt>
                <c:pt idx="153">
                  <c:v>17269.413249999987</c:v>
                </c:pt>
                <c:pt idx="154">
                  <c:v>17268.679749999988</c:v>
                </c:pt>
                <c:pt idx="155">
                  <c:v>17267.387999999988</c:v>
                </c:pt>
                <c:pt idx="156">
                  <c:v>17266.934249999988</c:v>
                </c:pt>
                <c:pt idx="157">
                  <c:v>17265.690749999991</c:v>
                </c:pt>
                <c:pt idx="158">
                  <c:v>17262.080499999989</c:v>
                </c:pt>
                <c:pt idx="159">
                  <c:v>17257.617999999988</c:v>
                </c:pt>
                <c:pt idx="160">
                  <c:v>17252.90549999999</c:v>
                </c:pt>
                <c:pt idx="161">
                  <c:v>17246.523999999987</c:v>
                </c:pt>
                <c:pt idx="162">
                  <c:v>17239.465499999988</c:v>
                </c:pt>
                <c:pt idx="163">
                  <c:v>17231.560999999991</c:v>
                </c:pt>
                <c:pt idx="164">
                  <c:v>17224.093999999986</c:v>
                </c:pt>
                <c:pt idx="165">
                  <c:v>17215.779249999985</c:v>
                </c:pt>
                <c:pt idx="166">
                  <c:v>17207.391749999984</c:v>
                </c:pt>
                <c:pt idx="167">
                  <c:v>17199.269999999982</c:v>
                </c:pt>
                <c:pt idx="168">
                  <c:v>17191.541249999984</c:v>
                </c:pt>
                <c:pt idx="169">
                  <c:v>17183.981749999984</c:v>
                </c:pt>
                <c:pt idx="170">
                  <c:v>17176.209749999984</c:v>
                </c:pt>
                <c:pt idx="171">
                  <c:v>17168.264749999984</c:v>
                </c:pt>
                <c:pt idx="172">
                  <c:v>17160.248499999983</c:v>
                </c:pt>
                <c:pt idx="173">
                  <c:v>17152.525249999984</c:v>
                </c:pt>
                <c:pt idx="174">
                  <c:v>17143.982249999983</c:v>
                </c:pt>
                <c:pt idx="175">
                  <c:v>17135.783749999984</c:v>
                </c:pt>
                <c:pt idx="176">
                  <c:v>17128.522499999981</c:v>
                </c:pt>
                <c:pt idx="177">
                  <c:v>17122.640999999985</c:v>
                </c:pt>
                <c:pt idx="178">
                  <c:v>17115.910999999986</c:v>
                </c:pt>
                <c:pt idx="179">
                  <c:v>17108.469249999984</c:v>
                </c:pt>
                <c:pt idx="180">
                  <c:v>17099.187749999983</c:v>
                </c:pt>
                <c:pt idx="181">
                  <c:v>17089.614999999983</c:v>
                </c:pt>
                <c:pt idx="182">
                  <c:v>17080.585499999983</c:v>
                </c:pt>
                <c:pt idx="183">
                  <c:v>17073.234999999982</c:v>
                </c:pt>
                <c:pt idx="184">
                  <c:v>17066.381249999984</c:v>
                </c:pt>
                <c:pt idx="185">
                  <c:v>17060.894749999981</c:v>
                </c:pt>
                <c:pt idx="186">
                  <c:v>17056.260749999983</c:v>
                </c:pt>
                <c:pt idx="187">
                  <c:v>17051.401749999983</c:v>
                </c:pt>
                <c:pt idx="188">
                  <c:v>17045.445249999986</c:v>
                </c:pt>
                <c:pt idx="189">
                  <c:v>17039.634499999986</c:v>
                </c:pt>
                <c:pt idx="190">
                  <c:v>17033.891749999984</c:v>
                </c:pt>
                <c:pt idx="191">
                  <c:v>17029.063749999983</c:v>
                </c:pt>
                <c:pt idx="192">
                  <c:v>17025.125249999983</c:v>
                </c:pt>
                <c:pt idx="193">
                  <c:v>17021.865749999983</c:v>
                </c:pt>
                <c:pt idx="194">
                  <c:v>17017.784249999982</c:v>
                </c:pt>
                <c:pt idx="195">
                  <c:v>17013.032249999986</c:v>
                </c:pt>
                <c:pt idx="196">
                  <c:v>17007.556999999983</c:v>
                </c:pt>
                <c:pt idx="197">
                  <c:v>17002.450749999985</c:v>
                </c:pt>
                <c:pt idx="198">
                  <c:v>16998.743249999985</c:v>
                </c:pt>
                <c:pt idx="199">
                  <c:v>16995.526499999985</c:v>
                </c:pt>
                <c:pt idx="200">
                  <c:v>16993.246999999985</c:v>
                </c:pt>
                <c:pt idx="201">
                  <c:v>16991.110749999985</c:v>
                </c:pt>
                <c:pt idx="202">
                  <c:v>16988.894999999986</c:v>
                </c:pt>
                <c:pt idx="203">
                  <c:v>16987.561499999985</c:v>
                </c:pt>
                <c:pt idx="204">
                  <c:v>16988.057749999985</c:v>
                </c:pt>
                <c:pt idx="205">
                  <c:v>16988.491749999986</c:v>
                </c:pt>
                <c:pt idx="206">
                  <c:v>16986.296999999988</c:v>
                </c:pt>
                <c:pt idx="207">
                  <c:v>16984.73974999999</c:v>
                </c:pt>
                <c:pt idx="208">
                  <c:v>16983.61849999999</c:v>
                </c:pt>
                <c:pt idx="209">
                  <c:v>16981.646749999993</c:v>
                </c:pt>
                <c:pt idx="210">
                  <c:v>16979.098499999993</c:v>
                </c:pt>
                <c:pt idx="211">
                  <c:v>16975.441749999991</c:v>
                </c:pt>
                <c:pt idx="212">
                  <c:v>16974.152249999988</c:v>
                </c:pt>
                <c:pt idx="213">
                  <c:v>16972.49824999999</c:v>
                </c:pt>
                <c:pt idx="214">
                  <c:v>16969.681749999989</c:v>
                </c:pt>
                <c:pt idx="215">
                  <c:v>16967.463499999991</c:v>
                </c:pt>
                <c:pt idx="216">
                  <c:v>16965.74549999999</c:v>
                </c:pt>
                <c:pt idx="217">
                  <c:v>16964.37424999999</c:v>
                </c:pt>
                <c:pt idx="218">
                  <c:v>16964.543999999991</c:v>
                </c:pt>
                <c:pt idx="219">
                  <c:v>16966.627999999993</c:v>
                </c:pt>
                <c:pt idx="220">
                  <c:v>16968.792999999991</c:v>
                </c:pt>
                <c:pt idx="221">
                  <c:v>16972.067999999988</c:v>
                </c:pt>
                <c:pt idx="222">
                  <c:v>16974.40549999999</c:v>
                </c:pt>
                <c:pt idx="223">
                  <c:v>16978.660249999994</c:v>
                </c:pt>
                <c:pt idx="224">
                  <c:v>16981.04474999999</c:v>
                </c:pt>
                <c:pt idx="225">
                  <c:v>16984.239999999991</c:v>
                </c:pt>
                <c:pt idx="226">
                  <c:v>16987.486749999993</c:v>
                </c:pt>
                <c:pt idx="227">
                  <c:v>16989.070249999993</c:v>
                </c:pt>
                <c:pt idx="228">
                  <c:v>16991.235749999993</c:v>
                </c:pt>
                <c:pt idx="229">
                  <c:v>16993.311249999992</c:v>
                </c:pt>
                <c:pt idx="230">
                  <c:v>16992.509249999992</c:v>
                </c:pt>
                <c:pt idx="231">
                  <c:v>16990.197499999995</c:v>
                </c:pt>
                <c:pt idx="232">
                  <c:v>16986.906249999996</c:v>
                </c:pt>
                <c:pt idx="233">
                  <c:v>16983.440249999996</c:v>
                </c:pt>
                <c:pt idx="234">
                  <c:v>16982.070749999995</c:v>
                </c:pt>
                <c:pt idx="235">
                  <c:v>16979.882999999994</c:v>
                </c:pt>
                <c:pt idx="236">
                  <c:v>16980.147499999995</c:v>
                </c:pt>
                <c:pt idx="237">
                  <c:v>16980.564499999993</c:v>
                </c:pt>
                <c:pt idx="238">
                  <c:v>16982.211749999995</c:v>
                </c:pt>
                <c:pt idx="239">
                  <c:v>16985.345749999993</c:v>
                </c:pt>
                <c:pt idx="240">
                  <c:v>16986.409249999993</c:v>
                </c:pt>
                <c:pt idx="241">
                  <c:v>16987.249999999996</c:v>
                </c:pt>
                <c:pt idx="242">
                  <c:v>16986.958749999998</c:v>
                </c:pt>
                <c:pt idx="243">
                  <c:v>16987.868499999997</c:v>
                </c:pt>
                <c:pt idx="244">
                  <c:v>16988.996249999997</c:v>
                </c:pt>
                <c:pt idx="245">
                  <c:v>16990.264749999998</c:v>
                </c:pt>
                <c:pt idx="246">
                  <c:v>16991.757999999998</c:v>
                </c:pt>
                <c:pt idx="247">
                  <c:v>16993.557999999997</c:v>
                </c:pt>
                <c:pt idx="248">
                  <c:v>16994.669249999999</c:v>
                </c:pt>
                <c:pt idx="249">
                  <c:v>16995.194499999998</c:v>
                </c:pt>
                <c:pt idx="250">
                  <c:v>16994.45</c:v>
                </c:pt>
                <c:pt idx="251">
                  <c:v>16993.508500000004</c:v>
                </c:pt>
                <c:pt idx="252">
                  <c:v>16993.713</c:v>
                </c:pt>
                <c:pt idx="253">
                  <c:v>16994.710500000001</c:v>
                </c:pt>
                <c:pt idx="254">
                  <c:v>16995.421000000002</c:v>
                </c:pt>
                <c:pt idx="255">
                  <c:v>16995.556500000002</c:v>
                </c:pt>
                <c:pt idx="256">
                  <c:v>16994.758250000003</c:v>
                </c:pt>
                <c:pt idx="257">
                  <c:v>16994.055000000004</c:v>
                </c:pt>
                <c:pt idx="258">
                  <c:v>16993.790250000005</c:v>
                </c:pt>
                <c:pt idx="259">
                  <c:v>16993.034750000006</c:v>
                </c:pt>
                <c:pt idx="260">
                  <c:v>16992.610500000006</c:v>
                </c:pt>
                <c:pt idx="261">
                  <c:v>16994.667000000005</c:v>
                </c:pt>
                <c:pt idx="262">
                  <c:v>16997.527750000005</c:v>
                </c:pt>
                <c:pt idx="263">
                  <c:v>17001.459000000003</c:v>
                </c:pt>
                <c:pt idx="264">
                  <c:v>17007.761750000005</c:v>
                </c:pt>
                <c:pt idx="265">
                  <c:v>17013.091500000002</c:v>
                </c:pt>
                <c:pt idx="266">
                  <c:v>17019.079000000005</c:v>
                </c:pt>
                <c:pt idx="267">
                  <c:v>17024.369000000006</c:v>
                </c:pt>
                <c:pt idx="268">
                  <c:v>17028.890750000006</c:v>
                </c:pt>
                <c:pt idx="269">
                  <c:v>17032.342750000007</c:v>
                </c:pt>
                <c:pt idx="270">
                  <c:v>17035.863250000006</c:v>
                </c:pt>
                <c:pt idx="271">
                  <c:v>17040.626000000004</c:v>
                </c:pt>
                <c:pt idx="272">
                  <c:v>17045.858250000005</c:v>
                </c:pt>
                <c:pt idx="273">
                  <c:v>17052.880500000007</c:v>
                </c:pt>
                <c:pt idx="274">
                  <c:v>17060.338500000005</c:v>
                </c:pt>
                <c:pt idx="275">
                  <c:v>17067.082000000006</c:v>
                </c:pt>
                <c:pt idx="276">
                  <c:v>17072.533250000008</c:v>
                </c:pt>
                <c:pt idx="277">
                  <c:v>17079.164750000007</c:v>
                </c:pt>
                <c:pt idx="278">
                  <c:v>17088.164500000003</c:v>
                </c:pt>
                <c:pt idx="279">
                  <c:v>17094.204750000004</c:v>
                </c:pt>
                <c:pt idx="280">
                  <c:v>17100.640500000005</c:v>
                </c:pt>
                <c:pt idx="281">
                  <c:v>17106.600500000004</c:v>
                </c:pt>
                <c:pt idx="282">
                  <c:v>17112.704750000004</c:v>
                </c:pt>
                <c:pt idx="283">
                  <c:v>17119.711500000005</c:v>
                </c:pt>
                <c:pt idx="284">
                  <c:v>17127.552000000003</c:v>
                </c:pt>
                <c:pt idx="285">
                  <c:v>17134.310250000002</c:v>
                </c:pt>
                <c:pt idx="286">
                  <c:v>17144.415500000003</c:v>
                </c:pt>
                <c:pt idx="287">
                  <c:v>17153.225750000005</c:v>
                </c:pt>
                <c:pt idx="288">
                  <c:v>17161.182750000004</c:v>
                </c:pt>
                <c:pt idx="289">
                  <c:v>17169.148500000003</c:v>
                </c:pt>
                <c:pt idx="290">
                  <c:v>17177.295000000006</c:v>
                </c:pt>
                <c:pt idx="291">
                  <c:v>17185.102250000004</c:v>
                </c:pt>
                <c:pt idx="292">
                  <c:v>17195.859500000006</c:v>
                </c:pt>
                <c:pt idx="293">
                  <c:v>17206.453750000001</c:v>
                </c:pt>
                <c:pt idx="294">
                  <c:v>17215.339500000002</c:v>
                </c:pt>
                <c:pt idx="295">
                  <c:v>17223.320000000003</c:v>
                </c:pt>
                <c:pt idx="296">
                  <c:v>17230.694250000004</c:v>
                </c:pt>
                <c:pt idx="297">
                  <c:v>17237.325000000001</c:v>
                </c:pt>
                <c:pt idx="298">
                  <c:v>17245.172750000005</c:v>
                </c:pt>
                <c:pt idx="299">
                  <c:v>17250.510750000001</c:v>
                </c:pt>
                <c:pt idx="300">
                  <c:v>17254.036250000001</c:v>
                </c:pt>
                <c:pt idx="301">
                  <c:v>17257.745500000005</c:v>
                </c:pt>
                <c:pt idx="302">
                  <c:v>17261.674000000003</c:v>
                </c:pt>
                <c:pt idx="303">
                  <c:v>17265.016500000005</c:v>
                </c:pt>
                <c:pt idx="304">
                  <c:v>17268.381250000006</c:v>
                </c:pt>
                <c:pt idx="305">
                  <c:v>17271.907250000007</c:v>
                </c:pt>
                <c:pt idx="306">
                  <c:v>17275.58025000001</c:v>
                </c:pt>
                <c:pt idx="307">
                  <c:v>17278.428000000007</c:v>
                </c:pt>
                <c:pt idx="308">
                  <c:v>17281.203250000006</c:v>
                </c:pt>
                <c:pt idx="309">
                  <c:v>17284.706250000007</c:v>
                </c:pt>
                <c:pt idx="310">
                  <c:v>17286.893250000008</c:v>
                </c:pt>
                <c:pt idx="311">
                  <c:v>17286.764500000005</c:v>
                </c:pt>
                <c:pt idx="312">
                  <c:v>17287.570250000008</c:v>
                </c:pt>
                <c:pt idx="313">
                  <c:v>17289.123500000009</c:v>
                </c:pt>
                <c:pt idx="314">
                  <c:v>17290.385500000008</c:v>
                </c:pt>
                <c:pt idx="315">
                  <c:v>17289.48550000001</c:v>
                </c:pt>
                <c:pt idx="316">
                  <c:v>17289.355500000009</c:v>
                </c:pt>
                <c:pt idx="317">
                  <c:v>17290.014750000009</c:v>
                </c:pt>
                <c:pt idx="318">
                  <c:v>17290.718000000008</c:v>
                </c:pt>
                <c:pt idx="319">
                  <c:v>17292.901750000008</c:v>
                </c:pt>
                <c:pt idx="320">
                  <c:v>17297.378750000011</c:v>
                </c:pt>
                <c:pt idx="321">
                  <c:v>17300.519000000008</c:v>
                </c:pt>
                <c:pt idx="322">
                  <c:v>17302.16350000001</c:v>
                </c:pt>
                <c:pt idx="323">
                  <c:v>17305.662250000008</c:v>
                </c:pt>
                <c:pt idx="324">
                  <c:v>17310.359750000011</c:v>
                </c:pt>
                <c:pt idx="325">
                  <c:v>17313.638250000007</c:v>
                </c:pt>
                <c:pt idx="326">
                  <c:v>17317.300750000006</c:v>
                </c:pt>
                <c:pt idx="327">
                  <c:v>17320.724750000005</c:v>
                </c:pt>
                <c:pt idx="328">
                  <c:v>17325.291250000006</c:v>
                </c:pt>
                <c:pt idx="329">
                  <c:v>17330.125000000007</c:v>
                </c:pt>
                <c:pt idx="330">
                  <c:v>17336.458000000006</c:v>
                </c:pt>
                <c:pt idx="331">
                  <c:v>17342.26775000001</c:v>
                </c:pt>
                <c:pt idx="332">
                  <c:v>17349.345000000008</c:v>
                </c:pt>
                <c:pt idx="333">
                  <c:v>17355.607250000008</c:v>
                </c:pt>
                <c:pt idx="334">
                  <c:v>17361.963250000008</c:v>
                </c:pt>
                <c:pt idx="335">
                  <c:v>17368.456750000008</c:v>
                </c:pt>
                <c:pt idx="336">
                  <c:v>17376.380250000009</c:v>
                </c:pt>
                <c:pt idx="337">
                  <c:v>17383.989250000006</c:v>
                </c:pt>
                <c:pt idx="338">
                  <c:v>17392.032250000007</c:v>
                </c:pt>
                <c:pt idx="339">
                  <c:v>17397.345250000006</c:v>
                </c:pt>
                <c:pt idx="340">
                  <c:v>17404.115500000007</c:v>
                </c:pt>
                <c:pt idx="341">
                  <c:v>17413.62575000001</c:v>
                </c:pt>
                <c:pt idx="342">
                  <c:v>17421.06700000001</c:v>
                </c:pt>
                <c:pt idx="343">
                  <c:v>17427.941500000004</c:v>
                </c:pt>
                <c:pt idx="344">
                  <c:v>17434.380250000006</c:v>
                </c:pt>
                <c:pt idx="345">
                  <c:v>17440.022750000004</c:v>
                </c:pt>
                <c:pt idx="346">
                  <c:v>17444.388500000005</c:v>
                </c:pt>
                <c:pt idx="347">
                  <c:v>17447.487000000001</c:v>
                </c:pt>
                <c:pt idx="348">
                  <c:v>17449.108000000004</c:v>
                </c:pt>
                <c:pt idx="349">
                  <c:v>17451.685500000003</c:v>
                </c:pt>
                <c:pt idx="350">
                  <c:v>17454.013750000002</c:v>
                </c:pt>
                <c:pt idx="351">
                  <c:v>17456.411250000001</c:v>
                </c:pt>
                <c:pt idx="352">
                  <c:v>17459.249250000004</c:v>
                </c:pt>
                <c:pt idx="353">
                  <c:v>17461.786000000004</c:v>
                </c:pt>
                <c:pt idx="354">
                  <c:v>17464.429499999998</c:v>
                </c:pt>
                <c:pt idx="355">
                  <c:v>17467.576750000004</c:v>
                </c:pt>
                <c:pt idx="356">
                  <c:v>17469.944750000006</c:v>
                </c:pt>
                <c:pt idx="357">
                  <c:v>17474.339250000005</c:v>
                </c:pt>
                <c:pt idx="358">
                  <c:v>17482.266000000003</c:v>
                </c:pt>
                <c:pt idx="359">
                  <c:v>17490.59575</c:v>
                </c:pt>
                <c:pt idx="360">
                  <c:v>17499.920250000003</c:v>
                </c:pt>
                <c:pt idx="361">
                  <c:v>17511.113000000001</c:v>
                </c:pt>
                <c:pt idx="362">
                  <c:v>17522.765750000002</c:v>
                </c:pt>
                <c:pt idx="363">
                  <c:v>17534.626500000002</c:v>
                </c:pt>
                <c:pt idx="364">
                  <c:v>17545.494500000001</c:v>
                </c:pt>
                <c:pt idx="365">
                  <c:v>17557.567999999999</c:v>
                </c:pt>
                <c:pt idx="366">
                  <c:v>17568.319</c:v>
                </c:pt>
                <c:pt idx="367">
                  <c:v>17578.123499999998</c:v>
                </c:pt>
                <c:pt idx="368">
                  <c:v>17587.057000000001</c:v>
                </c:pt>
                <c:pt idx="369">
                  <c:v>17595.928250000001</c:v>
                </c:pt>
                <c:pt idx="370">
                  <c:v>17605.053</c:v>
                </c:pt>
                <c:pt idx="371">
                  <c:v>17614.868750000001</c:v>
                </c:pt>
                <c:pt idx="372">
                  <c:v>17624.954749999997</c:v>
                </c:pt>
                <c:pt idx="373">
                  <c:v>17634.846000000001</c:v>
                </c:pt>
                <c:pt idx="374">
                  <c:v>17645.366999999998</c:v>
                </c:pt>
                <c:pt idx="375">
                  <c:v>17655.743000000002</c:v>
                </c:pt>
                <c:pt idx="376">
                  <c:v>17665.816749999998</c:v>
                </c:pt>
                <c:pt idx="377">
                  <c:v>17675.163</c:v>
                </c:pt>
                <c:pt idx="378">
                  <c:v>17685.362000000001</c:v>
                </c:pt>
                <c:pt idx="379">
                  <c:v>17695.415499999999</c:v>
                </c:pt>
                <c:pt idx="380">
                  <c:v>17706.90425</c:v>
                </c:pt>
                <c:pt idx="381">
                  <c:v>17718.54075</c:v>
                </c:pt>
                <c:pt idx="382">
                  <c:v>17729.87025</c:v>
                </c:pt>
                <c:pt idx="383">
                  <c:v>17739.962749999999</c:v>
                </c:pt>
                <c:pt idx="384">
                  <c:v>17749.833999999995</c:v>
                </c:pt>
                <c:pt idx="385">
                  <c:v>17759.223999999998</c:v>
                </c:pt>
                <c:pt idx="386">
                  <c:v>17767.630249999998</c:v>
                </c:pt>
                <c:pt idx="387">
                  <c:v>17774.941749999994</c:v>
                </c:pt>
                <c:pt idx="388">
                  <c:v>17782.436499999996</c:v>
                </c:pt>
                <c:pt idx="389">
                  <c:v>17791.034249999993</c:v>
                </c:pt>
                <c:pt idx="390">
                  <c:v>17799.397249999995</c:v>
                </c:pt>
                <c:pt idx="391">
                  <c:v>17806.489249999995</c:v>
                </c:pt>
                <c:pt idx="392">
                  <c:v>17812.124999999993</c:v>
                </c:pt>
                <c:pt idx="393">
                  <c:v>17817.030499999993</c:v>
                </c:pt>
                <c:pt idx="394">
                  <c:v>17822.799999999996</c:v>
                </c:pt>
                <c:pt idx="395">
                  <c:v>17828.852499999994</c:v>
                </c:pt>
                <c:pt idx="396">
                  <c:v>17835.111749999996</c:v>
                </c:pt>
                <c:pt idx="397">
                  <c:v>17840.796249999996</c:v>
                </c:pt>
                <c:pt idx="398">
                  <c:v>17845.609499999995</c:v>
                </c:pt>
                <c:pt idx="399">
                  <c:v>17850.606249999997</c:v>
                </c:pt>
                <c:pt idx="400">
                  <c:v>17855.280499999997</c:v>
                </c:pt>
                <c:pt idx="401">
                  <c:v>17859.784749999995</c:v>
                </c:pt>
                <c:pt idx="402">
                  <c:v>17864.290499999996</c:v>
                </c:pt>
                <c:pt idx="403">
                  <c:v>17867.741999999995</c:v>
                </c:pt>
                <c:pt idx="404">
                  <c:v>17870.776499999996</c:v>
                </c:pt>
                <c:pt idx="405">
                  <c:v>17874.991749999997</c:v>
                </c:pt>
                <c:pt idx="406">
                  <c:v>17881.118999999995</c:v>
                </c:pt>
                <c:pt idx="407">
                  <c:v>17887.010999999995</c:v>
                </c:pt>
                <c:pt idx="408">
                  <c:v>17892.426749999995</c:v>
                </c:pt>
                <c:pt idx="409">
                  <c:v>17898.944499999994</c:v>
                </c:pt>
                <c:pt idx="410">
                  <c:v>17904.927249999993</c:v>
                </c:pt>
                <c:pt idx="411">
                  <c:v>17912.446249999994</c:v>
                </c:pt>
                <c:pt idx="412">
                  <c:v>17917.933999999997</c:v>
                </c:pt>
                <c:pt idx="413">
                  <c:v>17924.076249999995</c:v>
                </c:pt>
                <c:pt idx="414">
                  <c:v>17929.706499999993</c:v>
                </c:pt>
                <c:pt idx="415">
                  <c:v>17934.833499999997</c:v>
                </c:pt>
                <c:pt idx="416">
                  <c:v>17940.642499999994</c:v>
                </c:pt>
                <c:pt idx="417">
                  <c:v>17947.380999999998</c:v>
                </c:pt>
                <c:pt idx="418">
                  <c:v>17954.332499999997</c:v>
                </c:pt>
                <c:pt idx="419">
                  <c:v>17961.778499999993</c:v>
                </c:pt>
                <c:pt idx="420">
                  <c:v>17969.041749999993</c:v>
                </c:pt>
                <c:pt idx="421">
                  <c:v>17975.683999999994</c:v>
                </c:pt>
                <c:pt idx="422">
                  <c:v>17983.15174999999</c:v>
                </c:pt>
                <c:pt idx="423">
                  <c:v>17990.423749999991</c:v>
                </c:pt>
                <c:pt idx="424">
                  <c:v>17999.548999999988</c:v>
                </c:pt>
                <c:pt idx="425">
                  <c:v>18008.634749999987</c:v>
                </c:pt>
                <c:pt idx="426">
                  <c:v>18016.474999999988</c:v>
                </c:pt>
                <c:pt idx="427">
                  <c:v>18024.951999999987</c:v>
                </c:pt>
                <c:pt idx="428">
                  <c:v>18034.625499999991</c:v>
                </c:pt>
                <c:pt idx="429">
                  <c:v>18046.545999999991</c:v>
                </c:pt>
                <c:pt idx="430">
                  <c:v>18060.210749999991</c:v>
                </c:pt>
                <c:pt idx="431">
                  <c:v>18074.339499999991</c:v>
                </c:pt>
                <c:pt idx="432">
                  <c:v>18089.942249999993</c:v>
                </c:pt>
                <c:pt idx="433">
                  <c:v>18104.576749999993</c:v>
                </c:pt>
                <c:pt idx="434">
                  <c:v>18117.466749999992</c:v>
                </c:pt>
                <c:pt idx="435">
                  <c:v>18131.432999999994</c:v>
                </c:pt>
                <c:pt idx="436">
                  <c:v>18143.95299999999</c:v>
                </c:pt>
                <c:pt idx="437">
                  <c:v>18155.593499999992</c:v>
                </c:pt>
                <c:pt idx="438">
                  <c:v>18167.250499999987</c:v>
                </c:pt>
                <c:pt idx="439">
                  <c:v>18179.814499999989</c:v>
                </c:pt>
                <c:pt idx="440">
                  <c:v>18193.564499999986</c:v>
                </c:pt>
                <c:pt idx="441">
                  <c:v>18205.579249999988</c:v>
                </c:pt>
                <c:pt idx="442">
                  <c:v>18217.415749999986</c:v>
                </c:pt>
                <c:pt idx="443">
                  <c:v>18229.072249999987</c:v>
                </c:pt>
                <c:pt idx="444">
                  <c:v>18240.499749999988</c:v>
                </c:pt>
                <c:pt idx="445">
                  <c:v>18250.919249999988</c:v>
                </c:pt>
                <c:pt idx="446">
                  <c:v>18261.520749999989</c:v>
                </c:pt>
                <c:pt idx="447">
                  <c:v>18271.416499999988</c:v>
                </c:pt>
                <c:pt idx="448">
                  <c:v>18280.676499999987</c:v>
                </c:pt>
                <c:pt idx="449">
                  <c:v>18289.195499999987</c:v>
                </c:pt>
                <c:pt idx="450">
                  <c:v>18298.238749999982</c:v>
                </c:pt>
                <c:pt idx="451">
                  <c:v>18306.380249999984</c:v>
                </c:pt>
                <c:pt idx="452">
                  <c:v>18313.996999999985</c:v>
                </c:pt>
                <c:pt idx="453">
                  <c:v>18320.903999999984</c:v>
                </c:pt>
                <c:pt idx="454">
                  <c:v>18327.159249999982</c:v>
                </c:pt>
                <c:pt idx="455">
                  <c:v>18333.964999999982</c:v>
                </c:pt>
                <c:pt idx="456">
                  <c:v>18340.634999999987</c:v>
                </c:pt>
                <c:pt idx="457">
                  <c:v>18346.378249999987</c:v>
                </c:pt>
                <c:pt idx="458">
                  <c:v>18351.894499999984</c:v>
                </c:pt>
                <c:pt idx="459">
                  <c:v>18357.822749999985</c:v>
                </c:pt>
                <c:pt idx="460">
                  <c:v>18364.418999999983</c:v>
                </c:pt>
                <c:pt idx="461">
                  <c:v>18368.939499999989</c:v>
                </c:pt>
                <c:pt idx="462">
                  <c:v>18374.470249999984</c:v>
                </c:pt>
                <c:pt idx="463">
                  <c:v>18380.097249999984</c:v>
                </c:pt>
                <c:pt idx="464">
                  <c:v>18385.923499999983</c:v>
                </c:pt>
                <c:pt idx="465">
                  <c:v>18392.259249999981</c:v>
                </c:pt>
                <c:pt idx="466">
                  <c:v>18399.356249999983</c:v>
                </c:pt>
                <c:pt idx="467">
                  <c:v>18407.656249999982</c:v>
                </c:pt>
                <c:pt idx="468">
                  <c:v>18416.416999999983</c:v>
                </c:pt>
                <c:pt idx="469">
                  <c:v>18425.046749999983</c:v>
                </c:pt>
                <c:pt idx="470">
                  <c:v>18432.976249999985</c:v>
                </c:pt>
                <c:pt idx="471">
                  <c:v>18440.927999999982</c:v>
                </c:pt>
                <c:pt idx="472">
                  <c:v>18449.075999999983</c:v>
                </c:pt>
                <c:pt idx="473">
                  <c:v>18456.652249999981</c:v>
                </c:pt>
                <c:pt idx="474">
                  <c:v>18462.367499999982</c:v>
                </c:pt>
                <c:pt idx="475">
                  <c:v>18467.016749999981</c:v>
                </c:pt>
                <c:pt idx="476">
                  <c:v>18471.907499999983</c:v>
                </c:pt>
                <c:pt idx="477">
                  <c:v>18476.774999999983</c:v>
                </c:pt>
                <c:pt idx="478">
                  <c:v>18481.884749999983</c:v>
                </c:pt>
                <c:pt idx="479">
                  <c:v>18487.664499999984</c:v>
                </c:pt>
                <c:pt idx="480">
                  <c:v>18492.235499999981</c:v>
                </c:pt>
                <c:pt idx="481">
                  <c:v>18497.943999999981</c:v>
                </c:pt>
                <c:pt idx="482">
                  <c:v>18503.101999999981</c:v>
                </c:pt>
                <c:pt idx="483">
                  <c:v>18507.242499999982</c:v>
                </c:pt>
                <c:pt idx="484">
                  <c:v>18511.669749999983</c:v>
                </c:pt>
                <c:pt idx="485">
                  <c:v>18517.862749999982</c:v>
                </c:pt>
                <c:pt idx="486">
                  <c:v>18524.079499999985</c:v>
                </c:pt>
                <c:pt idx="487">
                  <c:v>18530.426499999987</c:v>
                </c:pt>
                <c:pt idx="488">
                  <c:v>18537.556749999985</c:v>
                </c:pt>
                <c:pt idx="489">
                  <c:v>18545.531249999985</c:v>
                </c:pt>
                <c:pt idx="490">
                  <c:v>18553.649749999982</c:v>
                </c:pt>
                <c:pt idx="491">
                  <c:v>18563.274499999985</c:v>
                </c:pt>
                <c:pt idx="492">
                  <c:v>18572.258999999984</c:v>
                </c:pt>
                <c:pt idx="493">
                  <c:v>18579.952999999983</c:v>
                </c:pt>
                <c:pt idx="494">
                  <c:v>18587.463999999985</c:v>
                </c:pt>
                <c:pt idx="495">
                  <c:v>18594.222249999984</c:v>
                </c:pt>
                <c:pt idx="496">
                  <c:v>18600.104499999987</c:v>
                </c:pt>
                <c:pt idx="497">
                  <c:v>18604.727999999985</c:v>
                </c:pt>
                <c:pt idx="498">
                  <c:v>18607.851499999986</c:v>
                </c:pt>
                <c:pt idx="499">
                  <c:v>18612.872999999985</c:v>
                </c:pt>
                <c:pt idx="500">
                  <c:v>18618.616749999983</c:v>
                </c:pt>
                <c:pt idx="501">
                  <c:v>18624.717499999984</c:v>
                </c:pt>
                <c:pt idx="502">
                  <c:v>18629.157249999986</c:v>
                </c:pt>
                <c:pt idx="503">
                  <c:v>18635.252749999989</c:v>
                </c:pt>
                <c:pt idx="504">
                  <c:v>18641.927249999986</c:v>
                </c:pt>
                <c:pt idx="505">
                  <c:v>18649.694999999989</c:v>
                </c:pt>
                <c:pt idx="506">
                  <c:v>18656.945499999987</c:v>
                </c:pt>
                <c:pt idx="507">
                  <c:v>18664.68874999999</c:v>
                </c:pt>
                <c:pt idx="508">
                  <c:v>18671.398749999989</c:v>
                </c:pt>
                <c:pt idx="509">
                  <c:v>18677.698749999992</c:v>
                </c:pt>
                <c:pt idx="510">
                  <c:v>18684.78724999999</c:v>
                </c:pt>
                <c:pt idx="511">
                  <c:v>18691.86674999999</c:v>
                </c:pt>
                <c:pt idx="512">
                  <c:v>18699.651249999992</c:v>
                </c:pt>
                <c:pt idx="513">
                  <c:v>18707.885749999994</c:v>
                </c:pt>
                <c:pt idx="514">
                  <c:v>18717.084999999988</c:v>
                </c:pt>
                <c:pt idx="515">
                  <c:v>18727.533249999989</c:v>
                </c:pt>
                <c:pt idx="516">
                  <c:v>18738.205499999989</c:v>
                </c:pt>
                <c:pt idx="517">
                  <c:v>18748.953999999991</c:v>
                </c:pt>
                <c:pt idx="518">
                  <c:v>18759.882499999989</c:v>
                </c:pt>
                <c:pt idx="519">
                  <c:v>18770.803999999989</c:v>
                </c:pt>
                <c:pt idx="520">
                  <c:v>18780.98224999999</c:v>
                </c:pt>
                <c:pt idx="521">
                  <c:v>18792.642249999994</c:v>
                </c:pt>
                <c:pt idx="522">
                  <c:v>18804.700499999992</c:v>
                </c:pt>
                <c:pt idx="523">
                  <c:v>18816.681499999992</c:v>
                </c:pt>
                <c:pt idx="524">
                  <c:v>18830.648249999991</c:v>
                </c:pt>
                <c:pt idx="525">
                  <c:v>18845.641249999993</c:v>
                </c:pt>
                <c:pt idx="526">
                  <c:v>18861.475249999996</c:v>
                </c:pt>
                <c:pt idx="527">
                  <c:v>18876.331749999998</c:v>
                </c:pt>
                <c:pt idx="528">
                  <c:v>18891.099499999997</c:v>
                </c:pt>
                <c:pt idx="529">
                  <c:v>18905.905749999998</c:v>
                </c:pt>
                <c:pt idx="530">
                  <c:v>18920.716749999996</c:v>
                </c:pt>
                <c:pt idx="531">
                  <c:v>18936.125499999998</c:v>
                </c:pt>
                <c:pt idx="532">
                  <c:v>18952.905499999997</c:v>
                </c:pt>
                <c:pt idx="533">
                  <c:v>18972.417250000002</c:v>
                </c:pt>
                <c:pt idx="534">
                  <c:v>18991.954249999999</c:v>
                </c:pt>
                <c:pt idx="535">
                  <c:v>19011.890750000002</c:v>
                </c:pt>
                <c:pt idx="536">
                  <c:v>19030.678</c:v>
                </c:pt>
                <c:pt idx="537">
                  <c:v>19050.433499999999</c:v>
                </c:pt>
                <c:pt idx="538">
                  <c:v>19069.925999999999</c:v>
                </c:pt>
                <c:pt idx="539">
                  <c:v>19090.523249999998</c:v>
                </c:pt>
                <c:pt idx="540">
                  <c:v>19110.825249999998</c:v>
                </c:pt>
                <c:pt idx="541">
                  <c:v>19131.161499999998</c:v>
                </c:pt>
                <c:pt idx="542">
                  <c:v>19151.0465</c:v>
                </c:pt>
                <c:pt idx="543">
                  <c:v>19171.807999999997</c:v>
                </c:pt>
                <c:pt idx="544">
                  <c:v>19193.072499999998</c:v>
                </c:pt>
                <c:pt idx="545">
                  <c:v>19214.887749999998</c:v>
                </c:pt>
                <c:pt idx="546">
                  <c:v>19237.964250000001</c:v>
                </c:pt>
                <c:pt idx="547">
                  <c:v>19261.657500000001</c:v>
                </c:pt>
                <c:pt idx="548">
                  <c:v>19284.2945</c:v>
                </c:pt>
                <c:pt idx="549">
                  <c:v>19306.518500000002</c:v>
                </c:pt>
                <c:pt idx="550">
                  <c:v>19329.670000000002</c:v>
                </c:pt>
                <c:pt idx="551">
                  <c:v>19352.368500000004</c:v>
                </c:pt>
                <c:pt idx="552">
                  <c:v>19376.081750000005</c:v>
                </c:pt>
                <c:pt idx="553">
                  <c:v>19401.184500000003</c:v>
                </c:pt>
                <c:pt idx="554">
                  <c:v>19426.620750000006</c:v>
                </c:pt>
                <c:pt idx="555">
                  <c:v>19449.552000000007</c:v>
                </c:pt>
                <c:pt idx="556">
                  <c:v>19472.104750000002</c:v>
                </c:pt>
                <c:pt idx="557">
                  <c:v>19494.813250000003</c:v>
                </c:pt>
                <c:pt idx="558">
                  <c:v>19515.873500000002</c:v>
                </c:pt>
                <c:pt idx="559">
                  <c:v>19535.077250000002</c:v>
                </c:pt>
                <c:pt idx="560">
                  <c:v>19554.561750000001</c:v>
                </c:pt>
                <c:pt idx="561">
                  <c:v>19573.329000000002</c:v>
                </c:pt>
                <c:pt idx="562">
                  <c:v>19593.896750000004</c:v>
                </c:pt>
                <c:pt idx="563">
                  <c:v>19612.895750000003</c:v>
                </c:pt>
                <c:pt idx="564">
                  <c:v>19632.462250000004</c:v>
                </c:pt>
                <c:pt idx="565">
                  <c:v>19651.809500000007</c:v>
                </c:pt>
                <c:pt idx="566">
                  <c:v>19672.544250000006</c:v>
                </c:pt>
                <c:pt idx="567">
                  <c:v>19693.10200000001</c:v>
                </c:pt>
                <c:pt idx="568">
                  <c:v>19714.655250000007</c:v>
                </c:pt>
                <c:pt idx="569">
                  <c:v>19736.185500000007</c:v>
                </c:pt>
                <c:pt idx="570">
                  <c:v>19756.655000000006</c:v>
                </c:pt>
                <c:pt idx="571">
                  <c:v>19776.850500000011</c:v>
                </c:pt>
                <c:pt idx="572">
                  <c:v>19796.084500000008</c:v>
                </c:pt>
                <c:pt idx="573">
                  <c:v>19815.73275000001</c:v>
                </c:pt>
                <c:pt idx="574">
                  <c:v>19835.35775000001</c:v>
                </c:pt>
                <c:pt idx="575">
                  <c:v>19854.586500000009</c:v>
                </c:pt>
                <c:pt idx="576">
                  <c:v>19874.05175000001</c:v>
                </c:pt>
                <c:pt idx="577">
                  <c:v>19894.21375000001</c:v>
                </c:pt>
                <c:pt idx="578">
                  <c:v>19913.919500000007</c:v>
                </c:pt>
                <c:pt idx="579">
                  <c:v>19933.849750000008</c:v>
                </c:pt>
                <c:pt idx="580">
                  <c:v>19953.615000000009</c:v>
                </c:pt>
                <c:pt idx="581">
                  <c:v>19973.348750000012</c:v>
                </c:pt>
                <c:pt idx="582">
                  <c:v>19992.383500000011</c:v>
                </c:pt>
                <c:pt idx="583">
                  <c:v>20011.890250000011</c:v>
                </c:pt>
                <c:pt idx="584">
                  <c:v>20030.072000000011</c:v>
                </c:pt>
                <c:pt idx="585">
                  <c:v>20047.991750000008</c:v>
                </c:pt>
                <c:pt idx="586">
                  <c:v>20068.253000000012</c:v>
                </c:pt>
                <c:pt idx="587">
                  <c:v>20089.372250000011</c:v>
                </c:pt>
                <c:pt idx="588">
                  <c:v>20110.504000000012</c:v>
                </c:pt>
                <c:pt idx="589">
                  <c:v>20131.857250000008</c:v>
                </c:pt>
                <c:pt idx="590">
                  <c:v>20152.753000000008</c:v>
                </c:pt>
                <c:pt idx="591">
                  <c:v>20172.676250000008</c:v>
                </c:pt>
                <c:pt idx="592">
                  <c:v>20192.927750000006</c:v>
                </c:pt>
                <c:pt idx="593">
                  <c:v>20211.310500000007</c:v>
                </c:pt>
                <c:pt idx="594">
                  <c:v>20229.547000000006</c:v>
                </c:pt>
                <c:pt idx="595">
                  <c:v>20246.670500000007</c:v>
                </c:pt>
                <c:pt idx="596">
                  <c:v>20263.779750000009</c:v>
                </c:pt>
                <c:pt idx="597">
                  <c:v>20280.195000000011</c:v>
                </c:pt>
                <c:pt idx="598">
                  <c:v>20296.951750000011</c:v>
                </c:pt>
                <c:pt idx="599">
                  <c:v>20314.341000000011</c:v>
                </c:pt>
                <c:pt idx="600">
                  <c:v>20331.855500000009</c:v>
                </c:pt>
                <c:pt idx="601">
                  <c:v>20348.884000000009</c:v>
                </c:pt>
                <c:pt idx="602">
                  <c:v>20365.870250000011</c:v>
                </c:pt>
                <c:pt idx="603">
                  <c:v>20384.332000000009</c:v>
                </c:pt>
                <c:pt idx="604">
                  <c:v>20403.825000000012</c:v>
                </c:pt>
                <c:pt idx="605">
                  <c:v>20423.08400000001</c:v>
                </c:pt>
                <c:pt idx="606">
                  <c:v>20441.676500000012</c:v>
                </c:pt>
                <c:pt idx="607">
                  <c:v>20460.470250000009</c:v>
                </c:pt>
                <c:pt idx="608">
                  <c:v>20479.59825000001</c:v>
                </c:pt>
                <c:pt idx="609">
                  <c:v>20498.799750000009</c:v>
                </c:pt>
                <c:pt idx="610">
                  <c:v>20518.236250000009</c:v>
                </c:pt>
                <c:pt idx="611">
                  <c:v>20537.921750000009</c:v>
                </c:pt>
                <c:pt idx="612">
                  <c:v>20556.234500000006</c:v>
                </c:pt>
                <c:pt idx="613">
                  <c:v>20573.740750000004</c:v>
                </c:pt>
                <c:pt idx="614">
                  <c:v>20591.152750000005</c:v>
                </c:pt>
                <c:pt idx="615">
                  <c:v>20607.676000000007</c:v>
                </c:pt>
                <c:pt idx="616">
                  <c:v>20624.324000000008</c:v>
                </c:pt>
                <c:pt idx="617">
                  <c:v>20641.145500000006</c:v>
                </c:pt>
                <c:pt idx="618">
                  <c:v>20657.040250000005</c:v>
                </c:pt>
                <c:pt idx="619">
                  <c:v>20672.4395</c:v>
                </c:pt>
                <c:pt idx="620">
                  <c:v>20688.346250000002</c:v>
                </c:pt>
                <c:pt idx="621">
                  <c:v>20703.453500000003</c:v>
                </c:pt>
                <c:pt idx="622">
                  <c:v>20719.184000000001</c:v>
                </c:pt>
                <c:pt idx="623">
                  <c:v>20735.549250000004</c:v>
                </c:pt>
                <c:pt idx="624">
                  <c:v>20752.010750000005</c:v>
                </c:pt>
                <c:pt idx="625">
                  <c:v>20767.193000000003</c:v>
                </c:pt>
                <c:pt idx="626">
                  <c:v>20782.485000000004</c:v>
                </c:pt>
                <c:pt idx="627">
                  <c:v>20796.928750000006</c:v>
                </c:pt>
                <c:pt idx="628">
                  <c:v>20810.618750000005</c:v>
                </c:pt>
                <c:pt idx="629">
                  <c:v>20821.849000000002</c:v>
                </c:pt>
                <c:pt idx="630">
                  <c:v>20833.378750000003</c:v>
                </c:pt>
                <c:pt idx="631">
                  <c:v>20844.733250000005</c:v>
                </c:pt>
                <c:pt idx="632">
                  <c:v>20855.926750000006</c:v>
                </c:pt>
                <c:pt idx="633">
                  <c:v>20868.204500000003</c:v>
                </c:pt>
                <c:pt idx="634">
                  <c:v>20881.862000000005</c:v>
                </c:pt>
                <c:pt idx="635">
                  <c:v>20895.789500000003</c:v>
                </c:pt>
                <c:pt idx="636">
                  <c:v>20909.408000000003</c:v>
                </c:pt>
                <c:pt idx="637">
                  <c:v>20923.753750000003</c:v>
                </c:pt>
                <c:pt idx="638">
                  <c:v>20938.512500000001</c:v>
                </c:pt>
                <c:pt idx="639">
                  <c:v>20954.581750000001</c:v>
                </c:pt>
                <c:pt idx="640">
                  <c:v>20970.699499999999</c:v>
                </c:pt>
                <c:pt idx="641">
                  <c:v>20987.728999999999</c:v>
                </c:pt>
                <c:pt idx="642">
                  <c:v>21005.261500000004</c:v>
                </c:pt>
                <c:pt idx="643">
                  <c:v>21021.200000000004</c:v>
                </c:pt>
                <c:pt idx="644">
                  <c:v>21035.656750000002</c:v>
                </c:pt>
                <c:pt idx="645">
                  <c:v>21050.456000000006</c:v>
                </c:pt>
                <c:pt idx="646">
                  <c:v>21068.612750000004</c:v>
                </c:pt>
                <c:pt idx="647">
                  <c:v>21080.319750000006</c:v>
                </c:pt>
                <c:pt idx="648">
                  <c:v>21096.28</c:v>
                </c:pt>
                <c:pt idx="649">
                  <c:v>21113.214250000005</c:v>
                </c:pt>
                <c:pt idx="650">
                  <c:v>21132.340000000004</c:v>
                </c:pt>
                <c:pt idx="651">
                  <c:v>21151.80975</c:v>
                </c:pt>
                <c:pt idx="652">
                  <c:v>21171.583250000003</c:v>
                </c:pt>
                <c:pt idx="653">
                  <c:v>21191.230000000003</c:v>
                </c:pt>
                <c:pt idx="654">
                  <c:v>21211.242250000007</c:v>
                </c:pt>
                <c:pt idx="655">
                  <c:v>21231.350250000003</c:v>
                </c:pt>
                <c:pt idx="656">
                  <c:v>21252.206250000003</c:v>
                </c:pt>
                <c:pt idx="657">
                  <c:v>21273.457250000007</c:v>
                </c:pt>
                <c:pt idx="658">
                  <c:v>21294.762000000006</c:v>
                </c:pt>
                <c:pt idx="659">
                  <c:v>21315.554250000001</c:v>
                </c:pt>
                <c:pt idx="660">
                  <c:v>21336.506249999999</c:v>
                </c:pt>
                <c:pt idx="661">
                  <c:v>21358.843749999996</c:v>
                </c:pt>
                <c:pt idx="662">
                  <c:v>21381.01125</c:v>
                </c:pt>
                <c:pt idx="663">
                  <c:v>21403.589749999999</c:v>
                </c:pt>
                <c:pt idx="664">
                  <c:v>21425.768250000001</c:v>
                </c:pt>
                <c:pt idx="665">
                  <c:v>21448.422749999998</c:v>
                </c:pt>
                <c:pt idx="666">
                  <c:v>21470.406749999998</c:v>
                </c:pt>
                <c:pt idx="667">
                  <c:v>21492.739499999996</c:v>
                </c:pt>
                <c:pt idx="668">
                  <c:v>21514.268500000002</c:v>
                </c:pt>
                <c:pt idx="669">
                  <c:v>21535.921749999998</c:v>
                </c:pt>
                <c:pt idx="670">
                  <c:v>21557.174500000001</c:v>
                </c:pt>
                <c:pt idx="671">
                  <c:v>21578.825000000004</c:v>
                </c:pt>
                <c:pt idx="672">
                  <c:v>21599.485500000003</c:v>
                </c:pt>
                <c:pt idx="673">
                  <c:v>21620.398750000004</c:v>
                </c:pt>
                <c:pt idx="674">
                  <c:v>21643.402500000011</c:v>
                </c:pt>
                <c:pt idx="675">
                  <c:v>21667.624250000012</c:v>
                </c:pt>
                <c:pt idx="676">
                  <c:v>21692.318000000007</c:v>
                </c:pt>
                <c:pt idx="677">
                  <c:v>21717.949500000006</c:v>
                </c:pt>
                <c:pt idx="678">
                  <c:v>21742.280500000008</c:v>
                </c:pt>
                <c:pt idx="679">
                  <c:v>21766.244500000008</c:v>
                </c:pt>
                <c:pt idx="680">
                  <c:v>21791.022000000008</c:v>
                </c:pt>
                <c:pt idx="681">
                  <c:v>21814.898000000001</c:v>
                </c:pt>
                <c:pt idx="682">
                  <c:v>21839.284750000003</c:v>
                </c:pt>
                <c:pt idx="683">
                  <c:v>21866.2785</c:v>
                </c:pt>
                <c:pt idx="684">
                  <c:v>21892.730250000001</c:v>
                </c:pt>
                <c:pt idx="685">
                  <c:v>21918.749249999997</c:v>
                </c:pt>
                <c:pt idx="686">
                  <c:v>21945.94325</c:v>
                </c:pt>
                <c:pt idx="687">
                  <c:v>21972.548500000004</c:v>
                </c:pt>
                <c:pt idx="688">
                  <c:v>21997.08025000001</c:v>
                </c:pt>
                <c:pt idx="689">
                  <c:v>22018.388250000004</c:v>
                </c:pt>
                <c:pt idx="690">
                  <c:v>22039.595750000008</c:v>
                </c:pt>
                <c:pt idx="691">
                  <c:v>22062.424500000012</c:v>
                </c:pt>
                <c:pt idx="692">
                  <c:v>22083.952000000005</c:v>
                </c:pt>
                <c:pt idx="693">
                  <c:v>22107.434000000008</c:v>
                </c:pt>
                <c:pt idx="694">
                  <c:v>22131.045500000011</c:v>
                </c:pt>
                <c:pt idx="695">
                  <c:v>22154.027250000006</c:v>
                </c:pt>
                <c:pt idx="696">
                  <c:v>22178.337250000004</c:v>
                </c:pt>
                <c:pt idx="697">
                  <c:v>22205.432250000005</c:v>
                </c:pt>
                <c:pt idx="698">
                  <c:v>22234.009250000003</c:v>
                </c:pt>
                <c:pt idx="699">
                  <c:v>22262.267250000004</c:v>
                </c:pt>
                <c:pt idx="700">
                  <c:v>22290.413750000011</c:v>
                </c:pt>
                <c:pt idx="701">
                  <c:v>22319.073250000005</c:v>
                </c:pt>
                <c:pt idx="702">
                  <c:v>22348.243250000007</c:v>
                </c:pt>
                <c:pt idx="703">
                  <c:v>22377.630000000005</c:v>
                </c:pt>
                <c:pt idx="704">
                  <c:v>22406.565750000005</c:v>
                </c:pt>
                <c:pt idx="705">
                  <c:v>22434.768750000003</c:v>
                </c:pt>
                <c:pt idx="706">
                  <c:v>22463.495000000006</c:v>
                </c:pt>
                <c:pt idx="707">
                  <c:v>22492.457000000006</c:v>
                </c:pt>
                <c:pt idx="708">
                  <c:v>22521.874000000007</c:v>
                </c:pt>
                <c:pt idx="709">
                  <c:v>22551.14650000001</c:v>
                </c:pt>
                <c:pt idx="710">
                  <c:v>22579.512250000007</c:v>
                </c:pt>
                <c:pt idx="711">
                  <c:v>22608.02</c:v>
                </c:pt>
                <c:pt idx="712">
                  <c:v>22633.903500000004</c:v>
                </c:pt>
                <c:pt idx="713">
                  <c:v>22659.759500000007</c:v>
                </c:pt>
                <c:pt idx="714">
                  <c:v>22686.306000000004</c:v>
                </c:pt>
                <c:pt idx="715">
                  <c:v>22712.428250000008</c:v>
                </c:pt>
                <c:pt idx="716">
                  <c:v>22740.455750000008</c:v>
                </c:pt>
                <c:pt idx="717">
                  <c:v>22768.179000000007</c:v>
                </c:pt>
                <c:pt idx="718">
                  <c:v>22796.08775000001</c:v>
                </c:pt>
                <c:pt idx="719">
                  <c:v>22824.207000000009</c:v>
                </c:pt>
                <c:pt idx="720">
                  <c:v>22851.646250000009</c:v>
                </c:pt>
                <c:pt idx="721">
                  <c:v>22878.242250000007</c:v>
                </c:pt>
                <c:pt idx="722">
                  <c:v>22906.531250000011</c:v>
                </c:pt>
                <c:pt idx="723">
                  <c:v>22934.887000000002</c:v>
                </c:pt>
                <c:pt idx="724">
                  <c:v>22961.15500000001</c:v>
                </c:pt>
                <c:pt idx="725">
                  <c:v>22986.90025000001</c:v>
                </c:pt>
                <c:pt idx="726">
                  <c:v>23013.292000000005</c:v>
                </c:pt>
                <c:pt idx="727">
                  <c:v>23039.681000000011</c:v>
                </c:pt>
                <c:pt idx="728">
                  <c:v>23063.888250000011</c:v>
                </c:pt>
                <c:pt idx="729">
                  <c:v>23087.887250000007</c:v>
                </c:pt>
                <c:pt idx="730">
                  <c:v>23109.605750000006</c:v>
                </c:pt>
                <c:pt idx="731">
                  <c:v>23130.047000000002</c:v>
                </c:pt>
                <c:pt idx="732">
                  <c:v>23148.112250000006</c:v>
                </c:pt>
                <c:pt idx="733">
                  <c:v>23165.894750000007</c:v>
                </c:pt>
                <c:pt idx="734">
                  <c:v>23183.711250000004</c:v>
                </c:pt>
                <c:pt idx="735">
                  <c:v>23201.438000000002</c:v>
                </c:pt>
                <c:pt idx="736">
                  <c:v>23220.508500000007</c:v>
                </c:pt>
                <c:pt idx="737">
                  <c:v>23239.873000000007</c:v>
                </c:pt>
                <c:pt idx="738">
                  <c:v>23258.412750000007</c:v>
                </c:pt>
                <c:pt idx="739">
                  <c:v>23276.062500000004</c:v>
                </c:pt>
                <c:pt idx="740">
                  <c:v>23291.538000000004</c:v>
                </c:pt>
                <c:pt idx="741">
                  <c:v>23306.914750000007</c:v>
                </c:pt>
                <c:pt idx="742">
                  <c:v>23322.163249999998</c:v>
                </c:pt>
                <c:pt idx="743">
                  <c:v>23335.814249999999</c:v>
                </c:pt>
                <c:pt idx="744">
                  <c:v>23349.66275</c:v>
                </c:pt>
                <c:pt idx="745">
                  <c:v>23364.072999999997</c:v>
                </c:pt>
                <c:pt idx="746">
                  <c:v>23376.683999999994</c:v>
                </c:pt>
                <c:pt idx="747">
                  <c:v>23389.825750000004</c:v>
                </c:pt>
                <c:pt idx="748">
                  <c:v>23404.594999999994</c:v>
                </c:pt>
                <c:pt idx="749">
                  <c:v>23418.574999999997</c:v>
                </c:pt>
                <c:pt idx="750">
                  <c:v>23431.508249999992</c:v>
                </c:pt>
                <c:pt idx="751">
                  <c:v>23444.793999999994</c:v>
                </c:pt>
                <c:pt idx="752">
                  <c:v>23455.297999999988</c:v>
                </c:pt>
                <c:pt idx="753">
                  <c:v>23465.877249999987</c:v>
                </c:pt>
                <c:pt idx="754">
                  <c:v>23478.135999999988</c:v>
                </c:pt>
                <c:pt idx="755">
                  <c:v>23491.272999999983</c:v>
                </c:pt>
                <c:pt idx="756">
                  <c:v>23504.702749999989</c:v>
                </c:pt>
                <c:pt idx="757">
                  <c:v>23517.297249999981</c:v>
                </c:pt>
                <c:pt idx="758">
                  <c:v>23528.855499999991</c:v>
                </c:pt>
                <c:pt idx="759">
                  <c:v>23540.456749999983</c:v>
                </c:pt>
                <c:pt idx="760">
                  <c:v>23550.85049999999</c:v>
                </c:pt>
                <c:pt idx="761">
                  <c:v>23561.356499999983</c:v>
                </c:pt>
                <c:pt idx="762">
                  <c:v>23570.260999999991</c:v>
                </c:pt>
                <c:pt idx="763">
                  <c:v>23579.399999999991</c:v>
                </c:pt>
                <c:pt idx="764">
                  <c:v>23590.307749999993</c:v>
                </c:pt>
                <c:pt idx="765">
                  <c:v>23602.929999999997</c:v>
                </c:pt>
                <c:pt idx="766">
                  <c:v>23614.633499999996</c:v>
                </c:pt>
                <c:pt idx="767">
                  <c:v>23627.149499999996</c:v>
                </c:pt>
                <c:pt idx="768">
                  <c:v>23637.073250000001</c:v>
                </c:pt>
                <c:pt idx="769">
                  <c:v>23648.076249999998</c:v>
                </c:pt>
                <c:pt idx="770">
                  <c:v>23660.866749999997</c:v>
                </c:pt>
                <c:pt idx="771">
                  <c:v>23674.240000000002</c:v>
                </c:pt>
                <c:pt idx="772">
                  <c:v>23688.497000000007</c:v>
                </c:pt>
                <c:pt idx="773">
                  <c:v>23703.322750000007</c:v>
                </c:pt>
                <c:pt idx="774">
                  <c:v>23717.511500000011</c:v>
                </c:pt>
                <c:pt idx="775">
                  <c:v>23731.052750000013</c:v>
                </c:pt>
                <c:pt idx="776">
                  <c:v>23743.89950000001</c:v>
                </c:pt>
                <c:pt idx="777">
                  <c:v>23756.497250000011</c:v>
                </c:pt>
                <c:pt idx="778">
                  <c:v>23768.256000000016</c:v>
                </c:pt>
                <c:pt idx="779">
                  <c:v>23781.822250000012</c:v>
                </c:pt>
                <c:pt idx="780">
                  <c:v>23794.076250000013</c:v>
                </c:pt>
                <c:pt idx="781">
                  <c:v>23804.692750000009</c:v>
                </c:pt>
                <c:pt idx="782">
                  <c:v>23815.076750000007</c:v>
                </c:pt>
                <c:pt idx="783">
                  <c:v>23823.843500000006</c:v>
                </c:pt>
                <c:pt idx="784">
                  <c:v>23832.02525000001</c:v>
                </c:pt>
                <c:pt idx="785">
                  <c:v>23840.87850000001</c:v>
                </c:pt>
                <c:pt idx="786">
                  <c:v>23847.823000000008</c:v>
                </c:pt>
                <c:pt idx="787">
                  <c:v>23854.546000000006</c:v>
                </c:pt>
                <c:pt idx="788">
                  <c:v>23861.831500000008</c:v>
                </c:pt>
                <c:pt idx="789">
                  <c:v>23867.685750000011</c:v>
                </c:pt>
                <c:pt idx="790">
                  <c:v>23873.442000000006</c:v>
                </c:pt>
                <c:pt idx="791">
                  <c:v>23880.493250000007</c:v>
                </c:pt>
                <c:pt idx="792">
                  <c:v>23889.758000000009</c:v>
                </c:pt>
                <c:pt idx="793">
                  <c:v>23899.79325000001</c:v>
                </c:pt>
                <c:pt idx="794">
                  <c:v>23907.140250000008</c:v>
                </c:pt>
                <c:pt idx="795">
                  <c:v>23915.563000000013</c:v>
                </c:pt>
                <c:pt idx="796">
                  <c:v>23923.729250000011</c:v>
                </c:pt>
                <c:pt idx="797">
                  <c:v>23932.27450000001</c:v>
                </c:pt>
                <c:pt idx="798">
                  <c:v>23940.23650000001</c:v>
                </c:pt>
                <c:pt idx="799">
                  <c:v>23945.606500000009</c:v>
                </c:pt>
                <c:pt idx="800">
                  <c:v>23951.003000000012</c:v>
                </c:pt>
                <c:pt idx="801">
                  <c:v>23957.045500000011</c:v>
                </c:pt>
                <c:pt idx="802">
                  <c:v>23962.986250000009</c:v>
                </c:pt>
                <c:pt idx="803">
                  <c:v>23967.367750000009</c:v>
                </c:pt>
                <c:pt idx="804">
                  <c:v>23971.781500000012</c:v>
                </c:pt>
                <c:pt idx="805">
                  <c:v>23974.638250000015</c:v>
                </c:pt>
                <c:pt idx="806">
                  <c:v>23978.241750000012</c:v>
                </c:pt>
                <c:pt idx="807">
                  <c:v>23981.695250000012</c:v>
                </c:pt>
                <c:pt idx="808">
                  <c:v>23984.587750000013</c:v>
                </c:pt>
                <c:pt idx="809">
                  <c:v>23985.402000000016</c:v>
                </c:pt>
                <c:pt idx="810">
                  <c:v>23986.974500000011</c:v>
                </c:pt>
                <c:pt idx="811">
                  <c:v>23989.021000000012</c:v>
                </c:pt>
                <c:pt idx="812">
                  <c:v>23992.671500000008</c:v>
                </c:pt>
                <c:pt idx="813">
                  <c:v>23998.85100000001</c:v>
                </c:pt>
                <c:pt idx="814">
                  <c:v>24005.522250000005</c:v>
                </c:pt>
                <c:pt idx="815">
                  <c:v>24012.348250000006</c:v>
                </c:pt>
                <c:pt idx="816">
                  <c:v>24020.309500000007</c:v>
                </c:pt>
                <c:pt idx="817">
                  <c:v>24027.109000000004</c:v>
                </c:pt>
                <c:pt idx="818">
                  <c:v>24033.285749999995</c:v>
                </c:pt>
                <c:pt idx="819">
                  <c:v>24039.073500000002</c:v>
                </c:pt>
                <c:pt idx="820">
                  <c:v>24043.129749999996</c:v>
                </c:pt>
                <c:pt idx="821">
                  <c:v>24046.388999999996</c:v>
                </c:pt>
                <c:pt idx="822">
                  <c:v>24048.398249999987</c:v>
                </c:pt>
                <c:pt idx="823">
                  <c:v>24050.530999999995</c:v>
                </c:pt>
                <c:pt idx="824">
                  <c:v>24051.936249999992</c:v>
                </c:pt>
                <c:pt idx="825">
                  <c:v>24054.354499999994</c:v>
                </c:pt>
                <c:pt idx="826">
                  <c:v>24056.867499999989</c:v>
                </c:pt>
                <c:pt idx="827">
                  <c:v>24060.019499999991</c:v>
                </c:pt>
                <c:pt idx="828">
                  <c:v>24063.072749999996</c:v>
                </c:pt>
                <c:pt idx="829">
                  <c:v>24067.264749999995</c:v>
                </c:pt>
                <c:pt idx="830">
                  <c:v>24069.755499999999</c:v>
                </c:pt>
                <c:pt idx="831">
                  <c:v>24071.972999999994</c:v>
                </c:pt>
                <c:pt idx="832">
                  <c:v>24073.608999999993</c:v>
                </c:pt>
                <c:pt idx="833">
                  <c:v>24073.229749999995</c:v>
                </c:pt>
                <c:pt idx="834">
                  <c:v>24071.806999999997</c:v>
                </c:pt>
                <c:pt idx="835">
                  <c:v>24069.889750000002</c:v>
                </c:pt>
                <c:pt idx="836">
                  <c:v>24069.06625</c:v>
                </c:pt>
                <c:pt idx="837">
                  <c:v>24069.144500000002</c:v>
                </c:pt>
                <c:pt idx="838">
                  <c:v>24068.918000000001</c:v>
                </c:pt>
                <c:pt idx="839">
                  <c:v>24066.381249999999</c:v>
                </c:pt>
                <c:pt idx="840">
                  <c:v>24064.08525</c:v>
                </c:pt>
                <c:pt idx="841">
                  <c:v>24061.7755</c:v>
                </c:pt>
                <c:pt idx="842">
                  <c:v>24059.320749999999</c:v>
                </c:pt>
                <c:pt idx="843">
                  <c:v>24058.340999999997</c:v>
                </c:pt>
                <c:pt idx="844">
                  <c:v>24060.069249999997</c:v>
                </c:pt>
                <c:pt idx="845">
                  <c:v>24061.953749999997</c:v>
                </c:pt>
                <c:pt idx="846">
                  <c:v>24061.587499999994</c:v>
                </c:pt>
                <c:pt idx="847">
                  <c:v>24068.917000000001</c:v>
                </c:pt>
                <c:pt idx="848">
                  <c:v>24074.107000000004</c:v>
                </c:pt>
                <c:pt idx="849">
                  <c:v>24078.343250000002</c:v>
                </c:pt>
                <c:pt idx="850">
                  <c:v>24079.326749999997</c:v>
                </c:pt>
                <c:pt idx="851">
                  <c:v>24080.9905</c:v>
                </c:pt>
                <c:pt idx="852">
                  <c:v>24082.262999999992</c:v>
                </c:pt>
                <c:pt idx="853">
                  <c:v>24081.476749999998</c:v>
                </c:pt>
                <c:pt idx="854">
                  <c:v>24081.143999999993</c:v>
                </c:pt>
                <c:pt idx="855">
                  <c:v>24080.06649999999</c:v>
                </c:pt>
                <c:pt idx="856">
                  <c:v>24076.799249999989</c:v>
                </c:pt>
                <c:pt idx="857">
                  <c:v>24070.027249999988</c:v>
                </c:pt>
                <c:pt idx="858">
                  <c:v>24064.87149999999</c:v>
                </c:pt>
                <c:pt idx="859">
                  <c:v>24059.361749999989</c:v>
                </c:pt>
                <c:pt idx="860">
                  <c:v>24055.815249999989</c:v>
                </c:pt>
                <c:pt idx="861">
                  <c:v>24053.851499999986</c:v>
                </c:pt>
                <c:pt idx="862">
                  <c:v>24051.693499999987</c:v>
                </c:pt>
                <c:pt idx="863">
                  <c:v>24050.729249999986</c:v>
                </c:pt>
                <c:pt idx="864">
                  <c:v>24051.303999999986</c:v>
                </c:pt>
                <c:pt idx="865">
                  <c:v>24051.430499999988</c:v>
                </c:pt>
                <c:pt idx="866">
                  <c:v>24052.455999999987</c:v>
                </c:pt>
                <c:pt idx="867">
                  <c:v>24052.256999999987</c:v>
                </c:pt>
                <c:pt idx="868">
                  <c:v>24050.942999999985</c:v>
                </c:pt>
                <c:pt idx="869">
                  <c:v>24050.966249999987</c:v>
                </c:pt>
                <c:pt idx="870">
                  <c:v>24051.043249999988</c:v>
                </c:pt>
                <c:pt idx="871">
                  <c:v>24050.548249999989</c:v>
                </c:pt>
                <c:pt idx="872">
                  <c:v>24050.659499999994</c:v>
                </c:pt>
                <c:pt idx="873">
                  <c:v>24051.385499999989</c:v>
                </c:pt>
                <c:pt idx="874">
                  <c:v>24050.772749999989</c:v>
                </c:pt>
                <c:pt idx="875">
                  <c:v>24049.91124999999</c:v>
                </c:pt>
                <c:pt idx="876">
                  <c:v>24048.21524999999</c:v>
                </c:pt>
                <c:pt idx="877">
                  <c:v>24044.250999999993</c:v>
                </c:pt>
                <c:pt idx="878">
                  <c:v>24046.219999999994</c:v>
                </c:pt>
                <c:pt idx="879">
                  <c:v>24046.565499999993</c:v>
                </c:pt>
                <c:pt idx="880">
                  <c:v>24047.504749999996</c:v>
                </c:pt>
                <c:pt idx="881">
                  <c:v>24050.747749999995</c:v>
                </c:pt>
                <c:pt idx="882">
                  <c:v>24053.81625</c:v>
                </c:pt>
                <c:pt idx="883">
                  <c:v>24054.369250000003</c:v>
                </c:pt>
                <c:pt idx="884">
                  <c:v>24053.608250000001</c:v>
                </c:pt>
                <c:pt idx="885">
                  <c:v>24053.38900000001</c:v>
                </c:pt>
                <c:pt idx="886">
                  <c:v>24051.681750000007</c:v>
                </c:pt>
                <c:pt idx="887">
                  <c:v>24050.893000000007</c:v>
                </c:pt>
                <c:pt idx="888">
                  <c:v>24052.31025000001</c:v>
                </c:pt>
                <c:pt idx="889">
                  <c:v>24056.163250000005</c:v>
                </c:pt>
                <c:pt idx="890">
                  <c:v>24059.96275000001</c:v>
                </c:pt>
                <c:pt idx="891">
                  <c:v>24062.643250000008</c:v>
                </c:pt>
                <c:pt idx="892">
                  <c:v>24065.811750000008</c:v>
                </c:pt>
                <c:pt idx="893">
                  <c:v>24067.557250000009</c:v>
                </c:pt>
                <c:pt idx="894">
                  <c:v>24068.53475000001</c:v>
                </c:pt>
                <c:pt idx="895">
                  <c:v>24070.940750000012</c:v>
                </c:pt>
                <c:pt idx="896">
                  <c:v>24073.976500000012</c:v>
                </c:pt>
                <c:pt idx="897">
                  <c:v>24076.286000000011</c:v>
                </c:pt>
                <c:pt idx="898">
                  <c:v>24078.938750000016</c:v>
                </c:pt>
                <c:pt idx="899">
                  <c:v>24080.96575000001</c:v>
                </c:pt>
                <c:pt idx="900">
                  <c:v>24082.821750000014</c:v>
                </c:pt>
                <c:pt idx="901">
                  <c:v>24083.205250000014</c:v>
                </c:pt>
                <c:pt idx="902">
                  <c:v>24082.68250000001</c:v>
                </c:pt>
                <c:pt idx="903">
                  <c:v>24082.362000000008</c:v>
                </c:pt>
                <c:pt idx="904">
                  <c:v>24081.540250000009</c:v>
                </c:pt>
                <c:pt idx="905">
                  <c:v>24080.33875000001</c:v>
                </c:pt>
                <c:pt idx="906">
                  <c:v>24078.54525000001</c:v>
                </c:pt>
                <c:pt idx="907">
                  <c:v>24077.927750000013</c:v>
                </c:pt>
                <c:pt idx="908">
                  <c:v>24076.393750000014</c:v>
                </c:pt>
                <c:pt idx="909">
                  <c:v>24075.216250000009</c:v>
                </c:pt>
                <c:pt idx="910">
                  <c:v>24075.446500000009</c:v>
                </c:pt>
                <c:pt idx="911">
                  <c:v>24077.466000000004</c:v>
                </c:pt>
                <c:pt idx="912">
                  <c:v>24081.394250000001</c:v>
                </c:pt>
                <c:pt idx="913">
                  <c:v>24084.297500000001</c:v>
                </c:pt>
                <c:pt idx="914">
                  <c:v>24086.800999999999</c:v>
                </c:pt>
                <c:pt idx="915">
                  <c:v>24089.475750000001</c:v>
                </c:pt>
                <c:pt idx="916">
                  <c:v>24089.557750000004</c:v>
                </c:pt>
                <c:pt idx="917">
                  <c:v>24090.080250000003</c:v>
                </c:pt>
                <c:pt idx="918">
                  <c:v>24090.468000000008</c:v>
                </c:pt>
                <c:pt idx="919">
                  <c:v>24090.987750000004</c:v>
                </c:pt>
                <c:pt idx="920">
                  <c:v>24091.480500000001</c:v>
                </c:pt>
                <c:pt idx="921">
                  <c:v>24091.177750000003</c:v>
                </c:pt>
                <c:pt idx="922">
                  <c:v>24087.972249999995</c:v>
                </c:pt>
                <c:pt idx="923">
                  <c:v>24083.688499999997</c:v>
                </c:pt>
                <c:pt idx="924">
                  <c:v>24079.965499999995</c:v>
                </c:pt>
                <c:pt idx="925">
                  <c:v>24076.00499999999</c:v>
                </c:pt>
                <c:pt idx="926">
                  <c:v>24070.481999999996</c:v>
                </c:pt>
                <c:pt idx="927">
                  <c:v>24064.429249999997</c:v>
                </c:pt>
                <c:pt idx="928">
                  <c:v>24060.8285</c:v>
                </c:pt>
                <c:pt idx="929">
                  <c:v>24057.148499999999</c:v>
                </c:pt>
                <c:pt idx="930">
                  <c:v>24056.997500000005</c:v>
                </c:pt>
                <c:pt idx="931">
                  <c:v>24057.235000000001</c:v>
                </c:pt>
                <c:pt idx="932">
                  <c:v>24057.441249999996</c:v>
                </c:pt>
                <c:pt idx="933">
                  <c:v>24055.78</c:v>
                </c:pt>
                <c:pt idx="934">
                  <c:v>24054.975750000001</c:v>
                </c:pt>
                <c:pt idx="935">
                  <c:v>24054.258750000001</c:v>
                </c:pt>
                <c:pt idx="936">
                  <c:v>24053.27925</c:v>
                </c:pt>
                <c:pt idx="937">
                  <c:v>24050.466249999994</c:v>
                </c:pt>
                <c:pt idx="938">
                  <c:v>24048.793249999999</c:v>
                </c:pt>
                <c:pt idx="939">
                  <c:v>24047.184499999992</c:v>
                </c:pt>
                <c:pt idx="940">
                  <c:v>24046.306249999994</c:v>
                </c:pt>
                <c:pt idx="941">
                  <c:v>24045.016749999995</c:v>
                </c:pt>
                <c:pt idx="942">
                  <c:v>24042.927749999999</c:v>
                </c:pt>
                <c:pt idx="943">
                  <c:v>24043.492499999997</c:v>
                </c:pt>
                <c:pt idx="944">
                  <c:v>24043.752</c:v>
                </c:pt>
                <c:pt idx="945">
                  <c:v>24044.851749999998</c:v>
                </c:pt>
                <c:pt idx="946">
                  <c:v>24047.104250000004</c:v>
                </c:pt>
                <c:pt idx="947">
                  <c:v>24049.793250000006</c:v>
                </c:pt>
                <c:pt idx="948">
                  <c:v>24052.362250000006</c:v>
                </c:pt>
                <c:pt idx="949">
                  <c:v>24055.910750000006</c:v>
                </c:pt>
                <c:pt idx="950">
                  <c:v>24060.302750000003</c:v>
                </c:pt>
                <c:pt idx="951">
                  <c:v>24063.131500000003</c:v>
                </c:pt>
                <c:pt idx="952">
                  <c:v>24067.9935</c:v>
                </c:pt>
                <c:pt idx="953">
                  <c:v>24070.487250000002</c:v>
                </c:pt>
                <c:pt idx="954">
                  <c:v>24070.571499999998</c:v>
                </c:pt>
                <c:pt idx="955">
                  <c:v>24071.708999999995</c:v>
                </c:pt>
                <c:pt idx="956">
                  <c:v>24074.093249999998</c:v>
                </c:pt>
                <c:pt idx="957">
                  <c:v>24076.284749999995</c:v>
                </c:pt>
                <c:pt idx="958">
                  <c:v>24080.442749999991</c:v>
                </c:pt>
                <c:pt idx="959">
                  <c:v>24086.318999999996</c:v>
                </c:pt>
                <c:pt idx="960">
                  <c:v>24092.360499999995</c:v>
                </c:pt>
                <c:pt idx="961">
                  <c:v>24098.957249999996</c:v>
                </c:pt>
                <c:pt idx="962">
                  <c:v>24105.707749999994</c:v>
                </c:pt>
                <c:pt idx="963">
                  <c:v>24113.823749999996</c:v>
                </c:pt>
                <c:pt idx="964">
                  <c:v>24119.314999999995</c:v>
                </c:pt>
                <c:pt idx="965">
                  <c:v>24123.775499999992</c:v>
                </c:pt>
                <c:pt idx="966">
                  <c:v>24128.148999999994</c:v>
                </c:pt>
                <c:pt idx="967">
                  <c:v>24132.96999999999</c:v>
                </c:pt>
                <c:pt idx="968">
                  <c:v>24140.05049999999</c:v>
                </c:pt>
                <c:pt idx="969">
                  <c:v>24146.512999999988</c:v>
                </c:pt>
                <c:pt idx="970">
                  <c:v>24151.767999999989</c:v>
                </c:pt>
                <c:pt idx="971">
                  <c:v>24155.493999999992</c:v>
                </c:pt>
                <c:pt idx="972">
                  <c:v>24159.004249999984</c:v>
                </c:pt>
                <c:pt idx="973">
                  <c:v>24160.746749999988</c:v>
                </c:pt>
                <c:pt idx="974">
                  <c:v>24161.811999999987</c:v>
                </c:pt>
                <c:pt idx="975">
                  <c:v>24161.990499999985</c:v>
                </c:pt>
                <c:pt idx="976">
                  <c:v>24162.114749999986</c:v>
                </c:pt>
                <c:pt idx="977">
                  <c:v>24161.961249999986</c:v>
                </c:pt>
                <c:pt idx="978">
                  <c:v>24163.399249999984</c:v>
                </c:pt>
                <c:pt idx="979">
                  <c:v>24164.028999999984</c:v>
                </c:pt>
                <c:pt idx="980">
                  <c:v>24166.075999999983</c:v>
                </c:pt>
                <c:pt idx="981">
                  <c:v>24169.937499999985</c:v>
                </c:pt>
                <c:pt idx="982">
                  <c:v>24174.173999999985</c:v>
                </c:pt>
                <c:pt idx="983">
                  <c:v>24180.324499999988</c:v>
                </c:pt>
                <c:pt idx="984">
                  <c:v>24188.813749999987</c:v>
                </c:pt>
                <c:pt idx="985">
                  <c:v>24196.183249999984</c:v>
                </c:pt>
                <c:pt idx="986">
                  <c:v>24203.272499999981</c:v>
                </c:pt>
                <c:pt idx="987">
                  <c:v>24211.139249999978</c:v>
                </c:pt>
                <c:pt idx="988">
                  <c:v>24219.998749999981</c:v>
                </c:pt>
                <c:pt idx="989">
                  <c:v>24230.323499999984</c:v>
                </c:pt>
                <c:pt idx="990">
                  <c:v>24241.315249999985</c:v>
                </c:pt>
                <c:pt idx="991">
                  <c:v>24251.94374999998</c:v>
                </c:pt>
                <c:pt idx="992">
                  <c:v>24260.457499999986</c:v>
                </c:pt>
                <c:pt idx="993">
                  <c:v>24269.409499999987</c:v>
                </c:pt>
                <c:pt idx="994">
                  <c:v>24281.159499999987</c:v>
                </c:pt>
                <c:pt idx="995">
                  <c:v>24292.300999999992</c:v>
                </c:pt>
                <c:pt idx="996">
                  <c:v>24304.125749999992</c:v>
                </c:pt>
                <c:pt idx="997">
                  <c:v>24315.882499999992</c:v>
                </c:pt>
                <c:pt idx="998">
                  <c:v>24327.33549999999</c:v>
                </c:pt>
                <c:pt idx="999">
                  <c:v>24340.722499999985</c:v>
                </c:pt>
                <c:pt idx="1000">
                  <c:v>24352.830499999985</c:v>
                </c:pt>
                <c:pt idx="1001">
                  <c:v>24364.312999999984</c:v>
                </c:pt>
                <c:pt idx="1002">
                  <c:v>24375.215499999984</c:v>
                </c:pt>
                <c:pt idx="1003">
                  <c:v>24387.071249999983</c:v>
                </c:pt>
                <c:pt idx="1004">
                  <c:v>24398.822249999987</c:v>
                </c:pt>
                <c:pt idx="1005">
                  <c:v>24413.07799999998</c:v>
                </c:pt>
                <c:pt idx="1006">
                  <c:v>24426.696999999982</c:v>
                </c:pt>
                <c:pt idx="1007">
                  <c:v>24440.220499999985</c:v>
                </c:pt>
                <c:pt idx="1008">
                  <c:v>24454.826749999986</c:v>
                </c:pt>
                <c:pt idx="1009">
                  <c:v>24470.231249999975</c:v>
                </c:pt>
                <c:pt idx="1010">
                  <c:v>24485.708249999978</c:v>
                </c:pt>
                <c:pt idx="1011">
                  <c:v>24500.853499999983</c:v>
                </c:pt>
                <c:pt idx="1012">
                  <c:v>24514.946749999985</c:v>
                </c:pt>
                <c:pt idx="1013">
                  <c:v>24527.202249999984</c:v>
                </c:pt>
                <c:pt idx="1014">
                  <c:v>24539.215499999984</c:v>
                </c:pt>
                <c:pt idx="1015">
                  <c:v>24553.436749999983</c:v>
                </c:pt>
                <c:pt idx="1016">
                  <c:v>24565.818249999982</c:v>
                </c:pt>
                <c:pt idx="1017">
                  <c:v>24578.351499999986</c:v>
                </c:pt>
                <c:pt idx="1018">
                  <c:v>24591.213499999987</c:v>
                </c:pt>
                <c:pt idx="1019">
                  <c:v>24603.574749999985</c:v>
                </c:pt>
                <c:pt idx="1020">
                  <c:v>24616.596749999982</c:v>
                </c:pt>
                <c:pt idx="1021">
                  <c:v>24631.406499999986</c:v>
                </c:pt>
                <c:pt idx="1022">
                  <c:v>24647.112499999981</c:v>
                </c:pt>
                <c:pt idx="1023">
                  <c:v>24661.758249999984</c:v>
                </c:pt>
                <c:pt idx="1024">
                  <c:v>24676.310249999984</c:v>
                </c:pt>
                <c:pt idx="1025">
                  <c:v>24690.302749999984</c:v>
                </c:pt>
                <c:pt idx="1026">
                  <c:v>24705.068999999989</c:v>
                </c:pt>
                <c:pt idx="1027">
                  <c:v>24720.639249999993</c:v>
                </c:pt>
                <c:pt idx="1028">
                  <c:v>24736.209999999992</c:v>
                </c:pt>
                <c:pt idx="1029">
                  <c:v>24751.530999999988</c:v>
                </c:pt>
                <c:pt idx="1030">
                  <c:v>24767.856999999989</c:v>
                </c:pt>
                <c:pt idx="1031">
                  <c:v>24784.196999999989</c:v>
                </c:pt>
                <c:pt idx="1032">
                  <c:v>24801.303749999992</c:v>
                </c:pt>
                <c:pt idx="1033">
                  <c:v>24821.542249999991</c:v>
                </c:pt>
                <c:pt idx="1034">
                  <c:v>24841.8315</c:v>
                </c:pt>
                <c:pt idx="1035">
                  <c:v>24862.128749999989</c:v>
                </c:pt>
                <c:pt idx="1036">
                  <c:v>24880.65374999999</c:v>
                </c:pt>
                <c:pt idx="1037">
                  <c:v>24897.640749999991</c:v>
                </c:pt>
                <c:pt idx="1038">
                  <c:v>24914.572499999991</c:v>
                </c:pt>
              </c:numCache>
            </c:numRef>
          </c:val>
          <c:smooth val="0"/>
          <c:extLst>
            <c:ext xmlns:c16="http://schemas.microsoft.com/office/drawing/2014/chart" uri="{C3380CC4-5D6E-409C-BE32-E72D297353CC}">
              <c16:uniqueId val="{00000003-8F7E-4B6D-9561-84EC178E8EA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376296303"/>
        <c:axId val="225250335"/>
      </c:lineChart>
      <c:dateAx>
        <c:axId val="37629630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Dates</a:t>
                </a:r>
              </a:p>
            </c:rich>
          </c:tx>
          <c:layout>
            <c:manualLayout>
              <c:xMode val="edge"/>
              <c:yMode val="edge"/>
              <c:x val="0.5085221588680725"/>
              <c:y val="0.94323342884290995"/>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d\-mmm\-yy"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25250335"/>
        <c:crosses val="autoZero"/>
        <c:auto val="1"/>
        <c:lblOffset val="100"/>
        <c:baseTimeUnit val="days"/>
      </c:dateAx>
      <c:valAx>
        <c:axId val="225250335"/>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Price</a:t>
                </a:r>
              </a:p>
            </c:rich>
          </c:tx>
          <c:layout>
            <c:manualLayout>
              <c:xMode val="edge"/>
              <c:yMode val="edge"/>
              <c:x val="1.0727969348659003E-2"/>
              <c:y val="0.41103368860931672"/>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76296303"/>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Percentage of Yearly Returns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'Project pivot table 2'!$D$3</c:f>
              <c:strCache>
                <c:ptCount val="1"/>
                <c:pt idx="0">
                  <c:v>%age of Yearly Returns</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'Project pivot table 2'!$A$4:$A$8</c:f>
              <c:strCache>
                <c:ptCount val="5"/>
                <c:pt idx="0">
                  <c:v>2021</c:v>
                </c:pt>
                <c:pt idx="1">
                  <c:v>2022</c:v>
                </c:pt>
                <c:pt idx="2">
                  <c:v>2023</c:v>
                </c:pt>
                <c:pt idx="3">
                  <c:v>2024</c:v>
                </c:pt>
                <c:pt idx="4">
                  <c:v>2025</c:v>
                </c:pt>
              </c:strCache>
            </c:strRef>
          </c:cat>
          <c:val>
            <c:numRef>
              <c:f>'Project pivot table 2'!$D$4:$D$8</c:f>
              <c:numCache>
                <c:formatCode>0.00%</c:formatCode>
                <c:ptCount val="5"/>
                <c:pt idx="0">
                  <c:v>0.23793915183507502</c:v>
                </c:pt>
                <c:pt idx="1">
                  <c:v>2.7210266826281995E-2</c:v>
                </c:pt>
                <c:pt idx="2">
                  <c:v>0.19420028630385031</c:v>
                </c:pt>
                <c:pt idx="3">
                  <c:v>8.7522249665392529E-2</c:v>
                </c:pt>
                <c:pt idx="4">
                  <c:v>0.10052268257036828</c:v>
                </c:pt>
              </c:numCache>
            </c:numRef>
          </c:val>
          <c:extLst>
            <c:ext xmlns:c16="http://schemas.microsoft.com/office/drawing/2014/chart" uri="{C3380CC4-5D6E-409C-BE32-E72D297353CC}">
              <c16:uniqueId val="{00000000-C61E-4643-B3D2-8804374EF962}"/>
            </c:ext>
          </c:extLst>
        </c:ser>
        <c:dLbls>
          <c:dLblPos val="inEnd"/>
          <c:showLegendKey val="0"/>
          <c:showVal val="1"/>
          <c:showCatName val="0"/>
          <c:showSerName val="0"/>
          <c:showPercent val="0"/>
          <c:showBubbleSize val="0"/>
        </c:dLbls>
        <c:gapWidth val="41"/>
        <c:axId val="1784675103"/>
        <c:axId val="196920863"/>
      </c:barChart>
      <c:catAx>
        <c:axId val="1784675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6920863"/>
        <c:crosses val="autoZero"/>
        <c:auto val="1"/>
        <c:lblAlgn val="ctr"/>
        <c:lblOffset val="100"/>
        <c:noMultiLvlLbl val="0"/>
      </c:catAx>
      <c:valAx>
        <c:axId val="196920863"/>
        <c:scaling>
          <c:orientation val="minMax"/>
        </c:scaling>
        <c:delete val="1"/>
        <c:axPos val="l"/>
        <c:numFmt formatCode="0.00%" sourceLinked="1"/>
        <c:majorTickMark val="none"/>
        <c:minorTickMark val="none"/>
        <c:tickLblPos val="nextTo"/>
        <c:crossAx val="1784675103"/>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'Drawdown Data'!$B$1</c:f>
              <c:strCache>
                <c:ptCount val="1"/>
                <c:pt idx="0">
                  <c:v>Drawdown %age</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numRef>
              <c:f>'Drawdown Data'!$A$2:$A$1240</c:f>
              <c:numCache>
                <c:formatCode>d\-mmm\-yy</c:formatCode>
                <c:ptCount val="1239"/>
                <c:pt idx="0">
                  <c:v>44197</c:v>
                </c:pt>
                <c:pt idx="1">
                  <c:v>44200</c:v>
                </c:pt>
                <c:pt idx="2">
                  <c:v>44201</c:v>
                </c:pt>
                <c:pt idx="3">
                  <c:v>44202</c:v>
                </c:pt>
                <c:pt idx="4">
                  <c:v>44203</c:v>
                </c:pt>
                <c:pt idx="5">
                  <c:v>44204</c:v>
                </c:pt>
                <c:pt idx="6">
                  <c:v>44207</c:v>
                </c:pt>
                <c:pt idx="7">
                  <c:v>44208</c:v>
                </c:pt>
                <c:pt idx="8">
                  <c:v>44209</c:v>
                </c:pt>
                <c:pt idx="9">
                  <c:v>44210</c:v>
                </c:pt>
                <c:pt idx="10">
                  <c:v>44211</c:v>
                </c:pt>
                <c:pt idx="11">
                  <c:v>44214</c:v>
                </c:pt>
                <c:pt idx="12">
                  <c:v>44215</c:v>
                </c:pt>
                <c:pt idx="13">
                  <c:v>44216</c:v>
                </c:pt>
                <c:pt idx="14">
                  <c:v>44217</c:v>
                </c:pt>
                <c:pt idx="15">
                  <c:v>44218</c:v>
                </c:pt>
                <c:pt idx="16">
                  <c:v>44221</c:v>
                </c:pt>
                <c:pt idx="17">
                  <c:v>44223</c:v>
                </c:pt>
                <c:pt idx="18">
                  <c:v>44224</c:v>
                </c:pt>
                <c:pt idx="19">
                  <c:v>44225</c:v>
                </c:pt>
                <c:pt idx="20">
                  <c:v>44228</c:v>
                </c:pt>
                <c:pt idx="21">
                  <c:v>44229</c:v>
                </c:pt>
                <c:pt idx="22">
                  <c:v>44230</c:v>
                </c:pt>
                <c:pt idx="23">
                  <c:v>44231</c:v>
                </c:pt>
                <c:pt idx="24">
                  <c:v>44232</c:v>
                </c:pt>
                <c:pt idx="25">
                  <c:v>44235</c:v>
                </c:pt>
                <c:pt idx="26">
                  <c:v>44236</c:v>
                </c:pt>
                <c:pt idx="27">
                  <c:v>44237</c:v>
                </c:pt>
                <c:pt idx="28">
                  <c:v>44238</c:v>
                </c:pt>
                <c:pt idx="29">
                  <c:v>44239</c:v>
                </c:pt>
                <c:pt idx="30">
                  <c:v>44242</c:v>
                </c:pt>
                <c:pt idx="31">
                  <c:v>44243</c:v>
                </c:pt>
                <c:pt idx="32">
                  <c:v>44244</c:v>
                </c:pt>
                <c:pt idx="33">
                  <c:v>44245</c:v>
                </c:pt>
                <c:pt idx="34">
                  <c:v>44246</c:v>
                </c:pt>
                <c:pt idx="35">
                  <c:v>44249</c:v>
                </c:pt>
                <c:pt idx="36">
                  <c:v>44250</c:v>
                </c:pt>
                <c:pt idx="37">
                  <c:v>44251</c:v>
                </c:pt>
                <c:pt idx="38">
                  <c:v>44252</c:v>
                </c:pt>
                <c:pt idx="39">
                  <c:v>44253</c:v>
                </c:pt>
                <c:pt idx="40">
                  <c:v>44256</c:v>
                </c:pt>
                <c:pt idx="41">
                  <c:v>44257</c:v>
                </c:pt>
                <c:pt idx="42">
                  <c:v>44258</c:v>
                </c:pt>
                <c:pt idx="43">
                  <c:v>44259</c:v>
                </c:pt>
                <c:pt idx="44">
                  <c:v>44260</c:v>
                </c:pt>
                <c:pt idx="45">
                  <c:v>44263</c:v>
                </c:pt>
                <c:pt idx="46">
                  <c:v>44264</c:v>
                </c:pt>
                <c:pt idx="47">
                  <c:v>44265</c:v>
                </c:pt>
                <c:pt idx="48">
                  <c:v>44267</c:v>
                </c:pt>
                <c:pt idx="49">
                  <c:v>44270</c:v>
                </c:pt>
                <c:pt idx="50">
                  <c:v>44271</c:v>
                </c:pt>
                <c:pt idx="51">
                  <c:v>44272</c:v>
                </c:pt>
                <c:pt idx="52">
                  <c:v>44273</c:v>
                </c:pt>
                <c:pt idx="53">
                  <c:v>44274</c:v>
                </c:pt>
                <c:pt idx="54">
                  <c:v>44277</c:v>
                </c:pt>
                <c:pt idx="55">
                  <c:v>44278</c:v>
                </c:pt>
                <c:pt idx="56">
                  <c:v>44279</c:v>
                </c:pt>
                <c:pt idx="57">
                  <c:v>44280</c:v>
                </c:pt>
                <c:pt idx="58">
                  <c:v>44281</c:v>
                </c:pt>
                <c:pt idx="59">
                  <c:v>44285</c:v>
                </c:pt>
                <c:pt idx="60">
                  <c:v>44286</c:v>
                </c:pt>
                <c:pt idx="61">
                  <c:v>44287</c:v>
                </c:pt>
                <c:pt idx="62">
                  <c:v>44291</c:v>
                </c:pt>
                <c:pt idx="63">
                  <c:v>44292</c:v>
                </c:pt>
                <c:pt idx="64">
                  <c:v>44293</c:v>
                </c:pt>
                <c:pt idx="65">
                  <c:v>44294</c:v>
                </c:pt>
                <c:pt idx="66">
                  <c:v>44295</c:v>
                </c:pt>
                <c:pt idx="67">
                  <c:v>44298</c:v>
                </c:pt>
                <c:pt idx="68">
                  <c:v>44299</c:v>
                </c:pt>
                <c:pt idx="69">
                  <c:v>44301</c:v>
                </c:pt>
                <c:pt idx="70">
                  <c:v>44302</c:v>
                </c:pt>
                <c:pt idx="71">
                  <c:v>44305</c:v>
                </c:pt>
                <c:pt idx="72">
                  <c:v>44306</c:v>
                </c:pt>
                <c:pt idx="73">
                  <c:v>44308</c:v>
                </c:pt>
                <c:pt idx="74">
                  <c:v>44309</c:v>
                </c:pt>
                <c:pt idx="75">
                  <c:v>44312</c:v>
                </c:pt>
                <c:pt idx="76">
                  <c:v>44313</c:v>
                </c:pt>
                <c:pt idx="77">
                  <c:v>44314</c:v>
                </c:pt>
                <c:pt idx="78">
                  <c:v>44315</c:v>
                </c:pt>
                <c:pt idx="79">
                  <c:v>44316</c:v>
                </c:pt>
                <c:pt idx="80">
                  <c:v>44319</c:v>
                </c:pt>
                <c:pt idx="81">
                  <c:v>44320</c:v>
                </c:pt>
                <c:pt idx="82">
                  <c:v>44321</c:v>
                </c:pt>
                <c:pt idx="83">
                  <c:v>44322</c:v>
                </c:pt>
                <c:pt idx="84">
                  <c:v>44323</c:v>
                </c:pt>
                <c:pt idx="85">
                  <c:v>44326</c:v>
                </c:pt>
                <c:pt idx="86">
                  <c:v>44327</c:v>
                </c:pt>
                <c:pt idx="87">
                  <c:v>44328</c:v>
                </c:pt>
                <c:pt idx="88">
                  <c:v>44330</c:v>
                </c:pt>
                <c:pt idx="89">
                  <c:v>44333</c:v>
                </c:pt>
                <c:pt idx="90">
                  <c:v>44334</c:v>
                </c:pt>
                <c:pt idx="91">
                  <c:v>44335</c:v>
                </c:pt>
                <c:pt idx="92">
                  <c:v>44336</c:v>
                </c:pt>
                <c:pt idx="93">
                  <c:v>44337</c:v>
                </c:pt>
                <c:pt idx="94">
                  <c:v>44340</c:v>
                </c:pt>
                <c:pt idx="95">
                  <c:v>44341</c:v>
                </c:pt>
                <c:pt idx="96">
                  <c:v>44342</c:v>
                </c:pt>
                <c:pt idx="97">
                  <c:v>44343</c:v>
                </c:pt>
                <c:pt idx="98">
                  <c:v>44344</c:v>
                </c:pt>
                <c:pt idx="99">
                  <c:v>44347</c:v>
                </c:pt>
                <c:pt idx="100">
                  <c:v>44348</c:v>
                </c:pt>
                <c:pt idx="101">
                  <c:v>44349</c:v>
                </c:pt>
                <c:pt idx="102">
                  <c:v>44350</c:v>
                </c:pt>
                <c:pt idx="103">
                  <c:v>44351</c:v>
                </c:pt>
                <c:pt idx="104">
                  <c:v>44354</c:v>
                </c:pt>
                <c:pt idx="105">
                  <c:v>44355</c:v>
                </c:pt>
                <c:pt idx="106">
                  <c:v>44356</c:v>
                </c:pt>
                <c:pt idx="107">
                  <c:v>44357</c:v>
                </c:pt>
                <c:pt idx="108">
                  <c:v>44358</c:v>
                </c:pt>
                <c:pt idx="109">
                  <c:v>44361</c:v>
                </c:pt>
                <c:pt idx="110">
                  <c:v>44362</c:v>
                </c:pt>
                <c:pt idx="111">
                  <c:v>44363</c:v>
                </c:pt>
                <c:pt idx="112">
                  <c:v>44364</c:v>
                </c:pt>
                <c:pt idx="113">
                  <c:v>44365</c:v>
                </c:pt>
                <c:pt idx="114">
                  <c:v>44368</c:v>
                </c:pt>
                <c:pt idx="115">
                  <c:v>44369</c:v>
                </c:pt>
                <c:pt idx="116">
                  <c:v>44370</c:v>
                </c:pt>
                <c:pt idx="117">
                  <c:v>44371</c:v>
                </c:pt>
                <c:pt idx="118">
                  <c:v>44372</c:v>
                </c:pt>
                <c:pt idx="119">
                  <c:v>44375</c:v>
                </c:pt>
                <c:pt idx="120">
                  <c:v>44376</c:v>
                </c:pt>
                <c:pt idx="121">
                  <c:v>44377</c:v>
                </c:pt>
                <c:pt idx="122">
                  <c:v>44378</c:v>
                </c:pt>
                <c:pt idx="123">
                  <c:v>44379</c:v>
                </c:pt>
                <c:pt idx="124">
                  <c:v>44382</c:v>
                </c:pt>
                <c:pt idx="125">
                  <c:v>44383</c:v>
                </c:pt>
                <c:pt idx="126">
                  <c:v>44384</c:v>
                </c:pt>
                <c:pt idx="127">
                  <c:v>44385</c:v>
                </c:pt>
                <c:pt idx="128">
                  <c:v>44386</c:v>
                </c:pt>
                <c:pt idx="129">
                  <c:v>44389</c:v>
                </c:pt>
                <c:pt idx="130">
                  <c:v>44390</c:v>
                </c:pt>
                <c:pt idx="131">
                  <c:v>44391</c:v>
                </c:pt>
                <c:pt idx="132">
                  <c:v>44392</c:v>
                </c:pt>
                <c:pt idx="133">
                  <c:v>44393</c:v>
                </c:pt>
                <c:pt idx="134">
                  <c:v>44396</c:v>
                </c:pt>
                <c:pt idx="135">
                  <c:v>44397</c:v>
                </c:pt>
                <c:pt idx="136">
                  <c:v>44399</c:v>
                </c:pt>
                <c:pt idx="137">
                  <c:v>44400</c:v>
                </c:pt>
                <c:pt idx="138">
                  <c:v>44403</c:v>
                </c:pt>
                <c:pt idx="139">
                  <c:v>44404</c:v>
                </c:pt>
                <c:pt idx="140">
                  <c:v>44405</c:v>
                </c:pt>
                <c:pt idx="141">
                  <c:v>44406</c:v>
                </c:pt>
                <c:pt idx="142">
                  <c:v>44407</c:v>
                </c:pt>
                <c:pt idx="143">
                  <c:v>44410</c:v>
                </c:pt>
                <c:pt idx="144">
                  <c:v>44411</c:v>
                </c:pt>
                <c:pt idx="145">
                  <c:v>44412</c:v>
                </c:pt>
                <c:pt idx="146">
                  <c:v>44413</c:v>
                </c:pt>
                <c:pt idx="147">
                  <c:v>44414</c:v>
                </c:pt>
                <c:pt idx="148">
                  <c:v>44417</c:v>
                </c:pt>
                <c:pt idx="149">
                  <c:v>44418</c:v>
                </c:pt>
                <c:pt idx="150">
                  <c:v>44419</c:v>
                </c:pt>
                <c:pt idx="151">
                  <c:v>44420</c:v>
                </c:pt>
                <c:pt idx="152">
                  <c:v>44421</c:v>
                </c:pt>
                <c:pt idx="153">
                  <c:v>44424</c:v>
                </c:pt>
                <c:pt idx="154">
                  <c:v>44425</c:v>
                </c:pt>
                <c:pt idx="155">
                  <c:v>44426</c:v>
                </c:pt>
                <c:pt idx="156">
                  <c:v>44428</c:v>
                </c:pt>
                <c:pt idx="157">
                  <c:v>44431</c:v>
                </c:pt>
                <c:pt idx="158">
                  <c:v>44432</c:v>
                </c:pt>
                <c:pt idx="159">
                  <c:v>44433</c:v>
                </c:pt>
                <c:pt idx="160">
                  <c:v>44434</c:v>
                </c:pt>
                <c:pt idx="161">
                  <c:v>44435</c:v>
                </c:pt>
                <c:pt idx="162">
                  <c:v>44438</c:v>
                </c:pt>
                <c:pt idx="163">
                  <c:v>44439</c:v>
                </c:pt>
                <c:pt idx="164">
                  <c:v>44440</c:v>
                </c:pt>
                <c:pt idx="165">
                  <c:v>44441</c:v>
                </c:pt>
                <c:pt idx="166">
                  <c:v>44442</c:v>
                </c:pt>
                <c:pt idx="167">
                  <c:v>44445</c:v>
                </c:pt>
                <c:pt idx="168">
                  <c:v>44446</c:v>
                </c:pt>
                <c:pt idx="169">
                  <c:v>44447</c:v>
                </c:pt>
                <c:pt idx="170">
                  <c:v>44448</c:v>
                </c:pt>
                <c:pt idx="171">
                  <c:v>44452</c:v>
                </c:pt>
                <c:pt idx="172">
                  <c:v>44453</c:v>
                </c:pt>
                <c:pt idx="173">
                  <c:v>44454</c:v>
                </c:pt>
                <c:pt idx="174">
                  <c:v>44455</c:v>
                </c:pt>
                <c:pt idx="175">
                  <c:v>44456</c:v>
                </c:pt>
                <c:pt idx="176">
                  <c:v>44459</c:v>
                </c:pt>
                <c:pt idx="177">
                  <c:v>44460</c:v>
                </c:pt>
                <c:pt idx="178">
                  <c:v>44461</c:v>
                </c:pt>
                <c:pt idx="179">
                  <c:v>44462</c:v>
                </c:pt>
                <c:pt idx="180">
                  <c:v>44463</c:v>
                </c:pt>
                <c:pt idx="181">
                  <c:v>44466</c:v>
                </c:pt>
                <c:pt idx="182">
                  <c:v>44467</c:v>
                </c:pt>
                <c:pt idx="183">
                  <c:v>44468</c:v>
                </c:pt>
                <c:pt idx="184">
                  <c:v>44469</c:v>
                </c:pt>
                <c:pt idx="185">
                  <c:v>44470</c:v>
                </c:pt>
                <c:pt idx="186">
                  <c:v>44473</c:v>
                </c:pt>
                <c:pt idx="187">
                  <c:v>44474</c:v>
                </c:pt>
                <c:pt idx="188">
                  <c:v>44475</c:v>
                </c:pt>
                <c:pt idx="189">
                  <c:v>44476</c:v>
                </c:pt>
                <c:pt idx="190">
                  <c:v>44477</c:v>
                </c:pt>
                <c:pt idx="191">
                  <c:v>44480</c:v>
                </c:pt>
                <c:pt idx="192">
                  <c:v>44481</c:v>
                </c:pt>
                <c:pt idx="193">
                  <c:v>44482</c:v>
                </c:pt>
                <c:pt idx="194">
                  <c:v>44483</c:v>
                </c:pt>
                <c:pt idx="195">
                  <c:v>44487</c:v>
                </c:pt>
                <c:pt idx="196">
                  <c:v>44488</c:v>
                </c:pt>
                <c:pt idx="197">
                  <c:v>44489</c:v>
                </c:pt>
                <c:pt idx="198">
                  <c:v>44490</c:v>
                </c:pt>
                <c:pt idx="199">
                  <c:v>44491</c:v>
                </c:pt>
                <c:pt idx="200">
                  <c:v>44494</c:v>
                </c:pt>
                <c:pt idx="201">
                  <c:v>44495</c:v>
                </c:pt>
                <c:pt idx="202">
                  <c:v>44496</c:v>
                </c:pt>
                <c:pt idx="203">
                  <c:v>44497</c:v>
                </c:pt>
                <c:pt idx="204">
                  <c:v>44498</c:v>
                </c:pt>
                <c:pt idx="205">
                  <c:v>44501</c:v>
                </c:pt>
                <c:pt idx="206">
                  <c:v>44502</c:v>
                </c:pt>
                <c:pt idx="207">
                  <c:v>44503</c:v>
                </c:pt>
                <c:pt idx="208">
                  <c:v>44504</c:v>
                </c:pt>
                <c:pt idx="209">
                  <c:v>44508</c:v>
                </c:pt>
                <c:pt idx="210">
                  <c:v>44509</c:v>
                </c:pt>
                <c:pt idx="211">
                  <c:v>44510</c:v>
                </c:pt>
                <c:pt idx="212">
                  <c:v>44511</c:v>
                </c:pt>
                <c:pt idx="213">
                  <c:v>44512</c:v>
                </c:pt>
                <c:pt idx="214">
                  <c:v>44515</c:v>
                </c:pt>
                <c:pt idx="215">
                  <c:v>44516</c:v>
                </c:pt>
                <c:pt idx="216">
                  <c:v>44517</c:v>
                </c:pt>
                <c:pt idx="217">
                  <c:v>44518</c:v>
                </c:pt>
                <c:pt idx="218">
                  <c:v>44522</c:v>
                </c:pt>
                <c:pt idx="219">
                  <c:v>44523</c:v>
                </c:pt>
                <c:pt idx="220">
                  <c:v>44524</c:v>
                </c:pt>
                <c:pt idx="221">
                  <c:v>44525</c:v>
                </c:pt>
                <c:pt idx="222">
                  <c:v>44526</c:v>
                </c:pt>
                <c:pt idx="223">
                  <c:v>44529</c:v>
                </c:pt>
                <c:pt idx="224">
                  <c:v>44530</c:v>
                </c:pt>
                <c:pt idx="225">
                  <c:v>44531</c:v>
                </c:pt>
                <c:pt idx="226">
                  <c:v>44532</c:v>
                </c:pt>
                <c:pt idx="227">
                  <c:v>44533</c:v>
                </c:pt>
                <c:pt idx="228">
                  <c:v>44536</c:v>
                </c:pt>
                <c:pt idx="229">
                  <c:v>44537</c:v>
                </c:pt>
                <c:pt idx="230">
                  <c:v>44538</c:v>
                </c:pt>
                <c:pt idx="231">
                  <c:v>44539</c:v>
                </c:pt>
                <c:pt idx="232">
                  <c:v>44540</c:v>
                </c:pt>
                <c:pt idx="233">
                  <c:v>44543</c:v>
                </c:pt>
                <c:pt idx="234">
                  <c:v>44544</c:v>
                </c:pt>
                <c:pt idx="235">
                  <c:v>44545</c:v>
                </c:pt>
                <c:pt idx="236">
                  <c:v>44546</c:v>
                </c:pt>
                <c:pt idx="237">
                  <c:v>44547</c:v>
                </c:pt>
                <c:pt idx="238">
                  <c:v>44550</c:v>
                </c:pt>
                <c:pt idx="239">
                  <c:v>44551</c:v>
                </c:pt>
                <c:pt idx="240">
                  <c:v>44552</c:v>
                </c:pt>
                <c:pt idx="241">
                  <c:v>44553</c:v>
                </c:pt>
                <c:pt idx="242">
                  <c:v>44554</c:v>
                </c:pt>
                <c:pt idx="243">
                  <c:v>44557</c:v>
                </c:pt>
                <c:pt idx="244">
                  <c:v>44558</c:v>
                </c:pt>
                <c:pt idx="245">
                  <c:v>44559</c:v>
                </c:pt>
                <c:pt idx="246">
                  <c:v>44560</c:v>
                </c:pt>
                <c:pt idx="247">
                  <c:v>44561</c:v>
                </c:pt>
                <c:pt idx="248">
                  <c:v>44564</c:v>
                </c:pt>
                <c:pt idx="249">
                  <c:v>44565</c:v>
                </c:pt>
                <c:pt idx="250">
                  <c:v>44566</c:v>
                </c:pt>
                <c:pt idx="251">
                  <c:v>44567</c:v>
                </c:pt>
                <c:pt idx="252">
                  <c:v>44568</c:v>
                </c:pt>
                <c:pt idx="253">
                  <c:v>44571</c:v>
                </c:pt>
                <c:pt idx="254">
                  <c:v>44572</c:v>
                </c:pt>
                <c:pt idx="255">
                  <c:v>44573</c:v>
                </c:pt>
                <c:pt idx="256">
                  <c:v>44574</c:v>
                </c:pt>
                <c:pt idx="257">
                  <c:v>44575</c:v>
                </c:pt>
                <c:pt idx="258">
                  <c:v>44578</c:v>
                </c:pt>
                <c:pt idx="259">
                  <c:v>44579</c:v>
                </c:pt>
                <c:pt idx="260">
                  <c:v>44580</c:v>
                </c:pt>
                <c:pt idx="261">
                  <c:v>44581</c:v>
                </c:pt>
                <c:pt idx="262">
                  <c:v>44582</c:v>
                </c:pt>
                <c:pt idx="263">
                  <c:v>44585</c:v>
                </c:pt>
                <c:pt idx="264">
                  <c:v>44586</c:v>
                </c:pt>
                <c:pt idx="265">
                  <c:v>44588</c:v>
                </c:pt>
                <c:pt idx="266">
                  <c:v>44589</c:v>
                </c:pt>
                <c:pt idx="267">
                  <c:v>44592</c:v>
                </c:pt>
                <c:pt idx="268">
                  <c:v>44593</c:v>
                </c:pt>
                <c:pt idx="269">
                  <c:v>44594</c:v>
                </c:pt>
                <c:pt idx="270">
                  <c:v>44595</c:v>
                </c:pt>
                <c:pt idx="271">
                  <c:v>44596</c:v>
                </c:pt>
                <c:pt idx="272">
                  <c:v>44599</c:v>
                </c:pt>
                <c:pt idx="273">
                  <c:v>44600</c:v>
                </c:pt>
                <c:pt idx="274">
                  <c:v>44601</c:v>
                </c:pt>
                <c:pt idx="275">
                  <c:v>44602</c:v>
                </c:pt>
                <c:pt idx="276">
                  <c:v>44603</c:v>
                </c:pt>
                <c:pt idx="277">
                  <c:v>44606</c:v>
                </c:pt>
                <c:pt idx="278">
                  <c:v>44607</c:v>
                </c:pt>
                <c:pt idx="279">
                  <c:v>44608</c:v>
                </c:pt>
                <c:pt idx="280">
                  <c:v>44609</c:v>
                </c:pt>
                <c:pt idx="281">
                  <c:v>44610</c:v>
                </c:pt>
                <c:pt idx="282">
                  <c:v>44613</c:v>
                </c:pt>
                <c:pt idx="283">
                  <c:v>44614</c:v>
                </c:pt>
                <c:pt idx="284">
                  <c:v>44615</c:v>
                </c:pt>
                <c:pt idx="285">
                  <c:v>44616</c:v>
                </c:pt>
                <c:pt idx="286">
                  <c:v>44617</c:v>
                </c:pt>
                <c:pt idx="287">
                  <c:v>44620</c:v>
                </c:pt>
                <c:pt idx="288">
                  <c:v>44622</c:v>
                </c:pt>
                <c:pt idx="289">
                  <c:v>44623</c:v>
                </c:pt>
                <c:pt idx="290">
                  <c:v>44624</c:v>
                </c:pt>
                <c:pt idx="291">
                  <c:v>44627</c:v>
                </c:pt>
                <c:pt idx="292">
                  <c:v>44628</c:v>
                </c:pt>
                <c:pt idx="293">
                  <c:v>44629</c:v>
                </c:pt>
                <c:pt idx="294">
                  <c:v>44630</c:v>
                </c:pt>
                <c:pt idx="295">
                  <c:v>44631</c:v>
                </c:pt>
                <c:pt idx="296">
                  <c:v>44634</c:v>
                </c:pt>
                <c:pt idx="297">
                  <c:v>44635</c:v>
                </c:pt>
                <c:pt idx="298">
                  <c:v>44636</c:v>
                </c:pt>
                <c:pt idx="299">
                  <c:v>44637</c:v>
                </c:pt>
                <c:pt idx="300">
                  <c:v>44641</c:v>
                </c:pt>
                <c:pt idx="301">
                  <c:v>44642</c:v>
                </c:pt>
                <c:pt idx="302">
                  <c:v>44643</c:v>
                </c:pt>
                <c:pt idx="303">
                  <c:v>44644</c:v>
                </c:pt>
                <c:pt idx="304">
                  <c:v>44645</c:v>
                </c:pt>
                <c:pt idx="305">
                  <c:v>44648</c:v>
                </c:pt>
                <c:pt idx="306">
                  <c:v>44649</c:v>
                </c:pt>
                <c:pt idx="307">
                  <c:v>44650</c:v>
                </c:pt>
                <c:pt idx="308">
                  <c:v>44651</c:v>
                </c:pt>
                <c:pt idx="309">
                  <c:v>44652</c:v>
                </c:pt>
                <c:pt idx="310">
                  <c:v>44655</c:v>
                </c:pt>
                <c:pt idx="311">
                  <c:v>44656</c:v>
                </c:pt>
                <c:pt idx="312">
                  <c:v>44657</c:v>
                </c:pt>
                <c:pt idx="313">
                  <c:v>44658</c:v>
                </c:pt>
                <c:pt idx="314">
                  <c:v>44659</c:v>
                </c:pt>
                <c:pt idx="315">
                  <c:v>44662</c:v>
                </c:pt>
                <c:pt idx="316">
                  <c:v>44663</c:v>
                </c:pt>
                <c:pt idx="317">
                  <c:v>44664</c:v>
                </c:pt>
                <c:pt idx="318">
                  <c:v>44669</c:v>
                </c:pt>
                <c:pt idx="319">
                  <c:v>44670</c:v>
                </c:pt>
                <c:pt idx="320">
                  <c:v>44671</c:v>
                </c:pt>
                <c:pt idx="321">
                  <c:v>44672</c:v>
                </c:pt>
                <c:pt idx="322">
                  <c:v>44673</c:v>
                </c:pt>
                <c:pt idx="323">
                  <c:v>44676</c:v>
                </c:pt>
                <c:pt idx="324">
                  <c:v>44677</c:v>
                </c:pt>
                <c:pt idx="325">
                  <c:v>44678</c:v>
                </c:pt>
                <c:pt idx="326">
                  <c:v>44679</c:v>
                </c:pt>
                <c:pt idx="327">
                  <c:v>44680</c:v>
                </c:pt>
                <c:pt idx="328">
                  <c:v>44683</c:v>
                </c:pt>
                <c:pt idx="329">
                  <c:v>44685</c:v>
                </c:pt>
                <c:pt idx="330">
                  <c:v>44686</c:v>
                </c:pt>
                <c:pt idx="331">
                  <c:v>44687</c:v>
                </c:pt>
                <c:pt idx="332">
                  <c:v>44690</c:v>
                </c:pt>
                <c:pt idx="333">
                  <c:v>44691</c:v>
                </c:pt>
                <c:pt idx="334">
                  <c:v>44692</c:v>
                </c:pt>
                <c:pt idx="335">
                  <c:v>44693</c:v>
                </c:pt>
                <c:pt idx="336">
                  <c:v>44694</c:v>
                </c:pt>
                <c:pt idx="337">
                  <c:v>44697</c:v>
                </c:pt>
                <c:pt idx="338">
                  <c:v>44698</c:v>
                </c:pt>
                <c:pt idx="339">
                  <c:v>44699</c:v>
                </c:pt>
                <c:pt idx="340">
                  <c:v>44700</c:v>
                </c:pt>
                <c:pt idx="341">
                  <c:v>44701</c:v>
                </c:pt>
                <c:pt idx="342">
                  <c:v>44704</c:v>
                </c:pt>
                <c:pt idx="343">
                  <c:v>44705</c:v>
                </c:pt>
                <c:pt idx="344">
                  <c:v>44706</c:v>
                </c:pt>
                <c:pt idx="345">
                  <c:v>44707</c:v>
                </c:pt>
                <c:pt idx="346">
                  <c:v>44708</c:v>
                </c:pt>
                <c:pt idx="347">
                  <c:v>44711</c:v>
                </c:pt>
                <c:pt idx="348">
                  <c:v>44712</c:v>
                </c:pt>
                <c:pt idx="349">
                  <c:v>44713</c:v>
                </c:pt>
                <c:pt idx="350">
                  <c:v>44714</c:v>
                </c:pt>
                <c:pt idx="351">
                  <c:v>44715</c:v>
                </c:pt>
                <c:pt idx="352">
                  <c:v>44718</c:v>
                </c:pt>
                <c:pt idx="353">
                  <c:v>44719</c:v>
                </c:pt>
                <c:pt idx="354">
                  <c:v>44720</c:v>
                </c:pt>
                <c:pt idx="355">
                  <c:v>44721</c:v>
                </c:pt>
                <c:pt idx="356">
                  <c:v>44722</c:v>
                </c:pt>
                <c:pt idx="357">
                  <c:v>44725</c:v>
                </c:pt>
                <c:pt idx="358">
                  <c:v>44726</c:v>
                </c:pt>
                <c:pt idx="359">
                  <c:v>44727</c:v>
                </c:pt>
                <c:pt idx="360">
                  <c:v>44728</c:v>
                </c:pt>
                <c:pt idx="361">
                  <c:v>44729</c:v>
                </c:pt>
                <c:pt idx="362">
                  <c:v>44732</c:v>
                </c:pt>
                <c:pt idx="363">
                  <c:v>44733</c:v>
                </c:pt>
                <c:pt idx="364">
                  <c:v>44734</c:v>
                </c:pt>
                <c:pt idx="365">
                  <c:v>44735</c:v>
                </c:pt>
                <c:pt idx="366">
                  <c:v>44736</c:v>
                </c:pt>
                <c:pt idx="367">
                  <c:v>44739</c:v>
                </c:pt>
                <c:pt idx="368">
                  <c:v>44740</c:v>
                </c:pt>
                <c:pt idx="369">
                  <c:v>44741</c:v>
                </c:pt>
                <c:pt idx="370">
                  <c:v>44742</c:v>
                </c:pt>
                <c:pt idx="371">
                  <c:v>44743</c:v>
                </c:pt>
                <c:pt idx="372">
                  <c:v>44746</c:v>
                </c:pt>
                <c:pt idx="373">
                  <c:v>44747</c:v>
                </c:pt>
                <c:pt idx="374">
                  <c:v>44748</c:v>
                </c:pt>
                <c:pt idx="375">
                  <c:v>44749</c:v>
                </c:pt>
                <c:pt idx="376">
                  <c:v>44750</c:v>
                </c:pt>
                <c:pt idx="377">
                  <c:v>44753</c:v>
                </c:pt>
                <c:pt idx="378">
                  <c:v>44754</c:v>
                </c:pt>
                <c:pt idx="379">
                  <c:v>44755</c:v>
                </c:pt>
                <c:pt idx="380">
                  <c:v>44756</c:v>
                </c:pt>
                <c:pt idx="381">
                  <c:v>44757</c:v>
                </c:pt>
                <c:pt idx="382">
                  <c:v>44760</c:v>
                </c:pt>
                <c:pt idx="383">
                  <c:v>44761</c:v>
                </c:pt>
                <c:pt idx="384">
                  <c:v>44762</c:v>
                </c:pt>
                <c:pt idx="385">
                  <c:v>44763</c:v>
                </c:pt>
                <c:pt idx="386">
                  <c:v>44764</c:v>
                </c:pt>
                <c:pt idx="387">
                  <c:v>44767</c:v>
                </c:pt>
                <c:pt idx="388">
                  <c:v>44768</c:v>
                </c:pt>
                <c:pt idx="389">
                  <c:v>44769</c:v>
                </c:pt>
                <c:pt idx="390">
                  <c:v>44770</c:v>
                </c:pt>
                <c:pt idx="391">
                  <c:v>44771</c:v>
                </c:pt>
                <c:pt idx="392">
                  <c:v>44774</c:v>
                </c:pt>
                <c:pt idx="393">
                  <c:v>44775</c:v>
                </c:pt>
                <c:pt idx="394">
                  <c:v>44776</c:v>
                </c:pt>
                <c:pt idx="395">
                  <c:v>44777</c:v>
                </c:pt>
                <c:pt idx="396">
                  <c:v>44778</c:v>
                </c:pt>
                <c:pt idx="397">
                  <c:v>44781</c:v>
                </c:pt>
                <c:pt idx="398">
                  <c:v>44783</c:v>
                </c:pt>
                <c:pt idx="399">
                  <c:v>44784</c:v>
                </c:pt>
                <c:pt idx="400">
                  <c:v>44785</c:v>
                </c:pt>
                <c:pt idx="401">
                  <c:v>44789</c:v>
                </c:pt>
                <c:pt idx="402">
                  <c:v>44790</c:v>
                </c:pt>
                <c:pt idx="403">
                  <c:v>44791</c:v>
                </c:pt>
                <c:pt idx="404">
                  <c:v>44792</c:v>
                </c:pt>
                <c:pt idx="405">
                  <c:v>44795</c:v>
                </c:pt>
                <c:pt idx="406">
                  <c:v>44796</c:v>
                </c:pt>
                <c:pt idx="407">
                  <c:v>44797</c:v>
                </c:pt>
                <c:pt idx="408">
                  <c:v>44798</c:v>
                </c:pt>
                <c:pt idx="409">
                  <c:v>44799</c:v>
                </c:pt>
                <c:pt idx="410">
                  <c:v>44802</c:v>
                </c:pt>
                <c:pt idx="411">
                  <c:v>44803</c:v>
                </c:pt>
                <c:pt idx="412">
                  <c:v>44805</c:v>
                </c:pt>
                <c:pt idx="413">
                  <c:v>44806</c:v>
                </c:pt>
                <c:pt idx="414">
                  <c:v>44809</c:v>
                </c:pt>
                <c:pt idx="415">
                  <c:v>44810</c:v>
                </c:pt>
                <c:pt idx="416">
                  <c:v>44811</c:v>
                </c:pt>
                <c:pt idx="417">
                  <c:v>44812</c:v>
                </c:pt>
                <c:pt idx="418">
                  <c:v>44813</c:v>
                </c:pt>
                <c:pt idx="419">
                  <c:v>44816</c:v>
                </c:pt>
                <c:pt idx="420">
                  <c:v>44817</c:v>
                </c:pt>
                <c:pt idx="421">
                  <c:v>44818</c:v>
                </c:pt>
                <c:pt idx="422">
                  <c:v>44819</c:v>
                </c:pt>
                <c:pt idx="423">
                  <c:v>44820</c:v>
                </c:pt>
                <c:pt idx="424">
                  <c:v>44823</c:v>
                </c:pt>
                <c:pt idx="425">
                  <c:v>44824</c:v>
                </c:pt>
                <c:pt idx="426">
                  <c:v>44825</c:v>
                </c:pt>
                <c:pt idx="427">
                  <c:v>44826</c:v>
                </c:pt>
                <c:pt idx="428">
                  <c:v>44827</c:v>
                </c:pt>
                <c:pt idx="429">
                  <c:v>44830</c:v>
                </c:pt>
                <c:pt idx="430">
                  <c:v>44831</c:v>
                </c:pt>
                <c:pt idx="431">
                  <c:v>44832</c:v>
                </c:pt>
                <c:pt idx="432">
                  <c:v>44833</c:v>
                </c:pt>
                <c:pt idx="433">
                  <c:v>44834</c:v>
                </c:pt>
                <c:pt idx="434">
                  <c:v>44837</c:v>
                </c:pt>
                <c:pt idx="435">
                  <c:v>44838</c:v>
                </c:pt>
                <c:pt idx="436">
                  <c:v>44840</c:v>
                </c:pt>
                <c:pt idx="437">
                  <c:v>44841</c:v>
                </c:pt>
                <c:pt idx="438">
                  <c:v>44844</c:v>
                </c:pt>
                <c:pt idx="439">
                  <c:v>44845</c:v>
                </c:pt>
                <c:pt idx="440">
                  <c:v>44846</c:v>
                </c:pt>
                <c:pt idx="441">
                  <c:v>44847</c:v>
                </c:pt>
                <c:pt idx="442">
                  <c:v>44848</c:v>
                </c:pt>
                <c:pt idx="443">
                  <c:v>44851</c:v>
                </c:pt>
                <c:pt idx="444">
                  <c:v>44852</c:v>
                </c:pt>
                <c:pt idx="445">
                  <c:v>44853</c:v>
                </c:pt>
                <c:pt idx="446">
                  <c:v>44854</c:v>
                </c:pt>
                <c:pt idx="447">
                  <c:v>44855</c:v>
                </c:pt>
                <c:pt idx="448">
                  <c:v>44858</c:v>
                </c:pt>
                <c:pt idx="449">
                  <c:v>44859</c:v>
                </c:pt>
                <c:pt idx="450">
                  <c:v>44861</c:v>
                </c:pt>
                <c:pt idx="451">
                  <c:v>44862</c:v>
                </c:pt>
                <c:pt idx="452">
                  <c:v>44865</c:v>
                </c:pt>
                <c:pt idx="453">
                  <c:v>44866</c:v>
                </c:pt>
                <c:pt idx="454">
                  <c:v>44867</c:v>
                </c:pt>
                <c:pt idx="455">
                  <c:v>44868</c:v>
                </c:pt>
                <c:pt idx="456">
                  <c:v>44869</c:v>
                </c:pt>
                <c:pt idx="457">
                  <c:v>44872</c:v>
                </c:pt>
                <c:pt idx="458">
                  <c:v>44874</c:v>
                </c:pt>
                <c:pt idx="459">
                  <c:v>44875</c:v>
                </c:pt>
                <c:pt idx="460">
                  <c:v>44876</c:v>
                </c:pt>
                <c:pt idx="461">
                  <c:v>44879</c:v>
                </c:pt>
                <c:pt idx="462">
                  <c:v>44880</c:v>
                </c:pt>
                <c:pt idx="463">
                  <c:v>44881</c:v>
                </c:pt>
                <c:pt idx="464">
                  <c:v>44882</c:v>
                </c:pt>
                <c:pt idx="465">
                  <c:v>44883</c:v>
                </c:pt>
                <c:pt idx="466">
                  <c:v>44886</c:v>
                </c:pt>
                <c:pt idx="467">
                  <c:v>44887</c:v>
                </c:pt>
                <c:pt idx="468">
                  <c:v>44888</c:v>
                </c:pt>
                <c:pt idx="469">
                  <c:v>44889</c:v>
                </c:pt>
                <c:pt idx="470">
                  <c:v>44890</c:v>
                </c:pt>
                <c:pt idx="471">
                  <c:v>44893</c:v>
                </c:pt>
                <c:pt idx="472">
                  <c:v>44894</c:v>
                </c:pt>
                <c:pt idx="473">
                  <c:v>44895</c:v>
                </c:pt>
                <c:pt idx="474">
                  <c:v>44896</c:v>
                </c:pt>
                <c:pt idx="475">
                  <c:v>44897</c:v>
                </c:pt>
                <c:pt idx="476">
                  <c:v>44900</c:v>
                </c:pt>
                <c:pt idx="477">
                  <c:v>44901</c:v>
                </c:pt>
                <c:pt idx="478">
                  <c:v>44902</c:v>
                </c:pt>
                <c:pt idx="479">
                  <c:v>44903</c:v>
                </c:pt>
                <c:pt idx="480">
                  <c:v>44904</c:v>
                </c:pt>
                <c:pt idx="481">
                  <c:v>44907</c:v>
                </c:pt>
                <c:pt idx="482">
                  <c:v>44908</c:v>
                </c:pt>
                <c:pt idx="483">
                  <c:v>44909</c:v>
                </c:pt>
                <c:pt idx="484">
                  <c:v>44910</c:v>
                </c:pt>
                <c:pt idx="485">
                  <c:v>44911</c:v>
                </c:pt>
                <c:pt idx="486">
                  <c:v>44914</c:v>
                </c:pt>
                <c:pt idx="487">
                  <c:v>44915</c:v>
                </c:pt>
                <c:pt idx="488">
                  <c:v>44916</c:v>
                </c:pt>
                <c:pt idx="489">
                  <c:v>44917</c:v>
                </c:pt>
                <c:pt idx="490">
                  <c:v>44918</c:v>
                </c:pt>
                <c:pt idx="491">
                  <c:v>44921</c:v>
                </c:pt>
                <c:pt idx="492">
                  <c:v>44922</c:v>
                </c:pt>
                <c:pt idx="493">
                  <c:v>44923</c:v>
                </c:pt>
                <c:pt idx="494">
                  <c:v>44924</c:v>
                </c:pt>
                <c:pt idx="495">
                  <c:v>44925</c:v>
                </c:pt>
                <c:pt idx="496">
                  <c:v>44928</c:v>
                </c:pt>
                <c:pt idx="497">
                  <c:v>44929</c:v>
                </c:pt>
                <c:pt idx="498">
                  <c:v>44930</c:v>
                </c:pt>
                <c:pt idx="499">
                  <c:v>44931</c:v>
                </c:pt>
                <c:pt idx="500">
                  <c:v>44932</c:v>
                </c:pt>
                <c:pt idx="501">
                  <c:v>44935</c:v>
                </c:pt>
                <c:pt idx="502">
                  <c:v>44936</c:v>
                </c:pt>
                <c:pt idx="503">
                  <c:v>44937</c:v>
                </c:pt>
                <c:pt idx="504">
                  <c:v>44938</c:v>
                </c:pt>
                <c:pt idx="505">
                  <c:v>44939</c:v>
                </c:pt>
                <c:pt idx="506">
                  <c:v>44942</c:v>
                </c:pt>
                <c:pt idx="507">
                  <c:v>44943</c:v>
                </c:pt>
                <c:pt idx="508">
                  <c:v>44944</c:v>
                </c:pt>
                <c:pt idx="509">
                  <c:v>44945</c:v>
                </c:pt>
                <c:pt idx="510">
                  <c:v>44946</c:v>
                </c:pt>
                <c:pt idx="511">
                  <c:v>44949</c:v>
                </c:pt>
                <c:pt idx="512">
                  <c:v>44950</c:v>
                </c:pt>
                <c:pt idx="513">
                  <c:v>44951</c:v>
                </c:pt>
                <c:pt idx="514">
                  <c:v>44953</c:v>
                </c:pt>
                <c:pt idx="515">
                  <c:v>44956</c:v>
                </c:pt>
                <c:pt idx="516">
                  <c:v>44957</c:v>
                </c:pt>
                <c:pt idx="517">
                  <c:v>44958</c:v>
                </c:pt>
                <c:pt idx="518">
                  <c:v>44959</c:v>
                </c:pt>
                <c:pt idx="519">
                  <c:v>44960</c:v>
                </c:pt>
                <c:pt idx="520">
                  <c:v>44963</c:v>
                </c:pt>
                <c:pt idx="521">
                  <c:v>44964</c:v>
                </c:pt>
                <c:pt idx="522">
                  <c:v>44965</c:v>
                </c:pt>
                <c:pt idx="523">
                  <c:v>44966</c:v>
                </c:pt>
                <c:pt idx="524">
                  <c:v>44967</c:v>
                </c:pt>
                <c:pt idx="525">
                  <c:v>44970</c:v>
                </c:pt>
                <c:pt idx="526">
                  <c:v>44971</c:v>
                </c:pt>
                <c:pt idx="527">
                  <c:v>44972</c:v>
                </c:pt>
                <c:pt idx="528">
                  <c:v>44973</c:v>
                </c:pt>
                <c:pt idx="529">
                  <c:v>44974</c:v>
                </c:pt>
                <c:pt idx="530">
                  <c:v>44977</c:v>
                </c:pt>
                <c:pt idx="531">
                  <c:v>44978</c:v>
                </c:pt>
                <c:pt idx="532">
                  <c:v>44979</c:v>
                </c:pt>
                <c:pt idx="533">
                  <c:v>44980</c:v>
                </c:pt>
                <c:pt idx="534">
                  <c:v>44981</c:v>
                </c:pt>
                <c:pt idx="535">
                  <c:v>44984</c:v>
                </c:pt>
                <c:pt idx="536">
                  <c:v>44985</c:v>
                </c:pt>
                <c:pt idx="537">
                  <c:v>44986</c:v>
                </c:pt>
                <c:pt idx="538">
                  <c:v>44987</c:v>
                </c:pt>
                <c:pt idx="539">
                  <c:v>44988</c:v>
                </c:pt>
                <c:pt idx="540">
                  <c:v>44991</c:v>
                </c:pt>
                <c:pt idx="541">
                  <c:v>44993</c:v>
                </c:pt>
                <c:pt idx="542">
                  <c:v>44994</c:v>
                </c:pt>
                <c:pt idx="543">
                  <c:v>44995</c:v>
                </c:pt>
                <c:pt idx="544">
                  <c:v>44998</c:v>
                </c:pt>
                <c:pt idx="545">
                  <c:v>44999</c:v>
                </c:pt>
                <c:pt idx="546">
                  <c:v>45000</c:v>
                </c:pt>
                <c:pt idx="547">
                  <c:v>45001</c:v>
                </c:pt>
                <c:pt idx="548">
                  <c:v>45002</c:v>
                </c:pt>
                <c:pt idx="549">
                  <c:v>45005</c:v>
                </c:pt>
                <c:pt idx="550">
                  <c:v>45006</c:v>
                </c:pt>
                <c:pt idx="551">
                  <c:v>45007</c:v>
                </c:pt>
                <c:pt idx="552">
                  <c:v>45008</c:v>
                </c:pt>
                <c:pt idx="553">
                  <c:v>45009</c:v>
                </c:pt>
                <c:pt idx="554">
                  <c:v>45012</c:v>
                </c:pt>
                <c:pt idx="555">
                  <c:v>45013</c:v>
                </c:pt>
                <c:pt idx="556">
                  <c:v>45014</c:v>
                </c:pt>
                <c:pt idx="557">
                  <c:v>45016</c:v>
                </c:pt>
                <c:pt idx="558">
                  <c:v>45019</c:v>
                </c:pt>
                <c:pt idx="559">
                  <c:v>45021</c:v>
                </c:pt>
                <c:pt idx="560">
                  <c:v>45022</c:v>
                </c:pt>
                <c:pt idx="561">
                  <c:v>45026</c:v>
                </c:pt>
                <c:pt idx="562">
                  <c:v>45027</c:v>
                </c:pt>
                <c:pt idx="563">
                  <c:v>45028</c:v>
                </c:pt>
                <c:pt idx="564">
                  <c:v>45029</c:v>
                </c:pt>
                <c:pt idx="565">
                  <c:v>45033</c:v>
                </c:pt>
                <c:pt idx="566">
                  <c:v>45034</c:v>
                </c:pt>
                <c:pt idx="567">
                  <c:v>45035</c:v>
                </c:pt>
                <c:pt idx="568">
                  <c:v>45036</c:v>
                </c:pt>
                <c:pt idx="569">
                  <c:v>45037</c:v>
                </c:pt>
                <c:pt idx="570">
                  <c:v>45040</c:v>
                </c:pt>
                <c:pt idx="571">
                  <c:v>45041</c:v>
                </c:pt>
                <c:pt idx="572">
                  <c:v>45042</c:v>
                </c:pt>
                <c:pt idx="573">
                  <c:v>45043</c:v>
                </c:pt>
                <c:pt idx="574">
                  <c:v>45044</c:v>
                </c:pt>
                <c:pt idx="575">
                  <c:v>45048</c:v>
                </c:pt>
                <c:pt idx="576">
                  <c:v>45049</c:v>
                </c:pt>
                <c:pt idx="577">
                  <c:v>45050</c:v>
                </c:pt>
                <c:pt idx="578">
                  <c:v>45051</c:v>
                </c:pt>
                <c:pt idx="579">
                  <c:v>45054</c:v>
                </c:pt>
                <c:pt idx="580">
                  <c:v>45055</c:v>
                </c:pt>
                <c:pt idx="581">
                  <c:v>45056</c:v>
                </c:pt>
                <c:pt idx="582">
                  <c:v>45057</c:v>
                </c:pt>
                <c:pt idx="583">
                  <c:v>45058</c:v>
                </c:pt>
                <c:pt idx="584">
                  <c:v>45061</c:v>
                </c:pt>
                <c:pt idx="585">
                  <c:v>45062</c:v>
                </c:pt>
                <c:pt idx="586">
                  <c:v>45063</c:v>
                </c:pt>
                <c:pt idx="587">
                  <c:v>45064</c:v>
                </c:pt>
                <c:pt idx="588">
                  <c:v>45065</c:v>
                </c:pt>
                <c:pt idx="589">
                  <c:v>45068</c:v>
                </c:pt>
                <c:pt idx="590">
                  <c:v>45069</c:v>
                </c:pt>
                <c:pt idx="591">
                  <c:v>45070</c:v>
                </c:pt>
                <c:pt idx="592">
                  <c:v>45071</c:v>
                </c:pt>
                <c:pt idx="593">
                  <c:v>45072</c:v>
                </c:pt>
                <c:pt idx="594">
                  <c:v>45075</c:v>
                </c:pt>
                <c:pt idx="595">
                  <c:v>45076</c:v>
                </c:pt>
                <c:pt idx="596">
                  <c:v>45077</c:v>
                </c:pt>
                <c:pt idx="597">
                  <c:v>45078</c:v>
                </c:pt>
                <c:pt idx="598">
                  <c:v>45079</c:v>
                </c:pt>
                <c:pt idx="599">
                  <c:v>45082</c:v>
                </c:pt>
                <c:pt idx="600">
                  <c:v>45083</c:v>
                </c:pt>
                <c:pt idx="601">
                  <c:v>45084</c:v>
                </c:pt>
                <c:pt idx="602">
                  <c:v>45085</c:v>
                </c:pt>
                <c:pt idx="603">
                  <c:v>45086</c:v>
                </c:pt>
                <c:pt idx="604">
                  <c:v>45089</c:v>
                </c:pt>
                <c:pt idx="605">
                  <c:v>45090</c:v>
                </c:pt>
                <c:pt idx="606">
                  <c:v>45091</c:v>
                </c:pt>
                <c:pt idx="607">
                  <c:v>45092</c:v>
                </c:pt>
                <c:pt idx="608">
                  <c:v>45093</c:v>
                </c:pt>
                <c:pt idx="609">
                  <c:v>45096</c:v>
                </c:pt>
                <c:pt idx="610">
                  <c:v>45097</c:v>
                </c:pt>
                <c:pt idx="611">
                  <c:v>45098</c:v>
                </c:pt>
                <c:pt idx="612">
                  <c:v>45099</c:v>
                </c:pt>
                <c:pt idx="613">
                  <c:v>45100</c:v>
                </c:pt>
                <c:pt idx="614">
                  <c:v>45103</c:v>
                </c:pt>
                <c:pt idx="615">
                  <c:v>45104</c:v>
                </c:pt>
                <c:pt idx="616">
                  <c:v>45105</c:v>
                </c:pt>
                <c:pt idx="617">
                  <c:v>45107</c:v>
                </c:pt>
                <c:pt idx="618">
                  <c:v>45110</c:v>
                </c:pt>
                <c:pt idx="619">
                  <c:v>45111</c:v>
                </c:pt>
                <c:pt idx="620">
                  <c:v>45112</c:v>
                </c:pt>
                <c:pt idx="621">
                  <c:v>45113</c:v>
                </c:pt>
                <c:pt idx="622">
                  <c:v>45114</c:v>
                </c:pt>
                <c:pt idx="623">
                  <c:v>45117</c:v>
                </c:pt>
                <c:pt idx="624">
                  <c:v>45118</c:v>
                </c:pt>
                <c:pt idx="625">
                  <c:v>45119</c:v>
                </c:pt>
                <c:pt idx="626">
                  <c:v>45120</c:v>
                </c:pt>
                <c:pt idx="627">
                  <c:v>45121</c:v>
                </c:pt>
                <c:pt idx="628">
                  <c:v>45124</c:v>
                </c:pt>
                <c:pt idx="629">
                  <c:v>45125</c:v>
                </c:pt>
                <c:pt idx="630">
                  <c:v>45126</c:v>
                </c:pt>
                <c:pt idx="631">
                  <c:v>45127</c:v>
                </c:pt>
                <c:pt idx="632">
                  <c:v>45128</c:v>
                </c:pt>
                <c:pt idx="633">
                  <c:v>45131</c:v>
                </c:pt>
                <c:pt idx="634">
                  <c:v>45132</c:v>
                </c:pt>
                <c:pt idx="635">
                  <c:v>45133</c:v>
                </c:pt>
                <c:pt idx="636">
                  <c:v>45134</c:v>
                </c:pt>
                <c:pt idx="637">
                  <c:v>45135</c:v>
                </c:pt>
                <c:pt idx="638">
                  <c:v>45138</c:v>
                </c:pt>
                <c:pt idx="639">
                  <c:v>45139</c:v>
                </c:pt>
                <c:pt idx="640">
                  <c:v>45140</c:v>
                </c:pt>
                <c:pt idx="641">
                  <c:v>45141</c:v>
                </c:pt>
                <c:pt idx="642">
                  <c:v>45142</c:v>
                </c:pt>
                <c:pt idx="643">
                  <c:v>45145</c:v>
                </c:pt>
                <c:pt idx="644">
                  <c:v>45146</c:v>
                </c:pt>
                <c:pt idx="645">
                  <c:v>45147</c:v>
                </c:pt>
                <c:pt idx="646">
                  <c:v>45148</c:v>
                </c:pt>
                <c:pt idx="647">
                  <c:v>45149</c:v>
                </c:pt>
                <c:pt idx="648">
                  <c:v>45152</c:v>
                </c:pt>
                <c:pt idx="649">
                  <c:v>45154</c:v>
                </c:pt>
                <c:pt idx="650">
                  <c:v>45155</c:v>
                </c:pt>
                <c:pt idx="651">
                  <c:v>45156</c:v>
                </c:pt>
                <c:pt idx="652">
                  <c:v>45159</c:v>
                </c:pt>
                <c:pt idx="653">
                  <c:v>45160</c:v>
                </c:pt>
                <c:pt idx="654">
                  <c:v>45161</c:v>
                </c:pt>
                <c:pt idx="655">
                  <c:v>45162</c:v>
                </c:pt>
                <c:pt idx="656">
                  <c:v>45163</c:v>
                </c:pt>
                <c:pt idx="657">
                  <c:v>45166</c:v>
                </c:pt>
                <c:pt idx="658">
                  <c:v>45167</c:v>
                </c:pt>
                <c:pt idx="659">
                  <c:v>45168</c:v>
                </c:pt>
                <c:pt idx="660">
                  <c:v>45169</c:v>
                </c:pt>
                <c:pt idx="661">
                  <c:v>45170</c:v>
                </c:pt>
                <c:pt idx="662">
                  <c:v>45173</c:v>
                </c:pt>
                <c:pt idx="663">
                  <c:v>45174</c:v>
                </c:pt>
                <c:pt idx="664">
                  <c:v>45175</c:v>
                </c:pt>
                <c:pt idx="665">
                  <c:v>45176</c:v>
                </c:pt>
                <c:pt idx="666">
                  <c:v>45177</c:v>
                </c:pt>
                <c:pt idx="667">
                  <c:v>45180</c:v>
                </c:pt>
                <c:pt idx="668">
                  <c:v>45181</c:v>
                </c:pt>
                <c:pt idx="669">
                  <c:v>45182</c:v>
                </c:pt>
                <c:pt idx="670">
                  <c:v>45183</c:v>
                </c:pt>
                <c:pt idx="671">
                  <c:v>45184</c:v>
                </c:pt>
                <c:pt idx="672">
                  <c:v>45187</c:v>
                </c:pt>
                <c:pt idx="673">
                  <c:v>45189</c:v>
                </c:pt>
                <c:pt idx="674">
                  <c:v>45190</c:v>
                </c:pt>
                <c:pt idx="675">
                  <c:v>45191</c:v>
                </c:pt>
                <c:pt idx="676">
                  <c:v>45194</c:v>
                </c:pt>
                <c:pt idx="677">
                  <c:v>45195</c:v>
                </c:pt>
                <c:pt idx="678">
                  <c:v>45196</c:v>
                </c:pt>
                <c:pt idx="679">
                  <c:v>45197</c:v>
                </c:pt>
                <c:pt idx="680">
                  <c:v>45198</c:v>
                </c:pt>
                <c:pt idx="681">
                  <c:v>45202</c:v>
                </c:pt>
                <c:pt idx="682">
                  <c:v>45203</c:v>
                </c:pt>
                <c:pt idx="683">
                  <c:v>45204</c:v>
                </c:pt>
                <c:pt idx="684">
                  <c:v>45205</c:v>
                </c:pt>
                <c:pt idx="685">
                  <c:v>45208</c:v>
                </c:pt>
                <c:pt idx="686">
                  <c:v>45209</c:v>
                </c:pt>
                <c:pt idx="687">
                  <c:v>45210</c:v>
                </c:pt>
                <c:pt idx="688">
                  <c:v>45211</c:v>
                </c:pt>
                <c:pt idx="689">
                  <c:v>45212</c:v>
                </c:pt>
                <c:pt idx="690">
                  <c:v>45215</c:v>
                </c:pt>
                <c:pt idx="691">
                  <c:v>45216</c:v>
                </c:pt>
                <c:pt idx="692">
                  <c:v>45217</c:v>
                </c:pt>
                <c:pt idx="693">
                  <c:v>45218</c:v>
                </c:pt>
                <c:pt idx="694">
                  <c:v>45219</c:v>
                </c:pt>
                <c:pt idx="695">
                  <c:v>45222</c:v>
                </c:pt>
                <c:pt idx="696">
                  <c:v>45224</c:v>
                </c:pt>
                <c:pt idx="697">
                  <c:v>45225</c:v>
                </c:pt>
                <c:pt idx="698">
                  <c:v>45226</c:v>
                </c:pt>
                <c:pt idx="699">
                  <c:v>45229</c:v>
                </c:pt>
                <c:pt idx="700">
                  <c:v>45230</c:v>
                </c:pt>
                <c:pt idx="701">
                  <c:v>45231</c:v>
                </c:pt>
                <c:pt idx="702">
                  <c:v>45232</c:v>
                </c:pt>
                <c:pt idx="703">
                  <c:v>45233</c:v>
                </c:pt>
                <c:pt idx="704">
                  <c:v>45236</c:v>
                </c:pt>
                <c:pt idx="705">
                  <c:v>45237</c:v>
                </c:pt>
                <c:pt idx="706">
                  <c:v>45238</c:v>
                </c:pt>
                <c:pt idx="707">
                  <c:v>45239</c:v>
                </c:pt>
                <c:pt idx="708">
                  <c:v>45240</c:v>
                </c:pt>
                <c:pt idx="709">
                  <c:v>45242</c:v>
                </c:pt>
                <c:pt idx="710">
                  <c:v>45243</c:v>
                </c:pt>
                <c:pt idx="711">
                  <c:v>45245</c:v>
                </c:pt>
                <c:pt idx="712">
                  <c:v>45246</c:v>
                </c:pt>
                <c:pt idx="713">
                  <c:v>45247</c:v>
                </c:pt>
                <c:pt idx="714">
                  <c:v>45250</c:v>
                </c:pt>
                <c:pt idx="715">
                  <c:v>45251</c:v>
                </c:pt>
                <c:pt idx="716">
                  <c:v>45252</c:v>
                </c:pt>
                <c:pt idx="717">
                  <c:v>45253</c:v>
                </c:pt>
                <c:pt idx="718">
                  <c:v>45254</c:v>
                </c:pt>
                <c:pt idx="719">
                  <c:v>45258</c:v>
                </c:pt>
                <c:pt idx="720">
                  <c:v>45259</c:v>
                </c:pt>
                <c:pt idx="721">
                  <c:v>45260</c:v>
                </c:pt>
                <c:pt idx="722">
                  <c:v>45261</c:v>
                </c:pt>
                <c:pt idx="723">
                  <c:v>45264</c:v>
                </c:pt>
                <c:pt idx="724">
                  <c:v>45265</c:v>
                </c:pt>
                <c:pt idx="725">
                  <c:v>45266</c:v>
                </c:pt>
                <c:pt idx="726">
                  <c:v>45267</c:v>
                </c:pt>
                <c:pt idx="727">
                  <c:v>45268</c:v>
                </c:pt>
                <c:pt idx="728">
                  <c:v>45271</c:v>
                </c:pt>
                <c:pt idx="729">
                  <c:v>45272</c:v>
                </c:pt>
                <c:pt idx="730">
                  <c:v>45273</c:v>
                </c:pt>
                <c:pt idx="731">
                  <c:v>45274</c:v>
                </c:pt>
                <c:pt idx="732">
                  <c:v>45275</c:v>
                </c:pt>
                <c:pt idx="733">
                  <c:v>45278</c:v>
                </c:pt>
                <c:pt idx="734">
                  <c:v>45279</c:v>
                </c:pt>
                <c:pt idx="735">
                  <c:v>45280</c:v>
                </c:pt>
                <c:pt idx="736">
                  <c:v>45281</c:v>
                </c:pt>
                <c:pt idx="737">
                  <c:v>45282</c:v>
                </c:pt>
                <c:pt idx="738">
                  <c:v>45286</c:v>
                </c:pt>
                <c:pt idx="739">
                  <c:v>45287</c:v>
                </c:pt>
                <c:pt idx="740">
                  <c:v>45288</c:v>
                </c:pt>
                <c:pt idx="741">
                  <c:v>45289</c:v>
                </c:pt>
                <c:pt idx="742">
                  <c:v>45292</c:v>
                </c:pt>
                <c:pt idx="743">
                  <c:v>45293</c:v>
                </c:pt>
                <c:pt idx="744">
                  <c:v>45294</c:v>
                </c:pt>
                <c:pt idx="745">
                  <c:v>45295</c:v>
                </c:pt>
                <c:pt idx="746">
                  <c:v>45296</c:v>
                </c:pt>
                <c:pt idx="747">
                  <c:v>45299</c:v>
                </c:pt>
                <c:pt idx="748">
                  <c:v>45300</c:v>
                </c:pt>
                <c:pt idx="749">
                  <c:v>45301</c:v>
                </c:pt>
                <c:pt idx="750">
                  <c:v>45302</c:v>
                </c:pt>
                <c:pt idx="751">
                  <c:v>45303</c:v>
                </c:pt>
                <c:pt idx="752">
                  <c:v>45306</c:v>
                </c:pt>
                <c:pt idx="753">
                  <c:v>45307</c:v>
                </c:pt>
                <c:pt idx="754">
                  <c:v>45308</c:v>
                </c:pt>
                <c:pt idx="755">
                  <c:v>45309</c:v>
                </c:pt>
                <c:pt idx="756">
                  <c:v>45310</c:v>
                </c:pt>
                <c:pt idx="757">
                  <c:v>45311</c:v>
                </c:pt>
                <c:pt idx="758">
                  <c:v>45314</c:v>
                </c:pt>
                <c:pt idx="759">
                  <c:v>45315</c:v>
                </c:pt>
                <c:pt idx="760">
                  <c:v>45316</c:v>
                </c:pt>
                <c:pt idx="761">
                  <c:v>45320</c:v>
                </c:pt>
                <c:pt idx="762">
                  <c:v>45321</c:v>
                </c:pt>
                <c:pt idx="763">
                  <c:v>45322</c:v>
                </c:pt>
                <c:pt idx="764">
                  <c:v>45323</c:v>
                </c:pt>
                <c:pt idx="765">
                  <c:v>45324</c:v>
                </c:pt>
                <c:pt idx="766">
                  <c:v>45327</c:v>
                </c:pt>
                <c:pt idx="767">
                  <c:v>45328</c:v>
                </c:pt>
                <c:pt idx="768">
                  <c:v>45329</c:v>
                </c:pt>
                <c:pt idx="769">
                  <c:v>45330</c:v>
                </c:pt>
                <c:pt idx="770">
                  <c:v>45331</c:v>
                </c:pt>
                <c:pt idx="771">
                  <c:v>45334</c:v>
                </c:pt>
                <c:pt idx="772">
                  <c:v>45335</c:v>
                </c:pt>
                <c:pt idx="773">
                  <c:v>45336</c:v>
                </c:pt>
                <c:pt idx="774">
                  <c:v>45337</c:v>
                </c:pt>
                <c:pt idx="775">
                  <c:v>45338</c:v>
                </c:pt>
                <c:pt idx="776">
                  <c:v>45341</c:v>
                </c:pt>
                <c:pt idx="777">
                  <c:v>45342</c:v>
                </c:pt>
                <c:pt idx="778">
                  <c:v>45343</c:v>
                </c:pt>
                <c:pt idx="779">
                  <c:v>45344</c:v>
                </c:pt>
                <c:pt idx="780">
                  <c:v>45345</c:v>
                </c:pt>
                <c:pt idx="781">
                  <c:v>45348</c:v>
                </c:pt>
                <c:pt idx="782">
                  <c:v>45349</c:v>
                </c:pt>
                <c:pt idx="783">
                  <c:v>45350</c:v>
                </c:pt>
                <c:pt idx="784">
                  <c:v>45351</c:v>
                </c:pt>
                <c:pt idx="785">
                  <c:v>45352</c:v>
                </c:pt>
                <c:pt idx="786">
                  <c:v>45355</c:v>
                </c:pt>
                <c:pt idx="787">
                  <c:v>45356</c:v>
                </c:pt>
                <c:pt idx="788">
                  <c:v>45357</c:v>
                </c:pt>
                <c:pt idx="789">
                  <c:v>45358</c:v>
                </c:pt>
                <c:pt idx="790">
                  <c:v>45362</c:v>
                </c:pt>
                <c:pt idx="791">
                  <c:v>45363</c:v>
                </c:pt>
                <c:pt idx="792">
                  <c:v>45364</c:v>
                </c:pt>
                <c:pt idx="793">
                  <c:v>45365</c:v>
                </c:pt>
                <c:pt idx="794">
                  <c:v>45366</c:v>
                </c:pt>
                <c:pt idx="795">
                  <c:v>45369</c:v>
                </c:pt>
                <c:pt idx="796">
                  <c:v>45370</c:v>
                </c:pt>
                <c:pt idx="797">
                  <c:v>45371</c:v>
                </c:pt>
                <c:pt idx="798">
                  <c:v>45372</c:v>
                </c:pt>
                <c:pt idx="799">
                  <c:v>45373</c:v>
                </c:pt>
                <c:pt idx="800">
                  <c:v>45377</c:v>
                </c:pt>
                <c:pt idx="801">
                  <c:v>45378</c:v>
                </c:pt>
                <c:pt idx="802">
                  <c:v>45379</c:v>
                </c:pt>
                <c:pt idx="803">
                  <c:v>45383</c:v>
                </c:pt>
                <c:pt idx="804">
                  <c:v>45384</c:v>
                </c:pt>
                <c:pt idx="805">
                  <c:v>45385</c:v>
                </c:pt>
                <c:pt idx="806">
                  <c:v>45386</c:v>
                </c:pt>
                <c:pt idx="807">
                  <c:v>45387</c:v>
                </c:pt>
                <c:pt idx="808">
                  <c:v>45390</c:v>
                </c:pt>
                <c:pt idx="809">
                  <c:v>45391</c:v>
                </c:pt>
                <c:pt idx="810">
                  <c:v>45392</c:v>
                </c:pt>
                <c:pt idx="811">
                  <c:v>45394</c:v>
                </c:pt>
                <c:pt idx="812">
                  <c:v>45397</c:v>
                </c:pt>
                <c:pt idx="813">
                  <c:v>45398</c:v>
                </c:pt>
                <c:pt idx="814">
                  <c:v>45400</c:v>
                </c:pt>
                <c:pt idx="815">
                  <c:v>45401</c:v>
                </c:pt>
                <c:pt idx="816">
                  <c:v>45404</c:v>
                </c:pt>
                <c:pt idx="817">
                  <c:v>45405</c:v>
                </c:pt>
                <c:pt idx="818">
                  <c:v>45406</c:v>
                </c:pt>
                <c:pt idx="819">
                  <c:v>45407</c:v>
                </c:pt>
                <c:pt idx="820">
                  <c:v>45408</c:v>
                </c:pt>
                <c:pt idx="821">
                  <c:v>45411</c:v>
                </c:pt>
                <c:pt idx="822">
                  <c:v>45412</c:v>
                </c:pt>
                <c:pt idx="823">
                  <c:v>45414</c:v>
                </c:pt>
                <c:pt idx="824">
                  <c:v>45415</c:v>
                </c:pt>
                <c:pt idx="825">
                  <c:v>45418</c:v>
                </c:pt>
                <c:pt idx="826">
                  <c:v>45419</c:v>
                </c:pt>
                <c:pt idx="827">
                  <c:v>45420</c:v>
                </c:pt>
                <c:pt idx="828">
                  <c:v>45421</c:v>
                </c:pt>
                <c:pt idx="829">
                  <c:v>45422</c:v>
                </c:pt>
                <c:pt idx="830">
                  <c:v>45425</c:v>
                </c:pt>
                <c:pt idx="831">
                  <c:v>45426</c:v>
                </c:pt>
                <c:pt idx="832">
                  <c:v>45427</c:v>
                </c:pt>
                <c:pt idx="833">
                  <c:v>45428</c:v>
                </c:pt>
                <c:pt idx="834">
                  <c:v>45429</c:v>
                </c:pt>
                <c:pt idx="835">
                  <c:v>45430</c:v>
                </c:pt>
                <c:pt idx="836">
                  <c:v>45433</c:v>
                </c:pt>
                <c:pt idx="837">
                  <c:v>45434</c:v>
                </c:pt>
                <c:pt idx="838">
                  <c:v>45435</c:v>
                </c:pt>
                <c:pt idx="839">
                  <c:v>45436</c:v>
                </c:pt>
                <c:pt idx="840">
                  <c:v>45439</c:v>
                </c:pt>
                <c:pt idx="841">
                  <c:v>45440</c:v>
                </c:pt>
                <c:pt idx="842">
                  <c:v>45441</c:v>
                </c:pt>
                <c:pt idx="843">
                  <c:v>45442</c:v>
                </c:pt>
                <c:pt idx="844">
                  <c:v>45443</c:v>
                </c:pt>
                <c:pt idx="845">
                  <c:v>45446</c:v>
                </c:pt>
                <c:pt idx="846">
                  <c:v>45447</c:v>
                </c:pt>
                <c:pt idx="847">
                  <c:v>45448</c:v>
                </c:pt>
                <c:pt idx="848">
                  <c:v>45449</c:v>
                </c:pt>
                <c:pt idx="849">
                  <c:v>45450</c:v>
                </c:pt>
                <c:pt idx="850">
                  <c:v>45453</c:v>
                </c:pt>
                <c:pt idx="851">
                  <c:v>45454</c:v>
                </c:pt>
                <c:pt idx="852">
                  <c:v>45455</c:v>
                </c:pt>
                <c:pt idx="853">
                  <c:v>45456</c:v>
                </c:pt>
                <c:pt idx="854">
                  <c:v>45457</c:v>
                </c:pt>
                <c:pt idx="855">
                  <c:v>45461</c:v>
                </c:pt>
                <c:pt idx="856">
                  <c:v>45462</c:v>
                </c:pt>
                <c:pt idx="857">
                  <c:v>45463</c:v>
                </c:pt>
                <c:pt idx="858">
                  <c:v>45464</c:v>
                </c:pt>
                <c:pt idx="859">
                  <c:v>45467</c:v>
                </c:pt>
                <c:pt idx="860">
                  <c:v>45468</c:v>
                </c:pt>
                <c:pt idx="861">
                  <c:v>45469</c:v>
                </c:pt>
                <c:pt idx="862">
                  <c:v>45470</c:v>
                </c:pt>
                <c:pt idx="863">
                  <c:v>45471</c:v>
                </c:pt>
                <c:pt idx="864">
                  <c:v>45474</c:v>
                </c:pt>
                <c:pt idx="865">
                  <c:v>45475</c:v>
                </c:pt>
                <c:pt idx="866">
                  <c:v>45476</c:v>
                </c:pt>
                <c:pt idx="867">
                  <c:v>45477</c:v>
                </c:pt>
                <c:pt idx="868">
                  <c:v>45478</c:v>
                </c:pt>
                <c:pt idx="869">
                  <c:v>45481</c:v>
                </c:pt>
                <c:pt idx="870">
                  <c:v>45482</c:v>
                </c:pt>
                <c:pt idx="871">
                  <c:v>45483</c:v>
                </c:pt>
                <c:pt idx="872">
                  <c:v>45484</c:v>
                </c:pt>
                <c:pt idx="873">
                  <c:v>45485</c:v>
                </c:pt>
                <c:pt idx="874">
                  <c:v>45488</c:v>
                </c:pt>
                <c:pt idx="875">
                  <c:v>45489</c:v>
                </c:pt>
                <c:pt idx="876">
                  <c:v>45491</c:v>
                </c:pt>
                <c:pt idx="877">
                  <c:v>45492</c:v>
                </c:pt>
                <c:pt idx="878">
                  <c:v>45495</c:v>
                </c:pt>
                <c:pt idx="879">
                  <c:v>45496</c:v>
                </c:pt>
                <c:pt idx="880">
                  <c:v>45497</c:v>
                </c:pt>
                <c:pt idx="881">
                  <c:v>45498</c:v>
                </c:pt>
                <c:pt idx="882">
                  <c:v>45499</c:v>
                </c:pt>
                <c:pt idx="883">
                  <c:v>45502</c:v>
                </c:pt>
                <c:pt idx="884">
                  <c:v>45503</c:v>
                </c:pt>
                <c:pt idx="885">
                  <c:v>45504</c:v>
                </c:pt>
                <c:pt idx="886">
                  <c:v>45505</c:v>
                </c:pt>
                <c:pt idx="887">
                  <c:v>45506</c:v>
                </c:pt>
                <c:pt idx="888">
                  <c:v>45509</c:v>
                </c:pt>
                <c:pt idx="889">
                  <c:v>45510</c:v>
                </c:pt>
                <c:pt idx="890">
                  <c:v>45511</c:v>
                </c:pt>
                <c:pt idx="891">
                  <c:v>45512</c:v>
                </c:pt>
                <c:pt idx="892">
                  <c:v>45513</c:v>
                </c:pt>
                <c:pt idx="893">
                  <c:v>45516</c:v>
                </c:pt>
                <c:pt idx="894">
                  <c:v>45517</c:v>
                </c:pt>
                <c:pt idx="895">
                  <c:v>45518</c:v>
                </c:pt>
                <c:pt idx="896">
                  <c:v>45520</c:v>
                </c:pt>
                <c:pt idx="897">
                  <c:v>45523</c:v>
                </c:pt>
                <c:pt idx="898">
                  <c:v>45524</c:v>
                </c:pt>
                <c:pt idx="899">
                  <c:v>45525</c:v>
                </c:pt>
                <c:pt idx="900">
                  <c:v>45526</c:v>
                </c:pt>
                <c:pt idx="901">
                  <c:v>45527</c:v>
                </c:pt>
                <c:pt idx="902">
                  <c:v>45530</c:v>
                </c:pt>
                <c:pt idx="903">
                  <c:v>45531</c:v>
                </c:pt>
                <c:pt idx="904">
                  <c:v>45532</c:v>
                </c:pt>
                <c:pt idx="905">
                  <c:v>45533</c:v>
                </c:pt>
                <c:pt idx="906">
                  <c:v>45534</c:v>
                </c:pt>
                <c:pt idx="907">
                  <c:v>45537</c:v>
                </c:pt>
                <c:pt idx="908">
                  <c:v>45538</c:v>
                </c:pt>
                <c:pt idx="909">
                  <c:v>45539</c:v>
                </c:pt>
                <c:pt idx="910">
                  <c:v>45540</c:v>
                </c:pt>
                <c:pt idx="911">
                  <c:v>45541</c:v>
                </c:pt>
                <c:pt idx="912">
                  <c:v>45544</c:v>
                </c:pt>
                <c:pt idx="913">
                  <c:v>45545</c:v>
                </c:pt>
                <c:pt idx="914">
                  <c:v>45546</c:v>
                </c:pt>
                <c:pt idx="915">
                  <c:v>45547</c:v>
                </c:pt>
                <c:pt idx="916">
                  <c:v>45548</c:v>
                </c:pt>
                <c:pt idx="917">
                  <c:v>45551</c:v>
                </c:pt>
                <c:pt idx="918">
                  <c:v>45552</c:v>
                </c:pt>
                <c:pt idx="919">
                  <c:v>45553</c:v>
                </c:pt>
                <c:pt idx="920">
                  <c:v>45554</c:v>
                </c:pt>
                <c:pt idx="921">
                  <c:v>45555</c:v>
                </c:pt>
                <c:pt idx="922">
                  <c:v>45558</c:v>
                </c:pt>
                <c:pt idx="923">
                  <c:v>45559</c:v>
                </c:pt>
                <c:pt idx="924">
                  <c:v>45560</c:v>
                </c:pt>
                <c:pt idx="925">
                  <c:v>45561</c:v>
                </c:pt>
                <c:pt idx="926">
                  <c:v>45562</c:v>
                </c:pt>
                <c:pt idx="927">
                  <c:v>45565</c:v>
                </c:pt>
                <c:pt idx="928">
                  <c:v>45566</c:v>
                </c:pt>
                <c:pt idx="929">
                  <c:v>45568</c:v>
                </c:pt>
                <c:pt idx="930">
                  <c:v>45569</c:v>
                </c:pt>
                <c:pt idx="931">
                  <c:v>45572</c:v>
                </c:pt>
                <c:pt idx="932">
                  <c:v>45573</c:v>
                </c:pt>
                <c:pt idx="933">
                  <c:v>45574</c:v>
                </c:pt>
                <c:pt idx="934">
                  <c:v>45575</c:v>
                </c:pt>
                <c:pt idx="935">
                  <c:v>45576</c:v>
                </c:pt>
                <c:pt idx="936">
                  <c:v>45579</c:v>
                </c:pt>
                <c:pt idx="937">
                  <c:v>45580</c:v>
                </c:pt>
                <c:pt idx="938">
                  <c:v>45581</c:v>
                </c:pt>
                <c:pt idx="939">
                  <c:v>45582</c:v>
                </c:pt>
                <c:pt idx="940">
                  <c:v>45583</c:v>
                </c:pt>
                <c:pt idx="941">
                  <c:v>45586</c:v>
                </c:pt>
                <c:pt idx="942">
                  <c:v>45587</c:v>
                </c:pt>
                <c:pt idx="943">
                  <c:v>45588</c:v>
                </c:pt>
                <c:pt idx="944">
                  <c:v>45589</c:v>
                </c:pt>
                <c:pt idx="945">
                  <c:v>45590</c:v>
                </c:pt>
                <c:pt idx="946">
                  <c:v>45593</c:v>
                </c:pt>
                <c:pt idx="947">
                  <c:v>45594</c:v>
                </c:pt>
                <c:pt idx="948">
                  <c:v>45595</c:v>
                </c:pt>
                <c:pt idx="949">
                  <c:v>45596</c:v>
                </c:pt>
                <c:pt idx="950">
                  <c:v>45597</c:v>
                </c:pt>
                <c:pt idx="951">
                  <c:v>45600</c:v>
                </c:pt>
                <c:pt idx="952">
                  <c:v>45601</c:v>
                </c:pt>
                <c:pt idx="953">
                  <c:v>45602</c:v>
                </c:pt>
                <c:pt idx="954">
                  <c:v>45603</c:v>
                </c:pt>
                <c:pt idx="955">
                  <c:v>45604</c:v>
                </c:pt>
                <c:pt idx="956">
                  <c:v>45607</c:v>
                </c:pt>
                <c:pt idx="957">
                  <c:v>45608</c:v>
                </c:pt>
                <c:pt idx="958">
                  <c:v>45609</c:v>
                </c:pt>
                <c:pt idx="959">
                  <c:v>45610</c:v>
                </c:pt>
                <c:pt idx="960">
                  <c:v>45614</c:v>
                </c:pt>
                <c:pt idx="961">
                  <c:v>45615</c:v>
                </c:pt>
                <c:pt idx="962">
                  <c:v>45617</c:v>
                </c:pt>
                <c:pt idx="963">
                  <c:v>45618</c:v>
                </c:pt>
                <c:pt idx="964">
                  <c:v>45621</c:v>
                </c:pt>
                <c:pt idx="965">
                  <c:v>45622</c:v>
                </c:pt>
                <c:pt idx="966">
                  <c:v>45623</c:v>
                </c:pt>
                <c:pt idx="967">
                  <c:v>45624</c:v>
                </c:pt>
                <c:pt idx="968">
                  <c:v>45625</c:v>
                </c:pt>
                <c:pt idx="969">
                  <c:v>45628</c:v>
                </c:pt>
                <c:pt idx="970">
                  <c:v>45629</c:v>
                </c:pt>
                <c:pt idx="971">
                  <c:v>45630</c:v>
                </c:pt>
                <c:pt idx="972">
                  <c:v>45631</c:v>
                </c:pt>
                <c:pt idx="973">
                  <c:v>45632</c:v>
                </c:pt>
                <c:pt idx="974">
                  <c:v>45635</c:v>
                </c:pt>
                <c:pt idx="975">
                  <c:v>45636</c:v>
                </c:pt>
                <c:pt idx="976">
                  <c:v>45637</c:v>
                </c:pt>
                <c:pt idx="977">
                  <c:v>45638</c:v>
                </c:pt>
                <c:pt idx="978">
                  <c:v>45639</c:v>
                </c:pt>
                <c:pt idx="979">
                  <c:v>45642</c:v>
                </c:pt>
                <c:pt idx="980">
                  <c:v>45643</c:v>
                </c:pt>
                <c:pt idx="981">
                  <c:v>45644</c:v>
                </c:pt>
                <c:pt idx="982">
                  <c:v>45645</c:v>
                </c:pt>
                <c:pt idx="983">
                  <c:v>45646</c:v>
                </c:pt>
                <c:pt idx="984">
                  <c:v>45649</c:v>
                </c:pt>
                <c:pt idx="985">
                  <c:v>45650</c:v>
                </c:pt>
                <c:pt idx="986">
                  <c:v>45652</c:v>
                </c:pt>
                <c:pt idx="987">
                  <c:v>45653</c:v>
                </c:pt>
                <c:pt idx="988">
                  <c:v>45656</c:v>
                </c:pt>
                <c:pt idx="989">
                  <c:v>45657</c:v>
                </c:pt>
                <c:pt idx="990">
                  <c:v>45658</c:v>
                </c:pt>
                <c:pt idx="991">
                  <c:v>45659</c:v>
                </c:pt>
                <c:pt idx="992">
                  <c:v>45660</c:v>
                </c:pt>
                <c:pt idx="993">
                  <c:v>45663</c:v>
                </c:pt>
                <c:pt idx="994">
                  <c:v>45664</c:v>
                </c:pt>
                <c:pt idx="995">
                  <c:v>45665</c:v>
                </c:pt>
                <c:pt idx="996">
                  <c:v>45666</c:v>
                </c:pt>
                <c:pt idx="997">
                  <c:v>45667</c:v>
                </c:pt>
                <c:pt idx="998">
                  <c:v>45670</c:v>
                </c:pt>
                <c:pt idx="999">
                  <c:v>45671</c:v>
                </c:pt>
                <c:pt idx="1000">
                  <c:v>45672</c:v>
                </c:pt>
                <c:pt idx="1001">
                  <c:v>45673</c:v>
                </c:pt>
                <c:pt idx="1002">
                  <c:v>45674</c:v>
                </c:pt>
                <c:pt idx="1003">
                  <c:v>45677</c:v>
                </c:pt>
                <c:pt idx="1004">
                  <c:v>45678</c:v>
                </c:pt>
                <c:pt idx="1005">
                  <c:v>45679</c:v>
                </c:pt>
                <c:pt idx="1006">
                  <c:v>45680</c:v>
                </c:pt>
                <c:pt idx="1007">
                  <c:v>45681</c:v>
                </c:pt>
                <c:pt idx="1008">
                  <c:v>45684</c:v>
                </c:pt>
                <c:pt idx="1009">
                  <c:v>45685</c:v>
                </c:pt>
                <c:pt idx="1010">
                  <c:v>45686</c:v>
                </c:pt>
                <c:pt idx="1011">
                  <c:v>45687</c:v>
                </c:pt>
                <c:pt idx="1012">
                  <c:v>45688</c:v>
                </c:pt>
                <c:pt idx="1013">
                  <c:v>45689</c:v>
                </c:pt>
                <c:pt idx="1014">
                  <c:v>45691</c:v>
                </c:pt>
                <c:pt idx="1015">
                  <c:v>45692</c:v>
                </c:pt>
                <c:pt idx="1016">
                  <c:v>45693</c:v>
                </c:pt>
                <c:pt idx="1017">
                  <c:v>45694</c:v>
                </c:pt>
                <c:pt idx="1018">
                  <c:v>45695</c:v>
                </c:pt>
                <c:pt idx="1019">
                  <c:v>45698</c:v>
                </c:pt>
                <c:pt idx="1020">
                  <c:v>45699</c:v>
                </c:pt>
                <c:pt idx="1021">
                  <c:v>45700</c:v>
                </c:pt>
                <c:pt idx="1022">
                  <c:v>45701</c:v>
                </c:pt>
                <c:pt idx="1023">
                  <c:v>45702</c:v>
                </c:pt>
                <c:pt idx="1024">
                  <c:v>45705</c:v>
                </c:pt>
                <c:pt idx="1025">
                  <c:v>45706</c:v>
                </c:pt>
                <c:pt idx="1026">
                  <c:v>45707</c:v>
                </c:pt>
                <c:pt idx="1027">
                  <c:v>45708</c:v>
                </c:pt>
                <c:pt idx="1028">
                  <c:v>45709</c:v>
                </c:pt>
                <c:pt idx="1029">
                  <c:v>45712</c:v>
                </c:pt>
                <c:pt idx="1030">
                  <c:v>45713</c:v>
                </c:pt>
                <c:pt idx="1031">
                  <c:v>45715</c:v>
                </c:pt>
                <c:pt idx="1032">
                  <c:v>45716</c:v>
                </c:pt>
                <c:pt idx="1033">
                  <c:v>45719</c:v>
                </c:pt>
                <c:pt idx="1034">
                  <c:v>45720</c:v>
                </c:pt>
                <c:pt idx="1035">
                  <c:v>45721</c:v>
                </c:pt>
                <c:pt idx="1036">
                  <c:v>45722</c:v>
                </c:pt>
                <c:pt idx="1037">
                  <c:v>45723</c:v>
                </c:pt>
                <c:pt idx="1038">
                  <c:v>45726</c:v>
                </c:pt>
                <c:pt idx="1039">
                  <c:v>45727</c:v>
                </c:pt>
                <c:pt idx="1040">
                  <c:v>45728</c:v>
                </c:pt>
                <c:pt idx="1041">
                  <c:v>45729</c:v>
                </c:pt>
                <c:pt idx="1042">
                  <c:v>45733</c:v>
                </c:pt>
                <c:pt idx="1043">
                  <c:v>45734</c:v>
                </c:pt>
                <c:pt idx="1044">
                  <c:v>45735</c:v>
                </c:pt>
                <c:pt idx="1045">
                  <c:v>45736</c:v>
                </c:pt>
                <c:pt idx="1046">
                  <c:v>45737</c:v>
                </c:pt>
                <c:pt idx="1047">
                  <c:v>45740</c:v>
                </c:pt>
                <c:pt idx="1048">
                  <c:v>45741</c:v>
                </c:pt>
                <c:pt idx="1049">
                  <c:v>45742</c:v>
                </c:pt>
                <c:pt idx="1050">
                  <c:v>45743</c:v>
                </c:pt>
                <c:pt idx="1051">
                  <c:v>45744</c:v>
                </c:pt>
                <c:pt idx="1052">
                  <c:v>45748</c:v>
                </c:pt>
                <c:pt idx="1053">
                  <c:v>45749</c:v>
                </c:pt>
                <c:pt idx="1054">
                  <c:v>45750</c:v>
                </c:pt>
                <c:pt idx="1055">
                  <c:v>45751</c:v>
                </c:pt>
                <c:pt idx="1056">
                  <c:v>45754</c:v>
                </c:pt>
                <c:pt idx="1057">
                  <c:v>45755</c:v>
                </c:pt>
                <c:pt idx="1058">
                  <c:v>45756</c:v>
                </c:pt>
                <c:pt idx="1059">
                  <c:v>45758</c:v>
                </c:pt>
                <c:pt idx="1060">
                  <c:v>45762</c:v>
                </c:pt>
                <c:pt idx="1061">
                  <c:v>45763</c:v>
                </c:pt>
                <c:pt idx="1062">
                  <c:v>45764</c:v>
                </c:pt>
                <c:pt idx="1063">
                  <c:v>45768</c:v>
                </c:pt>
                <c:pt idx="1064">
                  <c:v>45769</c:v>
                </c:pt>
                <c:pt idx="1065">
                  <c:v>45770</c:v>
                </c:pt>
                <c:pt idx="1066">
                  <c:v>45771</c:v>
                </c:pt>
                <c:pt idx="1067">
                  <c:v>45772</c:v>
                </c:pt>
                <c:pt idx="1068">
                  <c:v>45775</c:v>
                </c:pt>
                <c:pt idx="1069">
                  <c:v>45776</c:v>
                </c:pt>
                <c:pt idx="1070">
                  <c:v>45777</c:v>
                </c:pt>
                <c:pt idx="1071">
                  <c:v>45779</c:v>
                </c:pt>
                <c:pt idx="1072">
                  <c:v>45782</c:v>
                </c:pt>
                <c:pt idx="1073">
                  <c:v>45783</c:v>
                </c:pt>
                <c:pt idx="1074">
                  <c:v>45784</c:v>
                </c:pt>
                <c:pt idx="1075">
                  <c:v>45785</c:v>
                </c:pt>
                <c:pt idx="1076">
                  <c:v>45786</c:v>
                </c:pt>
                <c:pt idx="1077">
                  <c:v>45789</c:v>
                </c:pt>
                <c:pt idx="1078">
                  <c:v>45790</c:v>
                </c:pt>
                <c:pt idx="1079">
                  <c:v>45791</c:v>
                </c:pt>
                <c:pt idx="1080">
                  <c:v>45792</c:v>
                </c:pt>
                <c:pt idx="1081">
                  <c:v>45793</c:v>
                </c:pt>
                <c:pt idx="1082">
                  <c:v>45796</c:v>
                </c:pt>
                <c:pt idx="1083">
                  <c:v>45797</c:v>
                </c:pt>
                <c:pt idx="1084">
                  <c:v>45798</c:v>
                </c:pt>
                <c:pt idx="1085">
                  <c:v>45799</c:v>
                </c:pt>
                <c:pt idx="1086">
                  <c:v>45800</c:v>
                </c:pt>
                <c:pt idx="1087">
                  <c:v>45803</c:v>
                </c:pt>
                <c:pt idx="1088">
                  <c:v>45804</c:v>
                </c:pt>
                <c:pt idx="1089">
                  <c:v>45805</c:v>
                </c:pt>
                <c:pt idx="1090">
                  <c:v>45806</c:v>
                </c:pt>
                <c:pt idx="1091">
                  <c:v>45807</c:v>
                </c:pt>
                <c:pt idx="1092">
                  <c:v>45810</c:v>
                </c:pt>
                <c:pt idx="1093">
                  <c:v>45811</c:v>
                </c:pt>
                <c:pt idx="1094">
                  <c:v>45812</c:v>
                </c:pt>
                <c:pt idx="1095">
                  <c:v>45813</c:v>
                </c:pt>
                <c:pt idx="1096">
                  <c:v>45814</c:v>
                </c:pt>
                <c:pt idx="1097">
                  <c:v>45817</c:v>
                </c:pt>
                <c:pt idx="1098">
                  <c:v>45818</c:v>
                </c:pt>
                <c:pt idx="1099">
                  <c:v>45819</c:v>
                </c:pt>
                <c:pt idx="1100">
                  <c:v>45820</c:v>
                </c:pt>
                <c:pt idx="1101">
                  <c:v>45821</c:v>
                </c:pt>
                <c:pt idx="1102">
                  <c:v>45824</c:v>
                </c:pt>
                <c:pt idx="1103">
                  <c:v>45825</c:v>
                </c:pt>
                <c:pt idx="1104">
                  <c:v>45826</c:v>
                </c:pt>
                <c:pt idx="1105">
                  <c:v>45827</c:v>
                </c:pt>
                <c:pt idx="1106">
                  <c:v>45828</c:v>
                </c:pt>
                <c:pt idx="1107">
                  <c:v>45831</c:v>
                </c:pt>
                <c:pt idx="1108">
                  <c:v>45832</c:v>
                </c:pt>
                <c:pt idx="1109">
                  <c:v>45833</c:v>
                </c:pt>
                <c:pt idx="1110">
                  <c:v>45834</c:v>
                </c:pt>
                <c:pt idx="1111">
                  <c:v>45835</c:v>
                </c:pt>
                <c:pt idx="1112">
                  <c:v>45838</c:v>
                </c:pt>
                <c:pt idx="1113">
                  <c:v>45839</c:v>
                </c:pt>
                <c:pt idx="1114">
                  <c:v>45840</c:v>
                </c:pt>
                <c:pt idx="1115">
                  <c:v>45841</c:v>
                </c:pt>
                <c:pt idx="1116">
                  <c:v>45842</c:v>
                </c:pt>
                <c:pt idx="1117">
                  <c:v>45845</c:v>
                </c:pt>
                <c:pt idx="1118">
                  <c:v>45846</c:v>
                </c:pt>
                <c:pt idx="1119">
                  <c:v>45847</c:v>
                </c:pt>
                <c:pt idx="1120">
                  <c:v>45848</c:v>
                </c:pt>
                <c:pt idx="1121">
                  <c:v>45849</c:v>
                </c:pt>
                <c:pt idx="1122">
                  <c:v>45852</c:v>
                </c:pt>
                <c:pt idx="1123">
                  <c:v>45853</c:v>
                </c:pt>
                <c:pt idx="1124">
                  <c:v>45854</c:v>
                </c:pt>
                <c:pt idx="1125">
                  <c:v>45855</c:v>
                </c:pt>
                <c:pt idx="1126">
                  <c:v>45856</c:v>
                </c:pt>
                <c:pt idx="1127">
                  <c:v>45859</c:v>
                </c:pt>
                <c:pt idx="1128">
                  <c:v>45860</c:v>
                </c:pt>
                <c:pt idx="1129">
                  <c:v>45861</c:v>
                </c:pt>
                <c:pt idx="1130">
                  <c:v>45862</c:v>
                </c:pt>
                <c:pt idx="1131">
                  <c:v>45863</c:v>
                </c:pt>
                <c:pt idx="1132">
                  <c:v>45866</c:v>
                </c:pt>
                <c:pt idx="1133">
                  <c:v>45867</c:v>
                </c:pt>
                <c:pt idx="1134">
                  <c:v>45868</c:v>
                </c:pt>
                <c:pt idx="1135">
                  <c:v>45869</c:v>
                </c:pt>
                <c:pt idx="1136">
                  <c:v>45870</c:v>
                </c:pt>
                <c:pt idx="1137">
                  <c:v>45873</c:v>
                </c:pt>
                <c:pt idx="1138">
                  <c:v>45874</c:v>
                </c:pt>
                <c:pt idx="1139">
                  <c:v>45875</c:v>
                </c:pt>
                <c:pt idx="1140">
                  <c:v>45876</c:v>
                </c:pt>
                <c:pt idx="1141">
                  <c:v>45877</c:v>
                </c:pt>
                <c:pt idx="1142">
                  <c:v>45880</c:v>
                </c:pt>
                <c:pt idx="1143">
                  <c:v>45881</c:v>
                </c:pt>
                <c:pt idx="1144">
                  <c:v>45882</c:v>
                </c:pt>
                <c:pt idx="1145">
                  <c:v>45883</c:v>
                </c:pt>
                <c:pt idx="1146">
                  <c:v>45887</c:v>
                </c:pt>
                <c:pt idx="1147">
                  <c:v>45888</c:v>
                </c:pt>
                <c:pt idx="1148">
                  <c:v>45889</c:v>
                </c:pt>
                <c:pt idx="1149">
                  <c:v>45890</c:v>
                </c:pt>
                <c:pt idx="1150">
                  <c:v>45891</c:v>
                </c:pt>
                <c:pt idx="1151">
                  <c:v>45894</c:v>
                </c:pt>
                <c:pt idx="1152">
                  <c:v>45895</c:v>
                </c:pt>
                <c:pt idx="1153">
                  <c:v>45897</c:v>
                </c:pt>
                <c:pt idx="1154">
                  <c:v>45898</c:v>
                </c:pt>
                <c:pt idx="1155">
                  <c:v>45901</c:v>
                </c:pt>
                <c:pt idx="1156">
                  <c:v>45902</c:v>
                </c:pt>
                <c:pt idx="1157">
                  <c:v>45903</c:v>
                </c:pt>
                <c:pt idx="1158">
                  <c:v>45904</c:v>
                </c:pt>
                <c:pt idx="1159">
                  <c:v>45905</c:v>
                </c:pt>
                <c:pt idx="1160">
                  <c:v>45908</c:v>
                </c:pt>
                <c:pt idx="1161">
                  <c:v>45909</c:v>
                </c:pt>
                <c:pt idx="1162">
                  <c:v>45910</c:v>
                </c:pt>
                <c:pt idx="1163">
                  <c:v>45911</c:v>
                </c:pt>
                <c:pt idx="1164">
                  <c:v>45912</c:v>
                </c:pt>
                <c:pt idx="1165">
                  <c:v>45915</c:v>
                </c:pt>
                <c:pt idx="1166">
                  <c:v>45916</c:v>
                </c:pt>
                <c:pt idx="1167">
                  <c:v>45917</c:v>
                </c:pt>
                <c:pt idx="1168">
                  <c:v>45918</c:v>
                </c:pt>
                <c:pt idx="1169">
                  <c:v>45919</c:v>
                </c:pt>
                <c:pt idx="1170">
                  <c:v>45922</c:v>
                </c:pt>
                <c:pt idx="1171">
                  <c:v>45923</c:v>
                </c:pt>
                <c:pt idx="1172">
                  <c:v>45924</c:v>
                </c:pt>
                <c:pt idx="1173">
                  <c:v>45925</c:v>
                </c:pt>
                <c:pt idx="1174">
                  <c:v>45926</c:v>
                </c:pt>
                <c:pt idx="1175">
                  <c:v>45929</c:v>
                </c:pt>
                <c:pt idx="1176">
                  <c:v>45930</c:v>
                </c:pt>
                <c:pt idx="1177">
                  <c:v>45931</c:v>
                </c:pt>
                <c:pt idx="1178">
                  <c:v>45933</c:v>
                </c:pt>
                <c:pt idx="1179">
                  <c:v>45936</c:v>
                </c:pt>
                <c:pt idx="1180">
                  <c:v>45937</c:v>
                </c:pt>
                <c:pt idx="1181">
                  <c:v>45938</c:v>
                </c:pt>
                <c:pt idx="1182">
                  <c:v>45939</c:v>
                </c:pt>
                <c:pt idx="1183">
                  <c:v>45940</c:v>
                </c:pt>
                <c:pt idx="1184">
                  <c:v>45943</c:v>
                </c:pt>
                <c:pt idx="1185">
                  <c:v>45944</c:v>
                </c:pt>
                <c:pt idx="1186">
                  <c:v>45945</c:v>
                </c:pt>
                <c:pt idx="1187">
                  <c:v>45946</c:v>
                </c:pt>
                <c:pt idx="1188">
                  <c:v>45947</c:v>
                </c:pt>
                <c:pt idx="1189">
                  <c:v>45950</c:v>
                </c:pt>
                <c:pt idx="1190">
                  <c:v>45951</c:v>
                </c:pt>
                <c:pt idx="1191">
                  <c:v>45953</c:v>
                </c:pt>
                <c:pt idx="1192">
                  <c:v>45954</c:v>
                </c:pt>
                <c:pt idx="1193">
                  <c:v>45957</c:v>
                </c:pt>
                <c:pt idx="1194">
                  <c:v>45958</c:v>
                </c:pt>
                <c:pt idx="1195">
                  <c:v>45959</c:v>
                </c:pt>
                <c:pt idx="1196">
                  <c:v>45960</c:v>
                </c:pt>
                <c:pt idx="1197">
                  <c:v>45961</c:v>
                </c:pt>
                <c:pt idx="1198">
                  <c:v>45964</c:v>
                </c:pt>
                <c:pt idx="1199">
                  <c:v>45965</c:v>
                </c:pt>
                <c:pt idx="1200">
                  <c:v>45967</c:v>
                </c:pt>
                <c:pt idx="1201">
                  <c:v>45968</c:v>
                </c:pt>
                <c:pt idx="1202">
                  <c:v>45971</c:v>
                </c:pt>
                <c:pt idx="1203">
                  <c:v>45972</c:v>
                </c:pt>
                <c:pt idx="1204">
                  <c:v>45973</c:v>
                </c:pt>
                <c:pt idx="1205">
                  <c:v>45974</c:v>
                </c:pt>
                <c:pt idx="1206">
                  <c:v>45975</c:v>
                </c:pt>
                <c:pt idx="1207">
                  <c:v>45978</c:v>
                </c:pt>
                <c:pt idx="1208">
                  <c:v>45979</c:v>
                </c:pt>
                <c:pt idx="1209">
                  <c:v>45980</c:v>
                </c:pt>
                <c:pt idx="1210">
                  <c:v>45981</c:v>
                </c:pt>
                <c:pt idx="1211">
                  <c:v>45982</c:v>
                </c:pt>
                <c:pt idx="1212">
                  <c:v>45985</c:v>
                </c:pt>
                <c:pt idx="1213">
                  <c:v>45986</c:v>
                </c:pt>
                <c:pt idx="1214">
                  <c:v>45987</c:v>
                </c:pt>
                <c:pt idx="1215">
                  <c:v>45988</c:v>
                </c:pt>
                <c:pt idx="1216">
                  <c:v>45989</c:v>
                </c:pt>
                <c:pt idx="1217">
                  <c:v>45992</c:v>
                </c:pt>
                <c:pt idx="1218">
                  <c:v>45993</c:v>
                </c:pt>
                <c:pt idx="1219">
                  <c:v>45994</c:v>
                </c:pt>
                <c:pt idx="1220">
                  <c:v>45995</c:v>
                </c:pt>
                <c:pt idx="1221">
                  <c:v>45996</c:v>
                </c:pt>
                <c:pt idx="1222">
                  <c:v>45999</c:v>
                </c:pt>
                <c:pt idx="1223">
                  <c:v>46000</c:v>
                </c:pt>
                <c:pt idx="1224">
                  <c:v>46001</c:v>
                </c:pt>
                <c:pt idx="1225">
                  <c:v>46002</c:v>
                </c:pt>
                <c:pt idx="1226">
                  <c:v>46003</c:v>
                </c:pt>
                <c:pt idx="1227">
                  <c:v>46006</c:v>
                </c:pt>
                <c:pt idx="1228">
                  <c:v>46007</c:v>
                </c:pt>
                <c:pt idx="1229">
                  <c:v>46008</c:v>
                </c:pt>
                <c:pt idx="1230">
                  <c:v>46009</c:v>
                </c:pt>
                <c:pt idx="1231">
                  <c:v>46010</c:v>
                </c:pt>
                <c:pt idx="1232">
                  <c:v>46013</c:v>
                </c:pt>
                <c:pt idx="1233">
                  <c:v>46014</c:v>
                </c:pt>
                <c:pt idx="1234">
                  <c:v>46015</c:v>
                </c:pt>
                <c:pt idx="1235">
                  <c:v>46017</c:v>
                </c:pt>
                <c:pt idx="1236">
                  <c:v>46020</c:v>
                </c:pt>
                <c:pt idx="1237">
                  <c:v>46021</c:v>
                </c:pt>
                <c:pt idx="1238">
                  <c:v>46022</c:v>
                </c:pt>
              </c:numCache>
            </c:numRef>
          </c:cat>
          <c:val>
            <c:numRef>
              <c:f>'Drawdown Data'!$B$2:$B$1240</c:f>
              <c:numCache>
                <c:formatCode>General</c:formatCode>
                <c:ptCount val="1239"/>
                <c:pt idx="0">
                  <c:v>0</c:v>
                </c:pt>
                <c:pt idx="1">
                  <c:v>0</c:v>
                </c:pt>
                <c:pt idx="2">
                  <c:v>0</c:v>
                </c:pt>
                <c:pt idx="3">
                  <c:v>-3.7501320469031096E-3</c:v>
                </c:pt>
                <c:pt idx="4">
                  <c:v>-4.3769146800943792E-3</c:v>
                </c:pt>
                <c:pt idx="5">
                  <c:v>0</c:v>
                </c:pt>
                <c:pt idx="6">
                  <c:v>0</c:v>
                </c:pt>
                <c:pt idx="7">
                  <c:v>0</c:v>
                </c:pt>
                <c:pt idx="8">
                  <c:v>0</c:v>
                </c:pt>
                <c:pt idx="9">
                  <c:v>0</c:v>
                </c:pt>
                <c:pt idx="10">
                  <c:v>-1.1092384006138767E-2</c:v>
                </c:pt>
                <c:pt idx="11">
                  <c:v>-2.1533886924826717E-2</c:v>
                </c:pt>
                <c:pt idx="12">
                  <c:v>-5.1008523116555793E-3</c:v>
                </c:pt>
                <c:pt idx="13">
                  <c:v>0</c:v>
                </c:pt>
                <c:pt idx="14">
                  <c:v>-3.711240243910785E-3</c:v>
                </c:pt>
                <c:pt idx="15">
                  <c:v>-1.8627899513134483E-2</c:v>
                </c:pt>
                <c:pt idx="16">
                  <c:v>-2.7709683366678783E-2</c:v>
                </c:pt>
                <c:pt idx="17">
                  <c:v>-4.6241985155039078E-2</c:v>
                </c:pt>
                <c:pt idx="18">
                  <c:v>-5.6481184319241873E-2</c:v>
                </c:pt>
                <c:pt idx="19">
                  <c:v>-6.8973758424549558E-2</c:v>
                </c:pt>
                <c:pt idx="20">
                  <c:v>-2.482126639671689E-2</c:v>
                </c:pt>
                <c:pt idx="21">
                  <c:v>0</c:v>
                </c:pt>
                <c:pt idx="22">
                  <c:v>0</c:v>
                </c:pt>
                <c:pt idx="23">
                  <c:v>0</c:v>
                </c:pt>
                <c:pt idx="24">
                  <c:v>0</c:v>
                </c:pt>
                <c:pt idx="25">
                  <c:v>0</c:v>
                </c:pt>
                <c:pt idx="26">
                  <c:v>-4.3001362812422617E-4</c:v>
                </c:pt>
                <c:pt idx="27">
                  <c:v>-6.1525026793152193E-4</c:v>
                </c:pt>
                <c:pt idx="28">
                  <c:v>0</c:v>
                </c:pt>
                <c:pt idx="29">
                  <c:v>-6.5905241443853235E-4</c:v>
                </c:pt>
                <c:pt idx="30">
                  <c:v>0</c:v>
                </c:pt>
                <c:pt idx="31">
                  <c:v>-8.1620926299597052E-5</c:v>
                </c:pt>
                <c:pt idx="32">
                  <c:v>-6.9083952019954875E-3</c:v>
                </c:pt>
                <c:pt idx="33">
                  <c:v>-1.2781837058512435E-2</c:v>
                </c:pt>
                <c:pt idx="34">
                  <c:v>-2.1740549929153086E-2</c:v>
                </c:pt>
                <c:pt idx="35">
                  <c:v>-4.1724617524339314E-2</c:v>
                </c:pt>
                <c:pt idx="36">
                  <c:v>-3.9628592136966567E-2</c:v>
                </c:pt>
                <c:pt idx="37">
                  <c:v>-2.1724225743893211E-2</c:v>
                </c:pt>
                <c:pt idx="38">
                  <c:v>-1.4192246664968988E-2</c:v>
                </c:pt>
                <c:pt idx="39">
                  <c:v>-5.1293854923700866E-2</c:v>
                </c:pt>
                <c:pt idx="40">
                  <c:v>-3.6118892306085115E-2</c:v>
                </c:pt>
                <c:pt idx="41">
                  <c:v>-2.5831390755287398E-2</c:v>
                </c:pt>
                <c:pt idx="42">
                  <c:v>-4.5120048058401308E-3</c:v>
                </c:pt>
                <c:pt idx="43">
                  <c:v>-1.5276172566227264E-2</c:v>
                </c:pt>
                <c:pt idx="44">
                  <c:v>-2.4590752675534011E-2</c:v>
                </c:pt>
                <c:pt idx="45">
                  <c:v>-2.3408881662716263E-2</c:v>
                </c:pt>
                <c:pt idx="46">
                  <c:v>-1.4123685086877336E-2</c:v>
                </c:pt>
                <c:pt idx="47">
                  <c:v>-9.135014071447789E-3</c:v>
                </c:pt>
                <c:pt idx="48">
                  <c:v>-1.852795027000198E-2</c:v>
                </c:pt>
                <c:pt idx="49">
                  <c:v>-2.5152304648475066E-2</c:v>
                </c:pt>
                <c:pt idx="50">
                  <c:v>-2.6396207565280383E-2</c:v>
                </c:pt>
                <c:pt idx="51">
                  <c:v>-3.8747086132931208E-2</c:v>
                </c:pt>
                <c:pt idx="52">
                  <c:v>-4.941983845586273E-2</c:v>
                </c:pt>
                <c:pt idx="53">
                  <c:v>-3.726485011133096E-2</c:v>
                </c:pt>
                <c:pt idx="54">
                  <c:v>-3.7761105343232404E-2</c:v>
                </c:pt>
                <c:pt idx="55">
                  <c:v>-3.2645105682775455E-2</c:v>
                </c:pt>
                <c:pt idx="56">
                  <c:v>-4.9971595917647771E-2</c:v>
                </c:pt>
                <c:pt idx="57">
                  <c:v>-6.4630714281050272E-2</c:v>
                </c:pt>
                <c:pt idx="58">
                  <c:v>-5.2720588715417294E-2</c:v>
                </c:pt>
                <c:pt idx="59">
                  <c:v>-3.0663349592221834E-2</c:v>
                </c:pt>
                <c:pt idx="60">
                  <c:v>-4.0745166408744593E-2</c:v>
                </c:pt>
                <c:pt idx="61">
                  <c:v>-2.9210497104089517E-2</c:v>
                </c:pt>
                <c:pt idx="62">
                  <c:v>-4.4199364009742337E-2</c:v>
                </c:pt>
                <c:pt idx="63">
                  <c:v>-4.1215302944230148E-2</c:v>
                </c:pt>
                <c:pt idx="64">
                  <c:v>-3.2364329696304983E-2</c:v>
                </c:pt>
                <c:pt idx="65">
                  <c:v>-2.8789333124383809E-2</c:v>
                </c:pt>
                <c:pt idx="66">
                  <c:v>-3.1332641187878374E-2</c:v>
                </c:pt>
                <c:pt idx="67">
                  <c:v>-6.5551398329709465E-2</c:v>
                </c:pt>
                <c:pt idx="68">
                  <c:v>-5.2883830568016488E-2</c:v>
                </c:pt>
                <c:pt idx="69">
                  <c:v>-4.7878835367326844E-2</c:v>
                </c:pt>
                <c:pt idx="70">
                  <c:v>-4.5502033993483404E-2</c:v>
                </c:pt>
                <c:pt idx="71">
                  <c:v>-6.2374711878130151E-2</c:v>
                </c:pt>
                <c:pt idx="72">
                  <c:v>-6.6491671400680463E-2</c:v>
                </c:pt>
                <c:pt idx="73">
                  <c:v>-5.9325354071578351E-2</c:v>
                </c:pt>
                <c:pt idx="74">
                  <c:v>-6.3556582890947899E-2</c:v>
                </c:pt>
                <c:pt idx="75">
                  <c:v>-5.4176706040601541E-2</c:v>
                </c:pt>
                <c:pt idx="76">
                  <c:v>-4.320358870888763E-2</c:v>
                </c:pt>
                <c:pt idx="77">
                  <c:v>-2.9393327979000627E-2</c:v>
                </c:pt>
                <c:pt idx="78">
                  <c:v>-2.7411571888447117E-2</c:v>
                </c:pt>
                <c:pt idx="79">
                  <c:v>-4.463685217470803E-2</c:v>
                </c:pt>
                <c:pt idx="80">
                  <c:v>-4.4437697114537045E-2</c:v>
                </c:pt>
                <c:pt idx="81">
                  <c:v>-5.3425793518645515E-2</c:v>
                </c:pt>
                <c:pt idx="82">
                  <c:v>-4.5502033993483404E-2</c:v>
                </c:pt>
                <c:pt idx="83">
                  <c:v>-3.8518547539292403E-2</c:v>
                </c:pt>
                <c:pt idx="84">
                  <c:v>-3.2096613058042345E-2</c:v>
                </c:pt>
                <c:pt idx="85">
                  <c:v>-2.431324152611547E-2</c:v>
                </c:pt>
                <c:pt idx="86">
                  <c:v>-3.0294423005347904E-2</c:v>
                </c:pt>
                <c:pt idx="87">
                  <c:v>-4.0366445310714538E-2</c:v>
                </c:pt>
                <c:pt idx="88">
                  <c:v>-4.158749436815623E-2</c:v>
                </c:pt>
                <c:pt idx="89">
                  <c:v>-2.5566938954076912E-2</c:v>
                </c:pt>
                <c:pt idx="90">
                  <c:v>-1.3490306698792698E-2</c:v>
                </c:pt>
                <c:pt idx="91">
                  <c:v>-1.8580187662833869E-2</c:v>
                </c:pt>
                <c:pt idx="92">
                  <c:v>-2.6683513225854938E-2</c:v>
                </c:pt>
                <c:pt idx="93">
                  <c:v>-9.102365700927928E-3</c:v>
                </c:pt>
                <c:pt idx="94">
                  <c:v>-7.6397187016395973E-3</c:v>
                </c:pt>
                <c:pt idx="95">
                  <c:v>-6.9377787354633069E-3</c:v>
                </c:pt>
                <c:pt idx="96">
                  <c:v>-8.6518181877537348E-4</c:v>
                </c:pt>
                <c:pt idx="97">
                  <c:v>0</c:v>
                </c:pt>
                <c:pt idx="98">
                  <c:v>0</c:v>
                </c:pt>
                <c:pt idx="99">
                  <c:v>0</c:v>
                </c:pt>
                <c:pt idx="100">
                  <c:v>-5.1017788844098799E-4</c:v>
                </c:pt>
                <c:pt idx="101">
                  <c:v>-4.2354390738497116E-4</c:v>
                </c:pt>
                <c:pt idx="102">
                  <c:v>0</c:v>
                </c:pt>
                <c:pt idx="103">
                  <c:v>-1.2810421692314167E-3</c:v>
                </c:pt>
                <c:pt idx="104">
                  <c:v>0</c:v>
                </c:pt>
                <c:pt idx="105">
                  <c:v>-7.3325651598399322E-4</c:v>
                </c:pt>
                <c:pt idx="106">
                  <c:v>-7.3833534899517828E-3</c:v>
                </c:pt>
                <c:pt idx="107">
                  <c:v>-8.8244723568642325E-4</c:v>
                </c:pt>
                <c:pt idx="108">
                  <c:v>0</c:v>
                </c:pt>
                <c:pt idx="109">
                  <c:v>0</c:v>
                </c:pt>
                <c:pt idx="110">
                  <c:v>0</c:v>
                </c:pt>
                <c:pt idx="111">
                  <c:v>-6.4086204452006301E-3</c:v>
                </c:pt>
                <c:pt idx="112">
                  <c:v>-1.1207208910314015E-2</c:v>
                </c:pt>
                <c:pt idx="113">
                  <c:v>-1.1714479260204413E-2</c:v>
                </c:pt>
                <c:pt idx="114">
                  <c:v>-7.7350851489516037E-3</c:v>
                </c:pt>
                <c:pt idx="115">
                  <c:v>-6.0809427036564445E-3</c:v>
                </c:pt>
                <c:pt idx="116">
                  <c:v>-1.1487625439135396E-2</c:v>
                </c:pt>
                <c:pt idx="117">
                  <c:v>-4.9655780834002572E-3</c:v>
                </c:pt>
                <c:pt idx="118">
                  <c:v>-5.6083305764287328E-4</c:v>
                </c:pt>
                <c:pt idx="119">
                  <c:v>-3.4374655386990582E-3</c:v>
                </c:pt>
                <c:pt idx="120">
                  <c:v>-7.6122059958724231E-3</c:v>
                </c:pt>
                <c:pt idx="121">
                  <c:v>-9.3104589063754961E-3</c:v>
                </c:pt>
                <c:pt idx="122">
                  <c:v>-1.1925579343699311E-2</c:v>
                </c:pt>
                <c:pt idx="123">
                  <c:v>-9.2663484411675823E-3</c:v>
                </c:pt>
                <c:pt idx="124">
                  <c:v>-2.1992217653638013E-3</c:v>
                </c:pt>
                <c:pt idx="125">
                  <c:v>-3.2137624651448204E-3</c:v>
                </c:pt>
                <c:pt idx="126">
                  <c:v>0</c:v>
                </c:pt>
                <c:pt idx="127">
                  <c:v>-9.5562559628203925E-3</c:v>
                </c:pt>
                <c:pt idx="128">
                  <c:v>-1.1955553176549838E-2</c:v>
                </c:pt>
                <c:pt idx="129">
                  <c:v>-1.1779226872128734E-2</c:v>
                </c:pt>
                <c:pt idx="130">
                  <c:v>-4.2381286741206559E-3</c:v>
                </c:pt>
                <c:pt idx="131">
                  <c:v>-1.6184235798647473E-3</c:v>
                </c:pt>
                <c:pt idx="132">
                  <c:v>0</c:v>
                </c:pt>
                <c:pt idx="133">
                  <c:v>-5.023800253711741E-5</c:v>
                </c:pt>
                <c:pt idx="134">
                  <c:v>-1.0788611044824981E-2</c:v>
                </c:pt>
                <c:pt idx="135">
                  <c:v>-1.8343150676329079E-2</c:v>
                </c:pt>
                <c:pt idx="136">
                  <c:v>-6.2891699426032011E-3</c:v>
                </c:pt>
                <c:pt idx="137">
                  <c:v>-4.2796498411223904E-3</c:v>
                </c:pt>
                <c:pt idx="138">
                  <c:v>-6.2640509413345313E-3</c:v>
                </c:pt>
                <c:pt idx="139">
                  <c:v>-1.1162256188693931E-2</c:v>
                </c:pt>
                <c:pt idx="140">
                  <c:v>-1.3488903681189712E-2</c:v>
                </c:pt>
                <c:pt idx="141">
                  <c:v>-9.1527360872131203E-3</c:v>
                </c:pt>
                <c:pt idx="142">
                  <c:v>-1.0119817636050854E-2</c:v>
                </c:pt>
                <c:pt idx="143">
                  <c:v>-2.4522424988383529E-3</c:v>
                </c:pt>
                <c:pt idx="144">
                  <c:v>0</c:v>
                </c:pt>
                <c:pt idx="145">
                  <c:v>0</c:v>
                </c:pt>
                <c:pt idx="146">
                  <c:v>0</c:v>
                </c:pt>
                <c:pt idx="147">
                  <c:v>-3.4612693775851744E-3</c:v>
                </c:pt>
                <c:pt idx="148">
                  <c:v>-2.2308003878586113E-3</c:v>
                </c:pt>
                <c:pt idx="149">
                  <c:v>-8.8986535416646362E-4</c:v>
                </c:pt>
                <c:pt idx="150">
                  <c:v>-7.5791980165207384E-4</c:v>
                </c:pt>
                <c:pt idx="151">
                  <c:v>0</c:v>
                </c:pt>
                <c:pt idx="152">
                  <c:v>0</c:v>
                </c:pt>
                <c:pt idx="153">
                  <c:v>0</c:v>
                </c:pt>
                <c:pt idx="154">
                  <c:v>0</c:v>
                </c:pt>
                <c:pt idx="155">
                  <c:v>-2.7536022534397908E-3</c:v>
                </c:pt>
                <c:pt idx="156">
                  <c:v>-9.8768552959443978E-3</c:v>
                </c:pt>
                <c:pt idx="157">
                  <c:v>-7.1112154370250868E-3</c:v>
                </c:pt>
                <c:pt idx="158">
                  <c:v>0</c:v>
                </c:pt>
                <c:pt idx="159">
                  <c:v>0</c:v>
                </c:pt>
                <c:pt idx="160">
                  <c:v>0</c:v>
                </c:pt>
                <c:pt idx="161">
                  <c:v>0</c:v>
                </c:pt>
                <c:pt idx="162">
                  <c:v>0</c:v>
                </c:pt>
                <c:pt idx="163">
                  <c:v>0</c:v>
                </c:pt>
                <c:pt idx="164">
                  <c:v>-3.2657802267076486E-3</c:v>
                </c:pt>
                <c:pt idx="165">
                  <c:v>0</c:v>
                </c:pt>
                <c:pt idx="166">
                  <c:v>0</c:v>
                </c:pt>
                <c:pt idx="167">
                  <c:v>0</c:v>
                </c:pt>
                <c:pt idx="168">
                  <c:v>-9.0345153011317514E-4</c:v>
                </c:pt>
                <c:pt idx="169">
                  <c:v>-1.3983358077547248E-3</c:v>
                </c:pt>
                <c:pt idx="170">
                  <c:v>-4.9200704346918922E-4</c:v>
                </c:pt>
                <c:pt idx="171">
                  <c:v>-1.2947553775506382E-3</c:v>
                </c:pt>
                <c:pt idx="172">
                  <c:v>0</c:v>
                </c:pt>
                <c:pt idx="173">
                  <c:v>0</c:v>
                </c:pt>
                <c:pt idx="174">
                  <c:v>0</c:v>
                </c:pt>
                <c:pt idx="175">
                  <c:v>-2.5156697580758225E-3</c:v>
                </c:pt>
                <c:pt idx="176">
                  <c:v>-1.3193794492186273E-2</c:v>
                </c:pt>
                <c:pt idx="177">
                  <c:v>-3.8288096656172721E-3</c:v>
                </c:pt>
                <c:pt idx="178">
                  <c:v>-4.6995093451316361E-3</c:v>
                </c:pt>
                <c:pt idx="179">
                  <c:v>0</c:v>
                </c:pt>
                <c:pt idx="180">
                  <c:v>0</c:v>
                </c:pt>
                <c:pt idx="181">
                  <c:v>0</c:v>
                </c:pt>
                <c:pt idx="182">
                  <c:v>-5.9646823596619658E-3</c:v>
                </c:pt>
                <c:pt idx="183">
                  <c:v>-8.0537213457219092E-3</c:v>
                </c:pt>
                <c:pt idx="184">
                  <c:v>-1.3270718170158458E-2</c:v>
                </c:pt>
                <c:pt idx="185">
                  <c:v>-1.8092869824307911E-2</c:v>
                </c:pt>
                <c:pt idx="186">
                  <c:v>-9.1766498087380022E-3</c:v>
                </c:pt>
                <c:pt idx="187">
                  <c:v>-1.837010153961538E-3</c:v>
                </c:pt>
                <c:pt idx="188">
                  <c:v>-1.1710939731505166E-2</c:v>
                </c:pt>
                <c:pt idx="189">
                  <c:v>-3.6264148618602166E-3</c:v>
                </c:pt>
                <c:pt idx="190">
                  <c:v>0</c:v>
                </c:pt>
                <c:pt idx="191">
                  <c:v>0</c:v>
                </c:pt>
                <c:pt idx="192">
                  <c:v>0</c:v>
                </c:pt>
                <c:pt idx="193">
                  <c:v>0</c:v>
                </c:pt>
                <c:pt idx="194">
                  <c:v>0</c:v>
                </c:pt>
                <c:pt idx="195">
                  <c:v>0</c:v>
                </c:pt>
                <c:pt idx="196">
                  <c:v>-3.1552655862272516E-3</c:v>
                </c:pt>
                <c:pt idx="197">
                  <c:v>-1.1389805190763713E-2</c:v>
                </c:pt>
                <c:pt idx="198">
                  <c:v>-1.6179530823372867E-2</c:v>
                </c:pt>
                <c:pt idx="199">
                  <c:v>-1.959999025818504E-2</c:v>
                </c:pt>
                <c:pt idx="200">
                  <c:v>-1.9031717725502606E-2</c:v>
                </c:pt>
                <c:pt idx="201">
                  <c:v>-1.1292387042303731E-2</c:v>
                </c:pt>
                <c:pt idx="202">
                  <c:v>-1.4401649613980494E-2</c:v>
                </c:pt>
                <c:pt idx="203">
                  <c:v>-3.3544315786340317E-2</c:v>
                </c:pt>
                <c:pt idx="204">
                  <c:v>-4.3589209316422184E-2</c:v>
                </c:pt>
                <c:pt idx="205">
                  <c:v>-2.9625941370510889E-2</c:v>
                </c:pt>
                <c:pt idx="206">
                  <c:v>-3.1828673949575226E-2</c:v>
                </c:pt>
                <c:pt idx="207">
                  <c:v>-3.5062415266506219E-2</c:v>
                </c:pt>
                <c:pt idx="208">
                  <c:v>-3.0321398708127112E-2</c:v>
                </c:pt>
                <c:pt idx="209">
                  <c:v>-2.2108507581026227E-2</c:v>
                </c:pt>
                <c:pt idx="210">
                  <c:v>-2.3423652585234045E-2</c:v>
                </c:pt>
                <c:pt idx="211">
                  <c:v>-2.4887630871811117E-2</c:v>
                </c:pt>
                <c:pt idx="212">
                  <c:v>-3.2659434271163468E-2</c:v>
                </c:pt>
                <c:pt idx="213">
                  <c:v>-2.0257562760289116E-2</c:v>
                </c:pt>
                <c:pt idx="214">
                  <c:v>-1.9894950763244101E-2</c:v>
                </c:pt>
                <c:pt idx="215">
                  <c:v>-2.5861812356409608E-2</c:v>
                </c:pt>
                <c:pt idx="216">
                  <c:v>-3.1303698371763722E-2</c:v>
                </c:pt>
                <c:pt idx="217">
                  <c:v>-3.8547820133625232E-2</c:v>
                </c:pt>
                <c:pt idx="218">
                  <c:v>-5.7395525800925995E-2</c:v>
                </c:pt>
                <c:pt idx="219">
                  <c:v>-5.2697806197417929E-2</c:v>
                </c:pt>
                <c:pt idx="220">
                  <c:v>-5.7476707591309184E-2</c:v>
                </c:pt>
                <c:pt idx="221">
                  <c:v>-5.091721892834622E-2</c:v>
                </c:pt>
                <c:pt idx="222">
                  <c:v>-7.8508203419918154E-2</c:v>
                </c:pt>
                <c:pt idx="223">
                  <c:v>-7.7019870596226059E-2</c:v>
                </c:pt>
                <c:pt idx="224">
                  <c:v>-8.0848945042633846E-2</c:v>
                </c:pt>
                <c:pt idx="225">
                  <c:v>-7.0906881780370634E-2</c:v>
                </c:pt>
                <c:pt idx="226">
                  <c:v>-5.8201931585399103E-2</c:v>
                </c:pt>
                <c:pt idx="227">
                  <c:v>-6.9294070211424419E-2</c:v>
                </c:pt>
                <c:pt idx="228">
                  <c:v>-8.4688843727759533E-2</c:v>
                </c:pt>
                <c:pt idx="229">
                  <c:v>-7.0376494083200458E-2</c:v>
                </c:pt>
                <c:pt idx="230">
                  <c:v>-5.4516278302001675E-2</c:v>
                </c:pt>
                <c:pt idx="231">
                  <c:v>-5.1967170083969116E-2</c:v>
                </c:pt>
                <c:pt idx="232">
                  <c:v>-5.2267542708386849E-2</c:v>
                </c:pt>
                <c:pt idx="233">
                  <c:v>-6.0009579451265171E-2</c:v>
                </c:pt>
                <c:pt idx="234">
                  <c:v>-6.2355733193339757E-2</c:v>
                </c:pt>
                <c:pt idx="235">
                  <c:v>-6.7957276729780913E-2</c:v>
                </c:pt>
                <c:pt idx="236">
                  <c:v>-6.6496004502883177E-2</c:v>
                </c:pt>
                <c:pt idx="237">
                  <c:v>-8.0740702655456298E-2</c:v>
                </c:pt>
                <c:pt idx="238">
                  <c:v>-0.10081966547690235</c:v>
                </c:pt>
                <c:pt idx="239">
                  <c:v>-9.2341580501216436E-2</c:v>
                </c:pt>
                <c:pt idx="240">
                  <c:v>-8.2350808164723177E-2</c:v>
                </c:pt>
                <c:pt idx="241">
                  <c:v>-7.6010510335794979E-2</c:v>
                </c:pt>
                <c:pt idx="242">
                  <c:v>-7.9736754514384001E-2</c:v>
                </c:pt>
                <c:pt idx="243">
                  <c:v>-7.5271756043307714E-2</c:v>
                </c:pt>
                <c:pt idx="244">
                  <c:v>-6.7315940585753631E-2</c:v>
                </c:pt>
                <c:pt idx="245">
                  <c:v>-6.8379422039773652E-2</c:v>
                </c:pt>
                <c:pt idx="246">
                  <c:v>-6.8901691557905487E-2</c:v>
                </c:pt>
                <c:pt idx="247">
                  <c:v>-6.0778100400226243E-2</c:v>
                </c:pt>
                <c:pt idx="248">
                  <c:v>-4.6076078161827683E-2</c:v>
                </c:pt>
                <c:pt idx="249">
                  <c:v>-3.6358617852958131E-2</c:v>
                </c:pt>
                <c:pt idx="250">
                  <c:v>-2.9864074622301673E-2</c:v>
                </c:pt>
                <c:pt idx="251">
                  <c:v>-3.9570710692453548E-2</c:v>
                </c:pt>
                <c:pt idx="252">
                  <c:v>-3.5955414960721521E-2</c:v>
                </c:pt>
                <c:pt idx="253">
                  <c:v>-2.5639915462695617E-2</c:v>
                </c:pt>
                <c:pt idx="254">
                  <c:v>-2.2801258858962892E-2</c:v>
                </c:pt>
                <c:pt idx="255">
                  <c:v>-1.432587994295631E-2</c:v>
                </c:pt>
                <c:pt idx="256">
                  <c:v>-1.1866071694345171E-2</c:v>
                </c:pt>
                <c:pt idx="257">
                  <c:v>-1.1977020141202166E-2</c:v>
                </c:pt>
                <c:pt idx="258">
                  <c:v>-9.1437756568283346E-3</c:v>
                </c:pt>
                <c:pt idx="259">
                  <c:v>-1.970011446632447E-2</c:v>
                </c:pt>
                <c:pt idx="260">
                  <c:v>-2.9152380926608878E-2</c:v>
                </c:pt>
                <c:pt idx="261">
                  <c:v>-3.896996544361786E-2</c:v>
                </c:pt>
                <c:pt idx="262">
                  <c:v>-4.6538814367011905E-2</c:v>
                </c:pt>
                <c:pt idx="263">
                  <c:v>-7.1870239026251559E-2</c:v>
                </c:pt>
                <c:pt idx="264">
                  <c:v>-6.4896723232334086E-2</c:v>
                </c:pt>
                <c:pt idx="265">
                  <c:v>-7.397825951653525E-2</c:v>
                </c:pt>
                <c:pt idx="266">
                  <c:v>-7.4422053303963454E-2</c:v>
                </c:pt>
                <c:pt idx="267">
                  <c:v>-6.1546621349187314E-2</c:v>
                </c:pt>
                <c:pt idx="268">
                  <c:v>-4.8719898468640888E-2</c:v>
                </c:pt>
                <c:pt idx="269">
                  <c:v>-3.7725177991075332E-2</c:v>
                </c:pt>
                <c:pt idx="270">
                  <c:v>-4.9621016341894308E-2</c:v>
                </c:pt>
                <c:pt idx="271">
                  <c:v>-5.1996936740442923E-2</c:v>
                </c:pt>
                <c:pt idx="272">
                  <c:v>-6.8379422039773652E-2</c:v>
                </c:pt>
                <c:pt idx="273">
                  <c:v>-6.5502880600528779E-2</c:v>
                </c:pt>
                <c:pt idx="274">
                  <c:v>-5.4838299403855095E-2</c:v>
                </c:pt>
                <c:pt idx="275">
                  <c:v>-4.7150383854565603E-2</c:v>
                </c:pt>
                <c:pt idx="276">
                  <c:v>-5.9657791692937945E-2</c:v>
                </c:pt>
                <c:pt idx="277">
                  <c:v>-8.844756062250192E-2</c:v>
                </c:pt>
                <c:pt idx="278">
                  <c:v>-6.0864694309968215E-2</c:v>
                </c:pt>
                <c:pt idx="279">
                  <c:v>-6.2501860416029564E-2</c:v>
                </c:pt>
                <c:pt idx="280">
                  <c:v>-6.345439342319259E-2</c:v>
                </c:pt>
                <c:pt idx="281">
                  <c:v>-6.4986023201755727E-2</c:v>
                </c:pt>
                <c:pt idx="282">
                  <c:v>-6.875556433521568E-2</c:v>
                </c:pt>
                <c:pt idx="283">
                  <c:v>-7.4949734941454293E-2</c:v>
                </c:pt>
                <c:pt idx="284">
                  <c:v>-7.6516543495850242E-2</c:v>
                </c:pt>
                <c:pt idx="285">
                  <c:v>-0.12064155262880161</c:v>
                </c:pt>
                <c:pt idx="286">
                  <c:v>-9.8427508720277168E-2</c:v>
                </c:pt>
                <c:pt idx="287">
                  <c:v>-9.1094086988994349E-2</c:v>
                </c:pt>
                <c:pt idx="288">
                  <c:v>-0.10126616532401</c:v>
                </c:pt>
                <c:pt idx="289">
                  <c:v>-0.10710584211224194</c:v>
                </c:pt>
                <c:pt idx="290">
                  <c:v>-0.12078226773213252</c:v>
                </c:pt>
                <c:pt idx="291">
                  <c:v>-0.14146738792177316</c:v>
                </c:pt>
                <c:pt idx="292">
                  <c:v>-0.13333297252537601</c:v>
                </c:pt>
                <c:pt idx="293">
                  <c:v>-0.11537014837325221</c:v>
                </c:pt>
                <c:pt idx="294">
                  <c:v>-0.10186420451316625</c:v>
                </c:pt>
                <c:pt idx="295">
                  <c:v>-9.9940196081084287E-2</c:v>
                </c:pt>
                <c:pt idx="296">
                  <c:v>-8.6905106605221105E-2</c:v>
                </c:pt>
                <c:pt idx="297">
                  <c:v>-9.8178551229768818E-2</c:v>
                </c:pt>
                <c:pt idx="298">
                  <c:v>-8.1273796412306143E-2</c:v>
                </c:pt>
                <c:pt idx="299">
                  <c:v>-6.4404220370676057E-2</c:v>
                </c:pt>
                <c:pt idx="300">
                  <c:v>-7.3575056624298862E-2</c:v>
                </c:pt>
                <c:pt idx="301">
                  <c:v>-6.2864472413074579E-2</c:v>
                </c:pt>
                <c:pt idx="302">
                  <c:v>-6.6644837785252431E-2</c:v>
                </c:pt>
                <c:pt idx="303">
                  <c:v>-6.7884213118436065E-2</c:v>
                </c:pt>
                <c:pt idx="304">
                  <c:v>-7.1659166371255134E-2</c:v>
                </c:pt>
                <c:pt idx="305">
                  <c:v>-6.792480401362766E-2</c:v>
                </c:pt>
                <c:pt idx="306">
                  <c:v>-6.2334084715904292E-2</c:v>
                </c:pt>
                <c:pt idx="307">
                  <c:v>-5.297382428472075E-2</c:v>
                </c:pt>
                <c:pt idx="308">
                  <c:v>-5.4786884269945602E-2</c:v>
                </c:pt>
                <c:pt idx="309">
                  <c:v>-4.3654154748728802E-2</c:v>
                </c:pt>
                <c:pt idx="310">
                  <c:v>-2.2928443663896458E-2</c:v>
                </c:pt>
                <c:pt idx="311">
                  <c:v>-2.8124078248421558E-2</c:v>
                </c:pt>
                <c:pt idx="312">
                  <c:v>-3.6228726988344895E-2</c:v>
                </c:pt>
                <c:pt idx="313">
                  <c:v>-4.5326499630622852E-2</c:v>
                </c:pt>
                <c:pt idx="314">
                  <c:v>-3.7489750798964216E-2</c:v>
                </c:pt>
                <c:pt idx="315">
                  <c:v>-4.3410609377579124E-2</c:v>
                </c:pt>
                <c:pt idx="316">
                  <c:v>-5.123924003019964E-2</c:v>
                </c:pt>
                <c:pt idx="317">
                  <c:v>-5.4196963259827591E-2</c:v>
                </c:pt>
                <c:pt idx="318">
                  <c:v>-7.0541563723646283E-2</c:v>
                </c:pt>
                <c:pt idx="319">
                  <c:v>-8.2177620345239011E-2</c:v>
                </c:pt>
                <c:pt idx="320">
                  <c:v>-7.2549460005790989E-2</c:v>
                </c:pt>
                <c:pt idx="321">
                  <c:v>-5.8691728387377906E-2</c:v>
                </c:pt>
                <c:pt idx="322">
                  <c:v>-7.0633569752747261E-2</c:v>
                </c:pt>
                <c:pt idx="323">
                  <c:v>-8.2431989955106366E-2</c:v>
                </c:pt>
                <c:pt idx="324">
                  <c:v>-6.9072173317710317E-2</c:v>
                </c:pt>
                <c:pt idx="325">
                  <c:v>-7.7861455156531867E-2</c:v>
                </c:pt>
                <c:pt idx="326">
                  <c:v>-6.6677310501405795E-2</c:v>
                </c:pt>
                <c:pt idx="327">
                  <c:v>-7.4389580587810311E-2</c:v>
                </c:pt>
                <c:pt idx="328">
                  <c:v>-7.6199934513355827E-2</c:v>
                </c:pt>
                <c:pt idx="329">
                  <c:v>-9.7388381803372281E-2</c:v>
                </c:pt>
                <c:pt idx="330">
                  <c:v>-9.7115069775748686E-2</c:v>
                </c:pt>
                <c:pt idx="331">
                  <c:v>-0.11180356171575001</c:v>
                </c:pt>
                <c:pt idx="332">
                  <c:v>-0.11772442029436514</c:v>
                </c:pt>
                <c:pt idx="333">
                  <c:v>-0.12106911005815324</c:v>
                </c:pt>
                <c:pt idx="334">
                  <c:v>-0.12501725113045636</c:v>
                </c:pt>
                <c:pt idx="335">
                  <c:v>-0.14445217174819569</c:v>
                </c:pt>
                <c:pt idx="336">
                  <c:v>-0.14585120460246626</c:v>
                </c:pt>
                <c:pt idx="337">
                  <c:v>-0.1425958148080998</c:v>
                </c:pt>
                <c:pt idx="338">
                  <c:v>-0.1200272770815688</c:v>
                </c:pt>
                <c:pt idx="339">
                  <c:v>-0.121055579759756</c:v>
                </c:pt>
                <c:pt idx="340">
                  <c:v>-0.1443764020771714</c:v>
                </c:pt>
                <c:pt idx="341">
                  <c:v>-0.11965654690548544</c:v>
                </c:pt>
                <c:pt idx="342">
                  <c:v>-0.12244108231562933</c:v>
                </c:pt>
                <c:pt idx="343">
                  <c:v>-0.12728763520150677</c:v>
                </c:pt>
                <c:pt idx="344">
                  <c:v>-0.13266457578455437</c:v>
                </c:pt>
                <c:pt idx="345">
                  <c:v>-0.12485218149001054</c:v>
                </c:pt>
                <c:pt idx="346">
                  <c:v>-0.11498588789877162</c:v>
                </c:pt>
                <c:pt idx="347">
                  <c:v>-9.826514513951079E-2</c:v>
                </c:pt>
                <c:pt idx="348">
                  <c:v>-0.10242435886681045</c:v>
                </c:pt>
                <c:pt idx="349">
                  <c:v>-0.10576904863059844</c:v>
                </c:pt>
                <c:pt idx="350">
                  <c:v>-0.10007279300537686</c:v>
                </c:pt>
                <c:pt idx="351">
                  <c:v>-0.10243788916520769</c:v>
                </c:pt>
                <c:pt idx="352">
                  <c:v>-0.10323617677064245</c:v>
                </c:pt>
                <c:pt idx="353">
                  <c:v>-0.11152754362844719</c:v>
                </c:pt>
                <c:pt idx="354">
                  <c:v>-0.1147802273631342</c:v>
                </c:pt>
                <c:pt idx="355">
                  <c:v>-0.10818555992433865</c:v>
                </c:pt>
                <c:pt idx="356">
                  <c:v>-0.12313924571292501</c:v>
                </c:pt>
                <c:pt idx="357">
                  <c:v>-0.14627064385277955</c:v>
                </c:pt>
                <c:pt idx="358">
                  <c:v>-0.14855997034158586</c:v>
                </c:pt>
                <c:pt idx="359">
                  <c:v>-0.1507221120254586</c:v>
                </c:pt>
                <c:pt idx="360">
                  <c:v>-0.16866599375982627</c:v>
                </c:pt>
                <c:pt idx="361">
                  <c:v>-0.17229752584963509</c:v>
                </c:pt>
                <c:pt idx="362">
                  <c:v>-0.16923156023282937</c:v>
                </c:pt>
                <c:pt idx="363">
                  <c:v>-0.15360947770342126</c:v>
                </c:pt>
                <c:pt idx="364">
                  <c:v>-0.16581380685769642</c:v>
                </c:pt>
                <c:pt idx="365">
                  <c:v>-0.15805553375674142</c:v>
                </c:pt>
                <c:pt idx="366">
                  <c:v>-0.15033785155097812</c:v>
                </c:pt>
                <c:pt idx="367">
                  <c:v>-0.143150557042385</c:v>
                </c:pt>
                <c:pt idx="368">
                  <c:v>-0.14216825737874816</c:v>
                </c:pt>
                <c:pt idx="369">
                  <c:v>-0.14493385037113604</c:v>
                </c:pt>
                <c:pt idx="370">
                  <c:v>-0.14595403487028502</c:v>
                </c:pt>
                <c:pt idx="371">
                  <c:v>-0.14748025252948926</c:v>
                </c:pt>
                <c:pt idx="372">
                  <c:v>-0.14297195710354194</c:v>
                </c:pt>
                <c:pt idx="373">
                  <c:v>-0.14429792634646754</c:v>
                </c:pt>
                <c:pt idx="374">
                  <c:v>-0.13461293875375124</c:v>
                </c:pt>
                <c:pt idx="375">
                  <c:v>-0.12686819595119347</c:v>
                </c:pt>
                <c:pt idx="376">
                  <c:v>-0.12212176727345536</c:v>
                </c:pt>
                <c:pt idx="377">
                  <c:v>-0.12237072476396393</c:v>
                </c:pt>
                <c:pt idx="378">
                  <c:v>-0.13090563699291824</c:v>
                </c:pt>
                <c:pt idx="379">
                  <c:v>-0.13586584438533211</c:v>
                </c:pt>
                <c:pt idx="380">
                  <c:v>-0.13738123780581857</c:v>
                </c:pt>
                <c:pt idx="381">
                  <c:v>-0.13139813985457627</c:v>
                </c:pt>
                <c:pt idx="382">
                  <c:v>-0.11898815016466369</c:v>
                </c:pt>
                <c:pt idx="383">
                  <c:v>-0.11562993010247846</c:v>
                </c:pt>
                <c:pt idx="384">
                  <c:v>-0.10587187889841732</c:v>
                </c:pt>
                <c:pt idx="385">
                  <c:v>-0.10130405015952215</c:v>
                </c:pt>
                <c:pt idx="386">
                  <c:v>-9.5123409851680774E-2</c:v>
                </c:pt>
                <c:pt idx="387">
                  <c:v>-9.9910429424610481E-2</c:v>
                </c:pt>
                <c:pt idx="388">
                  <c:v>-0.10787436306120302</c:v>
                </c:pt>
                <c:pt idx="389">
                  <c:v>-9.9325920533851475E-2</c:v>
                </c:pt>
                <c:pt idx="390">
                  <c:v>-8.3749841018993854E-2</c:v>
                </c:pt>
                <c:pt idx="391">
                  <c:v>-7.1375030104913861E-2</c:v>
                </c:pt>
                <c:pt idx="392">
                  <c:v>-6.1535797110469526E-2</c:v>
                </c:pt>
                <c:pt idx="393">
                  <c:v>-6.1243542665089912E-2</c:v>
                </c:pt>
                <c:pt idx="394">
                  <c:v>-5.8932567698847915E-2</c:v>
                </c:pt>
                <c:pt idx="395">
                  <c:v>-5.9265413039419124E-2</c:v>
                </c:pt>
                <c:pt idx="396">
                  <c:v>-5.8426534538792652E-2</c:v>
                </c:pt>
                <c:pt idx="397">
                  <c:v>-5.1520670236861466E-2</c:v>
                </c:pt>
                <c:pt idx="398">
                  <c:v>-5.0998400718729409E-2</c:v>
                </c:pt>
                <c:pt idx="399">
                  <c:v>-4.4273842415320619E-2</c:v>
                </c:pt>
                <c:pt idx="400">
                  <c:v>-4.2154997686318807E-2</c:v>
                </c:pt>
                <c:pt idx="401">
                  <c:v>-3.527619398118198E-2</c:v>
                </c:pt>
                <c:pt idx="402">
                  <c:v>-2.8835771944114463E-2</c:v>
                </c:pt>
                <c:pt idx="403">
                  <c:v>-2.8172787322651605E-2</c:v>
                </c:pt>
                <c:pt idx="404">
                  <c:v>-3.8891489712914007E-2</c:v>
                </c:pt>
                <c:pt idx="405">
                  <c:v>-5.3382439296316142E-2</c:v>
                </c:pt>
                <c:pt idx="406">
                  <c:v>-4.8684719692808076E-2</c:v>
                </c:pt>
                <c:pt idx="407">
                  <c:v>-4.7199092928795428E-2</c:v>
                </c:pt>
                <c:pt idx="408">
                  <c:v>-5.1664091399871603E-2</c:v>
                </c:pt>
                <c:pt idx="409">
                  <c:v>-4.9691373893559709E-2</c:v>
                </c:pt>
                <c:pt idx="410">
                  <c:v>-6.3005187516405381E-2</c:v>
                </c:pt>
                <c:pt idx="411">
                  <c:v>-3.8845486698363629E-2</c:v>
                </c:pt>
                <c:pt idx="412">
                  <c:v>-5.0562725110339546E-2</c:v>
                </c:pt>
                <c:pt idx="413">
                  <c:v>-5.0744031108862053E-2</c:v>
                </c:pt>
                <c:pt idx="414">
                  <c:v>-4.3905818298916821E-2</c:v>
                </c:pt>
                <c:pt idx="415">
                  <c:v>-4.4457854473522573E-2</c:v>
                </c:pt>
                <c:pt idx="416">
                  <c:v>-4.6146435713493084E-2</c:v>
                </c:pt>
                <c:pt idx="417">
                  <c:v>-3.6710405611285357E-2</c:v>
                </c:pt>
                <c:pt idx="418">
                  <c:v>-3.4837812313112781E-2</c:v>
                </c:pt>
                <c:pt idx="419">
                  <c:v>-2.9263329373466096E-2</c:v>
                </c:pt>
                <c:pt idx="420">
                  <c:v>-2.2027325790643038E-2</c:v>
                </c:pt>
                <c:pt idx="421">
                  <c:v>-2.5615560925580594E-2</c:v>
                </c:pt>
                <c:pt idx="422">
                  <c:v>-3.2453773735525826E-2</c:v>
                </c:pt>
                <c:pt idx="423">
                  <c:v>-5.1209473373725833E-2</c:v>
                </c:pt>
                <c:pt idx="424">
                  <c:v>-4.6262796279709084E-2</c:v>
                </c:pt>
                <c:pt idx="425">
                  <c:v>-3.5763284723481226E-2</c:v>
                </c:pt>
                <c:pt idx="426">
                  <c:v>-4.1061749575825202E-2</c:v>
                </c:pt>
                <c:pt idx="427">
                  <c:v>-4.5854181268113692E-2</c:v>
                </c:pt>
                <c:pt idx="428">
                  <c:v>-6.2223136269047297E-2</c:v>
                </c:pt>
                <c:pt idx="429">
                  <c:v>-7.9057533534844571E-2</c:v>
                </c:pt>
                <c:pt idx="430">
                  <c:v>-7.9539212157784811E-2</c:v>
                </c:pt>
                <c:pt idx="431">
                  <c:v>-8.7592445763798876E-2</c:v>
                </c:pt>
                <c:pt idx="432">
                  <c:v>-8.9784354104145425E-2</c:v>
                </c:pt>
                <c:pt idx="433">
                  <c:v>-7.4833374375238515E-2</c:v>
                </c:pt>
                <c:pt idx="434">
                  <c:v>-8.6036461448120827E-2</c:v>
                </c:pt>
                <c:pt idx="435">
                  <c:v>-6.5094265588933276E-2</c:v>
                </c:pt>
                <c:pt idx="436">
                  <c:v>-6.1982296957577065E-2</c:v>
                </c:pt>
                <c:pt idx="437">
                  <c:v>-6.2910475427624957E-2</c:v>
                </c:pt>
                <c:pt idx="438">
                  <c:v>-6.689650133544045E-2</c:v>
                </c:pt>
                <c:pt idx="439">
                  <c:v>-8.0830002624877939E-2</c:v>
                </c:pt>
                <c:pt idx="440">
                  <c:v>-7.3250329462765995E-2</c:v>
                </c:pt>
                <c:pt idx="441">
                  <c:v>-7.9163069862342783E-2</c:v>
                </c:pt>
                <c:pt idx="442">
                  <c:v>-6.9889403340901213E-2</c:v>
                </c:pt>
                <c:pt idx="443">
                  <c:v>-6.3064720829353216E-2</c:v>
                </c:pt>
                <c:pt idx="444">
                  <c:v>-5.3585393772274226E-2</c:v>
                </c:pt>
                <c:pt idx="445">
                  <c:v>-5.2216127574477467E-2</c:v>
                </c:pt>
                <c:pt idx="446">
                  <c:v>-4.9418061865936336E-2</c:v>
                </c:pt>
                <c:pt idx="447">
                  <c:v>-4.8749665125114694E-2</c:v>
                </c:pt>
                <c:pt idx="448">
                  <c:v>-4.0390646775323891E-2</c:v>
                </c:pt>
                <c:pt idx="449">
                  <c:v>-4.4417263578330979E-2</c:v>
                </c:pt>
                <c:pt idx="450">
                  <c:v>-4.0055095375073346E-2</c:v>
                </c:pt>
                <c:pt idx="451">
                  <c:v>-3.7357153874671534E-2</c:v>
                </c:pt>
                <c:pt idx="452">
                  <c:v>-2.5158236839755155E-2</c:v>
                </c:pt>
                <c:pt idx="453">
                  <c:v>-1.7949293853726567E-2</c:v>
                </c:pt>
                <c:pt idx="454">
                  <c:v>-2.1334574512706372E-2</c:v>
                </c:pt>
                <c:pt idx="455">
                  <c:v>-2.2966328499408606E-2</c:v>
                </c:pt>
                <c:pt idx="456">
                  <c:v>-1.9478217572610257E-2</c:v>
                </c:pt>
                <c:pt idx="457">
                  <c:v>-1.4842737341729362E-2</c:v>
                </c:pt>
                <c:pt idx="458">
                  <c:v>-1.7321488008096519E-2</c:v>
                </c:pt>
                <c:pt idx="459">
                  <c:v>-2.4292297742334323E-2</c:v>
                </c:pt>
                <c:pt idx="460">
                  <c:v>-6.8923340035340619E-3</c:v>
                </c:pt>
                <c:pt idx="461">
                  <c:v>-8.0045245317839075E-3</c:v>
                </c:pt>
                <c:pt idx="462">
                  <c:v>-3.9860259078152716E-3</c:v>
                </c:pt>
                <c:pt idx="463">
                  <c:v>-3.6477684478852801E-3</c:v>
                </c:pt>
                <c:pt idx="464">
                  <c:v>-7.20623692634903E-3</c:v>
                </c:pt>
                <c:pt idx="465">
                  <c:v>-9.1681301939431359E-3</c:v>
                </c:pt>
                <c:pt idx="466">
                  <c:v>-1.7161830487009477E-2</c:v>
                </c:pt>
                <c:pt idx="467">
                  <c:v>-1.2602119927152766E-2</c:v>
                </c:pt>
                <c:pt idx="468">
                  <c:v>-1.1354626414930902E-2</c:v>
                </c:pt>
                <c:pt idx="469">
                  <c:v>0</c:v>
                </c:pt>
                <c:pt idx="470">
                  <c:v>0</c:v>
                </c:pt>
                <c:pt idx="471">
                  <c:v>0</c:v>
                </c:pt>
                <c:pt idx="472">
                  <c:v>0</c:v>
                </c:pt>
                <c:pt idx="473">
                  <c:v>0</c:v>
                </c:pt>
                <c:pt idx="474">
                  <c:v>0</c:v>
                </c:pt>
                <c:pt idx="475">
                  <c:v>-6.18737541528247E-3</c:v>
                </c:pt>
                <c:pt idx="476">
                  <c:v>-5.9242524916943706E-3</c:v>
                </c:pt>
                <c:pt idx="477">
                  <c:v>-9.023255813953468E-3</c:v>
                </c:pt>
                <c:pt idx="478">
                  <c:v>-1.3395348837209275E-2</c:v>
                </c:pt>
                <c:pt idx="479">
                  <c:v>-1.079867109634558E-2</c:v>
                </c:pt>
                <c:pt idx="480">
                  <c:v>-1.6792026578073216E-2</c:v>
                </c:pt>
                <c:pt idx="481">
                  <c:v>-1.676279069767439E-2</c:v>
                </c:pt>
                <c:pt idx="482">
                  <c:v>-1.0870431893687749E-2</c:v>
                </c:pt>
                <c:pt idx="483">
                  <c:v>-8.0903654485050547E-3</c:v>
                </c:pt>
                <c:pt idx="484">
                  <c:v>-2.1134883720930198E-2</c:v>
                </c:pt>
                <c:pt idx="485">
                  <c:v>-2.8890365448504984E-2</c:v>
                </c:pt>
                <c:pt idx="486">
                  <c:v>-2.083986710963448E-2</c:v>
                </c:pt>
                <c:pt idx="487">
                  <c:v>-2.2708305647840543E-2</c:v>
                </c:pt>
                <c:pt idx="488">
                  <c:v>-3.2605980066445217E-2</c:v>
                </c:pt>
                <c:pt idx="489">
                  <c:v>-3.6419933554817319E-2</c:v>
                </c:pt>
                <c:pt idx="490">
                  <c:v>-5.3459136212624658E-2</c:v>
                </c:pt>
                <c:pt idx="491">
                  <c:v>-4.2413289036544954E-2</c:v>
                </c:pt>
                <c:pt idx="492">
                  <c:v>-3.6156810631229219E-2</c:v>
                </c:pt>
                <c:pt idx="493">
                  <c:v>-3.6677740863787389E-2</c:v>
                </c:pt>
                <c:pt idx="494">
                  <c:v>-3.3036544850498339E-2</c:v>
                </c:pt>
                <c:pt idx="495">
                  <c:v>-3.7592026578073146E-2</c:v>
                </c:pt>
                <c:pt idx="496">
                  <c:v>-3.2693687707641139E-2</c:v>
                </c:pt>
                <c:pt idx="497">
                  <c:v>-3.0827906976744202E-2</c:v>
                </c:pt>
                <c:pt idx="498">
                  <c:v>-4.0906312292358749E-2</c:v>
                </c:pt>
                <c:pt idx="499">
                  <c:v>-4.3606644518272342E-2</c:v>
                </c:pt>
                <c:pt idx="500">
                  <c:v>-5.0660465116279085E-2</c:v>
                </c:pt>
                <c:pt idx="501">
                  <c:v>-3.7809966777408555E-2</c:v>
                </c:pt>
                <c:pt idx="502">
                  <c:v>-4.7752823920265697E-2</c:v>
                </c:pt>
                <c:pt idx="503">
                  <c:v>-4.8733554817275704E-2</c:v>
                </c:pt>
                <c:pt idx="504">
                  <c:v>-5.0726910299003336E-2</c:v>
                </c:pt>
                <c:pt idx="505">
                  <c:v>-4.5496345514950298E-2</c:v>
                </c:pt>
                <c:pt idx="506">
                  <c:v>-4.8778737541528283E-2</c:v>
                </c:pt>
                <c:pt idx="507">
                  <c:v>-4.0356146179402086E-2</c:v>
                </c:pt>
                <c:pt idx="508">
                  <c:v>-3.4400000000000097E-2</c:v>
                </c:pt>
                <c:pt idx="509">
                  <c:v>-3.7456478405315741E-2</c:v>
                </c:pt>
                <c:pt idx="510">
                  <c:v>-4.1719601328903622E-2</c:v>
                </c:pt>
                <c:pt idx="511">
                  <c:v>-3.6887707641196088E-2</c:v>
                </c:pt>
                <c:pt idx="512">
                  <c:v>-3.6900996677740938E-2</c:v>
                </c:pt>
                <c:pt idx="513">
                  <c:v>-4.8932890365448456E-2</c:v>
                </c:pt>
                <c:pt idx="514">
                  <c:v>-6.4220598006644591E-2</c:v>
                </c:pt>
                <c:pt idx="515">
                  <c:v>-6.1849833887043126E-2</c:v>
                </c:pt>
                <c:pt idx="516">
                  <c:v>-6.1148172757474972E-2</c:v>
                </c:pt>
                <c:pt idx="517">
                  <c:v>-6.3585382059800688E-2</c:v>
                </c:pt>
                <c:pt idx="518">
                  <c:v>-6.3899003322259063E-2</c:v>
                </c:pt>
                <c:pt idx="519">
                  <c:v>-5.0947508305647871E-2</c:v>
                </c:pt>
                <c:pt idx="520">
                  <c:v>-5.5702325581395429E-2</c:v>
                </c:pt>
                <c:pt idx="521">
                  <c:v>-5.7993355481727571E-2</c:v>
                </c:pt>
                <c:pt idx="522">
                  <c:v>-5.0009302325581317E-2</c:v>
                </c:pt>
                <c:pt idx="523">
                  <c:v>-4.8853156146179355E-2</c:v>
                </c:pt>
                <c:pt idx="524">
                  <c:v>-5.0817275747508273E-2</c:v>
                </c:pt>
                <c:pt idx="525">
                  <c:v>-5.536744186046505E-2</c:v>
                </c:pt>
                <c:pt idx="526">
                  <c:v>-4.6918272425249263E-2</c:v>
                </c:pt>
                <c:pt idx="527">
                  <c:v>-4.2346843853820704E-2</c:v>
                </c:pt>
                <c:pt idx="528">
                  <c:v>-4.1283720930232581E-2</c:v>
                </c:pt>
                <c:pt idx="529">
                  <c:v>-4.6155481727574665E-2</c:v>
                </c:pt>
                <c:pt idx="530">
                  <c:v>-5.1449833887043273E-2</c:v>
                </c:pt>
                <c:pt idx="531">
                  <c:v>-5.2401328903654454E-2</c:v>
                </c:pt>
                <c:pt idx="532">
                  <c:v>-6.6881063122923634E-2</c:v>
                </c:pt>
                <c:pt idx="533">
                  <c:v>-6.9169435215946873E-2</c:v>
                </c:pt>
                <c:pt idx="534">
                  <c:v>-7.1585382059800695E-2</c:v>
                </c:pt>
                <c:pt idx="535">
                  <c:v>-7.5471096345514965E-2</c:v>
                </c:pt>
                <c:pt idx="536">
                  <c:v>-8.0188704318936876E-2</c:v>
                </c:pt>
                <c:pt idx="537">
                  <c:v>-7.2377408637873675E-2</c:v>
                </c:pt>
                <c:pt idx="538">
                  <c:v>-7.923455149501657E-2</c:v>
                </c:pt>
                <c:pt idx="539">
                  <c:v>-6.4752159468438597E-2</c:v>
                </c:pt>
                <c:pt idx="540">
                  <c:v>-5.852757475083048E-2</c:v>
                </c:pt>
                <c:pt idx="541">
                  <c:v>-5.6244518272425159E-2</c:v>
                </c:pt>
                <c:pt idx="542">
                  <c:v>-6.500465116279075E-2</c:v>
                </c:pt>
                <c:pt idx="543">
                  <c:v>-7.4397342192691007E-2</c:v>
                </c:pt>
                <c:pt idx="544">
                  <c:v>-8.8143521594684415E-2</c:v>
                </c:pt>
                <c:pt idx="545">
                  <c:v>-9.40438538205981E-2</c:v>
                </c:pt>
                <c:pt idx="546">
                  <c:v>-9.7825913621262361E-2</c:v>
                </c:pt>
                <c:pt idx="547">
                  <c:v>-9.7110963455149579E-2</c:v>
                </c:pt>
                <c:pt idx="548">
                  <c:v>-9.1027242524917007E-2</c:v>
                </c:pt>
                <c:pt idx="549">
                  <c:v>-9.6962126245847102E-2</c:v>
                </c:pt>
                <c:pt idx="550">
                  <c:v>-9.0631229235880406E-2</c:v>
                </c:pt>
                <c:pt idx="551">
                  <c:v>-8.8271096345514888E-2</c:v>
                </c:pt>
                <c:pt idx="552">
                  <c:v>-9.2257807308970041E-2</c:v>
                </c:pt>
                <c:pt idx="553">
                  <c:v>-9.9266445182724317E-2</c:v>
                </c:pt>
                <c:pt idx="554">
                  <c:v>-9.710564784053155E-2</c:v>
                </c:pt>
                <c:pt idx="555">
                  <c:v>-9.891295681063117E-2</c:v>
                </c:pt>
                <c:pt idx="556">
                  <c:v>-9.2055813953488386E-2</c:v>
                </c:pt>
                <c:pt idx="557">
                  <c:v>-7.7222591362126281E-2</c:v>
                </c:pt>
                <c:pt idx="558">
                  <c:v>-7.5186710963455194E-2</c:v>
                </c:pt>
                <c:pt idx="559">
                  <c:v>-6.6734883720930283E-2</c:v>
                </c:pt>
                <c:pt idx="560">
                  <c:v>-6.4497009966777319E-2</c:v>
                </c:pt>
                <c:pt idx="561">
                  <c:v>-6.3173421926910334E-2</c:v>
                </c:pt>
                <c:pt idx="562">
                  <c:v>-5.7950830564784117E-2</c:v>
                </c:pt>
                <c:pt idx="563">
                  <c:v>-5.3161461794019815E-2</c:v>
                </c:pt>
                <c:pt idx="564">
                  <c:v>-5.23322259136213E-2</c:v>
                </c:pt>
                <c:pt idx="565">
                  <c:v>-5.8772093023255922E-2</c:v>
                </c:pt>
                <c:pt idx="566">
                  <c:v>-6.1254485049833773E-2</c:v>
                </c:pt>
                <c:pt idx="567">
                  <c:v>-6.345514950166109E-2</c:v>
                </c:pt>
                <c:pt idx="568">
                  <c:v>-6.3152159468438551E-2</c:v>
                </c:pt>
                <c:pt idx="569">
                  <c:v>-6.3173421926910334E-2</c:v>
                </c:pt>
                <c:pt idx="570">
                  <c:v>-5.6829235880398565E-2</c:v>
                </c:pt>
                <c:pt idx="571">
                  <c:v>-5.5455149501661083E-2</c:v>
                </c:pt>
                <c:pt idx="572">
                  <c:v>-5.309767441860469E-2</c:v>
                </c:pt>
                <c:pt idx="573">
                  <c:v>-4.7704983388704325E-2</c:v>
                </c:pt>
                <c:pt idx="574">
                  <c:v>-3.9734219269103033E-2</c:v>
                </c:pt>
                <c:pt idx="575">
                  <c:v>-3.5340863787375332E-2</c:v>
                </c:pt>
                <c:pt idx="576">
                  <c:v>-3.8413289036544951E-2</c:v>
                </c:pt>
                <c:pt idx="577">
                  <c:v>-2.9592026578073138E-2</c:v>
                </c:pt>
                <c:pt idx="578">
                  <c:v>-3.952159468438543E-2</c:v>
                </c:pt>
                <c:pt idx="579">
                  <c:v>-2.9134883720930205E-2</c:v>
                </c:pt>
                <c:pt idx="580">
                  <c:v>-2.9052491694352089E-2</c:v>
                </c:pt>
                <c:pt idx="581">
                  <c:v>-2.643986710963464E-2</c:v>
                </c:pt>
                <c:pt idx="582">
                  <c:v>-2.7401993355481769E-2</c:v>
                </c:pt>
                <c:pt idx="583">
                  <c:v>-2.6455813953488394E-2</c:v>
                </c:pt>
                <c:pt idx="584">
                  <c:v>-2.1988039867109732E-2</c:v>
                </c:pt>
                <c:pt idx="585">
                  <c:v>-2.7960132890365474E-2</c:v>
                </c:pt>
                <c:pt idx="586">
                  <c:v>-3.3528239202657795E-2</c:v>
                </c:pt>
                <c:pt idx="587">
                  <c:v>-3.6281727574750788E-2</c:v>
                </c:pt>
                <c:pt idx="588">
                  <c:v>-3.2377408637873639E-2</c:v>
                </c:pt>
                <c:pt idx="589">
                  <c:v>-2.6477076411960065E-2</c:v>
                </c:pt>
                <c:pt idx="590">
                  <c:v>-2.4691029900332229E-2</c:v>
                </c:pt>
                <c:pt idx="591">
                  <c:v>-2.8018604651162682E-2</c:v>
                </c:pt>
                <c:pt idx="592">
                  <c:v>-2.6118272425249112E-2</c:v>
                </c:pt>
                <c:pt idx="593">
                  <c:v>-1.6645847176079864E-2</c:v>
                </c:pt>
                <c:pt idx="594">
                  <c:v>-1.1367441860465011E-2</c:v>
                </c:pt>
                <c:pt idx="595">
                  <c:v>-9.4963455149502662E-3</c:v>
                </c:pt>
                <c:pt idx="596">
                  <c:v>-1.4782724252491608E-2</c:v>
                </c:pt>
                <c:pt idx="597">
                  <c:v>-1.7262458471760778E-2</c:v>
                </c:pt>
                <c:pt idx="598">
                  <c:v>-1.4798671096345584E-2</c:v>
                </c:pt>
                <c:pt idx="599">
                  <c:v>-1.1622591362126289E-2</c:v>
                </c:pt>
                <c:pt idx="600">
                  <c:v>-1.1348837209302354E-2</c:v>
                </c:pt>
                <c:pt idx="601">
                  <c:v>-4.5767441860464775E-3</c:v>
                </c:pt>
                <c:pt idx="602">
                  <c:v>-9.4591362126246192E-3</c:v>
                </c:pt>
                <c:pt idx="603">
                  <c:v>-1.3241196013288992E-2</c:v>
                </c:pt>
                <c:pt idx="604">
                  <c:v>-1.1215946843853852E-2</c:v>
                </c:pt>
                <c:pt idx="605">
                  <c:v>-5.1215946843853333E-3</c:v>
                </c:pt>
                <c:pt idx="606">
                  <c:v>-3.0086378737540498E-3</c:v>
                </c:pt>
                <c:pt idx="607">
                  <c:v>-6.6126245847176746E-3</c:v>
                </c:pt>
                <c:pt idx="608">
                  <c:v>0</c:v>
                </c:pt>
                <c:pt idx="609">
                  <c:v>-3.7474768936576197E-3</c:v>
                </c:pt>
                <c:pt idx="610">
                  <c:v>-4.9399766280666668E-4</c:v>
                </c:pt>
                <c:pt idx="611">
                  <c:v>0</c:v>
                </c:pt>
                <c:pt idx="612">
                  <c:v>-4.5394644386521632E-3</c:v>
                </c:pt>
                <c:pt idx="613">
                  <c:v>-1.0147506078692858E-2</c:v>
                </c:pt>
                <c:pt idx="614">
                  <c:v>-8.7846061245646645E-3</c:v>
                </c:pt>
                <c:pt idx="615">
                  <c:v>-2.0920779451497618E-3</c:v>
                </c:pt>
                <c:pt idx="616">
                  <c:v>0</c:v>
                </c:pt>
                <c:pt idx="617">
                  <c:v>0</c:v>
                </c:pt>
                <c:pt idx="618">
                  <c:v>0</c:v>
                </c:pt>
                <c:pt idx="619">
                  <c:v>0</c:v>
                </c:pt>
                <c:pt idx="620">
                  <c:v>0</c:v>
                </c:pt>
                <c:pt idx="621">
                  <c:v>0</c:v>
                </c:pt>
                <c:pt idx="622">
                  <c:v>-8.4883547978438223E-3</c:v>
                </c:pt>
                <c:pt idx="623">
                  <c:v>-7.2522862139885458E-3</c:v>
                </c:pt>
                <c:pt idx="624">
                  <c:v>-2.9696419504238181E-3</c:v>
                </c:pt>
                <c:pt idx="625">
                  <c:v>-5.7956742728479949E-3</c:v>
                </c:pt>
                <c:pt idx="626">
                  <c:v>-4.2852087212075229E-3</c:v>
                </c:pt>
                <c:pt idx="627">
                  <c:v>0</c:v>
                </c:pt>
                <c:pt idx="628">
                  <c:v>0</c:v>
                </c:pt>
                <c:pt idx="629">
                  <c:v>0</c:v>
                </c:pt>
                <c:pt idx="630">
                  <c:v>0</c:v>
                </c:pt>
                <c:pt idx="631">
                  <c:v>0</c:v>
                </c:pt>
                <c:pt idx="632">
                  <c:v>-1.1719717805812602E-2</c:v>
                </c:pt>
                <c:pt idx="633">
                  <c:v>-1.5356008639006324E-2</c:v>
                </c:pt>
                <c:pt idx="634">
                  <c:v>-1.4943078158980883E-2</c:v>
                </c:pt>
                <c:pt idx="635">
                  <c:v>-1.0052980231891828E-2</c:v>
                </c:pt>
                <c:pt idx="636">
                  <c:v>-1.5979158272499072E-2</c:v>
                </c:pt>
                <c:pt idx="637">
                  <c:v>-1.6672380957147959E-2</c:v>
                </c:pt>
                <c:pt idx="638">
                  <c:v>-1.1279258627118871E-2</c:v>
                </c:pt>
                <c:pt idx="639">
                  <c:v>-1.2292815259908552E-2</c:v>
                </c:pt>
                <c:pt idx="640">
                  <c:v>-2.2653616395092002E-2</c:v>
                </c:pt>
                <c:pt idx="641">
                  <c:v>-2.9906177189720329E-2</c:v>
                </c:pt>
                <c:pt idx="642">
                  <c:v>-2.313161470833347E-2</c:v>
                </c:pt>
                <c:pt idx="643">
                  <c:v>-1.9112424702752762E-2</c:v>
                </c:pt>
                <c:pt idx="644">
                  <c:v>-2.043630484780401E-2</c:v>
                </c:pt>
                <c:pt idx="645">
                  <c:v>-1.7348085379007672E-2</c:v>
                </c:pt>
                <c:pt idx="646">
                  <c:v>-2.1825252826071284E-2</c:v>
                </c:pt>
                <c:pt idx="647">
                  <c:v>-2.7571243020849345E-2</c:v>
                </c:pt>
                <c:pt idx="648">
                  <c:v>-2.7258416899617943E-2</c:v>
                </c:pt>
                <c:pt idx="649">
                  <c:v>-2.5734328036978615E-2</c:v>
                </c:pt>
                <c:pt idx="650">
                  <c:v>-3.0727032931831544E-2</c:v>
                </c:pt>
                <c:pt idx="651">
                  <c:v>-3.3484908016607307E-2</c:v>
                </c:pt>
                <c:pt idx="652">
                  <c:v>-2.9308053645926035E-2</c:v>
                </c:pt>
                <c:pt idx="653">
                  <c:v>-2.9165404934644368E-2</c:v>
                </c:pt>
                <c:pt idx="654">
                  <c:v>-2.6785423804316033E-2</c:v>
                </c:pt>
                <c:pt idx="655">
                  <c:v>-2.9653413683765395E-2</c:v>
                </c:pt>
                <c:pt idx="656">
                  <c:v>-3.5704722172865355E-2</c:v>
                </c:pt>
                <c:pt idx="657">
                  <c:v>-3.3690121952135166E-2</c:v>
                </c:pt>
                <c:pt idx="658">
                  <c:v>-3.1858212186204105E-2</c:v>
                </c:pt>
                <c:pt idx="659">
                  <c:v>-3.1617961725098453E-2</c:v>
                </c:pt>
                <c:pt idx="660">
                  <c:v>-3.6305348325629594E-2</c:v>
                </c:pt>
                <c:pt idx="661">
                  <c:v>-2.7220877765070206E-2</c:v>
                </c:pt>
                <c:pt idx="662">
                  <c:v>-2.254099899144868E-2</c:v>
                </c:pt>
                <c:pt idx="663">
                  <c:v>-2.0233593521245874E-2</c:v>
                </c:pt>
                <c:pt idx="664">
                  <c:v>-1.8424207236043655E-2</c:v>
                </c:pt>
                <c:pt idx="665">
                  <c:v>-1.2618154425989236E-2</c:v>
                </c:pt>
                <c:pt idx="666">
                  <c:v>-7.9683069600058332E-3</c:v>
                </c:pt>
                <c:pt idx="667">
                  <c:v>0</c:v>
                </c:pt>
                <c:pt idx="668">
                  <c:v>-1.5752874899654934E-4</c:v>
                </c:pt>
                <c:pt idx="669">
                  <c:v>0</c:v>
                </c:pt>
                <c:pt idx="670">
                  <c:v>0</c:v>
                </c:pt>
                <c:pt idx="671">
                  <c:v>0</c:v>
                </c:pt>
                <c:pt idx="672">
                  <c:v>-2.9243748251194246E-3</c:v>
                </c:pt>
                <c:pt idx="673">
                  <c:v>-1.4408922190829565E-2</c:v>
                </c:pt>
                <c:pt idx="674">
                  <c:v>-2.2285667591934621E-2</c:v>
                </c:pt>
                <c:pt idx="675">
                  <c:v>-2.5658231954180599E-2</c:v>
                </c:pt>
                <c:pt idx="676">
                  <c:v>-2.5643374842452715E-2</c:v>
                </c:pt>
                <c:pt idx="677">
                  <c:v>-2.6131183344187181E-2</c:v>
                </c:pt>
                <c:pt idx="678">
                  <c:v>-2.3568331571114709E-2</c:v>
                </c:pt>
                <c:pt idx="679">
                  <c:v>-3.3121454412190721E-2</c:v>
                </c:pt>
                <c:pt idx="680">
                  <c:v>-2.7438609176247408E-2</c:v>
                </c:pt>
                <c:pt idx="681">
                  <c:v>-3.28639311422394E-2</c:v>
                </c:pt>
                <c:pt idx="682">
                  <c:v>-3.7452302480890043E-2</c:v>
                </c:pt>
                <c:pt idx="683">
                  <c:v>-3.2022028144321868E-2</c:v>
                </c:pt>
                <c:pt idx="684">
                  <c:v>-2.6685848848697624E-2</c:v>
                </c:pt>
                <c:pt idx="685">
                  <c:v>-3.3676119916701164E-2</c:v>
                </c:pt>
                <c:pt idx="686">
                  <c:v>-2.488566214432697E-2</c:v>
                </c:pt>
                <c:pt idx="687">
                  <c:v>-1.8868531894504659E-2</c:v>
                </c:pt>
                <c:pt idx="688">
                  <c:v>-1.9727768189438E-2</c:v>
                </c:pt>
                <c:pt idx="689">
                  <c:v>-2.1854811351823766E-2</c:v>
                </c:pt>
                <c:pt idx="690">
                  <c:v>-2.2810618872988964E-2</c:v>
                </c:pt>
                <c:pt idx="691">
                  <c:v>-1.886110333864055E-2</c:v>
                </c:pt>
                <c:pt idx="692">
                  <c:v>-2.5814231627324213E-2</c:v>
                </c:pt>
                <c:pt idx="693">
                  <c:v>-2.8112131574581367E-2</c:v>
                </c:pt>
                <c:pt idx="694">
                  <c:v>-3.2175551632177446E-2</c:v>
                </c:pt>
                <c:pt idx="695">
                  <c:v>-4.5096286464923474E-2</c:v>
                </c:pt>
                <c:pt idx="696">
                  <c:v>-5.3000269904196262E-2</c:v>
                </c:pt>
                <c:pt idx="697">
                  <c:v>-6.6119099559981853E-2</c:v>
                </c:pt>
                <c:pt idx="698">
                  <c:v>-5.6709595465609386E-2</c:v>
                </c:pt>
                <c:pt idx="699">
                  <c:v>-5.2071700421199019E-2</c:v>
                </c:pt>
                <c:pt idx="700">
                  <c:v>-5.5107503584278184E-2</c:v>
                </c:pt>
                <c:pt idx="701">
                  <c:v>-5.95869227702569E-2</c:v>
                </c:pt>
                <c:pt idx="702">
                  <c:v>-5.2450556770261891E-2</c:v>
                </c:pt>
                <c:pt idx="703">
                  <c:v>-4.7629424014540178E-2</c:v>
                </c:pt>
                <c:pt idx="704">
                  <c:v>-3.8658204716142452E-2</c:v>
                </c:pt>
                <c:pt idx="705">
                  <c:v>-3.8908299430229665E-2</c:v>
                </c:pt>
                <c:pt idx="706">
                  <c:v>-3.7085827058267018E-2</c:v>
                </c:pt>
                <c:pt idx="707">
                  <c:v>-3.9472869675892031E-2</c:v>
                </c:pt>
                <c:pt idx="708">
                  <c:v>-3.7984682317808494E-2</c:v>
                </c:pt>
                <c:pt idx="709">
                  <c:v>-3.302240700067105E-2</c:v>
                </c:pt>
                <c:pt idx="710">
                  <c:v>-3.7083350872979093E-2</c:v>
                </c:pt>
                <c:pt idx="711">
                  <c:v>-2.559880350726873E-2</c:v>
                </c:pt>
                <c:pt idx="712">
                  <c:v>-2.1154050915321743E-2</c:v>
                </c:pt>
                <c:pt idx="713">
                  <c:v>-2.2808142687701038E-2</c:v>
                </c:pt>
                <c:pt idx="714">
                  <c:v>-2.468013876542352E-2</c:v>
                </c:pt>
                <c:pt idx="715">
                  <c:v>-2.0252719470492342E-2</c:v>
                </c:pt>
                <c:pt idx="716">
                  <c:v>-1.884377004162463E-2</c:v>
                </c:pt>
                <c:pt idx="717">
                  <c:v>-1.9331578543359207E-2</c:v>
                </c:pt>
                <c:pt idx="718">
                  <c:v>-1.9693101595406048E-2</c:v>
                </c:pt>
                <c:pt idx="719">
                  <c:v>-1.4988349548219926E-2</c:v>
                </c:pt>
                <c:pt idx="720">
                  <c:v>-4.74189482650611E-3</c:v>
                </c:pt>
                <c:pt idx="721">
                  <c:v>-2.9318033809832E-3</c:v>
                </c:pt>
                <c:pt idx="722">
                  <c:v>0</c:v>
                </c:pt>
                <c:pt idx="723">
                  <c:v>0</c:v>
                </c:pt>
                <c:pt idx="724">
                  <c:v>0</c:v>
                </c:pt>
                <c:pt idx="725">
                  <c:v>0</c:v>
                </c:pt>
                <c:pt idx="726">
                  <c:v>-1.7456549668778409E-3</c:v>
                </c:pt>
                <c:pt idx="727">
                  <c:v>0</c:v>
                </c:pt>
                <c:pt idx="728">
                  <c:v>0</c:v>
                </c:pt>
                <c:pt idx="729">
                  <c:v>-4.3196441413336784E-3</c:v>
                </c:pt>
                <c:pt idx="730">
                  <c:v>-3.36951293273835E-3</c:v>
                </c:pt>
                <c:pt idx="731">
                  <c:v>0</c:v>
                </c:pt>
                <c:pt idx="732">
                  <c:v>0</c:v>
                </c:pt>
                <c:pt idx="733">
                  <c:v>-1.7710127163373945E-3</c:v>
                </c:pt>
                <c:pt idx="734">
                  <c:v>-1.6544987218425344E-4</c:v>
                </c:pt>
                <c:pt idx="735">
                  <c:v>-1.4284615725194794E-2</c:v>
                </c:pt>
                <c:pt idx="736">
                  <c:v>-9.3956885161478043E-3</c:v>
                </c:pt>
                <c:pt idx="737">
                  <c:v>-4.9984503638732525E-3</c:v>
                </c:pt>
                <c:pt idx="738">
                  <c:v>-7.1306564631490321E-4</c:v>
                </c:pt>
                <c:pt idx="739">
                  <c:v>0</c:v>
                </c:pt>
                <c:pt idx="740">
                  <c:v>0</c:v>
                </c:pt>
                <c:pt idx="741">
                  <c:v>-2.1718468044464867E-3</c:v>
                </c:pt>
                <c:pt idx="742">
                  <c:v>-1.6897243637131742E-3</c:v>
                </c:pt>
                <c:pt idx="743">
                  <c:v>-5.1839641484570098E-3</c:v>
                </c:pt>
                <c:pt idx="744">
                  <c:v>-1.2000257131968506E-2</c:v>
                </c:pt>
                <c:pt idx="745">
                  <c:v>-5.5145623935314303E-3</c:v>
                </c:pt>
                <c:pt idx="746">
                  <c:v>-3.1177251167425757E-3</c:v>
                </c:pt>
                <c:pt idx="747">
                  <c:v>-1.2199993571700873E-2</c:v>
                </c:pt>
                <c:pt idx="748">
                  <c:v>-1.0737555501476259E-2</c:v>
                </c:pt>
                <c:pt idx="749">
                  <c:v>-7.346627668318173E-3</c:v>
                </c:pt>
                <c:pt idx="750">
                  <c:v>-6.0380096148989759E-3</c:v>
                </c:pt>
                <c:pt idx="751">
                  <c:v>0</c:v>
                </c:pt>
                <c:pt idx="752">
                  <c:v>0</c:v>
                </c:pt>
                <c:pt idx="753">
                  <c:v>-2.9483039898269281E-3</c:v>
                </c:pt>
                <c:pt idx="754">
                  <c:v>-2.3781024507352644E-2</c:v>
                </c:pt>
                <c:pt idx="755">
                  <c:v>-2.8745398224682028E-2</c:v>
                </c:pt>
                <c:pt idx="756">
                  <c:v>-2.1497955646465949E-2</c:v>
                </c:pt>
                <c:pt idx="757">
                  <c:v>-2.378781262091334E-2</c:v>
                </c:pt>
                <c:pt idx="758">
                  <c:v>-3.8857424725477485E-2</c:v>
                </c:pt>
                <c:pt idx="759">
                  <c:v>-2.9121007175036073E-2</c:v>
                </c:pt>
                <c:pt idx="760">
                  <c:v>-3.3707509237491329E-2</c:v>
                </c:pt>
                <c:pt idx="761">
                  <c:v>-1.628468443191422E-2</c:v>
                </c:pt>
                <c:pt idx="762">
                  <c:v>-2.6036940913996998E-2</c:v>
                </c:pt>
                <c:pt idx="763">
                  <c:v>-1.6823208107722865E-2</c:v>
                </c:pt>
                <c:pt idx="764">
                  <c:v>-1.8101636161638512E-2</c:v>
                </c:pt>
                <c:pt idx="765">
                  <c:v>-1.1026159126958146E-2</c:v>
                </c:pt>
                <c:pt idx="766">
                  <c:v>-1.4741519949134418E-2</c:v>
                </c:pt>
                <c:pt idx="767">
                  <c:v>-7.6049498924083414E-3</c:v>
                </c:pt>
                <c:pt idx="768">
                  <c:v>-7.5551703929639391E-3</c:v>
                </c:pt>
                <c:pt idx="769">
                  <c:v>-1.7173927308354542E-2</c:v>
                </c:pt>
                <c:pt idx="770">
                  <c:v>-1.4252775772770176E-2</c:v>
                </c:pt>
                <c:pt idx="771">
                  <c:v>-2.1785319120532054E-2</c:v>
                </c:pt>
                <c:pt idx="772">
                  <c:v>-1.6028998821130958E-2</c:v>
                </c:pt>
                <c:pt idx="773">
                  <c:v>-1.1648402870014452E-2</c:v>
                </c:pt>
                <c:pt idx="774">
                  <c:v>-8.4489386784448728E-3</c:v>
                </c:pt>
                <c:pt idx="775">
                  <c:v>-2.568169630432493E-3</c:v>
                </c:pt>
                <c:pt idx="776">
                  <c:v>0</c:v>
                </c:pt>
                <c:pt idx="777">
                  <c:v>0</c:v>
                </c:pt>
                <c:pt idx="778">
                  <c:v>-6.3927701778848656E-3</c:v>
                </c:pt>
                <c:pt idx="779">
                  <c:v>0</c:v>
                </c:pt>
                <c:pt idx="780">
                  <c:v>-2.1379591267223219E-4</c:v>
                </c:pt>
                <c:pt idx="781">
                  <c:v>-4.2939221197753064E-3</c:v>
                </c:pt>
                <c:pt idx="782">
                  <c:v>-8.5968461727170542E-4</c:v>
                </c:pt>
                <c:pt idx="783">
                  <c:v>-1.1986074009393444E-2</c:v>
                </c:pt>
                <c:pt idx="784">
                  <c:v>-1.0561518086009025E-2</c:v>
                </c:pt>
                <c:pt idx="785">
                  <c:v>0</c:v>
                </c:pt>
                <c:pt idx="786">
                  <c:v>0</c:v>
                </c:pt>
                <c:pt idx="787">
                  <c:v>-2.2003427714499812E-3</c:v>
                </c:pt>
                <c:pt idx="788">
                  <c:v>0</c:v>
                </c:pt>
                <c:pt idx="789">
                  <c:v>0</c:v>
                </c:pt>
                <c:pt idx="790">
                  <c:v>-7.1531616841271628E-3</c:v>
                </c:pt>
                <c:pt idx="791">
                  <c:v>-7.0175672581694881E-3</c:v>
                </c:pt>
                <c:pt idx="792">
                  <c:v>-2.2044097085608949E-2</c:v>
                </c:pt>
                <c:pt idx="793">
                  <c:v>-1.5422198808102694E-2</c:v>
                </c:pt>
                <c:pt idx="794">
                  <c:v>-2.0903770191899484E-2</c:v>
                </c:pt>
                <c:pt idx="795">
                  <c:v>-1.9465580132971394E-2</c:v>
                </c:pt>
                <c:pt idx="796">
                  <c:v>-3.0057505373762616E-2</c:v>
                </c:pt>
                <c:pt idx="797">
                  <c:v>-2.9095007235407477E-2</c:v>
                </c:pt>
                <c:pt idx="798">
                  <c:v>-2.1410582144659185E-2</c:v>
                </c:pt>
                <c:pt idx="799">
                  <c:v>-1.7640612531147792E-2</c:v>
                </c:pt>
                <c:pt idx="800">
                  <c:v>-2.1732896763738907E-2</c:v>
                </c:pt>
                <c:pt idx="801">
                  <c:v>-1.6444714151389928E-2</c:v>
                </c:pt>
                <c:pt idx="802">
                  <c:v>-7.4087905199489157E-3</c:v>
                </c:pt>
                <c:pt idx="803">
                  <c:v>-1.4026243078570921E-3</c:v>
                </c:pt>
                <c:pt idx="804">
                  <c:v>-1.7894018507528253E-3</c:v>
                </c:pt>
                <c:pt idx="805">
                  <c:v>-2.6185284225921368E-3</c:v>
                </c:pt>
                <c:pt idx="806">
                  <c:v>0</c:v>
                </c:pt>
                <c:pt idx="807">
                  <c:v>-4.2194748752555356E-5</c:v>
                </c:pt>
                <c:pt idx="808">
                  <c:v>0</c:v>
                </c:pt>
                <c:pt idx="809">
                  <c:v>-1.0389873953843276E-3</c:v>
                </c:pt>
                <c:pt idx="810">
                  <c:v>0</c:v>
                </c:pt>
                <c:pt idx="811">
                  <c:v>-1.0301576000492085E-2</c:v>
                </c:pt>
                <c:pt idx="812">
                  <c:v>-2.1152510789406609E-2</c:v>
                </c:pt>
                <c:pt idx="813">
                  <c:v>-2.6628519192398503E-2</c:v>
                </c:pt>
                <c:pt idx="814">
                  <c:v>-3.3310919494765723E-2</c:v>
                </c:pt>
                <c:pt idx="815">
                  <c:v>-2.6668073025165051E-2</c:v>
                </c:pt>
                <c:pt idx="816">
                  <c:v>-1.8344188662992478E-2</c:v>
                </c:pt>
                <c:pt idx="817">
                  <c:v>-1.6955409645861286E-2</c:v>
                </c:pt>
                <c:pt idx="818">
                  <c:v>-1.5443574260123438E-2</c:v>
                </c:pt>
                <c:pt idx="819">
                  <c:v>-8.0623895788836109E-3</c:v>
                </c:pt>
                <c:pt idx="820">
                  <c:v>-1.4672274521178807E-2</c:v>
                </c:pt>
                <c:pt idx="821">
                  <c:v>-4.8519368193443713E-3</c:v>
                </c:pt>
                <c:pt idx="822">
                  <c:v>-6.5461593228384185E-3</c:v>
                </c:pt>
                <c:pt idx="823">
                  <c:v>-4.6409830445902633E-3</c:v>
                </c:pt>
                <c:pt idx="824">
                  <c:v>-1.2215542019355041E-2</c:v>
                </c:pt>
                <c:pt idx="825">
                  <c:v>-1.3672441526250467E-2</c:v>
                </c:pt>
                <c:pt idx="826">
                  <c:v>-1.9834049697193379E-2</c:v>
                </c:pt>
                <c:pt idx="827">
                  <c:v>-1.9834049697193379E-2</c:v>
                </c:pt>
                <c:pt idx="828">
                  <c:v>-3.4996352257644858E-2</c:v>
                </c:pt>
                <c:pt idx="829">
                  <c:v>-3.0702563967337282E-2</c:v>
                </c:pt>
                <c:pt idx="830">
                  <c:v>-2.8555669822183494E-2</c:v>
                </c:pt>
                <c:pt idx="831">
                  <c:v>-2.3554307412388287E-2</c:v>
                </c:pt>
                <c:pt idx="832">
                  <c:v>-2.43146199755645E-2</c:v>
                </c:pt>
                <c:pt idx="833">
                  <c:v>-1.537984864066666E-2</c:v>
                </c:pt>
                <c:pt idx="834">
                  <c:v>-1.264404187432433E-2</c:v>
                </c:pt>
                <c:pt idx="835">
                  <c:v>-1.1066283433975865E-2</c:v>
                </c:pt>
                <c:pt idx="836">
                  <c:v>-9.8774710158303636E-3</c:v>
                </c:pt>
                <c:pt idx="837">
                  <c:v>-6.8559976795085076E-3</c:v>
                </c:pt>
                <c:pt idx="838">
                  <c:v>0</c:v>
                </c:pt>
                <c:pt idx="839">
                  <c:v>-4.5934172629780168E-4</c:v>
                </c:pt>
                <c:pt idx="840">
                  <c:v>-1.5325904043296257E-3</c:v>
                </c:pt>
                <c:pt idx="841">
                  <c:v>-3.4613902597784296E-3</c:v>
                </c:pt>
                <c:pt idx="842">
                  <c:v>-1.1448711557342617E-2</c:v>
                </c:pt>
                <c:pt idx="843">
                  <c:v>-2.0855420558916538E-2</c:v>
                </c:pt>
                <c:pt idx="844">
                  <c:v>-1.9024584578744452E-2</c:v>
                </c:pt>
                <c:pt idx="845">
                  <c:v>0</c:v>
                </c:pt>
                <c:pt idx="846">
                  <c:v>-5.9293583620975032E-2</c:v>
                </c:pt>
                <c:pt idx="847">
                  <c:v>-2.7663031563925355E-2</c:v>
                </c:pt>
                <c:pt idx="848">
                  <c:v>-1.9020886437785545E-2</c:v>
                </c:pt>
                <c:pt idx="849">
                  <c:v>0</c:v>
                </c:pt>
                <c:pt idx="850">
                  <c:v>-1.3288879633664985E-3</c:v>
                </c:pt>
                <c:pt idx="851">
                  <c:v>-1.0862961380670999E-3</c:v>
                </c:pt>
                <c:pt idx="852">
                  <c:v>0</c:v>
                </c:pt>
                <c:pt idx="853">
                  <c:v>0</c:v>
                </c:pt>
                <c:pt idx="854">
                  <c:v>0</c:v>
                </c:pt>
                <c:pt idx="855">
                  <c:v>0</c:v>
                </c:pt>
                <c:pt idx="856">
                  <c:v>-1.7785965642099777E-3</c:v>
                </c:pt>
                <c:pt idx="857">
                  <c:v>0</c:v>
                </c:pt>
                <c:pt idx="858">
                  <c:v>-2.7962829380066001E-3</c:v>
                </c:pt>
                <c:pt idx="859">
                  <c:v>-1.2368990537616753E-3</c:v>
                </c:pt>
                <c:pt idx="860">
                  <c:v>0</c:v>
                </c:pt>
                <c:pt idx="861">
                  <c:v>0</c:v>
                </c:pt>
                <c:pt idx="862">
                  <c:v>0</c:v>
                </c:pt>
                <c:pt idx="863">
                  <c:v>-1.4098858366778932E-3</c:v>
                </c:pt>
                <c:pt idx="864">
                  <c:v>0</c:v>
                </c:pt>
                <c:pt idx="865">
                  <c:v>-7.4973231242725369E-4</c:v>
                </c:pt>
                <c:pt idx="866">
                  <c:v>0</c:v>
                </c:pt>
                <c:pt idx="867">
                  <c:v>0</c:v>
                </c:pt>
                <c:pt idx="868">
                  <c:v>0</c:v>
                </c:pt>
                <c:pt idx="869">
                  <c:v>-1.3566931221820067E-4</c:v>
                </c:pt>
                <c:pt idx="870">
                  <c:v>0</c:v>
                </c:pt>
                <c:pt idx="871">
                  <c:v>-4.4509110554491471E-3</c:v>
                </c:pt>
                <c:pt idx="872">
                  <c:v>-4.798798356334788E-3</c:v>
                </c:pt>
                <c:pt idx="873">
                  <c:v>0</c:v>
                </c:pt>
                <c:pt idx="874">
                  <c:v>0</c:v>
                </c:pt>
                <c:pt idx="875">
                  <c:v>0</c:v>
                </c:pt>
                <c:pt idx="876">
                  <c:v>0</c:v>
                </c:pt>
                <c:pt idx="877">
                  <c:v>-1.0884707580586794E-2</c:v>
                </c:pt>
                <c:pt idx="878">
                  <c:v>-1.1757661531761943E-2</c:v>
                </c:pt>
                <c:pt idx="879">
                  <c:v>-1.2975361731553559E-2</c:v>
                </c:pt>
                <c:pt idx="880">
                  <c:v>-1.5618416304279847E-2</c:v>
                </c:pt>
                <c:pt idx="881">
                  <c:v>-1.5916793174427513E-2</c:v>
                </c:pt>
                <c:pt idx="882">
                  <c:v>0</c:v>
                </c:pt>
                <c:pt idx="883">
                  <c:v>0</c:v>
                </c:pt>
                <c:pt idx="884">
                  <c:v>0</c:v>
                </c:pt>
                <c:pt idx="885">
                  <c:v>0</c:v>
                </c:pt>
                <c:pt idx="886">
                  <c:v>0</c:v>
                </c:pt>
                <c:pt idx="887">
                  <c:v>-1.1722888820474342E-2</c:v>
                </c:pt>
                <c:pt idx="888">
                  <c:v>-3.8195346828782784E-2</c:v>
                </c:pt>
                <c:pt idx="889">
                  <c:v>-4.0716247715995912E-2</c:v>
                </c:pt>
                <c:pt idx="890">
                  <c:v>-2.8523563726215451E-2</c:v>
                </c:pt>
                <c:pt idx="891">
                  <c:v>-3.5740417178110384E-2</c:v>
                </c:pt>
                <c:pt idx="892">
                  <c:v>-2.5724783994178546E-2</c:v>
                </c:pt>
                <c:pt idx="893">
                  <c:v>-2.6544426629989348E-2</c:v>
                </c:pt>
                <c:pt idx="894">
                  <c:v>-3.4860800690898808E-2</c:v>
                </c:pt>
                <c:pt idx="895">
                  <c:v>-3.4670883494796301E-2</c:v>
                </c:pt>
                <c:pt idx="896">
                  <c:v>-1.8781811130347159E-2</c:v>
                </c:pt>
                <c:pt idx="897">
                  <c:v>-1.7522360250930569E-2</c:v>
                </c:pt>
                <c:pt idx="898">
                  <c:v>-1.2476560219744304E-2</c:v>
                </c:pt>
                <c:pt idx="899">
                  <c:v>-9.6238040214466913E-3</c:v>
                </c:pt>
                <c:pt idx="900">
                  <c:v>-7.9725239795449543E-3</c:v>
                </c:pt>
                <c:pt idx="901">
                  <c:v>-7.5067270669988417E-3</c:v>
                </c:pt>
                <c:pt idx="902">
                  <c:v>-1.199477028024365E-5</c:v>
                </c:pt>
                <c:pt idx="903">
                  <c:v>0</c:v>
                </c:pt>
                <c:pt idx="904">
                  <c:v>0</c:v>
                </c:pt>
                <c:pt idx="905">
                  <c:v>0</c:v>
                </c:pt>
                <c:pt idx="906">
                  <c:v>0</c:v>
                </c:pt>
                <c:pt idx="907">
                  <c:v>0</c:v>
                </c:pt>
                <c:pt idx="908">
                  <c:v>0</c:v>
                </c:pt>
                <c:pt idx="909">
                  <c:v>-3.2100665154262131E-3</c:v>
                </c:pt>
                <c:pt idx="910">
                  <c:v>-5.3303322606740311E-3</c:v>
                </c:pt>
                <c:pt idx="911">
                  <c:v>-1.6918613045567854E-2</c:v>
                </c:pt>
                <c:pt idx="912">
                  <c:v>-1.3585919220248432E-2</c:v>
                </c:pt>
                <c:pt idx="913">
                  <c:v>-9.4442807216024161E-3</c:v>
                </c:pt>
                <c:pt idx="914">
                  <c:v>-1.4295970901725963E-2</c:v>
                </c:pt>
                <c:pt idx="915">
                  <c:v>0</c:v>
                </c:pt>
                <c:pt idx="916">
                  <c:v>-1.276148238009589E-3</c:v>
                </c:pt>
                <c:pt idx="917">
                  <c:v>-2.0284455017749448E-4</c:v>
                </c:pt>
                <c:pt idx="918">
                  <c:v>0</c:v>
                </c:pt>
                <c:pt idx="919">
                  <c:v>-1.6129952337957665E-3</c:v>
                </c:pt>
                <c:pt idx="920">
                  <c:v>-1.0818870470585829E-4</c:v>
                </c:pt>
                <c:pt idx="921">
                  <c:v>0</c:v>
                </c:pt>
                <c:pt idx="922">
                  <c:v>0</c:v>
                </c:pt>
                <c:pt idx="923">
                  <c:v>0</c:v>
                </c:pt>
                <c:pt idx="924">
                  <c:v>0</c:v>
                </c:pt>
                <c:pt idx="925">
                  <c:v>0</c:v>
                </c:pt>
                <c:pt idx="926">
                  <c:v>-1.4151636116043198E-3</c:v>
                </c:pt>
                <c:pt idx="927">
                  <c:v>-1.5456180469597847E-2</c:v>
                </c:pt>
                <c:pt idx="928">
                  <c:v>-1.5988297245389638E-2</c:v>
                </c:pt>
                <c:pt idx="929">
                  <c:v>-3.6845749073563749E-2</c:v>
                </c:pt>
                <c:pt idx="930">
                  <c:v>-4.5828795718653281E-2</c:v>
                </c:pt>
                <c:pt idx="931">
                  <c:v>-5.4176735244249152E-2</c:v>
                </c:pt>
                <c:pt idx="932">
                  <c:v>-4.5884105347678172E-2</c:v>
                </c:pt>
                <c:pt idx="933">
                  <c:v>-4.7074215986008472E-2</c:v>
                </c:pt>
                <c:pt idx="934">
                  <c:v>-4.6444830552276106E-2</c:v>
                </c:pt>
                <c:pt idx="935">
                  <c:v>-4.7749374905830533E-2</c:v>
                </c:pt>
                <c:pt idx="936">
                  <c:v>-4.1505108511770361E-2</c:v>
                </c:pt>
                <c:pt idx="937">
                  <c:v>-4.4198115276710248E-2</c:v>
                </c:pt>
                <c:pt idx="938">
                  <c:v>-4.748045567505399E-2</c:v>
                </c:pt>
                <c:pt idx="939">
                  <c:v>-5.5927571087177497E-2</c:v>
                </c:pt>
                <c:pt idx="940">
                  <c:v>-5.1952906711728142E-2</c:v>
                </c:pt>
                <c:pt idx="941">
                  <c:v>-5.4735553220260136E-2</c:v>
                </c:pt>
                <c:pt idx="942">
                  <c:v>-6.6522225888339448E-2</c:v>
                </c:pt>
                <c:pt idx="943">
                  <c:v>-6.7918317214073043E-2</c:v>
                </c:pt>
                <c:pt idx="944">
                  <c:v>-6.9295336253935913E-2</c:v>
                </c:pt>
                <c:pt idx="945">
                  <c:v>-7.7633739636596699E-2</c:v>
                </c:pt>
                <c:pt idx="946">
                  <c:v>-7.1593546701352762E-2</c:v>
                </c:pt>
                <c:pt idx="947">
                  <c:v>-6.6722484889981559E-2</c:v>
                </c:pt>
                <c:pt idx="948">
                  <c:v>-7.1528700929392564E-2</c:v>
                </c:pt>
                <c:pt idx="949">
                  <c:v>-7.6697290400346341E-2</c:v>
                </c:pt>
                <c:pt idx="950">
                  <c:v>-7.2920977797952036E-2</c:v>
                </c:pt>
                <c:pt idx="951">
                  <c:v>-8.4707650466031348E-2</c:v>
                </c:pt>
                <c:pt idx="952">
                  <c:v>-7.6394041055002582E-2</c:v>
                </c:pt>
                <c:pt idx="953">
                  <c:v>-6.6066398256030223E-2</c:v>
                </c:pt>
                <c:pt idx="954">
                  <c:v>-7.6926157830794484E-2</c:v>
                </c:pt>
                <c:pt idx="955">
                  <c:v>-7.8877252675364828E-2</c:v>
                </c:pt>
                <c:pt idx="956">
                  <c:v>-7.9140450220380298E-2</c:v>
                </c:pt>
                <c:pt idx="957">
                  <c:v>-8.8976028043889044E-2</c:v>
                </c:pt>
                <c:pt idx="958">
                  <c:v>-0.10135012711678537</c:v>
                </c:pt>
                <c:pt idx="959">
                  <c:v>-0.10235523658217005</c:v>
                </c:pt>
                <c:pt idx="960">
                  <c:v>-0.10536484329256313</c:v>
                </c:pt>
                <c:pt idx="961">
                  <c:v>-0.10289688950089737</c:v>
                </c:pt>
                <c:pt idx="962">
                  <c:v>-0.10932806429649</c:v>
                </c:pt>
                <c:pt idx="963">
                  <c:v>-8.8068187236444828E-2</c:v>
                </c:pt>
                <c:pt idx="964">
                  <c:v>-7.6065997738026803E-2</c:v>
                </c:pt>
                <c:pt idx="965">
                  <c:v>-7.7111159003740104E-2</c:v>
                </c:pt>
                <c:pt idx="966">
                  <c:v>-7.4044335435734854E-2</c:v>
                </c:pt>
                <c:pt idx="967">
                  <c:v>-8.7804989691429358E-2</c:v>
                </c:pt>
                <c:pt idx="968">
                  <c:v>-7.9529524852142153E-2</c:v>
                </c:pt>
                <c:pt idx="969">
                  <c:v>-7.4000469178232442E-2</c:v>
                </c:pt>
                <c:pt idx="970">
                  <c:v>-6.7092487235872578E-2</c:v>
                </c:pt>
                <c:pt idx="971">
                  <c:v>-6.6699598146936601E-2</c:v>
                </c:pt>
                <c:pt idx="972">
                  <c:v>-5.7508663585856712E-2</c:v>
                </c:pt>
                <c:pt idx="973">
                  <c:v>-5.8675887481142275E-2</c:v>
                </c:pt>
                <c:pt idx="974">
                  <c:v>-6.091878829953401E-2</c:v>
                </c:pt>
                <c:pt idx="975">
                  <c:v>-6.1260182216619219E-2</c:v>
                </c:pt>
                <c:pt idx="976">
                  <c:v>-6.0049092063831133E-2</c:v>
                </c:pt>
                <c:pt idx="977">
                  <c:v>-6.3600351692951418E-2</c:v>
                </c:pt>
                <c:pt idx="978">
                  <c:v>-5.5223803738549515E-2</c:v>
                </c:pt>
                <c:pt idx="979">
                  <c:v>-5.904016814127222E-2</c:v>
                </c:pt>
                <c:pt idx="980">
                  <c:v>-7.1713702102338073E-2</c:v>
                </c:pt>
                <c:pt idx="981">
                  <c:v>-7.6945230116665209E-2</c:v>
                </c:pt>
                <c:pt idx="982">
                  <c:v>-8.6372661022541486E-2</c:v>
                </c:pt>
                <c:pt idx="983">
                  <c:v>-0.10026491405074367</c:v>
                </c:pt>
                <c:pt idx="984">
                  <c:v>-9.3934822370265514E-2</c:v>
                </c:pt>
                <c:pt idx="985">
                  <c:v>-9.4918952321192518E-2</c:v>
                </c:pt>
                <c:pt idx="986">
                  <c:v>-9.4058792228424948E-2</c:v>
                </c:pt>
                <c:pt idx="987">
                  <c:v>-9.1648055294371145E-2</c:v>
                </c:pt>
                <c:pt idx="988">
                  <c:v>-9.8075415632789764E-2</c:v>
                </c:pt>
                <c:pt idx="989">
                  <c:v>-9.8079230089963998E-2</c:v>
                </c:pt>
                <c:pt idx="990">
                  <c:v>-9.4337247602136798E-2</c:v>
                </c:pt>
                <c:pt idx="991">
                  <c:v>-7.7334304748426952E-2</c:v>
                </c:pt>
                <c:pt idx="992">
                  <c:v>-8.4349091491662476E-2</c:v>
                </c:pt>
                <c:pt idx="993">
                  <c:v>-9.9175886527527957E-2</c:v>
                </c:pt>
                <c:pt idx="994">
                  <c:v>-9.5672307613084318E-2</c:v>
                </c:pt>
                <c:pt idx="995">
                  <c:v>-9.6395147247583024E-2</c:v>
                </c:pt>
                <c:pt idx="996">
                  <c:v>-0.10259173292696644</c:v>
                </c:pt>
                <c:pt idx="997">
                  <c:v>-0.10621546724239539</c:v>
                </c:pt>
                <c:pt idx="998">
                  <c:v>-0.11939632400762124</c:v>
                </c:pt>
                <c:pt idx="999">
                  <c:v>-0.11595949809372508</c:v>
                </c:pt>
                <c:pt idx="1000">
                  <c:v>-0.11454242725353359</c:v>
                </c:pt>
                <c:pt idx="1001">
                  <c:v>-0.11078137247983588</c:v>
                </c:pt>
                <c:pt idx="1002">
                  <c:v>-0.11492387297094708</c:v>
                </c:pt>
                <c:pt idx="1003">
                  <c:v>-0.1095245088409581</c:v>
                </c:pt>
                <c:pt idx="1004">
                  <c:v>-0.12173458625536637</c:v>
                </c:pt>
                <c:pt idx="1005">
                  <c:v>-0.11674909072877115</c:v>
                </c:pt>
                <c:pt idx="1006">
                  <c:v>-0.11484186214170333</c:v>
                </c:pt>
                <c:pt idx="1007">
                  <c:v>-0.11915792043423779</c:v>
                </c:pt>
                <c:pt idx="1008">
                  <c:v>-0.12919185003080169</c:v>
                </c:pt>
                <c:pt idx="1009">
                  <c:v>-0.12430553039073389</c:v>
                </c:pt>
                <c:pt idx="1010">
                  <c:v>-0.11645347029777564</c:v>
                </c:pt>
                <c:pt idx="1011">
                  <c:v>-0.11315777929932236</c:v>
                </c:pt>
                <c:pt idx="1012">
                  <c:v>-0.10328214967548499</c:v>
                </c:pt>
                <c:pt idx="1013">
                  <c:v>-0.10428344468369555</c:v>
                </c:pt>
                <c:pt idx="1014">
                  <c:v>-0.10890275232157398</c:v>
                </c:pt>
                <c:pt idx="1015">
                  <c:v>-9.4476475288992834E-2</c:v>
                </c:pt>
                <c:pt idx="1016">
                  <c:v>-9.6114784645284113E-2</c:v>
                </c:pt>
                <c:pt idx="1017">
                  <c:v>-9.9660322588643213E-2</c:v>
                </c:pt>
                <c:pt idx="1018">
                  <c:v>-0.10131579700221804</c:v>
                </c:pt>
                <c:pt idx="1019">
                  <c:v>-0.10811888137228909</c:v>
                </c:pt>
                <c:pt idx="1020">
                  <c:v>-0.11993606969776149</c:v>
                </c:pt>
                <c:pt idx="1021">
                  <c:v>-0.12094880807749453</c:v>
                </c:pt>
                <c:pt idx="1022">
                  <c:v>-0.1214771103961122</c:v>
                </c:pt>
                <c:pt idx="1023">
                  <c:v>-0.12537357839949193</c:v>
                </c:pt>
                <c:pt idx="1024">
                  <c:v>-0.12421970510431579</c:v>
                </c:pt>
                <c:pt idx="1025">
                  <c:v>-0.12476135802304311</c:v>
                </c:pt>
                <c:pt idx="1026">
                  <c:v>-0.12523435071263589</c:v>
                </c:pt>
                <c:pt idx="1027">
                  <c:v>-0.12598770600452769</c:v>
                </c:pt>
                <c:pt idx="1028">
                  <c:v>-0.13046015704120173</c:v>
                </c:pt>
                <c:pt idx="1029">
                  <c:v>-0.13971212291706803</c:v>
                </c:pt>
                <c:pt idx="1030">
                  <c:v>-0.13993336143316781</c:v>
                </c:pt>
                <c:pt idx="1031">
                  <c:v>-0.14002872286252122</c:v>
                </c:pt>
                <c:pt idx="1032">
                  <c:v>-0.15606279359400055</c:v>
                </c:pt>
                <c:pt idx="1033">
                  <c:v>-0.15626877428140395</c:v>
                </c:pt>
                <c:pt idx="1034">
                  <c:v>-0.15766677283572461</c:v>
                </c:pt>
                <c:pt idx="1035">
                  <c:v>-0.14795325764178813</c:v>
                </c:pt>
                <c:pt idx="1036">
                  <c:v>-0.14004207346263065</c:v>
                </c:pt>
                <c:pt idx="1037">
                  <c:v>-0.13974454580304807</c:v>
                </c:pt>
                <c:pt idx="1038">
                  <c:v>-0.14326147531760125</c:v>
                </c:pt>
                <c:pt idx="1039">
                  <c:v>-0.14182723942012609</c:v>
                </c:pt>
                <c:pt idx="1040">
                  <c:v>-0.1428724006858394</c:v>
                </c:pt>
                <c:pt idx="1041">
                  <c:v>-0.14566839779448082</c:v>
                </c:pt>
                <c:pt idx="1042">
                  <c:v>-0.14141337081673244</c:v>
                </c:pt>
                <c:pt idx="1043">
                  <c:v>-0.1289954054863337</c:v>
                </c:pt>
                <c:pt idx="1044">
                  <c:v>-0.12619940837769228</c:v>
                </c:pt>
                <c:pt idx="1045">
                  <c:v>-0.11540258734630116</c:v>
                </c:pt>
                <c:pt idx="1046">
                  <c:v>-0.10930899201061939</c:v>
                </c:pt>
                <c:pt idx="1047">
                  <c:v>-9.7562371142868587E-2</c:v>
                </c:pt>
                <c:pt idx="1048">
                  <c:v>-9.7169482053932499E-2</c:v>
                </c:pt>
                <c:pt idx="1049">
                  <c:v>-0.10410416519651133</c:v>
                </c:pt>
                <c:pt idx="1050">
                  <c:v>-0.10009517070649465</c:v>
                </c:pt>
                <c:pt idx="1051">
                  <c:v>-0.10286446661491722</c:v>
                </c:pt>
                <c:pt idx="1052">
                  <c:v>-0.116354294411248</c:v>
                </c:pt>
                <c:pt idx="1053">
                  <c:v>-0.10999750153055099</c:v>
                </c:pt>
                <c:pt idx="1054">
                  <c:v>-0.11313489255627762</c:v>
                </c:pt>
                <c:pt idx="1055">
                  <c:v>-0.12631956377867748</c:v>
                </c:pt>
                <c:pt idx="1056">
                  <c:v>-0.15465525889674459</c:v>
                </c:pt>
                <c:pt idx="1057">
                  <c:v>-0.14037965292254173</c:v>
                </c:pt>
                <c:pt idx="1058">
                  <c:v>-0.14559401587958509</c:v>
                </c:pt>
                <c:pt idx="1059">
                  <c:v>-0.12921473677384654</c:v>
                </c:pt>
                <c:pt idx="1060">
                  <c:v>-0.1101424509031681</c:v>
                </c:pt>
                <c:pt idx="1061">
                  <c:v>-0.10599804318346961</c:v>
                </c:pt>
                <c:pt idx="1062">
                  <c:v>-9.0189025425264191E-2</c:v>
                </c:pt>
                <c:pt idx="1063">
                  <c:v>-7.9741227225306632E-2</c:v>
                </c:pt>
                <c:pt idx="1064">
                  <c:v>-7.8150598583691999E-2</c:v>
                </c:pt>
                <c:pt idx="1065">
                  <c:v>-7.1982621333114616E-2</c:v>
                </c:pt>
                <c:pt idx="1066">
                  <c:v>-7.5120012358841137E-2</c:v>
                </c:pt>
                <c:pt idx="1067">
                  <c:v>-8.3029289309411669E-2</c:v>
                </c:pt>
                <c:pt idx="1068">
                  <c:v>-7.1999786390398168E-2</c:v>
                </c:pt>
                <c:pt idx="1069">
                  <c:v>-7.1715609330925134E-2</c:v>
                </c:pt>
                <c:pt idx="1070">
                  <c:v>-7.1782362331472505E-2</c:v>
                </c:pt>
                <c:pt idx="1071">
                  <c:v>-7.1305555184705494E-2</c:v>
                </c:pt>
                <c:pt idx="1072">
                  <c:v>-6.6939908948907223E-2</c:v>
                </c:pt>
                <c:pt idx="1073">
                  <c:v>-7.0050598774414885E-2</c:v>
                </c:pt>
                <c:pt idx="1074">
                  <c:v>-6.8723167677815611E-2</c:v>
                </c:pt>
                <c:pt idx="1075">
                  <c:v>-7.4086294464650426E-2</c:v>
                </c:pt>
                <c:pt idx="1076">
                  <c:v>-8.4225121633503153E-2</c:v>
                </c:pt>
                <c:pt idx="1077">
                  <c:v>-4.9257992718201193E-2</c:v>
                </c:pt>
                <c:pt idx="1078">
                  <c:v>-6.2469365140820243E-2</c:v>
                </c:pt>
                <c:pt idx="1079">
                  <c:v>-5.9091663313122988E-2</c:v>
                </c:pt>
                <c:pt idx="1080">
                  <c:v>-4.4016928560938862E-2</c:v>
                </c:pt>
                <c:pt idx="1081">
                  <c:v>-4.5630443945598231E-2</c:v>
                </c:pt>
                <c:pt idx="1082">
                  <c:v>-4.8466492854568055E-2</c:v>
                </c:pt>
                <c:pt idx="1083">
                  <c:v>-5.8443205593519898E-2</c:v>
                </c:pt>
                <c:pt idx="1084">
                  <c:v>-5.3501576324427202E-2</c:v>
                </c:pt>
                <c:pt idx="1085">
                  <c:v>-6.1273532816728649E-2</c:v>
                </c:pt>
                <c:pt idx="1086">
                  <c:v>-5.1987236826295247E-2</c:v>
                </c:pt>
                <c:pt idx="1087">
                  <c:v>-4.6341840208574459E-2</c:v>
                </c:pt>
                <c:pt idx="1088">
                  <c:v>-5.3015233034724885E-2</c:v>
                </c:pt>
                <c:pt idx="1089">
                  <c:v>-5.5828395200649972E-2</c:v>
                </c:pt>
                <c:pt idx="1090">
                  <c:v>-5.2732963203838912E-2</c:v>
                </c:pt>
                <c:pt idx="1091">
                  <c:v>-5.5895148201197342E-2</c:v>
                </c:pt>
                <c:pt idx="1092">
                  <c:v>-5.7195878097577646E-2</c:v>
                </c:pt>
                <c:pt idx="1093">
                  <c:v>-6.3836848037747806E-2</c:v>
                </c:pt>
                <c:pt idx="1094">
                  <c:v>-6.0873014813444426E-2</c:v>
                </c:pt>
                <c:pt idx="1095">
                  <c:v>-5.5887519286848986E-2</c:v>
                </c:pt>
                <c:pt idx="1096">
                  <c:v>-4.6269365522265904E-2</c:v>
                </c:pt>
                <c:pt idx="1097">
                  <c:v>-4.2449186662368965E-2</c:v>
                </c:pt>
                <c:pt idx="1098">
                  <c:v>-4.2409134862040565E-2</c:v>
                </c:pt>
                <c:pt idx="1099">
                  <c:v>-4.0992064021849184E-2</c:v>
                </c:pt>
                <c:pt idx="1100">
                  <c:v>-5.0650269586760777E-2</c:v>
                </c:pt>
                <c:pt idx="1101">
                  <c:v>-5.7119588954094969E-2</c:v>
                </c:pt>
                <c:pt idx="1102">
                  <c:v>-4.8426441054239655E-2</c:v>
                </c:pt>
                <c:pt idx="1103">
                  <c:v>-5.197770068335994E-2</c:v>
                </c:pt>
                <c:pt idx="1104">
                  <c:v>-5.3554978724865143E-2</c:v>
                </c:pt>
                <c:pt idx="1105">
                  <c:v>-5.4272096673602555E-2</c:v>
                </c:pt>
                <c:pt idx="1106">
                  <c:v>-4.2098256602348449E-2</c:v>
                </c:pt>
                <c:pt idx="1107">
                  <c:v>-4.7457568932009142E-2</c:v>
                </c:pt>
                <c:pt idx="1108">
                  <c:v>-4.4693994709347984E-2</c:v>
                </c:pt>
                <c:pt idx="1109">
                  <c:v>-3.7049822532379983E-2</c:v>
                </c:pt>
                <c:pt idx="1110">
                  <c:v>-2.5444336580072058E-2</c:v>
                </c:pt>
                <c:pt idx="1111">
                  <c:v>-2.2057098609439607E-2</c:v>
                </c:pt>
                <c:pt idx="1112">
                  <c:v>-2.66630556472085E-2</c:v>
                </c:pt>
                <c:pt idx="1113">
                  <c:v>-2.5718977496609896E-2</c:v>
                </c:pt>
                <c:pt idx="1114">
                  <c:v>-2.9090957638545745E-2</c:v>
                </c:pt>
                <c:pt idx="1115">
                  <c:v>-3.0925711539305123E-2</c:v>
                </c:pt>
                <c:pt idx="1116">
                  <c:v>-2.8801058893311526E-2</c:v>
                </c:pt>
                <c:pt idx="1117">
                  <c:v>-2.8789615521789158E-2</c:v>
                </c:pt>
                <c:pt idx="1118">
                  <c:v>-2.6455167731218032E-2</c:v>
                </c:pt>
                <c:pt idx="1119">
                  <c:v>-2.8225075860017101E-2</c:v>
                </c:pt>
                <c:pt idx="1120">
                  <c:v>-3.2834847354960006E-2</c:v>
                </c:pt>
                <c:pt idx="1121">
                  <c:v>-4.0669742390634811E-2</c:v>
                </c:pt>
                <c:pt idx="1122">
                  <c:v>-4.3246408211763399E-2</c:v>
                </c:pt>
                <c:pt idx="1123">
                  <c:v>-3.8916999319119405E-2</c:v>
                </c:pt>
                <c:pt idx="1124">
                  <c:v>-3.8297150028322346E-2</c:v>
                </c:pt>
                <c:pt idx="1125">
                  <c:v>-4.2134493945502838E-2</c:v>
                </c:pt>
                <c:pt idx="1126">
                  <c:v>-4.7591074933103883E-2</c:v>
                </c:pt>
                <c:pt idx="1127">
                  <c:v>-4.2925993809135976E-2</c:v>
                </c:pt>
                <c:pt idx="1128">
                  <c:v>-4.4062702047028335E-2</c:v>
                </c:pt>
                <c:pt idx="1129">
                  <c:v>-3.7997715140152599E-2</c:v>
                </c:pt>
                <c:pt idx="1130">
                  <c:v>-4.4016928560938862E-2</c:v>
                </c:pt>
                <c:pt idx="1131">
                  <c:v>-5.2603271659918183E-2</c:v>
                </c:pt>
                <c:pt idx="1132">
                  <c:v>-5.8557639308744025E-2</c:v>
                </c:pt>
                <c:pt idx="1133">
                  <c:v>-5.3209770350605812E-2</c:v>
                </c:pt>
                <c:pt idx="1134">
                  <c:v>-5.1914762139986803E-2</c:v>
                </c:pt>
                <c:pt idx="1135">
                  <c:v>-5.5221896509962454E-2</c:v>
                </c:pt>
                <c:pt idx="1136">
                  <c:v>-6.2965244573457868E-2</c:v>
                </c:pt>
                <c:pt idx="1137">
                  <c:v>-5.6961288981368208E-2</c:v>
                </c:pt>
                <c:pt idx="1138">
                  <c:v>-5.975347163283562E-2</c:v>
                </c:pt>
                <c:pt idx="1139">
                  <c:v>-6.2627665113546782E-2</c:v>
                </c:pt>
                <c:pt idx="1140">
                  <c:v>-6.1790391763823949E-2</c:v>
                </c:pt>
                <c:pt idx="1141">
                  <c:v>-7.0672355293799005E-2</c:v>
                </c:pt>
                <c:pt idx="1142">
                  <c:v>-6.221379651015313E-2</c:v>
                </c:pt>
                <c:pt idx="1143">
                  <c:v>-6.5938613940696555E-2</c:v>
                </c:pt>
                <c:pt idx="1144">
                  <c:v>-6.0905437699424581E-2</c:v>
                </c:pt>
                <c:pt idx="1145">
                  <c:v>-6.0449610067115356E-2</c:v>
                </c:pt>
                <c:pt idx="1146">
                  <c:v>-5.1079396018851031E-2</c:v>
                </c:pt>
                <c:pt idx="1147">
                  <c:v>-4.712380392927229E-2</c:v>
                </c:pt>
                <c:pt idx="1148">
                  <c:v>-4.4457498364551484E-2</c:v>
                </c:pt>
                <c:pt idx="1149">
                  <c:v>-4.3191098582738396E-2</c:v>
                </c:pt>
                <c:pt idx="1150">
                  <c:v>-5.1340686335279329E-2</c:v>
                </c:pt>
                <c:pt idx="1151">
                  <c:v>-4.7615868904735792E-2</c:v>
                </c:pt>
                <c:pt idx="1152">
                  <c:v>-5.7369435899000787E-2</c:v>
                </c:pt>
                <c:pt idx="1153">
                  <c:v>-6.5423662222188206E-2</c:v>
                </c:pt>
                <c:pt idx="1154">
                  <c:v>-6.8248267759635772E-2</c:v>
                </c:pt>
                <c:pt idx="1155">
                  <c:v>-6.0688013640498806E-2</c:v>
                </c:pt>
                <c:pt idx="1156">
                  <c:v>-6.2421684426143598E-2</c:v>
                </c:pt>
                <c:pt idx="1157">
                  <c:v>-5.7255002183776771E-2</c:v>
                </c:pt>
                <c:pt idx="1158">
                  <c:v>-5.6520719177755585E-2</c:v>
                </c:pt>
                <c:pt idx="1159">
                  <c:v>-5.6265150547088472E-2</c:v>
                </c:pt>
                <c:pt idx="1160">
                  <c:v>-5.5038802565603784E-2</c:v>
                </c:pt>
                <c:pt idx="1161">
                  <c:v>-5.1397903192891392E-2</c:v>
                </c:pt>
                <c:pt idx="1162">
                  <c:v>-4.7411795445919558E-2</c:v>
                </c:pt>
                <c:pt idx="1163">
                  <c:v>-4.6175911321499563E-2</c:v>
                </c:pt>
                <c:pt idx="1164">
                  <c:v>-4.2037225287562374E-2</c:v>
                </c:pt>
                <c:pt idx="1165">
                  <c:v>-4.3746102101575146E-2</c:v>
                </c:pt>
                <c:pt idx="1166">
                  <c:v>-3.7265339362718697E-2</c:v>
                </c:pt>
                <c:pt idx="1167">
                  <c:v>-3.3788461648493917E-2</c:v>
                </c:pt>
                <c:pt idx="1168">
                  <c:v>-3.0227665876438325E-2</c:v>
                </c:pt>
                <c:pt idx="1169">
                  <c:v>-3.391052427806629E-2</c:v>
                </c:pt>
                <c:pt idx="1170">
                  <c:v>-3.8667152374213587E-2</c:v>
                </c:pt>
                <c:pt idx="1171">
                  <c:v>-3.9920201555917023E-2</c:v>
                </c:pt>
                <c:pt idx="1172">
                  <c:v>-4.4215280333993801E-2</c:v>
                </c:pt>
                <c:pt idx="1173">
                  <c:v>-5.054918647164619E-2</c:v>
                </c:pt>
                <c:pt idx="1174">
                  <c:v>-5.955702708836752E-2</c:v>
                </c:pt>
                <c:pt idx="1175">
                  <c:v>-6.0312289608846381E-2</c:v>
                </c:pt>
                <c:pt idx="1176">
                  <c:v>-6.1220130416290819E-2</c:v>
                </c:pt>
                <c:pt idx="1177">
                  <c:v>-5.2629972860137153E-2</c:v>
                </c:pt>
                <c:pt idx="1178">
                  <c:v>-5.0419494927725572E-2</c:v>
                </c:pt>
                <c:pt idx="1179">
                  <c:v>-4.3423780470360662E-2</c:v>
                </c:pt>
                <c:pt idx="1180">
                  <c:v>-4.2254649346488149E-2</c:v>
                </c:pt>
                <c:pt idx="1181">
                  <c:v>-4.462533448021333E-2</c:v>
                </c:pt>
                <c:pt idx="1182">
                  <c:v>-3.9451023323498369E-2</c:v>
                </c:pt>
                <c:pt idx="1183">
                  <c:v>-3.5501152919680923E-2</c:v>
                </c:pt>
                <c:pt idx="1184">
                  <c:v>-3.7713538080679565E-2</c:v>
                </c:pt>
                <c:pt idx="1185">
                  <c:v>-4.0835671277709595E-2</c:v>
                </c:pt>
                <c:pt idx="1186">
                  <c:v>-3.4044030279161031E-2</c:v>
                </c:pt>
                <c:pt idx="1187">
                  <c:v>-2.4059688625860831E-2</c:v>
                </c:pt>
                <c:pt idx="1188">
                  <c:v>-1.930878221547494E-2</c:v>
                </c:pt>
                <c:pt idx="1189">
                  <c:v>-1.4224110802351864E-2</c:v>
                </c:pt>
                <c:pt idx="1190">
                  <c:v>-1.3253331451534511E-2</c:v>
                </c:pt>
                <c:pt idx="1191">
                  <c:v>-1.2383635215831412E-2</c:v>
                </c:pt>
                <c:pt idx="1192">
                  <c:v>-1.6055050245937008E-2</c:v>
                </c:pt>
                <c:pt idx="1193">
                  <c:v>-9.5361429353392202E-3</c:v>
                </c:pt>
                <c:pt idx="1194">
                  <c:v>-1.067475840181864E-2</c:v>
                </c:pt>
                <c:pt idx="1195">
                  <c:v>-6.1851423078609358E-3</c:v>
                </c:pt>
                <c:pt idx="1196">
                  <c:v>-1.2900494162926934E-2</c:v>
                </c:pt>
                <c:pt idx="1197">
                  <c:v>-1.8841511211643236E-2</c:v>
                </c:pt>
                <c:pt idx="1198">
                  <c:v>-1.7268047627312266E-2</c:v>
                </c:pt>
                <c:pt idx="1199">
                  <c:v>-2.3588603164855004E-2</c:v>
                </c:pt>
                <c:pt idx="1200">
                  <c:v>-2.6943418249507411E-2</c:v>
                </c:pt>
                <c:pt idx="1201">
                  <c:v>-2.7607133797807104E-2</c:v>
                </c:pt>
                <c:pt idx="1202">
                  <c:v>-2.4477371686428717E-2</c:v>
                </c:pt>
                <c:pt idx="1203">
                  <c:v>-1.9877136334421008E-2</c:v>
                </c:pt>
                <c:pt idx="1204">
                  <c:v>-1.2978690534996673E-2</c:v>
                </c:pt>
                <c:pt idx="1205">
                  <c:v>-1.2850906219663116E-2</c:v>
                </c:pt>
                <c:pt idx="1206">
                  <c:v>-1.1672238952855185E-2</c:v>
                </c:pt>
                <c:pt idx="1207">
                  <c:v>-7.7280902347988123E-3</c:v>
                </c:pt>
                <c:pt idx="1208">
                  <c:v>-1.1672238952855185E-2</c:v>
                </c:pt>
                <c:pt idx="1209">
                  <c:v>-6.2328230225376924E-3</c:v>
                </c:pt>
                <c:pt idx="1210">
                  <c:v>-9.1165526461833846E-4</c:v>
                </c:pt>
                <c:pt idx="1211">
                  <c:v>-5.6415821605465544E-3</c:v>
                </c:pt>
                <c:pt idx="1212">
                  <c:v>-9.7859898802450385E-3</c:v>
                </c:pt>
                <c:pt idx="1213">
                  <c:v>-1.2635389389324514E-2</c:v>
                </c:pt>
                <c:pt idx="1214">
                  <c:v>-4.1005414621964054E-4</c:v>
                </c:pt>
                <c:pt idx="1215">
                  <c:v>-1.9072285870724848E-5</c:v>
                </c:pt>
                <c:pt idx="1216">
                  <c:v>-4.9969388981174756E-4</c:v>
                </c:pt>
                <c:pt idx="1217">
                  <c:v>-1.5372262411766924E-3</c:v>
                </c:pt>
                <c:pt idx="1218">
                  <c:v>-7.0128795146484624E-3</c:v>
                </c:pt>
                <c:pt idx="1219">
                  <c:v>-8.775158729099175E-3</c:v>
                </c:pt>
                <c:pt idx="1220">
                  <c:v>-6.9537554284493375E-3</c:v>
                </c:pt>
                <c:pt idx="1221">
                  <c:v>-1.1290793235441132E-3</c:v>
                </c:pt>
                <c:pt idx="1222">
                  <c:v>-9.7459380799166384E-3</c:v>
                </c:pt>
                <c:pt idx="1223">
                  <c:v>-1.4357616803446716E-2</c:v>
                </c:pt>
                <c:pt idx="1224">
                  <c:v>-1.74721210861285E-2</c:v>
                </c:pt>
                <c:pt idx="1225">
                  <c:v>-1.2110901527880857E-2</c:v>
                </c:pt>
                <c:pt idx="1226">
                  <c:v>-6.4502470814633561E-3</c:v>
                </c:pt>
                <c:pt idx="1227">
                  <c:v>-7.199787916181144E-3</c:v>
                </c:pt>
                <c:pt idx="1228">
                  <c:v>-1.3577560311336057E-2</c:v>
                </c:pt>
                <c:pt idx="1229">
                  <c:v>-1.5162467267189395E-2</c:v>
                </c:pt>
                <c:pt idx="1230">
                  <c:v>-1.5276900982413411E-2</c:v>
                </c:pt>
                <c:pt idx="1231">
                  <c:v>-9.5227923352296795E-3</c:v>
                </c:pt>
                <c:pt idx="1232">
                  <c:v>-1.6650105565101381E-3</c:v>
                </c:pt>
                <c:pt idx="1233">
                  <c:v>-1.4838238407387516E-3</c:v>
                </c:pt>
                <c:pt idx="1234">
                  <c:v>-2.8207910802733327E-3</c:v>
                </c:pt>
                <c:pt idx="1235">
                  <c:v>-6.6276193400607308E-3</c:v>
                </c:pt>
                <c:pt idx="1236">
                  <c:v>-1.0449705428544731E-2</c:v>
                </c:pt>
                <c:pt idx="1237">
                  <c:v>-1.0573675286704165E-2</c:v>
                </c:pt>
                <c:pt idx="1238">
                  <c:v>-3.2975982270403437E-3</c:v>
                </c:pt>
              </c:numCache>
            </c:numRef>
          </c:val>
          <c:extLst>
            <c:ext xmlns:c16="http://schemas.microsoft.com/office/drawing/2014/chart" uri="{C3380CC4-5D6E-409C-BE32-E72D297353CC}">
              <c16:uniqueId val="{00000000-150C-4360-8579-3559FC61BD2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90643199"/>
        <c:axId val="196945343"/>
      </c:areaChart>
      <c:dateAx>
        <c:axId val="490643199"/>
        <c:scaling>
          <c:orientation val="minMax"/>
        </c:scaling>
        <c:delete val="0"/>
        <c:axPos val="b"/>
        <c:numFmt formatCode="d\-mmm\-yy"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0" spcFirstLastPara="1" vertOverflow="ellipsis" wrap="square" anchor="t" anchorCtr="1"/>
          <a:lstStyle/>
          <a:p>
            <a:pPr>
              <a:defRPr sz="900" b="1" i="0" u="none" strike="noStrike" kern="1200" cap="all" baseline="0">
                <a:solidFill>
                  <a:schemeClr val="lt1">
                    <a:lumMod val="85000"/>
                  </a:schemeClr>
                </a:solidFill>
                <a:latin typeface="+mn-lt"/>
                <a:ea typeface="+mn-ea"/>
                <a:cs typeface="+mn-cs"/>
              </a:defRPr>
            </a:pPr>
            <a:endParaRPr lang="en-US"/>
          </a:p>
        </c:txPr>
        <c:crossAx val="196945343"/>
        <c:crosses val="autoZero"/>
        <c:auto val="0"/>
        <c:lblOffset val="100"/>
        <c:baseTimeUnit val="days"/>
      </c:dateAx>
      <c:valAx>
        <c:axId val="19694534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0643199"/>
        <c:crosses val="autoZero"/>
        <c:crossBetween val="midCat"/>
      </c:valAx>
      <c:spPr>
        <a:noFill/>
        <a:ln>
          <a:noFill/>
        </a:ln>
        <a:effectLst/>
      </c:spPr>
    </c:plotArea>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Excel.xlsx]Project pivot table!PivotTable4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 pivot table'!$B$3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'Project pivot table'!$A$4:$A$9</c:f>
              <c:strCache>
                <c:ptCount val="5"/>
                <c:pt idx="0">
                  <c:v>2021</c:v>
                </c:pt>
                <c:pt idx="1">
                  <c:v>2022</c:v>
                </c:pt>
                <c:pt idx="2">
                  <c:v>2023</c:v>
                </c:pt>
                <c:pt idx="3">
                  <c:v>2024</c:v>
                </c:pt>
                <c:pt idx="4">
                  <c:v>2025</c:v>
                </c:pt>
              </c:strCache>
            </c:strRef>
          </c:cat>
          <c:val>
            <c:numRef>
              <c:f>'Project pivot table'!$B$4:$B$9</c:f>
              <c:numCache>
                <c:formatCode>General</c:formatCode>
                <c:ptCount val="5"/>
                <c:pt idx="0">
                  <c:v>6955527074</c:v>
                </c:pt>
                <c:pt idx="1">
                  <c:v>6900597267</c:v>
                </c:pt>
                <c:pt idx="2">
                  <c:v>6077673965</c:v>
                </c:pt>
                <c:pt idx="3">
                  <c:v>6194722735</c:v>
                </c:pt>
                <c:pt idx="4">
                  <c:v>5978414023</c:v>
                </c:pt>
              </c:numCache>
            </c:numRef>
          </c:val>
          <c:extLst>
            <c:ext xmlns:c16="http://schemas.microsoft.com/office/drawing/2014/chart" uri="{C3380CC4-5D6E-409C-BE32-E72D297353CC}">
              <c16:uniqueId val="{00000000-C22A-4966-8234-23D355D1FDBC}"/>
            </c:ext>
          </c:extLst>
        </c:ser>
        <c:dLbls>
          <c:dLblPos val="outEnd"/>
          <c:showLegendKey val="0"/>
          <c:showVal val="1"/>
          <c:showCatName val="0"/>
          <c:showSerName val="0"/>
          <c:showPercent val="0"/>
          <c:showBubbleSize val="0"/>
        </c:dLbls>
        <c:gapWidth val="444"/>
        <c:overlap val="-90"/>
        <c:axId val="234159183"/>
        <c:axId val="196930943"/>
      </c:barChart>
      <c:catAx>
        <c:axId val="234159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6930943"/>
        <c:crosses val="autoZero"/>
        <c:auto val="1"/>
        <c:lblAlgn val="ctr"/>
        <c:lblOffset val="100"/>
        <c:noMultiLvlLbl val="0"/>
      </c:catAx>
      <c:valAx>
        <c:axId val="196930943"/>
        <c:scaling>
          <c:orientation val="minMax"/>
        </c:scaling>
        <c:delete val="1"/>
        <c:axPos val="l"/>
        <c:numFmt formatCode="General" sourceLinked="1"/>
        <c:majorTickMark val="none"/>
        <c:minorTickMark val="none"/>
        <c:tickLblPos val="nextTo"/>
        <c:crossAx val="23415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Excel.xlsx]Project pivot table 2!PivotTable9</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 pivot table 2'!$B$14:$B$15</c:f>
              <c:strCache>
                <c:ptCount val="1"/>
                <c:pt idx="0">
                  <c:v>2021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'Project pivot table 2'!$A$16:$A$28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'Project pivot table 2'!$B$16:$B$28</c:f>
              <c:numCache>
                <c:formatCode>0.000%</c:formatCode>
                <c:ptCount val="12"/>
                <c:pt idx="0">
                  <c:v>-2.6996579162268532E-2</c:v>
                </c:pt>
                <c:pt idx="1">
                  <c:v>6.473662179787254E-2</c:v>
                </c:pt>
                <c:pt idx="2">
                  <c:v>1.1658006204066929E-2</c:v>
                </c:pt>
                <c:pt idx="3">
                  <c:v>-3.8211056361732165E-3</c:v>
                </c:pt>
                <c:pt idx="4">
                  <c:v>6.3154883453383659E-2</c:v>
                </c:pt>
                <c:pt idx="5">
                  <c:v>8.9683422503592063E-3</c:v>
                </c:pt>
                <c:pt idx="6">
                  <c:v>2.6293528104515277E-3</c:v>
                </c:pt>
                <c:pt idx="7">
                  <c:v>8.3416912365109341E-2</c:v>
                </c:pt>
                <c:pt idx="8">
                  <c:v>2.8106123512210746E-2</c:v>
                </c:pt>
                <c:pt idx="9">
                  <c:v>3.3867593960328832E-3</c:v>
                </c:pt>
                <c:pt idx="10">
                  <c:v>-3.924161361027486E-2</c:v>
                </c:pt>
                <c:pt idx="11">
                  <c:v>2.2151319663232402E-2</c:v>
                </c:pt>
              </c:numCache>
            </c:numRef>
          </c:val>
          <c:extLst>
            <c:ext xmlns:c16="http://schemas.microsoft.com/office/drawing/2014/chart" uri="{C3380CC4-5D6E-409C-BE32-E72D297353CC}">
              <c16:uniqueId val="{00000000-4AD9-440F-A8D9-B9B9933F4EB0}"/>
            </c:ext>
          </c:extLst>
        </c:ser>
        <c:ser>
          <c:idx val="1"/>
          <c:order val="1"/>
          <c:tx>
            <c:strRef>
              <c:f>'Project pivot table 2'!$C$14:$C$15</c:f>
              <c:strCache>
                <c:ptCount val="1"/>
                <c:pt idx="0">
                  <c:v>2022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'Project pivot table 2'!$A$16:$A$28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'Project pivot table 2'!$C$16:$C$28</c:f>
              <c:numCache>
                <c:formatCode>0.000%</c:formatCode>
                <c:ptCount val="12"/>
                <c:pt idx="0">
                  <c:v>-3.5357206715218477E-4</c:v>
                </c:pt>
                <c:pt idx="1">
                  <c:v>-3.211000078847525E-2</c:v>
                </c:pt>
                <c:pt idx="2">
                  <c:v>3.9051482638561064E-2</c:v>
                </c:pt>
                <c:pt idx="3">
                  <c:v>-2.085047772243797E-2</c:v>
                </c:pt>
                <c:pt idx="4">
                  <c:v>-3.0539406282689543E-2</c:v>
                </c:pt>
                <c:pt idx="5">
                  <c:v>-4.9465064782091915E-2</c:v>
                </c:pt>
                <c:pt idx="6">
                  <c:v>8.3813035847961598E-2</c:v>
                </c:pt>
                <c:pt idx="7">
                  <c:v>3.4579501305069038E-2</c:v>
                </c:pt>
                <c:pt idx="8">
                  <c:v>-3.8022767283691222E-2</c:v>
                </c:pt>
                <c:pt idx="9">
                  <c:v>5.2240072336445537E-2</c:v>
                </c:pt>
                <c:pt idx="10">
                  <c:v>4.0567722175129439E-2</c:v>
                </c:pt>
                <c:pt idx="11">
                  <c:v>-3.5132332738297967E-2</c:v>
                </c:pt>
              </c:numCache>
            </c:numRef>
          </c:val>
          <c:extLst>
            <c:ext xmlns:c16="http://schemas.microsoft.com/office/drawing/2014/chart" uri="{C3380CC4-5D6E-409C-BE32-E72D297353CC}">
              <c16:uniqueId val="{00000001-4AD9-440F-A8D9-B9B9933F4EB0}"/>
            </c:ext>
          </c:extLst>
        </c:ser>
        <c:ser>
          <c:idx val="2"/>
          <c:order val="2"/>
          <c:tx>
            <c:strRef>
              <c:f>'Project pivot table 2'!$D$14:$D$15</c:f>
              <c:strCache>
                <c:ptCount val="1"/>
                <c:pt idx="0">
                  <c:v>2023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'Project pivot table 2'!$A$16:$A$28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'Project pivot table 2'!$D$16:$D$28</c:f>
              <c:numCache>
                <c:formatCode>0.000%</c:formatCode>
                <c:ptCount val="12"/>
                <c:pt idx="0">
                  <c:v>-2.4323388380095769E-2</c:v>
                </c:pt>
                <c:pt idx="1">
                  <c:v>-2.0287534788040129E-2</c:v>
                </c:pt>
                <c:pt idx="2">
                  <c:v>3.4728873477684209E-3</c:v>
                </c:pt>
                <c:pt idx="3">
                  <c:v>3.9920656738745029E-2</c:v>
                </c:pt>
                <c:pt idx="4">
                  <c:v>2.5788209260898434E-2</c:v>
                </c:pt>
                <c:pt idx="5">
                  <c:v>3.47946003977566E-2</c:v>
                </c:pt>
                <c:pt idx="6">
                  <c:v>2.9060591553938937E-2</c:v>
                </c:pt>
                <c:pt idx="7">
                  <c:v>-2.5559532704882579E-2</c:v>
                </c:pt>
                <c:pt idx="8">
                  <c:v>1.9906775187264511E-2</c:v>
                </c:pt>
                <c:pt idx="9">
                  <c:v>-2.871627031806484E-2</c:v>
                </c:pt>
                <c:pt idx="10">
                  <c:v>5.3646385274640863E-2</c:v>
                </c:pt>
                <c:pt idx="11">
                  <c:v>7.6470965713015898E-2</c:v>
                </c:pt>
              </c:numCache>
            </c:numRef>
          </c:val>
          <c:extLst>
            <c:ext xmlns:c16="http://schemas.microsoft.com/office/drawing/2014/chart" uri="{C3380CC4-5D6E-409C-BE32-E72D297353CC}">
              <c16:uniqueId val="{00000002-4AD9-440F-A8D9-B9B9933F4EB0}"/>
            </c:ext>
          </c:extLst>
        </c:ser>
        <c:ser>
          <c:idx val="3"/>
          <c:order val="3"/>
          <c:tx>
            <c:strRef>
              <c:f>'Project pivot table 2'!$E$14:$E$15</c:f>
              <c:strCache>
                <c:ptCount val="1"/>
                <c:pt idx="0">
                  <c:v>2024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'Project pivot table 2'!$A$16:$A$28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'Project pivot table 2'!$E$16:$E$28</c:f>
              <c:numCache>
                <c:formatCode>0.000%</c:formatCode>
                <c:ptCount val="12"/>
                <c:pt idx="0">
                  <c:v>1.3286566365083505E-4</c:v>
                </c:pt>
                <c:pt idx="1">
                  <c:v>1.2079085845186972E-2</c:v>
                </c:pt>
                <c:pt idx="2">
                  <c:v>1.5878822136493331E-2</c:v>
                </c:pt>
                <c:pt idx="3">
                  <c:v>1.2495376425197208E-2</c:v>
                </c:pt>
                <c:pt idx="4">
                  <c:v>-2.965056770188304E-3</c:v>
                </c:pt>
                <c:pt idx="5">
                  <c:v>6.5039930223891845E-2</c:v>
                </c:pt>
                <c:pt idx="6">
                  <c:v>3.8719587594618562E-2</c:v>
                </c:pt>
                <c:pt idx="7">
                  <c:v>1.1148146284309927E-2</c:v>
                </c:pt>
                <c:pt idx="8">
                  <c:v>2.2758927527149246E-2</c:v>
                </c:pt>
                <c:pt idx="9">
                  <c:v>-6.3898837964909375E-2</c:v>
                </c:pt>
                <c:pt idx="10">
                  <c:v>-2.3776287482441295E-3</c:v>
                </c:pt>
                <c:pt idx="11">
                  <c:v>-2.0169299379542403E-2</c:v>
                </c:pt>
              </c:numCache>
            </c:numRef>
          </c:val>
          <c:extLst>
            <c:ext xmlns:c16="http://schemas.microsoft.com/office/drawing/2014/chart" uri="{C3380CC4-5D6E-409C-BE32-E72D297353CC}">
              <c16:uniqueId val="{00000003-4AD9-440F-A8D9-B9B9933F4EB0}"/>
            </c:ext>
          </c:extLst>
        </c:ser>
        <c:ser>
          <c:idx val="4"/>
          <c:order val="4"/>
          <c:tx>
            <c:strRef>
              <c:f>'Project pivot table 2'!$F$14:$F$15</c:f>
              <c:strCache>
                <c:ptCount val="1"/>
                <c:pt idx="0">
                  <c:v>2025</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'Project pivot table 2'!$A$16:$A$28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'Project pivot table 2'!$F$16:$F$28</c:f>
              <c:numCache>
                <c:formatCode>0.000%</c:formatCode>
                <c:ptCount val="12"/>
                <c:pt idx="0">
                  <c:v>-5.3008333265250306E-3</c:v>
                </c:pt>
                <c:pt idx="1">
                  <c:v>-6.0436362933755469E-2</c:v>
                </c:pt>
                <c:pt idx="2">
                  <c:v>6.1330475978815732E-2</c:v>
                </c:pt>
                <c:pt idx="3">
                  <c:v>3.2824440223409697E-2</c:v>
                </c:pt>
                <c:pt idx="4">
                  <c:v>1.7299838224757263E-2</c:v>
                </c:pt>
                <c:pt idx="5">
                  <c:v>3.0702811548120667E-2</c:v>
                </c:pt>
                <c:pt idx="6">
                  <c:v>-2.962793708459666E-2</c:v>
                </c:pt>
                <c:pt idx="7">
                  <c:v>-1.3759840617777869E-2</c:v>
                </c:pt>
                <c:pt idx="8">
                  <c:v>7.5812290568245677E-3</c:v>
                </c:pt>
                <c:pt idx="9">
                  <c:v>4.4330618843847695E-2</c:v>
                </c:pt>
                <c:pt idx="10">
                  <c:v>1.868403132212864E-2</c:v>
                </c:pt>
                <c:pt idx="11">
                  <c:v>-2.6968349854626858E-3</c:v>
                </c:pt>
              </c:numCache>
            </c:numRef>
          </c:val>
          <c:extLst>
            <c:ext xmlns:c16="http://schemas.microsoft.com/office/drawing/2014/chart" uri="{C3380CC4-5D6E-409C-BE32-E72D297353CC}">
              <c16:uniqueId val="{00000004-4AD9-440F-A8D9-B9B9933F4EB0}"/>
            </c:ext>
          </c:extLst>
        </c:ser>
        <c:dLbls>
          <c:showLegendKey val="0"/>
          <c:showVal val="0"/>
          <c:showCatName val="0"/>
          <c:showSerName val="0"/>
          <c:showPercent val="0"/>
          <c:showBubbleSize val="0"/>
        </c:dLbls>
        <c:gapWidth val="100"/>
        <c:overlap val="-24"/>
        <c:axId val="376287951"/>
        <c:axId val="225248415"/>
      </c:barChart>
      <c:catAx>
        <c:axId val="376287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5248415"/>
        <c:crosses val="autoZero"/>
        <c:auto val="1"/>
        <c:lblAlgn val="ctr"/>
        <c:lblOffset val="100"/>
        <c:noMultiLvlLbl val="0"/>
      </c:catAx>
      <c:valAx>
        <c:axId val="225248415"/>
        <c:scaling>
          <c:orientation val="minMax"/>
        </c:scaling>
        <c:delete val="0"/>
        <c:axPos val="l"/>
        <c:majorGridlines>
          <c:spPr>
            <a:ln w="9525" cap="flat" cmpd="sng" algn="ctr">
              <a:solidFill>
                <a:schemeClr val="lt1">
                  <a:lumMod val="95000"/>
                  <a:alpha val="10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628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8.xml"/><Relationship Id="rId3" Type="http://schemas.openxmlformats.org/officeDocument/2006/relationships/image" Target="../media/image3.png"/><Relationship Id="rId21" Type="http://schemas.openxmlformats.org/officeDocument/2006/relationships/chart" Target="../charts/chart11.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19"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7</xdr:col>
      <xdr:colOff>45720</xdr:colOff>
      <xdr:row>6</xdr:row>
      <xdr:rowOff>95250</xdr:rowOff>
    </xdr:from>
    <xdr:to>
      <xdr:col>14</xdr:col>
      <xdr:colOff>350520</xdr:colOff>
      <xdr:row>21</xdr:row>
      <xdr:rowOff>95250</xdr:rowOff>
    </xdr:to>
    <xdr:graphicFrame macro="">
      <xdr:nvGraphicFramePr>
        <xdr:cNvPr id="2" name="Chart 1">
          <a:extLst>
            <a:ext uri="{FF2B5EF4-FFF2-40B4-BE49-F238E27FC236}">
              <a16:creationId xmlns:a16="http://schemas.microsoft.com/office/drawing/2014/main" id="{E10F7FC8-5AA7-5D27-E2FD-3EC011BC6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30480</xdr:colOff>
      <xdr:row>0</xdr:row>
      <xdr:rowOff>102870</xdr:rowOff>
    </xdr:from>
    <xdr:to>
      <xdr:col>15</xdr:col>
      <xdr:colOff>487680</xdr:colOff>
      <xdr:row>15</xdr:row>
      <xdr:rowOff>102870</xdr:rowOff>
    </xdr:to>
    <xdr:graphicFrame macro="">
      <xdr:nvGraphicFramePr>
        <xdr:cNvPr id="3" name="Chart 2">
          <a:extLst>
            <a:ext uri="{FF2B5EF4-FFF2-40B4-BE49-F238E27FC236}">
              <a16:creationId xmlns:a16="http://schemas.microsoft.com/office/drawing/2014/main" id="{BC0C79FE-ABEC-EBA5-07DE-843675698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175260</xdr:colOff>
      <xdr:row>16</xdr:row>
      <xdr:rowOff>121920</xdr:rowOff>
    </xdr:from>
    <xdr:to>
      <xdr:col>15</xdr:col>
      <xdr:colOff>15240</xdr:colOff>
      <xdr:row>31</xdr:row>
      <xdr:rowOff>121920</xdr:rowOff>
    </xdr:to>
    <xdr:graphicFrame macro="">
      <xdr:nvGraphicFramePr>
        <xdr:cNvPr id="4" name="Chart 3">
          <a:extLst>
            <a:ext uri="{FF2B5EF4-FFF2-40B4-BE49-F238E27FC236}">
              <a16:creationId xmlns:a16="http://schemas.microsoft.com/office/drawing/2014/main" id="{FBF86186-A38A-7308-6D59-834A6CA45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182880</xdr:colOff>
      <xdr:row>1</xdr:row>
      <xdr:rowOff>15240</xdr:rowOff>
    </xdr:from>
    <xdr:to>
      <xdr:col>6</xdr:col>
      <xdr:colOff>1082040</xdr:colOff>
      <xdr:row>16</xdr:row>
      <xdr:rowOff>15240</xdr:rowOff>
    </xdr:to>
    <xdr:graphicFrame macro="">
      <xdr:nvGraphicFramePr>
        <xdr:cNvPr id="3" name="Chart 2">
          <a:extLst>
            <a:ext uri="{FF2B5EF4-FFF2-40B4-BE49-F238E27FC236}">
              <a16:creationId xmlns:a16="http://schemas.microsoft.com/office/drawing/2014/main" id="{4DFE06CA-92A0-DBEF-5338-8043502A0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243840</xdr:colOff>
      <xdr:row>1</xdr:row>
      <xdr:rowOff>167641</xdr:rowOff>
    </xdr:from>
    <xdr:to>
      <xdr:col>16</xdr:col>
      <xdr:colOff>22860</xdr:colOff>
      <xdr:row>13</xdr:row>
      <xdr:rowOff>68581</xdr:rowOff>
    </xdr:to>
    <mc:AlternateContent xmlns:mc="http://schemas.openxmlformats.org/markup-compatibility/2006" xmlns:a14="http://schemas.microsoft.com/office/drawing/2010/main">
      <mc:Choice Requires="a14">
        <xdr:graphicFrame macro="">
          <xdr:nvGraphicFramePr>
            <xdr:cNvPr id="4" name="Months (Date )">
              <a:extLst>
                <a:ext uri="{FF2B5EF4-FFF2-40B4-BE49-F238E27FC236}">
                  <a16:creationId xmlns:a16="http://schemas.microsoft.com/office/drawing/2014/main" id="{46E6A31D-7E99-E4AC-9EA8-5838737018A1}"/>
                </a:ext>
              </a:extLst>
            </xdr:cNvPr>
            <xdr:cNvGraphicFramePr/>
          </xdr:nvGraphicFramePr>
          <xdr:xfrm>
            <a:off x="0" y="0"/>
            <a:ext cx="0" cy="0"/>
          </xdr:xfrm>
          <a:graphic>
            <a:graphicData uri="http://schemas.microsoft.com/office/drawing/2010/slicer">
              <sle:slicer xmlns:sle="http://schemas.microsoft.com/office/drawing/2010/slicer" name="Months (Date )"/>
            </a:graphicData>
          </a:graphic>
        </xdr:graphicFrame>
      </mc:Choice>
      <mc:Fallback xmlns="">
        <xdr:sp macro="" textlink="">
          <xdr:nvSpPr>
            <xdr:cNvPr id="0" name=""/>
            <xdr:cNvSpPr>
              <a:spLocks noTextEdit="1"/>
            </xdr:cNvSpPr>
          </xdr:nvSpPr>
          <xdr:spPr>
            <a:xfrm>
              <a:off x="8557260" y="350521"/>
              <a:ext cx="465582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621030</xdr:colOff>
      <xdr:row>986</xdr:row>
      <xdr:rowOff>41910</xdr:rowOff>
    </xdr:from>
    <xdr:to>
      <xdr:col>11</xdr:col>
      <xdr:colOff>34290</xdr:colOff>
      <xdr:row>1001</xdr:row>
      <xdr:rowOff>41910</xdr:rowOff>
    </xdr:to>
    <xdr:graphicFrame macro="">
      <xdr:nvGraphicFramePr>
        <xdr:cNvPr id="2" name="Chart 1">
          <a:extLst>
            <a:ext uri="{FF2B5EF4-FFF2-40B4-BE49-F238E27FC236}">
              <a16:creationId xmlns:a16="http://schemas.microsoft.com/office/drawing/2014/main" id="{56BA3944-53A7-60B9-5021-C07332874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10</xdr:row>
      <xdr:rowOff>7620</xdr:rowOff>
    </xdr:from>
    <xdr:to>
      <xdr:col>19</xdr:col>
      <xdr:colOff>369570</xdr:colOff>
      <xdr:row>32</xdr:row>
      <xdr:rowOff>57150</xdr:rowOff>
    </xdr:to>
    <xdr:graphicFrame macro="">
      <xdr:nvGraphicFramePr>
        <xdr:cNvPr id="5" name="Chart 4">
          <a:extLst>
            <a:ext uri="{FF2B5EF4-FFF2-40B4-BE49-F238E27FC236}">
              <a16:creationId xmlns:a16="http://schemas.microsoft.com/office/drawing/2014/main" id="{3F999424-7DD6-44D0-AF59-70DA29E40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137160</xdr:colOff>
      <xdr:row>0</xdr:row>
      <xdr:rowOff>45720</xdr:rowOff>
    </xdr:from>
    <xdr:to>
      <xdr:col>19</xdr:col>
      <xdr:colOff>601980</xdr:colOff>
      <xdr:row>5</xdr:row>
      <xdr:rowOff>45720</xdr:rowOff>
    </xdr:to>
    <xdr:sp macro="" textlink="">
      <xdr:nvSpPr>
        <xdr:cNvPr id="2" name="Rectangle 1">
          <a:extLst>
            <a:ext uri="{FF2B5EF4-FFF2-40B4-BE49-F238E27FC236}">
              <a16:creationId xmlns:a16="http://schemas.microsoft.com/office/drawing/2014/main" id="{45DAAC49-E967-E9C1-E2BC-A6F0B2158C0D}"/>
            </a:ext>
          </a:extLst>
        </xdr:cNvPr>
        <xdr:cNvSpPr/>
      </xdr:nvSpPr>
      <xdr:spPr>
        <a:xfrm>
          <a:off x="137160" y="45720"/>
          <a:ext cx="1204722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NIFTY</a:t>
          </a:r>
          <a:r>
            <a:rPr lang="en-IN" sz="2400" b="1" baseline="0"/>
            <a:t> 50 STOCK MARKET DASHBOARD</a:t>
          </a:r>
        </a:p>
        <a:p>
          <a:pPr algn="ctr"/>
          <a:r>
            <a:rPr lang="en-IN" sz="1400" b="0"/>
            <a:t>5 year analysis (2021-2025)</a:t>
          </a:r>
        </a:p>
      </xdr:txBody>
    </xdr:sp>
    <xdr:clientData/>
  </xdr:twoCellAnchor>
  <xdr:twoCellAnchor>
    <xdr:from>
      <xdr:col>16</xdr:col>
      <xdr:colOff>480060</xdr:colOff>
      <xdr:row>1</xdr:row>
      <xdr:rowOff>15240</xdr:rowOff>
    </xdr:from>
    <xdr:to>
      <xdr:col>19</xdr:col>
      <xdr:colOff>403860</xdr:colOff>
      <xdr:row>4</xdr:row>
      <xdr:rowOff>30480</xdr:rowOff>
    </xdr:to>
    <xdr:sp macro="" textlink="">
      <xdr:nvSpPr>
        <xdr:cNvPr id="5" name="Rectangle: Rounded Corners 4">
          <a:extLst>
            <a:ext uri="{FF2B5EF4-FFF2-40B4-BE49-F238E27FC236}">
              <a16:creationId xmlns:a16="http://schemas.microsoft.com/office/drawing/2014/main" id="{3565DAB8-A9A0-B408-944D-25DC0B5663DF}"/>
            </a:ext>
          </a:extLst>
        </xdr:cNvPr>
        <xdr:cNvSpPr/>
      </xdr:nvSpPr>
      <xdr:spPr>
        <a:xfrm>
          <a:off x="10233660" y="198120"/>
          <a:ext cx="1752600" cy="56388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Date as on :</a:t>
          </a:r>
        </a:p>
        <a:p>
          <a:pPr algn="l"/>
          <a:r>
            <a:rPr lang="en-IN" sz="1100"/>
            <a:t>31 - Dec</a:t>
          </a:r>
          <a:r>
            <a:rPr lang="en-IN" sz="1100" baseline="0"/>
            <a:t> - 2025</a:t>
          </a:r>
          <a:endParaRPr lang="en-IN" sz="1100"/>
        </a:p>
      </xdr:txBody>
    </xdr:sp>
    <xdr:clientData/>
  </xdr:twoCellAnchor>
  <xdr:twoCellAnchor editAs="oneCell">
    <xdr:from>
      <xdr:col>18</xdr:col>
      <xdr:colOff>327660</xdr:colOff>
      <xdr:row>0</xdr:row>
      <xdr:rowOff>160020</xdr:rowOff>
    </xdr:from>
    <xdr:to>
      <xdr:col>19</xdr:col>
      <xdr:colOff>312420</xdr:colOff>
      <xdr:row>4</xdr:row>
      <xdr:rowOff>22860</xdr:rowOff>
    </xdr:to>
    <xdr:pic>
      <xdr:nvPicPr>
        <xdr:cNvPr id="7" name="Graphic 6" descr="Daily calendar with solid fill">
          <a:extLst>
            <a:ext uri="{FF2B5EF4-FFF2-40B4-BE49-F238E27FC236}">
              <a16:creationId xmlns:a16="http://schemas.microsoft.com/office/drawing/2014/main" id="{B921AF1E-27D0-CEC7-D571-627C80EF9D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300460" y="160020"/>
          <a:ext cx="594360" cy="594360"/>
        </a:xfrm>
        <a:prstGeom prst="rect">
          <a:avLst/>
        </a:prstGeom>
      </xdr:spPr>
    </xdr:pic>
    <xdr:clientData/>
  </xdr:twoCellAnchor>
  <xdr:twoCellAnchor>
    <xdr:from>
      <xdr:col>0</xdr:col>
      <xdr:colOff>152400</xdr:colOff>
      <xdr:row>6</xdr:row>
      <xdr:rowOff>7620</xdr:rowOff>
    </xdr:from>
    <xdr:to>
      <xdr:col>7</xdr:col>
      <xdr:colOff>22860</xdr:colOff>
      <xdr:row>15</xdr:row>
      <xdr:rowOff>22860</xdr:rowOff>
    </xdr:to>
    <xdr:sp macro="" textlink="">
      <xdr:nvSpPr>
        <xdr:cNvPr id="8" name="Rectangle: Rounded Corners 7">
          <a:extLst>
            <a:ext uri="{FF2B5EF4-FFF2-40B4-BE49-F238E27FC236}">
              <a16:creationId xmlns:a16="http://schemas.microsoft.com/office/drawing/2014/main" id="{398E403F-DCFA-7B2E-4A51-47A1FDBE4FFA}"/>
            </a:ext>
          </a:extLst>
        </xdr:cNvPr>
        <xdr:cNvSpPr/>
      </xdr:nvSpPr>
      <xdr:spPr>
        <a:xfrm>
          <a:off x="152400" y="1104900"/>
          <a:ext cx="4137660" cy="16611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r>
            <a:rPr lang="en-IN" sz="2000">
              <a:solidFill>
                <a:sysClr val="windowText" lastClr="000000"/>
              </a:solidFill>
            </a:rPr>
            <a:t>ENDINDING</a:t>
          </a:r>
          <a:r>
            <a:rPr lang="en-IN" sz="2000" baseline="0">
              <a:solidFill>
                <a:sysClr val="windowText" lastClr="000000"/>
              </a:solidFill>
            </a:rPr>
            <a:t> PRICE</a:t>
          </a:r>
        </a:p>
        <a:p>
          <a:pPr algn="r"/>
          <a:r>
            <a:rPr lang="en-IN" sz="4800">
              <a:solidFill>
                <a:srgbClr val="0070C0"/>
              </a:solidFill>
            </a:rPr>
            <a:t>26129.60</a:t>
          </a:r>
        </a:p>
        <a:p>
          <a:pPr algn="r"/>
          <a:r>
            <a:rPr lang="en-IN" sz="1200">
              <a:solidFill>
                <a:schemeClr val="tx1">
                  <a:lumMod val="75000"/>
                  <a:lumOff val="25000"/>
                </a:schemeClr>
              </a:solidFill>
            </a:rPr>
            <a:t>As on:</a:t>
          </a:r>
          <a:r>
            <a:rPr lang="en-IN" sz="1200" baseline="0">
              <a:solidFill>
                <a:schemeClr val="tx1">
                  <a:lumMod val="75000"/>
                  <a:lumOff val="25000"/>
                </a:schemeClr>
              </a:solidFill>
            </a:rPr>
            <a:t> 31 - Dec - 2025</a:t>
          </a:r>
        </a:p>
        <a:p>
          <a:pPr algn="r"/>
          <a:endParaRPr lang="en-IN" sz="1200">
            <a:solidFill>
              <a:srgbClr val="0070C0"/>
            </a:solidFill>
          </a:endParaRPr>
        </a:p>
      </xdr:txBody>
    </xdr:sp>
    <xdr:clientData/>
  </xdr:twoCellAnchor>
  <xdr:twoCellAnchor editAs="oneCell">
    <xdr:from>
      <xdr:col>0</xdr:col>
      <xdr:colOff>358140</xdr:colOff>
      <xdr:row>7</xdr:row>
      <xdr:rowOff>121920</xdr:rowOff>
    </xdr:from>
    <xdr:to>
      <xdr:col>2</xdr:col>
      <xdr:colOff>335280</xdr:colOff>
      <xdr:row>14</xdr:row>
      <xdr:rowOff>38100</xdr:rowOff>
    </xdr:to>
    <xdr:pic>
      <xdr:nvPicPr>
        <xdr:cNvPr id="10" name="Graphic 9" descr="Bar graph with upward trend with solid fill">
          <a:extLst>
            <a:ext uri="{FF2B5EF4-FFF2-40B4-BE49-F238E27FC236}">
              <a16:creationId xmlns:a16="http://schemas.microsoft.com/office/drawing/2014/main" id="{4B4C8ABC-282D-0246-C9CD-446BF25BC0A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8140" y="1402080"/>
          <a:ext cx="1196340" cy="1196340"/>
        </a:xfrm>
        <a:prstGeom prst="rect">
          <a:avLst/>
        </a:prstGeom>
      </xdr:spPr>
    </xdr:pic>
    <xdr:clientData/>
  </xdr:twoCellAnchor>
  <xdr:twoCellAnchor>
    <xdr:from>
      <xdr:col>7</xdr:col>
      <xdr:colOff>83820</xdr:colOff>
      <xdr:row>5</xdr:row>
      <xdr:rowOff>175260</xdr:rowOff>
    </xdr:from>
    <xdr:to>
      <xdr:col>13</xdr:col>
      <xdr:colOff>441960</xdr:colOff>
      <xdr:row>14</xdr:row>
      <xdr:rowOff>175260</xdr:rowOff>
    </xdr:to>
    <xdr:sp macro="" textlink="">
      <xdr:nvSpPr>
        <xdr:cNvPr id="11" name="Rectangle: Rounded Corners 10">
          <a:extLst>
            <a:ext uri="{FF2B5EF4-FFF2-40B4-BE49-F238E27FC236}">
              <a16:creationId xmlns:a16="http://schemas.microsoft.com/office/drawing/2014/main" id="{E140EA8A-305A-9E48-C0D1-082B996AB7A9}"/>
            </a:ext>
          </a:extLst>
        </xdr:cNvPr>
        <xdr:cNvSpPr/>
      </xdr:nvSpPr>
      <xdr:spPr>
        <a:xfrm>
          <a:off x="4351020" y="1089660"/>
          <a:ext cx="4015740" cy="16459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r>
            <a:rPr lang="en-IN" sz="2000"/>
            <a:t>5 - YEAR</a:t>
          </a:r>
          <a:r>
            <a:rPr lang="en-IN" sz="2000" baseline="0"/>
            <a:t> RETURN</a:t>
          </a:r>
        </a:p>
        <a:p>
          <a:pPr algn="r"/>
          <a:r>
            <a:rPr lang="en-IN" sz="4800">
              <a:solidFill>
                <a:srgbClr val="00B050"/>
              </a:solidFill>
            </a:rPr>
            <a:t>86.39%</a:t>
          </a:r>
        </a:p>
        <a:p>
          <a:pPr algn="r"/>
          <a:r>
            <a:rPr lang="en-IN" sz="1200">
              <a:solidFill>
                <a:schemeClr val="tx1">
                  <a:lumMod val="75000"/>
                  <a:lumOff val="25000"/>
                </a:schemeClr>
              </a:solidFill>
            </a:rPr>
            <a:t>As</a:t>
          </a:r>
          <a:r>
            <a:rPr lang="en-IN" sz="1200" baseline="0">
              <a:solidFill>
                <a:schemeClr val="tx1">
                  <a:lumMod val="75000"/>
                  <a:lumOff val="25000"/>
                </a:schemeClr>
              </a:solidFill>
            </a:rPr>
            <a:t> on: 31 - Dec - 2025</a:t>
          </a:r>
          <a:endParaRPr lang="en-IN" sz="1200">
            <a:solidFill>
              <a:schemeClr val="tx1">
                <a:lumMod val="75000"/>
                <a:lumOff val="25000"/>
              </a:schemeClr>
            </a:solidFill>
          </a:endParaRPr>
        </a:p>
      </xdr:txBody>
    </xdr:sp>
    <xdr:clientData/>
  </xdr:twoCellAnchor>
  <xdr:twoCellAnchor editAs="oneCell">
    <xdr:from>
      <xdr:col>7</xdr:col>
      <xdr:colOff>411480</xdr:colOff>
      <xdr:row>6</xdr:row>
      <xdr:rowOff>152400</xdr:rowOff>
    </xdr:from>
    <xdr:to>
      <xdr:col>9</xdr:col>
      <xdr:colOff>388620</xdr:colOff>
      <xdr:row>13</xdr:row>
      <xdr:rowOff>68580</xdr:rowOff>
    </xdr:to>
    <xdr:pic>
      <xdr:nvPicPr>
        <xdr:cNvPr id="12" name="Graphic 11" descr="Bar graph with upward trend with solid fill">
          <a:extLst>
            <a:ext uri="{FF2B5EF4-FFF2-40B4-BE49-F238E27FC236}">
              <a16:creationId xmlns:a16="http://schemas.microsoft.com/office/drawing/2014/main" id="{2C3E4B9F-8344-45C2-A8C2-9364BFB219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78680" y="1249680"/>
          <a:ext cx="1196340" cy="1196340"/>
        </a:xfrm>
        <a:prstGeom prst="rect">
          <a:avLst/>
        </a:prstGeom>
      </xdr:spPr>
    </xdr:pic>
    <xdr:clientData/>
  </xdr:twoCellAnchor>
  <xdr:twoCellAnchor>
    <xdr:from>
      <xdr:col>13</xdr:col>
      <xdr:colOff>525780</xdr:colOff>
      <xdr:row>6</xdr:row>
      <xdr:rowOff>0</xdr:rowOff>
    </xdr:from>
    <xdr:to>
      <xdr:col>19</xdr:col>
      <xdr:colOff>601980</xdr:colOff>
      <xdr:row>14</xdr:row>
      <xdr:rowOff>167640</xdr:rowOff>
    </xdr:to>
    <xdr:sp macro="" textlink="">
      <xdr:nvSpPr>
        <xdr:cNvPr id="13" name="Rectangle: Rounded Corners 12">
          <a:extLst>
            <a:ext uri="{FF2B5EF4-FFF2-40B4-BE49-F238E27FC236}">
              <a16:creationId xmlns:a16="http://schemas.microsoft.com/office/drawing/2014/main" id="{DB05AFEA-6823-38B7-CE26-82DA221E2E9C}"/>
            </a:ext>
          </a:extLst>
        </xdr:cNvPr>
        <xdr:cNvSpPr/>
      </xdr:nvSpPr>
      <xdr:spPr>
        <a:xfrm>
          <a:off x="8450580" y="1097280"/>
          <a:ext cx="3733800" cy="16306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000">
              <a:solidFill>
                <a:schemeClr val="tx1">
                  <a:lumMod val="75000"/>
                  <a:lumOff val="25000"/>
                </a:schemeClr>
              </a:solidFill>
            </a:rPr>
            <a:t>5 - YEAR HIGH</a:t>
          </a:r>
        </a:p>
        <a:p>
          <a:pPr algn="r"/>
          <a:r>
            <a:rPr lang="en-IN" sz="4000">
              <a:solidFill>
                <a:srgbClr val="00B050"/>
              </a:solidFill>
            </a:rPr>
            <a:t>26216.05</a:t>
          </a:r>
        </a:p>
        <a:p>
          <a:pPr algn="r"/>
          <a:r>
            <a:rPr lang="en-IN" sz="1200">
              <a:solidFill>
                <a:schemeClr val="tx1">
                  <a:lumMod val="75000"/>
                  <a:lumOff val="25000"/>
                </a:schemeClr>
              </a:solidFill>
            </a:rPr>
            <a:t>As</a:t>
          </a:r>
          <a:r>
            <a:rPr lang="en-IN" sz="1200" baseline="0">
              <a:solidFill>
                <a:schemeClr val="tx1">
                  <a:lumMod val="75000"/>
                  <a:lumOff val="25000"/>
                </a:schemeClr>
              </a:solidFill>
            </a:rPr>
            <a:t> on: 31 - Dec - 2025</a:t>
          </a:r>
          <a:endParaRPr lang="en-IN" sz="1200">
            <a:solidFill>
              <a:schemeClr val="tx1">
                <a:lumMod val="75000"/>
                <a:lumOff val="25000"/>
              </a:schemeClr>
            </a:solidFill>
          </a:endParaRPr>
        </a:p>
      </xdr:txBody>
    </xdr:sp>
    <xdr:clientData/>
  </xdr:twoCellAnchor>
  <xdr:twoCellAnchor editAs="oneCell">
    <xdr:from>
      <xdr:col>14</xdr:col>
      <xdr:colOff>144780</xdr:colOff>
      <xdr:row>7</xdr:row>
      <xdr:rowOff>0</xdr:rowOff>
    </xdr:from>
    <xdr:to>
      <xdr:col>16</xdr:col>
      <xdr:colOff>99060</xdr:colOff>
      <xdr:row>13</xdr:row>
      <xdr:rowOff>76200</xdr:rowOff>
    </xdr:to>
    <xdr:pic>
      <xdr:nvPicPr>
        <xdr:cNvPr id="15" name="Graphic 14" descr="Upward trend with solid fill">
          <a:extLst>
            <a:ext uri="{FF2B5EF4-FFF2-40B4-BE49-F238E27FC236}">
              <a16:creationId xmlns:a16="http://schemas.microsoft.com/office/drawing/2014/main" id="{8D5584DE-777E-EBB5-37D4-D44E594B029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679180" y="1280160"/>
          <a:ext cx="1173480" cy="1173480"/>
        </a:xfrm>
        <a:prstGeom prst="rect">
          <a:avLst/>
        </a:prstGeom>
      </xdr:spPr>
    </xdr:pic>
    <xdr:clientData/>
  </xdr:twoCellAnchor>
  <xdr:twoCellAnchor>
    <xdr:from>
      <xdr:col>0</xdr:col>
      <xdr:colOff>152400</xdr:colOff>
      <xdr:row>16</xdr:row>
      <xdr:rowOff>15240</xdr:rowOff>
    </xdr:from>
    <xdr:to>
      <xdr:col>4</xdr:col>
      <xdr:colOff>579120</xdr:colOff>
      <xdr:row>24</xdr:row>
      <xdr:rowOff>175260</xdr:rowOff>
    </xdr:to>
    <xdr:sp macro="" textlink="">
      <xdr:nvSpPr>
        <xdr:cNvPr id="16" name="Rectangle: Rounded Corners 15">
          <a:extLst>
            <a:ext uri="{FF2B5EF4-FFF2-40B4-BE49-F238E27FC236}">
              <a16:creationId xmlns:a16="http://schemas.microsoft.com/office/drawing/2014/main" id="{EF319AD5-4C6F-CB31-EE31-5E4C0F861FB9}"/>
            </a:ext>
          </a:extLst>
        </xdr:cNvPr>
        <xdr:cNvSpPr/>
      </xdr:nvSpPr>
      <xdr:spPr>
        <a:xfrm>
          <a:off x="152400" y="2941320"/>
          <a:ext cx="2865120" cy="16230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000">
              <a:solidFill>
                <a:sysClr val="windowText" lastClr="000000"/>
              </a:solidFill>
            </a:rPr>
            <a:t>5 - YEAR</a:t>
          </a:r>
          <a:r>
            <a:rPr lang="en-IN" sz="2000" baseline="0">
              <a:solidFill>
                <a:sysClr val="windowText" lastClr="000000"/>
              </a:solidFill>
            </a:rPr>
            <a:t> LOW</a:t>
          </a:r>
        </a:p>
        <a:p>
          <a:pPr algn="r"/>
          <a:r>
            <a:rPr lang="en-IN" sz="3600" baseline="0">
              <a:solidFill>
                <a:srgbClr val="FF0000"/>
              </a:solidFill>
            </a:rPr>
            <a:t>13634.60</a:t>
          </a:r>
        </a:p>
        <a:p>
          <a:pPr algn="r"/>
          <a:r>
            <a:rPr lang="en-IN" sz="1200" baseline="0">
              <a:solidFill>
                <a:sysClr val="windowText" lastClr="000000"/>
              </a:solidFill>
            </a:rPr>
            <a:t>As on: 31 - Dec - 2025</a:t>
          </a:r>
          <a:endParaRPr lang="en-IN" sz="1200">
            <a:solidFill>
              <a:sysClr val="windowText" lastClr="000000"/>
            </a:solidFill>
          </a:endParaRPr>
        </a:p>
      </xdr:txBody>
    </xdr:sp>
    <xdr:clientData/>
  </xdr:twoCellAnchor>
  <xdr:twoCellAnchor>
    <xdr:from>
      <xdr:col>5</xdr:col>
      <xdr:colOff>91440</xdr:colOff>
      <xdr:row>16</xdr:row>
      <xdr:rowOff>7620</xdr:rowOff>
    </xdr:from>
    <xdr:to>
      <xdr:col>10</xdr:col>
      <xdr:colOff>30480</xdr:colOff>
      <xdr:row>25</xdr:row>
      <xdr:rowOff>0</xdr:rowOff>
    </xdr:to>
    <xdr:sp macro="" textlink="">
      <xdr:nvSpPr>
        <xdr:cNvPr id="17" name="Rectangle: Rounded Corners 16">
          <a:extLst>
            <a:ext uri="{FF2B5EF4-FFF2-40B4-BE49-F238E27FC236}">
              <a16:creationId xmlns:a16="http://schemas.microsoft.com/office/drawing/2014/main" id="{6A3CBAFC-95EC-287F-D5A3-259AF62CBF71}"/>
            </a:ext>
          </a:extLst>
        </xdr:cNvPr>
        <xdr:cNvSpPr/>
      </xdr:nvSpPr>
      <xdr:spPr>
        <a:xfrm>
          <a:off x="3139440" y="2933700"/>
          <a:ext cx="2987040" cy="16383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ysClr val="windowText" lastClr="000000"/>
              </a:solidFill>
            </a:rPr>
            <a:t>AVERAGE DAILY VOLUME</a:t>
          </a:r>
        </a:p>
        <a:p>
          <a:pPr algn="ctr"/>
          <a:endParaRPr lang="en-IN" sz="1600">
            <a:solidFill>
              <a:sysClr val="windowText" lastClr="000000"/>
            </a:solidFill>
          </a:endParaRPr>
        </a:p>
        <a:p>
          <a:pPr algn="r"/>
          <a:r>
            <a:rPr lang="en-IN" sz="3600">
              <a:solidFill>
                <a:schemeClr val="accent1"/>
              </a:solidFill>
            </a:rPr>
            <a:t>31.93</a:t>
          </a:r>
          <a:r>
            <a:rPr lang="en-IN" sz="3600" baseline="0">
              <a:solidFill>
                <a:schemeClr val="accent1"/>
              </a:solidFill>
            </a:rPr>
            <a:t> CR</a:t>
          </a:r>
        </a:p>
        <a:p>
          <a:pPr algn="ctr"/>
          <a:r>
            <a:rPr lang="en-IN" sz="1200" baseline="0">
              <a:solidFill>
                <a:sysClr val="windowText" lastClr="000000"/>
              </a:solidFill>
            </a:rPr>
            <a:t>SHARES</a:t>
          </a:r>
          <a:endParaRPr lang="en-IN" sz="1200">
            <a:solidFill>
              <a:sysClr val="windowText" lastClr="000000"/>
            </a:solidFill>
          </a:endParaRPr>
        </a:p>
      </xdr:txBody>
    </xdr:sp>
    <xdr:clientData/>
  </xdr:twoCellAnchor>
  <xdr:twoCellAnchor>
    <xdr:from>
      <xdr:col>10</xdr:col>
      <xdr:colOff>144780</xdr:colOff>
      <xdr:row>16</xdr:row>
      <xdr:rowOff>15240</xdr:rowOff>
    </xdr:from>
    <xdr:to>
      <xdr:col>15</xdr:col>
      <xdr:colOff>7620</xdr:colOff>
      <xdr:row>24</xdr:row>
      <xdr:rowOff>167640</xdr:rowOff>
    </xdr:to>
    <xdr:sp macro="" textlink="">
      <xdr:nvSpPr>
        <xdr:cNvPr id="18" name="Rectangle: Rounded Corners 17">
          <a:extLst>
            <a:ext uri="{FF2B5EF4-FFF2-40B4-BE49-F238E27FC236}">
              <a16:creationId xmlns:a16="http://schemas.microsoft.com/office/drawing/2014/main" id="{D98C3D5D-09E0-F51D-A0F7-49D382A10CCB}"/>
            </a:ext>
          </a:extLst>
        </xdr:cNvPr>
        <xdr:cNvSpPr/>
      </xdr:nvSpPr>
      <xdr:spPr>
        <a:xfrm>
          <a:off x="6240780" y="2941320"/>
          <a:ext cx="2910840" cy="16154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ysClr val="windowText" lastClr="000000"/>
              </a:solidFill>
            </a:rPr>
            <a:t>VOLATILITY</a:t>
          </a:r>
          <a:r>
            <a:rPr lang="en-IN" sz="800" baseline="0">
              <a:solidFill>
                <a:sysClr val="windowText" lastClr="000000"/>
              </a:solidFill>
            </a:rPr>
            <a:t> </a:t>
          </a:r>
          <a:endParaRPr lang="en-IN" sz="2000">
            <a:solidFill>
              <a:sysClr val="windowText" lastClr="000000"/>
            </a:solidFill>
          </a:endParaRPr>
        </a:p>
        <a:p>
          <a:pPr algn="r"/>
          <a:r>
            <a:rPr lang="en-IN" sz="4000">
              <a:solidFill>
                <a:schemeClr val="accent1"/>
              </a:solidFill>
            </a:rPr>
            <a:t>0.88 %</a:t>
          </a:r>
          <a:endParaRPr lang="en-IN" sz="1200">
            <a:solidFill>
              <a:schemeClr val="bg2">
                <a:lumMod val="25000"/>
              </a:schemeClr>
            </a:solidFill>
          </a:endParaRPr>
        </a:p>
        <a:p>
          <a:pPr algn="r"/>
          <a:r>
            <a:rPr lang="en-IN" sz="1200">
              <a:solidFill>
                <a:schemeClr val="bg2">
                  <a:lumMod val="25000"/>
                </a:schemeClr>
              </a:solidFill>
            </a:rPr>
            <a:t>Daily standard deviation</a:t>
          </a:r>
          <a:r>
            <a:rPr lang="en-IN">
              <a:solidFill>
                <a:schemeClr val="accent1"/>
              </a:solidFill>
            </a:rPr>
            <a:t> </a:t>
          </a:r>
          <a:endParaRPr lang="en-IN" sz="1100">
            <a:solidFill>
              <a:schemeClr val="accent1"/>
            </a:solidFill>
          </a:endParaRPr>
        </a:p>
      </xdr:txBody>
    </xdr:sp>
    <xdr:clientData/>
  </xdr:twoCellAnchor>
  <xdr:twoCellAnchor>
    <xdr:from>
      <xdr:col>15</xdr:col>
      <xdr:colOff>190500</xdr:colOff>
      <xdr:row>16</xdr:row>
      <xdr:rowOff>15240</xdr:rowOff>
    </xdr:from>
    <xdr:to>
      <xdr:col>20</xdr:col>
      <xdr:colOff>0</xdr:colOff>
      <xdr:row>25</xdr:row>
      <xdr:rowOff>0</xdr:rowOff>
    </xdr:to>
    <xdr:sp macro="" textlink="">
      <xdr:nvSpPr>
        <xdr:cNvPr id="19" name="Rectangle: Rounded Corners 18">
          <a:extLst>
            <a:ext uri="{FF2B5EF4-FFF2-40B4-BE49-F238E27FC236}">
              <a16:creationId xmlns:a16="http://schemas.microsoft.com/office/drawing/2014/main" id="{AE2B6232-B1B2-D096-2637-0E0B1D6DAC94}"/>
            </a:ext>
          </a:extLst>
        </xdr:cNvPr>
        <xdr:cNvSpPr/>
      </xdr:nvSpPr>
      <xdr:spPr>
        <a:xfrm>
          <a:off x="9334500" y="2941320"/>
          <a:ext cx="2857500" cy="16306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bg2">
                  <a:lumMod val="25000"/>
                </a:schemeClr>
              </a:solidFill>
            </a:rPr>
            <a:t>MAXIMUM DRAW</a:t>
          </a:r>
          <a:r>
            <a:rPr lang="en-IN" sz="1800" baseline="0">
              <a:solidFill>
                <a:schemeClr val="bg2">
                  <a:lumMod val="25000"/>
                </a:schemeClr>
              </a:solidFill>
            </a:rPr>
            <a:t>DOWN</a:t>
          </a:r>
        </a:p>
        <a:p>
          <a:pPr algn="ctr"/>
          <a:endParaRPr lang="en-IN" sz="1800" baseline="0">
            <a:solidFill>
              <a:schemeClr val="bg2">
                <a:lumMod val="25000"/>
              </a:schemeClr>
            </a:solidFill>
          </a:endParaRPr>
        </a:p>
        <a:p>
          <a:pPr algn="r"/>
          <a:r>
            <a:rPr lang="en-IN" sz="3800" baseline="0">
              <a:solidFill>
                <a:srgbClr val="FF0000"/>
              </a:solidFill>
            </a:rPr>
            <a:t>-17.23 %</a:t>
          </a:r>
        </a:p>
        <a:p>
          <a:pPr algn="r"/>
          <a:r>
            <a:rPr lang="en-IN" sz="1100" baseline="0">
              <a:solidFill>
                <a:schemeClr val="bg2">
                  <a:lumMod val="25000"/>
                </a:schemeClr>
              </a:solidFill>
            </a:rPr>
            <a:t>( 5 YEARS )</a:t>
          </a:r>
        </a:p>
      </xdr:txBody>
    </xdr:sp>
    <xdr:clientData/>
  </xdr:twoCellAnchor>
  <xdr:twoCellAnchor editAs="oneCell">
    <xdr:from>
      <xdr:col>0</xdr:col>
      <xdr:colOff>144780</xdr:colOff>
      <xdr:row>17</xdr:row>
      <xdr:rowOff>137160</xdr:rowOff>
    </xdr:from>
    <xdr:to>
      <xdr:col>1</xdr:col>
      <xdr:colOff>541020</xdr:colOff>
      <xdr:row>23</xdr:row>
      <xdr:rowOff>45720</xdr:rowOff>
    </xdr:to>
    <xdr:pic>
      <xdr:nvPicPr>
        <xdr:cNvPr id="23" name="Graphic 22" descr="Downward trend graph with solid fill">
          <a:extLst>
            <a:ext uri="{FF2B5EF4-FFF2-40B4-BE49-F238E27FC236}">
              <a16:creationId xmlns:a16="http://schemas.microsoft.com/office/drawing/2014/main" id="{EB23C0DC-33F8-F3BC-1DAF-9718323ED56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4780" y="3246120"/>
          <a:ext cx="1005840" cy="1005840"/>
        </a:xfrm>
        <a:prstGeom prst="rect">
          <a:avLst/>
        </a:prstGeom>
      </xdr:spPr>
    </xdr:pic>
    <xdr:clientData/>
  </xdr:twoCellAnchor>
  <xdr:twoCellAnchor editAs="oneCell">
    <xdr:from>
      <xdr:col>5</xdr:col>
      <xdr:colOff>327660</xdr:colOff>
      <xdr:row>18</xdr:row>
      <xdr:rowOff>144780</xdr:rowOff>
    </xdr:from>
    <xdr:to>
      <xdr:col>6</xdr:col>
      <xdr:colOff>548640</xdr:colOff>
      <xdr:row>23</xdr:row>
      <xdr:rowOff>60960</xdr:rowOff>
    </xdr:to>
    <xdr:pic>
      <xdr:nvPicPr>
        <xdr:cNvPr id="25" name="Graphic 24" descr="Coins with solid fill">
          <a:extLst>
            <a:ext uri="{FF2B5EF4-FFF2-40B4-BE49-F238E27FC236}">
              <a16:creationId xmlns:a16="http://schemas.microsoft.com/office/drawing/2014/main" id="{17BE0564-3000-473C-77A3-1E938AEB9AE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375660" y="3436620"/>
          <a:ext cx="830580" cy="830580"/>
        </a:xfrm>
        <a:prstGeom prst="rect">
          <a:avLst/>
        </a:prstGeom>
      </xdr:spPr>
    </xdr:pic>
    <xdr:clientData/>
  </xdr:twoCellAnchor>
  <xdr:twoCellAnchor editAs="oneCell">
    <xdr:from>
      <xdr:col>10</xdr:col>
      <xdr:colOff>236220</xdr:colOff>
      <xdr:row>18</xdr:row>
      <xdr:rowOff>38100</xdr:rowOff>
    </xdr:from>
    <xdr:to>
      <xdr:col>11</xdr:col>
      <xdr:colOff>541020</xdr:colOff>
      <xdr:row>23</xdr:row>
      <xdr:rowOff>38100</xdr:rowOff>
    </xdr:to>
    <xdr:pic>
      <xdr:nvPicPr>
        <xdr:cNvPr id="27" name="Graphic 26" descr="Mathematics with solid fill">
          <a:extLst>
            <a:ext uri="{FF2B5EF4-FFF2-40B4-BE49-F238E27FC236}">
              <a16:creationId xmlns:a16="http://schemas.microsoft.com/office/drawing/2014/main" id="{6CD07A18-C53E-AD6A-8C2A-BCD008E068F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32220" y="3329940"/>
          <a:ext cx="914400" cy="914400"/>
        </a:xfrm>
        <a:prstGeom prst="rect">
          <a:avLst/>
        </a:prstGeom>
      </xdr:spPr>
    </xdr:pic>
    <xdr:clientData/>
  </xdr:twoCellAnchor>
  <xdr:twoCellAnchor editAs="oneCell">
    <xdr:from>
      <xdr:col>15</xdr:col>
      <xdr:colOff>251460</xdr:colOff>
      <xdr:row>18</xdr:row>
      <xdr:rowOff>114300</xdr:rowOff>
    </xdr:from>
    <xdr:to>
      <xdr:col>16</xdr:col>
      <xdr:colOff>556260</xdr:colOff>
      <xdr:row>23</xdr:row>
      <xdr:rowOff>114300</xdr:rowOff>
    </xdr:to>
    <xdr:pic>
      <xdr:nvPicPr>
        <xdr:cNvPr id="29" name="Graphic 28" descr="Downward trend graph with solid fill">
          <a:extLst>
            <a:ext uri="{FF2B5EF4-FFF2-40B4-BE49-F238E27FC236}">
              <a16:creationId xmlns:a16="http://schemas.microsoft.com/office/drawing/2014/main" id="{57D775AF-C46E-83BF-C785-A681E4E51F3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395460" y="3406140"/>
          <a:ext cx="914400" cy="914400"/>
        </a:xfrm>
        <a:prstGeom prst="rect">
          <a:avLst/>
        </a:prstGeom>
      </xdr:spPr>
    </xdr:pic>
    <xdr:clientData/>
  </xdr:twoCellAnchor>
  <xdr:twoCellAnchor>
    <xdr:from>
      <xdr:col>0</xdr:col>
      <xdr:colOff>163286</xdr:colOff>
      <xdr:row>26</xdr:row>
      <xdr:rowOff>0</xdr:rowOff>
    </xdr:from>
    <xdr:to>
      <xdr:col>9</xdr:col>
      <xdr:colOff>598714</xdr:colOff>
      <xdr:row>28</xdr:row>
      <xdr:rowOff>174171</xdr:rowOff>
    </xdr:to>
    <xdr:sp macro="" textlink="">
      <xdr:nvSpPr>
        <xdr:cNvPr id="30" name="Rectangle 29">
          <a:extLst>
            <a:ext uri="{FF2B5EF4-FFF2-40B4-BE49-F238E27FC236}">
              <a16:creationId xmlns:a16="http://schemas.microsoft.com/office/drawing/2014/main" id="{FB8AB936-33FC-D913-3E00-A3687A368201}"/>
            </a:ext>
          </a:extLst>
        </xdr:cNvPr>
        <xdr:cNvSpPr/>
      </xdr:nvSpPr>
      <xdr:spPr>
        <a:xfrm>
          <a:off x="163286" y="4811486"/>
          <a:ext cx="5921828" cy="5442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2000" b="1" i="0" baseline="0">
              <a:solidFill>
                <a:schemeClr val="bg1"/>
              </a:solidFill>
              <a:effectLst/>
              <a:latin typeface="+mn-lt"/>
              <a:ea typeface="+mn-ea"/>
              <a:cs typeface="+mn-cs"/>
            </a:rPr>
            <a:t>NIFTY 50 Price Trend &amp; Moving Averages</a:t>
          </a:r>
          <a:endParaRPr lang="en-IN" sz="2000">
            <a:solidFill>
              <a:schemeClr val="bg1"/>
            </a:solidFill>
            <a:effectLst/>
          </a:endParaRPr>
        </a:p>
      </xdr:txBody>
    </xdr:sp>
    <xdr:clientData/>
  </xdr:twoCellAnchor>
  <xdr:twoCellAnchor>
    <xdr:from>
      <xdr:col>10</xdr:col>
      <xdr:colOff>119742</xdr:colOff>
      <xdr:row>26</xdr:row>
      <xdr:rowOff>10886</xdr:rowOff>
    </xdr:from>
    <xdr:to>
      <xdr:col>19</xdr:col>
      <xdr:colOff>598714</xdr:colOff>
      <xdr:row>28</xdr:row>
      <xdr:rowOff>174171</xdr:rowOff>
    </xdr:to>
    <xdr:sp macro="" textlink="">
      <xdr:nvSpPr>
        <xdr:cNvPr id="31" name="Rectangle 30">
          <a:extLst>
            <a:ext uri="{FF2B5EF4-FFF2-40B4-BE49-F238E27FC236}">
              <a16:creationId xmlns:a16="http://schemas.microsoft.com/office/drawing/2014/main" id="{A76C48F8-EBD4-49FE-54DF-C8D3FDF9A1A6}"/>
            </a:ext>
          </a:extLst>
        </xdr:cNvPr>
        <xdr:cNvSpPr/>
      </xdr:nvSpPr>
      <xdr:spPr>
        <a:xfrm>
          <a:off x="6215742" y="4822372"/>
          <a:ext cx="5965372" cy="5333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PERCENTAGE</a:t>
          </a:r>
          <a:r>
            <a:rPr lang="en-IN" sz="2400" baseline="0"/>
            <a:t> OF YEARLY RETURNS</a:t>
          </a:r>
          <a:endParaRPr lang="en-IN" sz="2400"/>
        </a:p>
      </xdr:txBody>
    </xdr:sp>
    <xdr:clientData/>
  </xdr:twoCellAnchor>
  <xdr:twoCellAnchor>
    <xdr:from>
      <xdr:col>0</xdr:col>
      <xdr:colOff>163286</xdr:colOff>
      <xdr:row>29</xdr:row>
      <xdr:rowOff>0</xdr:rowOff>
    </xdr:from>
    <xdr:to>
      <xdr:col>9</xdr:col>
      <xdr:colOff>598714</xdr:colOff>
      <xdr:row>51</xdr:row>
      <xdr:rowOff>10887</xdr:rowOff>
    </xdr:to>
    <xdr:graphicFrame macro="">
      <xdr:nvGraphicFramePr>
        <xdr:cNvPr id="32" name="Chart 31">
          <a:extLst>
            <a:ext uri="{FF2B5EF4-FFF2-40B4-BE49-F238E27FC236}">
              <a16:creationId xmlns:a16="http://schemas.microsoft.com/office/drawing/2014/main" id="{12C324F9-BB2F-4AC4-BED6-B03E3DE41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130628</xdr:colOff>
      <xdr:row>29</xdr:row>
      <xdr:rowOff>0</xdr:rowOff>
    </xdr:from>
    <xdr:to>
      <xdr:col>20</xdr:col>
      <xdr:colOff>10886</xdr:colOff>
      <xdr:row>50</xdr:row>
      <xdr:rowOff>174172</xdr:rowOff>
    </xdr:to>
    <xdr:graphicFrame macro="">
      <xdr:nvGraphicFramePr>
        <xdr:cNvPr id="34" name="Chart 33">
          <a:extLst>
            <a:ext uri="{FF2B5EF4-FFF2-40B4-BE49-F238E27FC236}">
              <a16:creationId xmlns:a16="http://schemas.microsoft.com/office/drawing/2014/main" id="{DC190E0D-2DCF-4121-BE85-1F647DC1C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174170</xdr:colOff>
      <xdr:row>52</xdr:row>
      <xdr:rowOff>0</xdr:rowOff>
    </xdr:from>
    <xdr:to>
      <xdr:col>6</xdr:col>
      <xdr:colOff>315686</xdr:colOff>
      <xdr:row>54</xdr:row>
      <xdr:rowOff>174171</xdr:rowOff>
    </xdr:to>
    <xdr:sp macro="" textlink="">
      <xdr:nvSpPr>
        <xdr:cNvPr id="36" name="Rectangle 35">
          <a:extLst>
            <a:ext uri="{FF2B5EF4-FFF2-40B4-BE49-F238E27FC236}">
              <a16:creationId xmlns:a16="http://schemas.microsoft.com/office/drawing/2014/main" id="{51BDC618-1071-A692-C527-49CD4792C87A}"/>
            </a:ext>
          </a:extLst>
        </xdr:cNvPr>
        <xdr:cNvSpPr/>
      </xdr:nvSpPr>
      <xdr:spPr>
        <a:xfrm>
          <a:off x="174170" y="9622971"/>
          <a:ext cx="3799116" cy="5442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MONTHLY RETURN</a:t>
          </a:r>
        </a:p>
      </xdr:txBody>
    </xdr:sp>
    <xdr:clientData/>
  </xdr:twoCellAnchor>
  <xdr:twoCellAnchor>
    <xdr:from>
      <xdr:col>6</xdr:col>
      <xdr:colOff>609599</xdr:colOff>
      <xdr:row>52</xdr:row>
      <xdr:rowOff>1</xdr:rowOff>
    </xdr:from>
    <xdr:to>
      <xdr:col>12</xdr:col>
      <xdr:colOff>598714</xdr:colOff>
      <xdr:row>55</xdr:row>
      <xdr:rowOff>10887</xdr:rowOff>
    </xdr:to>
    <xdr:sp macro="" textlink="">
      <xdr:nvSpPr>
        <xdr:cNvPr id="37" name="Rectangle 36">
          <a:extLst>
            <a:ext uri="{FF2B5EF4-FFF2-40B4-BE49-F238E27FC236}">
              <a16:creationId xmlns:a16="http://schemas.microsoft.com/office/drawing/2014/main" id="{F4F9AB38-1BBD-2807-7D62-CC8BE7A74FE2}"/>
            </a:ext>
          </a:extLst>
        </xdr:cNvPr>
        <xdr:cNvSpPr/>
      </xdr:nvSpPr>
      <xdr:spPr>
        <a:xfrm>
          <a:off x="4267199" y="9622972"/>
          <a:ext cx="3646715" cy="5660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TRADING VOLUME SHARES</a:t>
          </a:r>
        </a:p>
      </xdr:txBody>
    </xdr:sp>
    <xdr:clientData/>
  </xdr:twoCellAnchor>
  <xdr:twoCellAnchor>
    <xdr:from>
      <xdr:col>13</xdr:col>
      <xdr:colOff>304800</xdr:colOff>
      <xdr:row>52</xdr:row>
      <xdr:rowOff>0</xdr:rowOff>
    </xdr:from>
    <xdr:to>
      <xdr:col>19</xdr:col>
      <xdr:colOff>598714</xdr:colOff>
      <xdr:row>55</xdr:row>
      <xdr:rowOff>10886</xdr:rowOff>
    </xdr:to>
    <xdr:sp macro="" textlink="">
      <xdr:nvSpPr>
        <xdr:cNvPr id="38" name="Rectangle 37">
          <a:extLst>
            <a:ext uri="{FF2B5EF4-FFF2-40B4-BE49-F238E27FC236}">
              <a16:creationId xmlns:a16="http://schemas.microsoft.com/office/drawing/2014/main" id="{76FA4C5A-A674-481A-A40E-C0D9D292833E}"/>
            </a:ext>
          </a:extLst>
        </xdr:cNvPr>
        <xdr:cNvSpPr/>
      </xdr:nvSpPr>
      <xdr:spPr>
        <a:xfrm>
          <a:off x="8229600" y="9622971"/>
          <a:ext cx="3951514" cy="5660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DRAWDOWN (%)</a:t>
          </a:r>
        </a:p>
      </xdr:txBody>
    </xdr:sp>
    <xdr:clientData/>
  </xdr:twoCellAnchor>
  <xdr:twoCellAnchor>
    <xdr:from>
      <xdr:col>13</xdr:col>
      <xdr:colOff>304800</xdr:colOff>
      <xdr:row>54</xdr:row>
      <xdr:rowOff>185056</xdr:rowOff>
    </xdr:from>
    <xdr:to>
      <xdr:col>19</xdr:col>
      <xdr:colOff>598714</xdr:colOff>
      <xdr:row>70</xdr:row>
      <xdr:rowOff>10885</xdr:rowOff>
    </xdr:to>
    <xdr:graphicFrame macro="">
      <xdr:nvGraphicFramePr>
        <xdr:cNvPr id="39" name="Chart 38">
          <a:extLst>
            <a:ext uri="{FF2B5EF4-FFF2-40B4-BE49-F238E27FC236}">
              <a16:creationId xmlns:a16="http://schemas.microsoft.com/office/drawing/2014/main" id="{9582DE47-1E70-43D4-B99B-14B037219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0</xdr:colOff>
      <xdr:row>54</xdr:row>
      <xdr:rowOff>185056</xdr:rowOff>
    </xdr:from>
    <xdr:to>
      <xdr:col>12</xdr:col>
      <xdr:colOff>598714</xdr:colOff>
      <xdr:row>70</xdr:row>
      <xdr:rowOff>10885</xdr:rowOff>
    </xdr:to>
    <xdr:graphicFrame macro="">
      <xdr:nvGraphicFramePr>
        <xdr:cNvPr id="40" name="Chart 39">
          <a:extLst>
            <a:ext uri="{FF2B5EF4-FFF2-40B4-BE49-F238E27FC236}">
              <a16:creationId xmlns:a16="http://schemas.microsoft.com/office/drawing/2014/main" id="{00126498-1608-4DF2-BBA2-03DD11B12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185056</xdr:colOff>
      <xdr:row>55</xdr:row>
      <xdr:rowOff>0</xdr:rowOff>
    </xdr:from>
    <xdr:to>
      <xdr:col>6</xdr:col>
      <xdr:colOff>315685</xdr:colOff>
      <xdr:row>69</xdr:row>
      <xdr:rowOff>152400</xdr:rowOff>
    </xdr:to>
    <xdr:graphicFrame macro="">
      <xdr:nvGraphicFramePr>
        <xdr:cNvPr id="41" name="Chart 40">
          <a:extLst>
            <a:ext uri="{FF2B5EF4-FFF2-40B4-BE49-F238E27FC236}">
              <a16:creationId xmlns:a16="http://schemas.microsoft.com/office/drawing/2014/main" id="{D18191F1-0C5D-4818-B77A-263917DD4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190500</xdr:colOff>
      <xdr:row>70</xdr:row>
      <xdr:rowOff>68580</xdr:rowOff>
    </xdr:from>
    <xdr:to>
      <xdr:col>19</xdr:col>
      <xdr:colOff>601980</xdr:colOff>
      <xdr:row>72</xdr:row>
      <xdr:rowOff>0</xdr:rowOff>
    </xdr:to>
    <xdr:sp macro="" textlink="">
      <xdr:nvSpPr>
        <xdr:cNvPr id="3" name="Rectangle 2">
          <a:extLst>
            <a:ext uri="{FF2B5EF4-FFF2-40B4-BE49-F238E27FC236}">
              <a16:creationId xmlns:a16="http://schemas.microsoft.com/office/drawing/2014/main" id="{176E6B62-8394-A6FE-BDD3-CB4D321AE0D6}"/>
            </a:ext>
          </a:extLst>
        </xdr:cNvPr>
        <xdr:cNvSpPr/>
      </xdr:nvSpPr>
      <xdr:spPr>
        <a:xfrm>
          <a:off x="190500" y="12870180"/>
          <a:ext cx="11993880" cy="297180"/>
        </a:xfrm>
        <a:prstGeom prst="rect">
          <a:avLst/>
        </a:prstGeom>
        <a:solidFill>
          <a:srgbClr val="FFFF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400" b="1" u="none">
              <a:solidFill>
                <a:schemeClr val="accent1"/>
              </a:solidFill>
            </a:rPr>
            <a:t> KEY</a:t>
          </a:r>
          <a:r>
            <a:rPr lang="en-IN" sz="2400" b="1" u="none" baseline="0">
              <a:solidFill>
                <a:schemeClr val="accent1"/>
              </a:solidFill>
            </a:rPr>
            <a:t> INSIGHTS</a:t>
          </a:r>
        </a:p>
      </xdr:txBody>
    </xdr:sp>
    <xdr:clientData/>
  </xdr:twoCellAnchor>
  <xdr:twoCellAnchor>
    <xdr:from>
      <xdr:col>0</xdr:col>
      <xdr:colOff>190500</xdr:colOff>
      <xdr:row>72</xdr:row>
      <xdr:rowOff>76200</xdr:rowOff>
    </xdr:from>
    <xdr:to>
      <xdr:col>4</xdr:col>
      <xdr:colOff>7620</xdr:colOff>
      <xdr:row>78</xdr:row>
      <xdr:rowOff>15240</xdr:rowOff>
    </xdr:to>
    <xdr:sp macro="" textlink="">
      <xdr:nvSpPr>
        <xdr:cNvPr id="4" name="Rectangle 3">
          <a:extLst>
            <a:ext uri="{FF2B5EF4-FFF2-40B4-BE49-F238E27FC236}">
              <a16:creationId xmlns:a16="http://schemas.microsoft.com/office/drawing/2014/main" id="{788ED0EA-C3CC-AA5B-6263-783EBD77A13A}"/>
            </a:ext>
          </a:extLst>
        </xdr:cNvPr>
        <xdr:cNvSpPr/>
      </xdr:nvSpPr>
      <xdr:spPr>
        <a:xfrm>
          <a:off x="190500" y="13243560"/>
          <a:ext cx="2255520" cy="103632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Nifty</a:t>
          </a:r>
          <a:r>
            <a:rPr lang="en-IN" sz="1100" b="1" baseline="0">
              <a:solidFill>
                <a:schemeClr val="bg1"/>
              </a:solidFill>
            </a:rPr>
            <a:t> 50 Delivered a strong 5-year return of </a:t>
          </a:r>
        </a:p>
        <a:p>
          <a:pPr algn="ctr"/>
          <a:r>
            <a:rPr lang="en-IN" sz="2000" baseline="0">
              <a:solidFill>
                <a:schemeClr val="accent1"/>
              </a:solidFill>
            </a:rPr>
            <a:t>86.39 %</a:t>
          </a:r>
          <a:endParaRPr lang="en-IN" sz="2000">
            <a:solidFill>
              <a:schemeClr val="accent1"/>
            </a:solidFill>
          </a:endParaRPr>
        </a:p>
      </xdr:txBody>
    </xdr:sp>
    <xdr:clientData/>
  </xdr:twoCellAnchor>
  <xdr:twoCellAnchor>
    <xdr:from>
      <xdr:col>4</xdr:col>
      <xdr:colOff>175260</xdr:colOff>
      <xdr:row>72</xdr:row>
      <xdr:rowOff>91440</xdr:rowOff>
    </xdr:from>
    <xdr:to>
      <xdr:col>7</xdr:col>
      <xdr:colOff>601980</xdr:colOff>
      <xdr:row>78</xdr:row>
      <xdr:rowOff>30480</xdr:rowOff>
    </xdr:to>
    <xdr:sp macro="" textlink="">
      <xdr:nvSpPr>
        <xdr:cNvPr id="6" name="Rectangle 5">
          <a:extLst>
            <a:ext uri="{FF2B5EF4-FFF2-40B4-BE49-F238E27FC236}">
              <a16:creationId xmlns:a16="http://schemas.microsoft.com/office/drawing/2014/main" id="{1FA78608-5001-4491-915F-D386CED11B5B}"/>
            </a:ext>
          </a:extLst>
        </xdr:cNvPr>
        <xdr:cNvSpPr/>
      </xdr:nvSpPr>
      <xdr:spPr>
        <a:xfrm>
          <a:off x="2613660" y="13258800"/>
          <a:ext cx="2255520" cy="103632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The</a:t>
          </a:r>
          <a:r>
            <a:rPr lang="en-IN" sz="1100" b="1" baseline="0"/>
            <a:t> Index is near its 5 - year high of</a:t>
          </a:r>
        </a:p>
        <a:p>
          <a:pPr algn="ctr"/>
          <a:r>
            <a:rPr lang="en-IN" sz="2400">
              <a:solidFill>
                <a:schemeClr val="accent1"/>
              </a:solidFill>
            </a:rPr>
            <a:t>26216.05</a:t>
          </a:r>
        </a:p>
      </xdr:txBody>
    </xdr:sp>
    <xdr:clientData/>
  </xdr:twoCellAnchor>
  <xdr:twoCellAnchor>
    <xdr:from>
      <xdr:col>8</xdr:col>
      <xdr:colOff>175260</xdr:colOff>
      <xdr:row>72</xdr:row>
      <xdr:rowOff>76200</xdr:rowOff>
    </xdr:from>
    <xdr:to>
      <xdr:col>11</xdr:col>
      <xdr:colOff>601980</xdr:colOff>
      <xdr:row>78</xdr:row>
      <xdr:rowOff>15240</xdr:rowOff>
    </xdr:to>
    <xdr:sp macro="" textlink="">
      <xdr:nvSpPr>
        <xdr:cNvPr id="9" name="Rectangle 8">
          <a:extLst>
            <a:ext uri="{FF2B5EF4-FFF2-40B4-BE49-F238E27FC236}">
              <a16:creationId xmlns:a16="http://schemas.microsoft.com/office/drawing/2014/main" id="{0ECE89B8-9F8D-4EE2-8F14-D5CF1B050DC0}"/>
            </a:ext>
          </a:extLst>
        </xdr:cNvPr>
        <xdr:cNvSpPr/>
      </xdr:nvSpPr>
      <xdr:spPr>
        <a:xfrm>
          <a:off x="5052060" y="13243560"/>
          <a:ext cx="2255520" cy="103632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Average daily trading volume stands</a:t>
          </a:r>
          <a:r>
            <a:rPr lang="en-IN" sz="1100" b="1" baseline="0"/>
            <a:t> at</a:t>
          </a:r>
        </a:p>
        <a:p>
          <a:pPr algn="ctr"/>
          <a:r>
            <a:rPr lang="en-IN" sz="2000" baseline="0">
              <a:solidFill>
                <a:schemeClr val="accent1"/>
              </a:solidFill>
            </a:rPr>
            <a:t>31.93 cr Shares</a:t>
          </a:r>
          <a:endParaRPr lang="en-IN" sz="2000">
            <a:solidFill>
              <a:schemeClr val="accent1"/>
            </a:solidFill>
          </a:endParaRPr>
        </a:p>
      </xdr:txBody>
    </xdr:sp>
    <xdr:clientData/>
  </xdr:twoCellAnchor>
  <xdr:twoCellAnchor>
    <xdr:from>
      <xdr:col>12</xdr:col>
      <xdr:colOff>198120</xdr:colOff>
      <xdr:row>72</xdr:row>
      <xdr:rowOff>83820</xdr:rowOff>
    </xdr:from>
    <xdr:to>
      <xdr:col>16</xdr:col>
      <xdr:colOff>15240</xdr:colOff>
      <xdr:row>78</xdr:row>
      <xdr:rowOff>22860</xdr:rowOff>
    </xdr:to>
    <xdr:sp macro="" textlink="">
      <xdr:nvSpPr>
        <xdr:cNvPr id="14" name="Rectangle 13">
          <a:extLst>
            <a:ext uri="{FF2B5EF4-FFF2-40B4-BE49-F238E27FC236}">
              <a16:creationId xmlns:a16="http://schemas.microsoft.com/office/drawing/2014/main" id="{37FC1362-A481-4CDD-AB5A-4FC29B25E5F0}"/>
            </a:ext>
          </a:extLst>
        </xdr:cNvPr>
        <xdr:cNvSpPr/>
      </xdr:nvSpPr>
      <xdr:spPr>
        <a:xfrm>
          <a:off x="7513320" y="13251180"/>
          <a:ext cx="2255520" cy="103632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The</a:t>
          </a:r>
          <a:r>
            <a:rPr lang="en-IN" sz="1100" b="1" baseline="0"/>
            <a:t> volatility is around</a:t>
          </a:r>
        </a:p>
        <a:p>
          <a:pPr algn="ctr"/>
          <a:r>
            <a:rPr lang="en-IN" sz="2000" baseline="0">
              <a:solidFill>
                <a:schemeClr val="accent1"/>
              </a:solidFill>
            </a:rPr>
            <a:t>0.88 %</a:t>
          </a:r>
        </a:p>
        <a:p>
          <a:pPr algn="ctr"/>
          <a:r>
            <a:rPr lang="en-IN" sz="1100" b="1" baseline="0"/>
            <a:t>Daily standard deviation</a:t>
          </a:r>
          <a:endParaRPr lang="en-IN" sz="1100" b="1"/>
        </a:p>
      </xdr:txBody>
    </xdr:sp>
    <xdr:clientData/>
  </xdr:twoCellAnchor>
  <xdr:twoCellAnchor>
    <xdr:from>
      <xdr:col>16</xdr:col>
      <xdr:colOff>182880</xdr:colOff>
      <xdr:row>72</xdr:row>
      <xdr:rowOff>83820</xdr:rowOff>
    </xdr:from>
    <xdr:to>
      <xdr:col>20</xdr:col>
      <xdr:colOff>0</xdr:colOff>
      <xdr:row>78</xdr:row>
      <xdr:rowOff>22860</xdr:rowOff>
    </xdr:to>
    <xdr:sp macro="" textlink="">
      <xdr:nvSpPr>
        <xdr:cNvPr id="20" name="Rectangle 19">
          <a:extLst>
            <a:ext uri="{FF2B5EF4-FFF2-40B4-BE49-F238E27FC236}">
              <a16:creationId xmlns:a16="http://schemas.microsoft.com/office/drawing/2014/main" id="{C0DA381D-3B7F-4582-84B4-CF729D805AC4}"/>
            </a:ext>
          </a:extLst>
        </xdr:cNvPr>
        <xdr:cNvSpPr/>
      </xdr:nvSpPr>
      <xdr:spPr>
        <a:xfrm>
          <a:off x="9936480" y="13251180"/>
          <a:ext cx="2255520" cy="103632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Maximum</a:t>
          </a:r>
          <a:r>
            <a:rPr lang="en-IN" sz="1100" b="1" baseline="0"/>
            <a:t> Drawdown over the past 5 years is</a:t>
          </a:r>
        </a:p>
        <a:p>
          <a:pPr algn="ctr"/>
          <a:r>
            <a:rPr lang="en-IN" sz="2400" baseline="0">
              <a:solidFill>
                <a:schemeClr val="accent1"/>
              </a:solidFill>
            </a:rPr>
            <a:t>-17.23%</a:t>
          </a:r>
          <a:endParaRPr lang="en-IN" sz="2400">
            <a:solidFill>
              <a:schemeClr val="accent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2.612837962966" createdVersion="8" refreshedVersion="8" minRefreshableVersion="3" recordCount="1239" xr:uid="{33ADA150-A041-4AD1-BD0E-D0B9A0F2ED4C}">
  <cacheSource type="worksheet">
    <worksheetSource ref="A1:L1240" sheet="NIFTY 50 2021-2026"/>
  </cacheSource>
  <cacheFields count="15">
    <cacheField name="Date " numFmtId="15">
      <sharedItems containsSemiMixedTypes="0" containsNonDate="0" containsDate="1" containsString="0" minDate="2021-01-01T00:00:00" maxDate="2026-01-01T00:00:00" count="1239">
        <d v="2021-01-01T00:00:00"/>
        <d v="2021-01-04T00:00:00"/>
        <d v="2021-01-05T00:00:00"/>
        <d v="2021-01-06T00:00:00"/>
        <d v="2021-01-07T00:00:00"/>
        <d v="2021-01-08T00:00:00"/>
        <d v="2021-01-11T00:00:00"/>
        <d v="2021-01-12T00:00:00"/>
        <d v="2021-01-13T00:00:00"/>
        <d v="2021-01-14T00:00:00"/>
        <d v="2021-01-15T00:00:00"/>
        <d v="2021-01-18T00:00:00"/>
        <d v="2021-01-19T00:00:00"/>
        <d v="2021-01-20T00:00:00"/>
        <d v="2021-01-21T00:00:00"/>
        <d v="2021-01-22T00:00:00"/>
        <d v="2021-01-25T00:00:00"/>
        <d v="2021-01-27T00:00:00"/>
        <d v="2021-01-28T00:00:00"/>
        <d v="2021-01-29T00:00:00"/>
        <d v="2021-02-01T00:00:00"/>
        <d v="2021-02-02T00:00:00"/>
        <d v="2021-02-03T00:00:00"/>
        <d v="2021-02-04T00:00:00"/>
        <d v="2021-02-05T00:00:00"/>
        <d v="2021-02-08T00:00:00"/>
        <d v="2021-02-09T00:00:00"/>
        <d v="2021-02-10T00:00:00"/>
        <d v="2021-02-11T00:00:00"/>
        <d v="2021-02-12T00:00:00"/>
        <d v="2021-02-15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2T00:00:00"/>
        <d v="2021-03-15T00:00:00"/>
        <d v="2021-03-16T00:00:00"/>
        <d v="2021-03-17T00:00:00"/>
        <d v="2021-03-18T00:00:00"/>
        <d v="2021-03-19T00:00:00"/>
        <d v="2021-03-22T00:00:00"/>
        <d v="2021-03-23T00:00:00"/>
        <d v="2021-03-24T00:00:00"/>
        <d v="2021-03-25T00:00:00"/>
        <d v="2021-03-26T00:00:00"/>
        <d v="2021-03-30T00:00:00"/>
        <d v="2021-03-31T00:00:00"/>
        <d v="2021-04-01T00:00:00"/>
        <d v="2021-04-05T00:00:00"/>
        <d v="2021-04-06T00:00:00"/>
        <d v="2021-04-07T00:00:00"/>
        <d v="2021-04-08T00:00:00"/>
        <d v="2021-04-09T00:00:00"/>
        <d v="2021-04-12T00:00:00"/>
        <d v="2021-04-13T00:00:00"/>
        <d v="2021-04-15T00:00:00"/>
        <d v="2021-04-16T00:00:00"/>
        <d v="2021-04-19T00:00:00"/>
        <d v="2021-04-20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4T00:00:00"/>
        <d v="2021-05-17T00:00:00"/>
        <d v="2021-05-18T00:00:00"/>
        <d v="2021-05-19T00:00:00"/>
        <d v="2021-05-20T00:00:00"/>
        <d v="2021-05-21T00:00:00"/>
        <d v="2021-05-24T00:00:00"/>
        <d v="2021-05-25T00:00:00"/>
        <d v="2021-05-26T00:00:00"/>
        <d v="2021-05-27T00:00:00"/>
        <d v="2021-05-28T00:00:00"/>
        <d v="2021-05-31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5T00:00:00"/>
        <d v="2021-07-06T00:00:00"/>
        <d v="2021-07-07T00:00:00"/>
        <d v="2021-07-08T00:00:00"/>
        <d v="2021-07-09T00:00:00"/>
        <d v="2021-07-12T00:00:00"/>
        <d v="2021-07-13T00:00:00"/>
        <d v="2021-07-14T00:00:00"/>
        <d v="2021-07-15T00:00:00"/>
        <d v="2021-07-16T00:00:00"/>
        <d v="2021-07-19T00:00:00"/>
        <d v="2021-07-20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20T00:00:00"/>
        <d v="2021-08-23T00:00:00"/>
        <d v="2021-08-24T00:00:00"/>
        <d v="2021-08-25T00:00:00"/>
        <d v="2021-08-26T00:00:00"/>
        <d v="2021-08-27T00:00:00"/>
        <d v="2021-08-30T00:00:00"/>
        <d v="2021-08-31T00:00:00"/>
        <d v="2021-09-01T00:00:00"/>
        <d v="2021-09-02T00:00:00"/>
        <d v="2021-09-03T00:00:00"/>
        <d v="2021-09-06T00:00:00"/>
        <d v="2021-09-07T00:00:00"/>
        <d v="2021-09-08T00:00:00"/>
        <d v="2021-09-09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8T00:00:00"/>
        <d v="2021-11-09T00:00:00"/>
        <d v="2021-11-10T00:00:00"/>
        <d v="2021-11-11T00:00:00"/>
        <d v="2021-11-12T00:00:00"/>
        <d v="2021-11-15T00:00:00"/>
        <d v="2021-11-16T00:00:00"/>
        <d v="2021-11-17T00:00:00"/>
        <d v="2021-11-18T00:00:00"/>
        <d v="2021-11-22T00:00:00"/>
        <d v="2021-11-23T00:00:00"/>
        <d v="2021-11-24T00:00:00"/>
        <d v="2021-11-25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4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7T00:00:00"/>
        <d v="2022-01-18T00:00:00"/>
        <d v="2022-01-19T00:00:00"/>
        <d v="2022-01-20T00:00:00"/>
        <d v="2022-01-21T00:00:00"/>
        <d v="2022-01-24T00:00:00"/>
        <d v="2022-01-25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1T00:00:00"/>
        <d v="2022-02-22T00:00:00"/>
        <d v="2022-02-23T00:00:00"/>
        <d v="2022-02-24T00:00:00"/>
        <d v="2022-02-25T00:00:00"/>
        <d v="2022-02-28T00:00:00"/>
        <d v="2022-03-02T00:00:00"/>
        <d v="2022-03-03T00:00:00"/>
        <d v="2022-03-04T00:00:00"/>
        <d v="2022-03-07T00:00:00"/>
        <d v="2022-03-08T00:00:00"/>
        <d v="2022-03-09T00:00:00"/>
        <d v="2022-03-10T00:00:00"/>
        <d v="2022-03-11T00:00:00"/>
        <d v="2022-03-14T00:00:00"/>
        <d v="2022-03-15T00:00:00"/>
        <d v="2022-03-16T00:00:00"/>
        <d v="2022-03-17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8T00:00:00"/>
        <d v="2022-04-19T00:00:00"/>
        <d v="2022-04-20T00:00:00"/>
        <d v="2022-04-21T00:00:00"/>
        <d v="2022-04-22T00:00:00"/>
        <d v="2022-04-25T00:00:00"/>
        <d v="2022-04-26T00:00:00"/>
        <d v="2022-04-27T00:00:00"/>
        <d v="2022-04-28T00:00:00"/>
        <d v="2022-04-29T00:00:00"/>
        <d v="2022-05-02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0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0T00:00:00"/>
        <d v="2022-06-21T00:00:00"/>
        <d v="2022-06-22T00:00:00"/>
        <d v="2022-06-23T00:00:00"/>
        <d v="2022-06-24T00:00:00"/>
        <d v="2022-06-27T00:00:00"/>
        <d v="2022-06-28T00:00:00"/>
        <d v="2022-06-29T00:00:00"/>
        <d v="2022-06-30T00:00:00"/>
        <d v="2022-07-01T00:00:00"/>
        <d v="2022-07-04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10T00:00:00"/>
        <d v="2022-08-11T00:00:00"/>
        <d v="2022-08-12T00:00:00"/>
        <d v="2022-08-16T00:00:00"/>
        <d v="2022-08-17T00:00:00"/>
        <d v="2022-08-18T00:00:00"/>
        <d v="2022-08-19T00:00:00"/>
        <d v="2022-08-22T00:00:00"/>
        <d v="2022-08-23T00:00:00"/>
        <d v="2022-08-24T00:00:00"/>
        <d v="2022-08-25T00:00:00"/>
        <d v="2022-08-26T00:00:00"/>
        <d v="2022-08-29T00:00:00"/>
        <d v="2022-08-30T00:00:00"/>
        <d v="2022-09-01T00:00:00"/>
        <d v="2022-09-02T00:00:00"/>
        <d v="2022-09-05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7T00:00:00"/>
        <d v="2022-10-28T00:00:00"/>
        <d v="2022-10-31T00:00:00"/>
        <d v="2022-11-01T00:00:00"/>
        <d v="2022-11-02T00:00:00"/>
        <d v="2022-11-03T00:00:00"/>
        <d v="2022-11-04T00:00:00"/>
        <d v="2022-11-07T00:00:00"/>
        <d v="2022-11-09T00:00:00"/>
        <d v="2022-11-10T00:00:00"/>
        <d v="2022-11-11T00:00:00"/>
        <d v="2022-11-14T00:00:00"/>
        <d v="2022-11-15T00:00:00"/>
        <d v="2022-11-16T00:00:00"/>
        <d v="2022-11-17T00:00:00"/>
        <d v="2022-11-18T00:00:00"/>
        <d v="2022-11-21T00:00:00"/>
        <d v="2022-11-22T00:00:00"/>
        <d v="2022-11-23T00:00:00"/>
        <d v="2022-11-24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6T00:00:00"/>
        <d v="2022-12-27T00:00:00"/>
        <d v="2022-12-28T00:00:00"/>
        <d v="2022-12-29T00:00:00"/>
        <d v="2022-12-30T00:00:00"/>
        <d v="2023-01-02T00:00:00"/>
        <d v="2023-01-03T00:00:00"/>
        <d v="2023-01-04T00:00:00"/>
        <d v="2023-01-05T00:00:00"/>
        <d v="2023-01-06T00:00:00"/>
        <d v="2023-01-09T00:00:00"/>
        <d v="2023-01-10T00:00:00"/>
        <d v="2023-01-11T00:00:00"/>
        <d v="2023-01-12T00:00:00"/>
        <d v="2023-01-13T00:00:00"/>
        <d v="2023-01-16T00:00:00"/>
        <d v="2023-01-17T00:00:00"/>
        <d v="2023-01-18T00:00:00"/>
        <d v="2023-01-19T00:00:00"/>
        <d v="2023-01-20T00:00:00"/>
        <d v="2023-01-23T00:00:00"/>
        <d v="2023-01-24T00:00:00"/>
        <d v="2023-01-25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0T00:00:00"/>
        <d v="2023-02-21T00:00:00"/>
        <d v="2023-02-22T00:00:00"/>
        <d v="2023-02-23T00:00:00"/>
        <d v="2023-02-24T00:00:00"/>
        <d v="2023-02-27T00:00:00"/>
        <d v="2023-02-28T00:00:00"/>
        <d v="2023-03-01T00:00:00"/>
        <d v="2023-03-02T00:00:00"/>
        <d v="2023-03-03T00:00:00"/>
        <d v="2023-03-06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1T00:00:00"/>
        <d v="2023-04-03T00:00:00"/>
        <d v="2023-04-05T00:00:00"/>
        <d v="2023-04-06T00:00:00"/>
        <d v="2023-04-10T00:00:00"/>
        <d v="2023-04-11T00:00:00"/>
        <d v="2023-04-12T00:00:00"/>
        <d v="2023-04-13T00:00:00"/>
        <d v="2023-04-17T00:00:00"/>
        <d v="2023-04-18T00:00:00"/>
        <d v="2023-04-19T00:00:00"/>
        <d v="2023-04-20T00:00:00"/>
        <d v="2023-04-21T00:00:00"/>
        <d v="2023-04-24T00:00:00"/>
        <d v="2023-04-25T00:00:00"/>
        <d v="2023-04-26T00:00:00"/>
        <d v="2023-04-27T00:00:00"/>
        <d v="2023-04-28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29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19T00:00:00"/>
        <d v="2023-06-20T00:00:00"/>
        <d v="2023-06-21T00:00:00"/>
        <d v="2023-06-22T00:00:00"/>
        <d v="2023-06-23T00:00:00"/>
        <d v="2023-06-26T00:00:00"/>
        <d v="2023-06-27T00:00:00"/>
        <d v="2023-06-28T00:00:00"/>
        <d v="2023-06-30T00:00:00"/>
        <d v="2023-07-03T00:00:00"/>
        <d v="2023-07-04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6T00:00:00"/>
        <d v="2023-08-17T00:00:00"/>
        <d v="2023-08-18T00:00:00"/>
        <d v="2023-08-21T00:00:00"/>
        <d v="2023-08-22T00:00:00"/>
        <d v="2023-08-23T00:00:00"/>
        <d v="2023-08-24T00:00:00"/>
        <d v="2023-08-25T00:00:00"/>
        <d v="2023-08-28T00:00:00"/>
        <d v="2023-08-29T00:00:00"/>
        <d v="2023-08-30T00:00:00"/>
        <d v="2023-08-31T00:00:00"/>
        <d v="2023-09-01T00:00:00"/>
        <d v="2023-09-04T00:00:00"/>
        <d v="2023-09-05T00:00:00"/>
        <d v="2023-09-06T00:00:00"/>
        <d v="2023-09-07T00:00:00"/>
        <d v="2023-09-08T00:00:00"/>
        <d v="2023-09-11T00:00:00"/>
        <d v="2023-09-12T00:00:00"/>
        <d v="2023-09-13T00:00:00"/>
        <d v="2023-09-14T00:00:00"/>
        <d v="2023-09-15T00:00:00"/>
        <d v="2023-09-18T00:00:00"/>
        <d v="2023-09-20T00:00:00"/>
        <d v="2023-09-21T00:00:00"/>
        <d v="2023-09-22T00:00:00"/>
        <d v="2023-09-25T00:00:00"/>
        <d v="2023-09-26T00:00:00"/>
        <d v="2023-09-27T00:00:00"/>
        <d v="2023-09-28T00:00:00"/>
        <d v="2023-09-29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5T00:00:00"/>
        <d v="2023-10-26T00:00:00"/>
        <d v="2023-10-27T00:00:00"/>
        <d v="2023-10-30T00:00:00"/>
        <d v="2023-10-31T00:00:00"/>
        <d v="2023-11-01T00:00:00"/>
        <d v="2023-11-02T00:00:00"/>
        <d v="2023-11-03T00:00:00"/>
        <d v="2023-11-06T00:00:00"/>
        <d v="2023-11-07T00:00:00"/>
        <d v="2023-11-08T00:00:00"/>
        <d v="2023-11-09T00:00:00"/>
        <d v="2023-11-10T00:00:00"/>
        <d v="2023-11-12T00:00:00"/>
        <d v="2023-11-13T00:00:00"/>
        <d v="2023-11-15T00:00:00"/>
        <d v="2023-11-16T00:00:00"/>
        <d v="2023-11-17T00:00:00"/>
        <d v="2023-11-20T00:00:00"/>
        <d v="2023-11-21T00:00:00"/>
        <d v="2023-11-22T00:00:00"/>
        <d v="2023-11-23T00:00:00"/>
        <d v="2023-11-24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1T00:00:00"/>
        <d v="2024-01-02T00:00:00"/>
        <d v="2024-01-03T00:00:00"/>
        <d v="2024-01-04T00:00:00"/>
        <d v="2024-01-05T00:00:00"/>
        <d v="2024-01-08T00:00:00"/>
        <d v="2024-01-09T00:00:00"/>
        <d v="2024-01-10T00:00:00"/>
        <d v="2024-01-11T00:00:00"/>
        <d v="2024-01-12T00:00:00"/>
        <d v="2024-01-15T00:00:00"/>
        <d v="2024-01-16T00:00:00"/>
        <d v="2024-01-17T00:00:00"/>
        <d v="2024-01-18T00:00:00"/>
        <d v="2024-01-19T00:00:00"/>
        <d v="2024-01-20T00:00:00"/>
        <d v="2024-01-23T00:00:00"/>
        <d v="2024-01-24T00:00:00"/>
        <d v="2024-01-25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19T00:00:00"/>
        <d v="2024-02-20T00:00:00"/>
        <d v="2024-02-21T00:00:00"/>
        <d v="2024-02-22T00:00:00"/>
        <d v="2024-02-23T00:00:00"/>
        <d v="2024-02-26T00:00:00"/>
        <d v="2024-02-27T00:00:00"/>
        <d v="2024-02-28T00:00:00"/>
        <d v="2024-02-29T00:00:00"/>
        <d v="2024-03-01T00:00:00"/>
        <d v="2024-03-04T00:00:00"/>
        <d v="2024-03-05T00:00:00"/>
        <d v="2024-03-06T00:00:00"/>
        <d v="2024-03-07T00:00:00"/>
        <d v="2024-03-11T00:00:00"/>
        <d v="2024-03-12T00:00:00"/>
        <d v="2024-03-13T00:00:00"/>
        <d v="2024-03-14T00:00:00"/>
        <d v="2024-03-15T00:00:00"/>
        <d v="2024-03-18T00:00:00"/>
        <d v="2024-03-19T00:00:00"/>
        <d v="2024-03-20T00:00:00"/>
        <d v="2024-03-21T00:00:00"/>
        <d v="2024-03-22T00:00:00"/>
        <d v="2024-03-26T00:00:00"/>
        <d v="2024-03-27T00:00:00"/>
        <d v="2024-03-28T00:00:00"/>
        <d v="2024-04-01T00:00:00"/>
        <d v="2024-04-02T00:00:00"/>
        <d v="2024-04-03T00:00:00"/>
        <d v="2024-04-04T00:00:00"/>
        <d v="2024-04-05T00:00:00"/>
        <d v="2024-04-08T00:00:00"/>
        <d v="2024-04-09T00:00:00"/>
        <d v="2024-04-10T00:00:00"/>
        <d v="2024-04-12T00:00:00"/>
        <d v="2024-04-15T00:00:00"/>
        <d v="2024-04-16T00:00:00"/>
        <d v="2024-04-18T00:00:00"/>
        <d v="2024-04-19T00:00:00"/>
        <d v="2024-04-22T00:00:00"/>
        <d v="2024-04-23T00:00:00"/>
        <d v="2024-04-24T00:00:00"/>
        <d v="2024-04-25T00:00:00"/>
        <d v="2024-04-26T00:00:00"/>
        <d v="2024-04-29T00:00:00"/>
        <d v="2024-04-30T00:00:00"/>
        <d v="2024-05-02T00:00:00"/>
        <d v="2024-05-03T00:00:00"/>
        <d v="2024-05-06T00:00:00"/>
        <d v="2024-05-07T00:00:00"/>
        <d v="2024-05-08T00:00:00"/>
        <d v="2024-05-09T00:00:00"/>
        <d v="2024-05-10T00:00:00"/>
        <d v="2024-05-13T00:00:00"/>
        <d v="2024-05-14T00:00:00"/>
        <d v="2024-05-15T00:00:00"/>
        <d v="2024-05-16T00:00:00"/>
        <d v="2024-05-17T00:00:00"/>
        <d v="2024-05-18T00:00:00"/>
        <d v="2024-05-21T00:00:00"/>
        <d v="2024-05-22T00:00:00"/>
        <d v="2024-05-23T00:00:00"/>
        <d v="2024-05-24T00:00:00"/>
        <d v="2024-05-27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8T00:00:00"/>
        <d v="2024-06-19T00:00:00"/>
        <d v="2024-06-20T00:00:00"/>
        <d v="2024-06-21T00:00:00"/>
        <d v="2024-06-24T00:00:00"/>
        <d v="2024-06-25T00:00:00"/>
        <d v="2024-06-26T00:00:00"/>
        <d v="2024-06-27T00:00:00"/>
        <d v="2024-06-28T00:00:00"/>
        <d v="2024-07-01T00:00:00"/>
        <d v="2024-07-02T00:00:00"/>
        <d v="2024-07-03T00:00:00"/>
        <d v="2024-07-04T00:00:00"/>
        <d v="2024-07-05T00:00:00"/>
        <d v="2024-07-08T00:00:00"/>
        <d v="2024-07-09T00:00:00"/>
        <d v="2024-07-10T00:00:00"/>
        <d v="2024-07-11T00:00:00"/>
        <d v="2024-07-12T00:00:00"/>
        <d v="2024-07-15T00:00:00"/>
        <d v="2024-07-16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6T00:00:00"/>
        <d v="2024-08-19T00:00:00"/>
        <d v="2024-08-20T00:00:00"/>
        <d v="2024-08-21T00:00:00"/>
        <d v="2024-08-22T00:00:00"/>
        <d v="2024-08-23T00:00:00"/>
        <d v="2024-08-26T00:00:00"/>
        <d v="2024-08-27T00:00:00"/>
        <d v="2024-08-28T00:00:00"/>
        <d v="2024-08-29T00:00:00"/>
        <d v="2024-08-30T00:00:00"/>
        <d v="2024-09-02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8T00:00:00"/>
        <d v="2024-11-19T00:00:00"/>
        <d v="2024-11-21T00:00:00"/>
        <d v="2024-11-22T00:00:00"/>
        <d v="2024-11-25T00:00:00"/>
        <d v="2024-11-26T00:00:00"/>
        <d v="2024-11-27T00:00:00"/>
        <d v="2024-11-28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1T00:00:00"/>
        <d v="2025-01-02T00:00:00"/>
        <d v="2025-01-03T00:00:00"/>
        <d v="2025-01-06T00:00:00"/>
        <d v="2025-01-07T00:00:00"/>
        <d v="2025-01-08T00:00:00"/>
        <d v="2025-01-09T00:00:00"/>
        <d v="2025-01-10T00:00:00"/>
        <d v="2025-01-13T00:00:00"/>
        <d v="2025-01-14T00:00:00"/>
        <d v="2025-01-15T00:00:00"/>
        <d v="2025-01-16T00:00:00"/>
        <d v="2025-01-17T00:00:00"/>
        <d v="2025-01-20T00:00:00"/>
        <d v="2025-01-21T00:00:00"/>
        <d v="2025-01-22T00:00:00"/>
        <d v="2025-01-23T00:00:00"/>
        <d v="2025-01-24T00:00:00"/>
        <d v="2025-01-27T00:00:00"/>
        <d v="2025-01-28T00:00:00"/>
        <d v="2025-01-29T00:00:00"/>
        <d v="2025-01-30T00:00:00"/>
        <d v="2025-01-31T00:00:00"/>
        <d v="2025-02-01T00:00:00"/>
        <d v="2025-02-03T00:00:00"/>
        <d v="2025-02-04T00:00:00"/>
        <d v="2025-02-05T00:00:00"/>
        <d v="2025-02-06T00:00:00"/>
        <d v="2025-02-07T00:00:00"/>
        <d v="2025-02-10T00:00:00"/>
        <d v="2025-02-11T00:00:00"/>
        <d v="2025-02-12T00:00:00"/>
        <d v="2025-02-13T00:00:00"/>
        <d v="2025-02-14T00:00:00"/>
        <d v="2025-02-17T00:00:00"/>
        <d v="2025-02-18T00:00:00"/>
        <d v="2025-02-19T00:00:00"/>
        <d v="2025-02-20T00:00:00"/>
        <d v="2025-02-21T00:00:00"/>
        <d v="2025-02-24T00:00:00"/>
        <d v="2025-02-25T00:00:00"/>
        <d v="2025-02-27T00:00:00"/>
        <d v="2025-02-28T00:00:00"/>
        <d v="2025-03-03T00:00:00"/>
        <d v="2025-03-04T00:00:00"/>
        <d v="2025-03-05T00:00:00"/>
        <d v="2025-03-06T00:00:00"/>
        <d v="2025-03-07T00:00:00"/>
        <d v="2025-03-10T00:00:00"/>
        <d v="2025-03-11T00:00:00"/>
        <d v="2025-03-12T00:00:00"/>
        <d v="2025-03-13T00:00:00"/>
        <d v="2025-03-17T00:00:00"/>
        <d v="2025-03-18T00:00:00"/>
        <d v="2025-03-19T00:00:00"/>
        <d v="2025-03-20T00:00:00"/>
        <d v="2025-03-21T00:00:00"/>
        <d v="2025-03-24T00:00:00"/>
        <d v="2025-03-25T00:00:00"/>
        <d v="2025-03-26T00:00:00"/>
        <d v="2025-03-27T00:00:00"/>
        <d v="2025-03-28T00:00:00"/>
        <d v="2025-04-01T00:00:00"/>
        <d v="2025-04-02T00:00:00"/>
        <d v="2025-04-03T00:00:00"/>
        <d v="2025-04-04T00:00:00"/>
        <d v="2025-04-07T00:00:00"/>
        <d v="2025-04-08T00:00:00"/>
        <d v="2025-04-09T00:00:00"/>
        <d v="2025-04-11T00:00:00"/>
        <d v="2025-04-15T00:00:00"/>
        <d v="2025-04-16T00:00:00"/>
        <d v="2025-04-17T00:00:00"/>
        <d v="2025-04-21T00:00:00"/>
        <d v="2025-04-22T00:00:00"/>
        <d v="2025-04-23T00:00:00"/>
        <d v="2025-04-24T00:00:00"/>
        <d v="2025-04-25T00:00:00"/>
        <d v="2025-04-28T00:00:00"/>
        <d v="2025-04-29T00:00:00"/>
        <d v="2025-04-30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6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19T00:00:00"/>
        <d v="2025-06-20T00:00:00"/>
        <d v="2025-06-23T00:00:00"/>
        <d v="2025-06-24T00:00:00"/>
        <d v="2025-06-25T00:00:00"/>
        <d v="2025-06-26T00:00:00"/>
        <d v="2025-06-27T00:00:00"/>
        <d v="2025-06-30T00:00:00"/>
        <d v="2025-07-01T00:00:00"/>
        <d v="2025-07-02T00:00:00"/>
        <d v="2025-07-03T00:00:00"/>
        <d v="2025-07-04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8T00:00:00"/>
        <d v="2025-08-19T00:00:00"/>
        <d v="2025-08-20T00:00:00"/>
        <d v="2025-08-21T00:00:00"/>
        <d v="2025-08-22T00:00:00"/>
        <d v="2025-08-25T00:00:00"/>
        <d v="2025-08-26T00:00:00"/>
        <d v="2025-08-28T00:00:00"/>
        <d v="2025-08-29T00:00:00"/>
        <d v="2025-09-01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3T00:00:00"/>
        <d v="2025-10-06T00:00:00"/>
        <d v="2025-10-07T00:00:00"/>
        <d v="2025-10-08T00:00:00"/>
        <d v="2025-10-09T00:00:00"/>
        <d v="2025-10-10T00:00:00"/>
        <d v="2025-10-13T00:00:00"/>
        <d v="2025-10-14T00:00:00"/>
        <d v="2025-10-15T00:00:00"/>
        <d v="2025-10-16T00:00:00"/>
        <d v="2025-10-17T00:00:00"/>
        <d v="2025-10-20T00:00:00"/>
        <d v="2025-10-21T00:00:00"/>
        <d v="2025-10-23T00:00:00"/>
        <d v="2025-10-24T00:00:00"/>
        <d v="2025-10-27T00:00:00"/>
        <d v="2025-10-28T00:00:00"/>
        <d v="2025-10-29T00:00:00"/>
        <d v="2025-10-30T00:00:00"/>
        <d v="2025-10-31T00:00:00"/>
        <d v="2025-11-03T00:00:00"/>
        <d v="2025-11-04T00:00:00"/>
        <d v="2025-11-06T00:00:00"/>
        <d v="2025-11-07T00:00:00"/>
        <d v="2025-11-10T00:00:00"/>
        <d v="2025-11-11T00:00:00"/>
        <d v="2025-11-12T00:00:00"/>
        <d v="2025-11-13T00:00:00"/>
        <d v="2025-11-14T00:00:00"/>
        <d v="2025-11-17T00:00:00"/>
        <d v="2025-11-18T00:00:00"/>
        <d v="2025-11-19T00:00:00"/>
        <d v="2025-11-20T00:00:00"/>
        <d v="2025-11-21T00:00:00"/>
        <d v="2025-11-24T00:00:00"/>
        <d v="2025-11-25T00:00:00"/>
        <d v="2025-11-26T00:00:00"/>
        <d v="2025-11-27T00:00:00"/>
        <d v="2025-11-28T00:00:00"/>
        <d v="2025-12-01T00:00:00"/>
        <d v="2025-12-02T00:00:00"/>
        <d v="2025-12-03T00:00:00"/>
        <d v="2025-12-04T00:00:00"/>
        <d v="2025-12-05T00:00:00"/>
        <d v="2025-12-08T00:00:00"/>
        <d v="2025-12-09T00:00:00"/>
        <d v="2025-12-10T00:00:00"/>
        <d v="2025-12-11T00:00:00"/>
        <d v="2025-12-12T00:00:00"/>
        <d v="2025-12-15T00:00:00"/>
        <d v="2025-12-16T00:00:00"/>
        <d v="2025-12-17T00:00:00"/>
        <d v="2025-12-18T00:00:00"/>
        <d v="2025-12-19T00:00:00"/>
        <d v="2025-12-22T00:00:00"/>
        <d v="2025-12-23T00:00:00"/>
        <d v="2025-12-24T00:00:00"/>
        <d v="2025-12-26T00:00:00"/>
        <d v="2025-12-29T00:00:00"/>
        <d v="2025-12-30T00:00:00"/>
        <d v="2025-12-31T00:00:00"/>
      </sharedItems>
      <fieldGroup par="14"/>
    </cacheField>
    <cacheField name="Open " numFmtId="0">
      <sharedItems containsSemiMixedTypes="0" containsString="0" containsNumber="1" minValue="13758.6" maxValue="26325.8"/>
    </cacheField>
    <cacheField name="High " numFmtId="0">
      <sharedItems containsSemiMixedTypes="0" containsString="0" containsNumber="1" minValue="13898.25" maxValue="26325.8"/>
    </cacheField>
    <cacheField name="Low " numFmtId="0">
      <sharedItems containsSemiMixedTypes="0" containsString="0" containsNumber="1" minValue="13596.75" maxValue="26172.400000000001"/>
    </cacheField>
    <cacheField name="Close " numFmtId="0">
      <sharedItems containsSemiMixedTypes="0" containsString="0" containsNumber="1" minValue="13634.6" maxValue="26216.05"/>
    </cacheField>
    <cacheField name="Shares Traded " numFmtId="0">
      <sharedItems containsSemiMixedTypes="0" containsString="0" containsNumber="1" containsInteger="1" minValue="19064566" maxValue="1103644519"/>
    </cacheField>
    <cacheField name="Turnover (₹ Cr)" numFmtId="0">
      <sharedItems containsSemiMixedTypes="0" containsString="0" containsNumber="1" minValue="1572.77" maxValue="93786.44"/>
    </cacheField>
    <cacheField name="20 Day moving average" numFmtId="0">
      <sharedItems containsMixedTypes="1" containsNumber="1" minValue="14284.602499999999" maxValue="26031.8125"/>
    </cacheField>
    <cacheField name="50 Day moving average" numFmtId="0">
      <sharedItems containsMixedTypes="1" containsNumber="1" minValue="14699.277" maxValue="25929.735000000008"/>
    </cacheField>
    <cacheField name="200 Day moving average" numFmtId="0">
      <sharedItems containsMixedTypes="1" containsNumber="1" minValue="15675.584750000004" maxValue="24914.572499999991"/>
    </cacheField>
    <cacheField name="Daily Return" numFmtId="0">
      <sharedItems containsSemiMixedTypes="0" containsString="0" containsNumber="1" minValue="-1295" maxValue="522.60000000000036"/>
    </cacheField>
    <cacheField name="In %age terms" numFmtId="164">
      <sharedItems containsSemiMixedTypes="0" containsString="0" containsNumber="1" minValue="-5.5868331931232341E-2" maxValue="3.7983515764685387E-2"/>
    </cacheField>
    <cacheField name="Months (Date )" numFmtId="0" databaseField="0">
      <fieldGroup base="0">
        <rangePr groupBy="months" startDate="2021-01-01T00:00:00" endDate="2026-01-01T00:00:00"/>
        <groupItems count="14">
          <s v="&lt;01-01-2021"/>
          <s v="Jan"/>
          <s v="Feb"/>
          <s v="Mar"/>
          <s v="Apr"/>
          <s v="May"/>
          <s v="Jun"/>
          <s v="Jul"/>
          <s v="Aug"/>
          <s v="Sep"/>
          <s v="Oct"/>
          <s v="Nov"/>
          <s v="Dec"/>
          <s v="&gt;01-01-2026"/>
        </groupItems>
      </fieldGroup>
    </cacheField>
    <cacheField name="Quarters (Date )" numFmtId="0" databaseField="0">
      <fieldGroup base="0">
        <rangePr groupBy="quarters" startDate="2021-01-01T00:00:00" endDate="2026-01-01T00:00:00"/>
        <groupItems count="6">
          <s v="&lt;01-01-2021"/>
          <s v="Qtr1"/>
          <s v="Qtr2"/>
          <s v="Qtr3"/>
          <s v="Qtr4"/>
          <s v="&gt;01-01-2026"/>
        </groupItems>
      </fieldGroup>
    </cacheField>
    <cacheField name="Years (Date )" numFmtId="0" databaseField="0">
      <fieldGroup base="0">
        <rangePr groupBy="years" startDate="2021-01-01T00:00:00" endDate="2026-01-01T00:00:00"/>
        <groupItems count="8">
          <s v="&lt;01-01-2021"/>
          <s v="2021"/>
          <s v="2022"/>
          <s v="2023"/>
          <s v="2024"/>
          <s v="2025"/>
          <s v="2026"/>
          <s v="&gt;01-01-2026"/>
        </groupItems>
      </fieldGroup>
    </cacheField>
  </cacheFields>
  <extLst>
    <ext xmlns:x14="http://schemas.microsoft.com/office/spreadsheetml/2009/9/main" uri="{725AE2AE-9491-48be-B2B4-4EB974FC3084}">
      <x14:pivotCacheDefinition pivotCacheId="13198884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2.618585995369" createdVersion="8" refreshedVersion="8" minRefreshableVersion="3" recordCount="1239" xr:uid="{FE7746A6-C706-405E-BB0E-41E0B24833A4}">
  <cacheSource type="worksheet">
    <worksheetSource ref="A1:P1240" sheet="NIFTY 50 2021-2026"/>
  </cacheSource>
  <cacheFields count="19">
    <cacheField name="Date " numFmtId="15">
      <sharedItems containsSemiMixedTypes="0" containsNonDate="0" containsDate="1" containsString="0" minDate="2021-01-01T00:00:00" maxDate="2026-01-01T00:00:00" count="1239">
        <d v="2021-01-01T00:00:00"/>
        <d v="2021-01-04T00:00:00"/>
        <d v="2021-01-05T00:00:00"/>
        <d v="2021-01-06T00:00:00"/>
        <d v="2021-01-07T00:00:00"/>
        <d v="2021-01-08T00:00:00"/>
        <d v="2021-01-11T00:00:00"/>
        <d v="2021-01-12T00:00:00"/>
        <d v="2021-01-13T00:00:00"/>
        <d v="2021-01-14T00:00:00"/>
        <d v="2021-01-15T00:00:00"/>
        <d v="2021-01-18T00:00:00"/>
        <d v="2021-01-19T00:00:00"/>
        <d v="2021-01-20T00:00:00"/>
        <d v="2021-01-21T00:00:00"/>
        <d v="2021-01-22T00:00:00"/>
        <d v="2021-01-25T00:00:00"/>
        <d v="2021-01-27T00:00:00"/>
        <d v="2021-01-28T00:00:00"/>
        <d v="2021-01-29T00:00:00"/>
        <d v="2021-02-01T00:00:00"/>
        <d v="2021-02-02T00:00:00"/>
        <d v="2021-02-03T00:00:00"/>
        <d v="2021-02-04T00:00:00"/>
        <d v="2021-02-05T00:00:00"/>
        <d v="2021-02-08T00:00:00"/>
        <d v="2021-02-09T00:00:00"/>
        <d v="2021-02-10T00:00:00"/>
        <d v="2021-02-11T00:00:00"/>
        <d v="2021-02-12T00:00:00"/>
        <d v="2021-02-15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2T00:00:00"/>
        <d v="2021-03-15T00:00:00"/>
        <d v="2021-03-16T00:00:00"/>
        <d v="2021-03-17T00:00:00"/>
        <d v="2021-03-18T00:00:00"/>
        <d v="2021-03-19T00:00:00"/>
        <d v="2021-03-22T00:00:00"/>
        <d v="2021-03-23T00:00:00"/>
        <d v="2021-03-24T00:00:00"/>
        <d v="2021-03-25T00:00:00"/>
        <d v="2021-03-26T00:00:00"/>
        <d v="2021-03-30T00:00:00"/>
        <d v="2021-03-31T00:00:00"/>
        <d v="2021-04-01T00:00:00"/>
        <d v="2021-04-05T00:00:00"/>
        <d v="2021-04-06T00:00:00"/>
        <d v="2021-04-07T00:00:00"/>
        <d v="2021-04-08T00:00:00"/>
        <d v="2021-04-09T00:00:00"/>
        <d v="2021-04-12T00:00:00"/>
        <d v="2021-04-13T00:00:00"/>
        <d v="2021-04-15T00:00:00"/>
        <d v="2021-04-16T00:00:00"/>
        <d v="2021-04-19T00:00:00"/>
        <d v="2021-04-20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4T00:00:00"/>
        <d v="2021-05-17T00:00:00"/>
        <d v="2021-05-18T00:00:00"/>
        <d v="2021-05-19T00:00:00"/>
        <d v="2021-05-20T00:00:00"/>
        <d v="2021-05-21T00:00:00"/>
        <d v="2021-05-24T00:00:00"/>
        <d v="2021-05-25T00:00:00"/>
        <d v="2021-05-26T00:00:00"/>
        <d v="2021-05-27T00:00:00"/>
        <d v="2021-05-28T00:00:00"/>
        <d v="2021-05-31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5T00:00:00"/>
        <d v="2021-07-06T00:00:00"/>
        <d v="2021-07-07T00:00:00"/>
        <d v="2021-07-08T00:00:00"/>
        <d v="2021-07-09T00:00:00"/>
        <d v="2021-07-12T00:00:00"/>
        <d v="2021-07-13T00:00:00"/>
        <d v="2021-07-14T00:00:00"/>
        <d v="2021-07-15T00:00:00"/>
        <d v="2021-07-16T00:00:00"/>
        <d v="2021-07-19T00:00:00"/>
        <d v="2021-07-20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20T00:00:00"/>
        <d v="2021-08-23T00:00:00"/>
        <d v="2021-08-24T00:00:00"/>
        <d v="2021-08-25T00:00:00"/>
        <d v="2021-08-26T00:00:00"/>
        <d v="2021-08-27T00:00:00"/>
        <d v="2021-08-30T00:00:00"/>
        <d v="2021-08-31T00:00:00"/>
        <d v="2021-09-01T00:00:00"/>
        <d v="2021-09-02T00:00:00"/>
        <d v="2021-09-03T00:00:00"/>
        <d v="2021-09-06T00:00:00"/>
        <d v="2021-09-07T00:00:00"/>
        <d v="2021-09-08T00:00:00"/>
        <d v="2021-09-09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8T00:00:00"/>
        <d v="2021-11-09T00:00:00"/>
        <d v="2021-11-10T00:00:00"/>
        <d v="2021-11-11T00:00:00"/>
        <d v="2021-11-12T00:00:00"/>
        <d v="2021-11-15T00:00:00"/>
        <d v="2021-11-16T00:00:00"/>
        <d v="2021-11-17T00:00:00"/>
        <d v="2021-11-18T00:00:00"/>
        <d v="2021-11-22T00:00:00"/>
        <d v="2021-11-23T00:00:00"/>
        <d v="2021-11-24T00:00:00"/>
        <d v="2021-11-25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4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7T00:00:00"/>
        <d v="2022-01-18T00:00:00"/>
        <d v="2022-01-19T00:00:00"/>
        <d v="2022-01-20T00:00:00"/>
        <d v="2022-01-21T00:00:00"/>
        <d v="2022-01-24T00:00:00"/>
        <d v="2022-01-25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1T00:00:00"/>
        <d v="2022-02-22T00:00:00"/>
        <d v="2022-02-23T00:00:00"/>
        <d v="2022-02-24T00:00:00"/>
        <d v="2022-02-25T00:00:00"/>
        <d v="2022-02-28T00:00:00"/>
        <d v="2022-03-02T00:00:00"/>
        <d v="2022-03-03T00:00:00"/>
        <d v="2022-03-04T00:00:00"/>
        <d v="2022-03-07T00:00:00"/>
        <d v="2022-03-08T00:00:00"/>
        <d v="2022-03-09T00:00:00"/>
        <d v="2022-03-10T00:00:00"/>
        <d v="2022-03-11T00:00:00"/>
        <d v="2022-03-14T00:00:00"/>
        <d v="2022-03-15T00:00:00"/>
        <d v="2022-03-16T00:00:00"/>
        <d v="2022-03-17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8T00:00:00"/>
        <d v="2022-04-19T00:00:00"/>
        <d v="2022-04-20T00:00:00"/>
        <d v="2022-04-21T00:00:00"/>
        <d v="2022-04-22T00:00:00"/>
        <d v="2022-04-25T00:00:00"/>
        <d v="2022-04-26T00:00:00"/>
        <d v="2022-04-27T00:00:00"/>
        <d v="2022-04-28T00:00:00"/>
        <d v="2022-04-29T00:00:00"/>
        <d v="2022-05-02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0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0T00:00:00"/>
        <d v="2022-06-21T00:00:00"/>
        <d v="2022-06-22T00:00:00"/>
        <d v="2022-06-23T00:00:00"/>
        <d v="2022-06-24T00:00:00"/>
        <d v="2022-06-27T00:00:00"/>
        <d v="2022-06-28T00:00:00"/>
        <d v="2022-06-29T00:00:00"/>
        <d v="2022-06-30T00:00:00"/>
        <d v="2022-07-01T00:00:00"/>
        <d v="2022-07-04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10T00:00:00"/>
        <d v="2022-08-11T00:00:00"/>
        <d v="2022-08-12T00:00:00"/>
        <d v="2022-08-16T00:00:00"/>
        <d v="2022-08-17T00:00:00"/>
        <d v="2022-08-18T00:00:00"/>
        <d v="2022-08-19T00:00:00"/>
        <d v="2022-08-22T00:00:00"/>
        <d v="2022-08-23T00:00:00"/>
        <d v="2022-08-24T00:00:00"/>
        <d v="2022-08-25T00:00:00"/>
        <d v="2022-08-26T00:00:00"/>
        <d v="2022-08-29T00:00:00"/>
        <d v="2022-08-30T00:00:00"/>
        <d v="2022-09-01T00:00:00"/>
        <d v="2022-09-02T00:00:00"/>
        <d v="2022-09-05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7T00:00:00"/>
        <d v="2022-10-28T00:00:00"/>
        <d v="2022-10-31T00:00:00"/>
        <d v="2022-11-01T00:00:00"/>
        <d v="2022-11-02T00:00:00"/>
        <d v="2022-11-03T00:00:00"/>
        <d v="2022-11-04T00:00:00"/>
        <d v="2022-11-07T00:00:00"/>
        <d v="2022-11-09T00:00:00"/>
        <d v="2022-11-10T00:00:00"/>
        <d v="2022-11-11T00:00:00"/>
        <d v="2022-11-14T00:00:00"/>
        <d v="2022-11-15T00:00:00"/>
        <d v="2022-11-16T00:00:00"/>
        <d v="2022-11-17T00:00:00"/>
        <d v="2022-11-18T00:00:00"/>
        <d v="2022-11-21T00:00:00"/>
        <d v="2022-11-22T00:00:00"/>
        <d v="2022-11-23T00:00:00"/>
        <d v="2022-11-24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6T00:00:00"/>
        <d v="2022-12-27T00:00:00"/>
        <d v="2022-12-28T00:00:00"/>
        <d v="2022-12-29T00:00:00"/>
        <d v="2022-12-30T00:00:00"/>
        <d v="2023-01-02T00:00:00"/>
        <d v="2023-01-03T00:00:00"/>
        <d v="2023-01-04T00:00:00"/>
        <d v="2023-01-05T00:00:00"/>
        <d v="2023-01-06T00:00:00"/>
        <d v="2023-01-09T00:00:00"/>
        <d v="2023-01-10T00:00:00"/>
        <d v="2023-01-11T00:00:00"/>
        <d v="2023-01-12T00:00:00"/>
        <d v="2023-01-13T00:00:00"/>
        <d v="2023-01-16T00:00:00"/>
        <d v="2023-01-17T00:00:00"/>
        <d v="2023-01-18T00:00:00"/>
        <d v="2023-01-19T00:00:00"/>
        <d v="2023-01-20T00:00:00"/>
        <d v="2023-01-23T00:00:00"/>
        <d v="2023-01-24T00:00:00"/>
        <d v="2023-01-25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0T00:00:00"/>
        <d v="2023-02-21T00:00:00"/>
        <d v="2023-02-22T00:00:00"/>
        <d v="2023-02-23T00:00:00"/>
        <d v="2023-02-24T00:00:00"/>
        <d v="2023-02-27T00:00:00"/>
        <d v="2023-02-28T00:00:00"/>
        <d v="2023-03-01T00:00:00"/>
        <d v="2023-03-02T00:00:00"/>
        <d v="2023-03-03T00:00:00"/>
        <d v="2023-03-06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1T00:00:00"/>
        <d v="2023-04-03T00:00:00"/>
        <d v="2023-04-05T00:00:00"/>
        <d v="2023-04-06T00:00:00"/>
        <d v="2023-04-10T00:00:00"/>
        <d v="2023-04-11T00:00:00"/>
        <d v="2023-04-12T00:00:00"/>
        <d v="2023-04-13T00:00:00"/>
        <d v="2023-04-17T00:00:00"/>
        <d v="2023-04-18T00:00:00"/>
        <d v="2023-04-19T00:00:00"/>
        <d v="2023-04-20T00:00:00"/>
        <d v="2023-04-21T00:00:00"/>
        <d v="2023-04-24T00:00:00"/>
        <d v="2023-04-25T00:00:00"/>
        <d v="2023-04-26T00:00:00"/>
        <d v="2023-04-27T00:00:00"/>
        <d v="2023-04-28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29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19T00:00:00"/>
        <d v="2023-06-20T00:00:00"/>
        <d v="2023-06-21T00:00:00"/>
        <d v="2023-06-22T00:00:00"/>
        <d v="2023-06-23T00:00:00"/>
        <d v="2023-06-26T00:00:00"/>
        <d v="2023-06-27T00:00:00"/>
        <d v="2023-06-28T00:00:00"/>
        <d v="2023-06-30T00:00:00"/>
        <d v="2023-07-03T00:00:00"/>
        <d v="2023-07-04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6T00:00:00"/>
        <d v="2023-08-17T00:00:00"/>
        <d v="2023-08-18T00:00:00"/>
        <d v="2023-08-21T00:00:00"/>
        <d v="2023-08-22T00:00:00"/>
        <d v="2023-08-23T00:00:00"/>
        <d v="2023-08-24T00:00:00"/>
        <d v="2023-08-25T00:00:00"/>
        <d v="2023-08-28T00:00:00"/>
        <d v="2023-08-29T00:00:00"/>
        <d v="2023-08-30T00:00:00"/>
        <d v="2023-08-31T00:00:00"/>
        <d v="2023-09-01T00:00:00"/>
        <d v="2023-09-04T00:00:00"/>
        <d v="2023-09-05T00:00:00"/>
        <d v="2023-09-06T00:00:00"/>
        <d v="2023-09-07T00:00:00"/>
        <d v="2023-09-08T00:00:00"/>
        <d v="2023-09-11T00:00:00"/>
        <d v="2023-09-12T00:00:00"/>
        <d v="2023-09-13T00:00:00"/>
        <d v="2023-09-14T00:00:00"/>
        <d v="2023-09-15T00:00:00"/>
        <d v="2023-09-18T00:00:00"/>
        <d v="2023-09-20T00:00:00"/>
        <d v="2023-09-21T00:00:00"/>
        <d v="2023-09-22T00:00:00"/>
        <d v="2023-09-25T00:00:00"/>
        <d v="2023-09-26T00:00:00"/>
        <d v="2023-09-27T00:00:00"/>
        <d v="2023-09-28T00:00:00"/>
        <d v="2023-09-29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5T00:00:00"/>
        <d v="2023-10-26T00:00:00"/>
        <d v="2023-10-27T00:00:00"/>
        <d v="2023-10-30T00:00:00"/>
        <d v="2023-10-31T00:00:00"/>
        <d v="2023-11-01T00:00:00"/>
        <d v="2023-11-02T00:00:00"/>
        <d v="2023-11-03T00:00:00"/>
        <d v="2023-11-06T00:00:00"/>
        <d v="2023-11-07T00:00:00"/>
        <d v="2023-11-08T00:00:00"/>
        <d v="2023-11-09T00:00:00"/>
        <d v="2023-11-10T00:00:00"/>
        <d v="2023-11-12T00:00:00"/>
        <d v="2023-11-13T00:00:00"/>
        <d v="2023-11-15T00:00:00"/>
        <d v="2023-11-16T00:00:00"/>
        <d v="2023-11-17T00:00:00"/>
        <d v="2023-11-20T00:00:00"/>
        <d v="2023-11-21T00:00:00"/>
        <d v="2023-11-22T00:00:00"/>
        <d v="2023-11-23T00:00:00"/>
        <d v="2023-11-24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1T00:00:00"/>
        <d v="2024-01-02T00:00:00"/>
        <d v="2024-01-03T00:00:00"/>
        <d v="2024-01-04T00:00:00"/>
        <d v="2024-01-05T00:00:00"/>
        <d v="2024-01-08T00:00:00"/>
        <d v="2024-01-09T00:00:00"/>
        <d v="2024-01-10T00:00:00"/>
        <d v="2024-01-11T00:00:00"/>
        <d v="2024-01-12T00:00:00"/>
        <d v="2024-01-15T00:00:00"/>
        <d v="2024-01-16T00:00:00"/>
        <d v="2024-01-17T00:00:00"/>
        <d v="2024-01-18T00:00:00"/>
        <d v="2024-01-19T00:00:00"/>
        <d v="2024-01-20T00:00:00"/>
        <d v="2024-01-23T00:00:00"/>
        <d v="2024-01-24T00:00:00"/>
        <d v="2024-01-25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19T00:00:00"/>
        <d v="2024-02-20T00:00:00"/>
        <d v="2024-02-21T00:00:00"/>
        <d v="2024-02-22T00:00:00"/>
        <d v="2024-02-23T00:00:00"/>
        <d v="2024-02-26T00:00:00"/>
        <d v="2024-02-27T00:00:00"/>
        <d v="2024-02-28T00:00:00"/>
        <d v="2024-02-29T00:00:00"/>
        <d v="2024-03-01T00:00:00"/>
        <d v="2024-03-04T00:00:00"/>
        <d v="2024-03-05T00:00:00"/>
        <d v="2024-03-06T00:00:00"/>
        <d v="2024-03-07T00:00:00"/>
        <d v="2024-03-11T00:00:00"/>
        <d v="2024-03-12T00:00:00"/>
        <d v="2024-03-13T00:00:00"/>
        <d v="2024-03-14T00:00:00"/>
        <d v="2024-03-15T00:00:00"/>
        <d v="2024-03-18T00:00:00"/>
        <d v="2024-03-19T00:00:00"/>
        <d v="2024-03-20T00:00:00"/>
        <d v="2024-03-21T00:00:00"/>
        <d v="2024-03-22T00:00:00"/>
        <d v="2024-03-26T00:00:00"/>
        <d v="2024-03-27T00:00:00"/>
        <d v="2024-03-28T00:00:00"/>
        <d v="2024-04-01T00:00:00"/>
        <d v="2024-04-02T00:00:00"/>
        <d v="2024-04-03T00:00:00"/>
        <d v="2024-04-04T00:00:00"/>
        <d v="2024-04-05T00:00:00"/>
        <d v="2024-04-08T00:00:00"/>
        <d v="2024-04-09T00:00:00"/>
        <d v="2024-04-10T00:00:00"/>
        <d v="2024-04-12T00:00:00"/>
        <d v="2024-04-15T00:00:00"/>
        <d v="2024-04-16T00:00:00"/>
        <d v="2024-04-18T00:00:00"/>
        <d v="2024-04-19T00:00:00"/>
        <d v="2024-04-22T00:00:00"/>
        <d v="2024-04-23T00:00:00"/>
        <d v="2024-04-24T00:00:00"/>
        <d v="2024-04-25T00:00:00"/>
        <d v="2024-04-26T00:00:00"/>
        <d v="2024-04-29T00:00:00"/>
        <d v="2024-04-30T00:00:00"/>
        <d v="2024-05-02T00:00:00"/>
        <d v="2024-05-03T00:00:00"/>
        <d v="2024-05-06T00:00:00"/>
        <d v="2024-05-07T00:00:00"/>
        <d v="2024-05-08T00:00:00"/>
        <d v="2024-05-09T00:00:00"/>
        <d v="2024-05-10T00:00:00"/>
        <d v="2024-05-13T00:00:00"/>
        <d v="2024-05-14T00:00:00"/>
        <d v="2024-05-15T00:00:00"/>
        <d v="2024-05-16T00:00:00"/>
        <d v="2024-05-17T00:00:00"/>
        <d v="2024-05-18T00:00:00"/>
        <d v="2024-05-21T00:00:00"/>
        <d v="2024-05-22T00:00:00"/>
        <d v="2024-05-23T00:00:00"/>
        <d v="2024-05-24T00:00:00"/>
        <d v="2024-05-27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8T00:00:00"/>
        <d v="2024-06-19T00:00:00"/>
        <d v="2024-06-20T00:00:00"/>
        <d v="2024-06-21T00:00:00"/>
        <d v="2024-06-24T00:00:00"/>
        <d v="2024-06-25T00:00:00"/>
        <d v="2024-06-26T00:00:00"/>
        <d v="2024-06-27T00:00:00"/>
        <d v="2024-06-28T00:00:00"/>
        <d v="2024-07-01T00:00:00"/>
        <d v="2024-07-02T00:00:00"/>
        <d v="2024-07-03T00:00:00"/>
        <d v="2024-07-04T00:00:00"/>
        <d v="2024-07-05T00:00:00"/>
        <d v="2024-07-08T00:00:00"/>
        <d v="2024-07-09T00:00:00"/>
        <d v="2024-07-10T00:00:00"/>
        <d v="2024-07-11T00:00:00"/>
        <d v="2024-07-12T00:00:00"/>
        <d v="2024-07-15T00:00:00"/>
        <d v="2024-07-16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6T00:00:00"/>
        <d v="2024-08-19T00:00:00"/>
        <d v="2024-08-20T00:00:00"/>
        <d v="2024-08-21T00:00:00"/>
        <d v="2024-08-22T00:00:00"/>
        <d v="2024-08-23T00:00:00"/>
        <d v="2024-08-26T00:00:00"/>
        <d v="2024-08-27T00:00:00"/>
        <d v="2024-08-28T00:00:00"/>
        <d v="2024-08-29T00:00:00"/>
        <d v="2024-08-30T00:00:00"/>
        <d v="2024-09-02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8T00:00:00"/>
        <d v="2024-11-19T00:00:00"/>
        <d v="2024-11-21T00:00:00"/>
        <d v="2024-11-22T00:00:00"/>
        <d v="2024-11-25T00:00:00"/>
        <d v="2024-11-26T00:00:00"/>
        <d v="2024-11-27T00:00:00"/>
        <d v="2024-11-28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1T00:00:00"/>
        <d v="2025-01-02T00:00:00"/>
        <d v="2025-01-03T00:00:00"/>
        <d v="2025-01-06T00:00:00"/>
        <d v="2025-01-07T00:00:00"/>
        <d v="2025-01-08T00:00:00"/>
        <d v="2025-01-09T00:00:00"/>
        <d v="2025-01-10T00:00:00"/>
        <d v="2025-01-13T00:00:00"/>
        <d v="2025-01-14T00:00:00"/>
        <d v="2025-01-15T00:00:00"/>
        <d v="2025-01-16T00:00:00"/>
        <d v="2025-01-17T00:00:00"/>
        <d v="2025-01-20T00:00:00"/>
        <d v="2025-01-21T00:00:00"/>
        <d v="2025-01-22T00:00:00"/>
        <d v="2025-01-23T00:00:00"/>
        <d v="2025-01-24T00:00:00"/>
        <d v="2025-01-27T00:00:00"/>
        <d v="2025-01-28T00:00:00"/>
        <d v="2025-01-29T00:00:00"/>
        <d v="2025-01-30T00:00:00"/>
        <d v="2025-01-31T00:00:00"/>
        <d v="2025-02-01T00:00:00"/>
        <d v="2025-02-03T00:00:00"/>
        <d v="2025-02-04T00:00:00"/>
        <d v="2025-02-05T00:00:00"/>
        <d v="2025-02-06T00:00:00"/>
        <d v="2025-02-07T00:00:00"/>
        <d v="2025-02-10T00:00:00"/>
        <d v="2025-02-11T00:00:00"/>
        <d v="2025-02-12T00:00:00"/>
        <d v="2025-02-13T00:00:00"/>
        <d v="2025-02-14T00:00:00"/>
        <d v="2025-02-17T00:00:00"/>
        <d v="2025-02-18T00:00:00"/>
        <d v="2025-02-19T00:00:00"/>
        <d v="2025-02-20T00:00:00"/>
        <d v="2025-02-21T00:00:00"/>
        <d v="2025-02-24T00:00:00"/>
        <d v="2025-02-25T00:00:00"/>
        <d v="2025-02-27T00:00:00"/>
        <d v="2025-02-28T00:00:00"/>
        <d v="2025-03-03T00:00:00"/>
        <d v="2025-03-04T00:00:00"/>
        <d v="2025-03-05T00:00:00"/>
        <d v="2025-03-06T00:00:00"/>
        <d v="2025-03-07T00:00:00"/>
        <d v="2025-03-10T00:00:00"/>
        <d v="2025-03-11T00:00:00"/>
        <d v="2025-03-12T00:00:00"/>
        <d v="2025-03-13T00:00:00"/>
        <d v="2025-03-17T00:00:00"/>
        <d v="2025-03-18T00:00:00"/>
        <d v="2025-03-19T00:00:00"/>
        <d v="2025-03-20T00:00:00"/>
        <d v="2025-03-21T00:00:00"/>
        <d v="2025-03-24T00:00:00"/>
        <d v="2025-03-25T00:00:00"/>
        <d v="2025-03-26T00:00:00"/>
        <d v="2025-03-27T00:00:00"/>
        <d v="2025-03-28T00:00:00"/>
        <d v="2025-04-01T00:00:00"/>
        <d v="2025-04-02T00:00:00"/>
        <d v="2025-04-03T00:00:00"/>
        <d v="2025-04-04T00:00:00"/>
        <d v="2025-04-07T00:00:00"/>
        <d v="2025-04-08T00:00:00"/>
        <d v="2025-04-09T00:00:00"/>
        <d v="2025-04-11T00:00:00"/>
        <d v="2025-04-15T00:00:00"/>
        <d v="2025-04-16T00:00:00"/>
        <d v="2025-04-17T00:00:00"/>
        <d v="2025-04-21T00:00:00"/>
        <d v="2025-04-22T00:00:00"/>
        <d v="2025-04-23T00:00:00"/>
        <d v="2025-04-24T00:00:00"/>
        <d v="2025-04-25T00:00:00"/>
        <d v="2025-04-28T00:00:00"/>
        <d v="2025-04-29T00:00:00"/>
        <d v="2025-04-30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6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19T00:00:00"/>
        <d v="2025-06-20T00:00:00"/>
        <d v="2025-06-23T00:00:00"/>
        <d v="2025-06-24T00:00:00"/>
        <d v="2025-06-25T00:00:00"/>
        <d v="2025-06-26T00:00:00"/>
        <d v="2025-06-27T00:00:00"/>
        <d v="2025-06-30T00:00:00"/>
        <d v="2025-07-01T00:00:00"/>
        <d v="2025-07-02T00:00:00"/>
        <d v="2025-07-03T00:00:00"/>
        <d v="2025-07-04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8T00:00:00"/>
        <d v="2025-08-19T00:00:00"/>
        <d v="2025-08-20T00:00:00"/>
        <d v="2025-08-21T00:00:00"/>
        <d v="2025-08-22T00:00:00"/>
        <d v="2025-08-25T00:00:00"/>
        <d v="2025-08-26T00:00:00"/>
        <d v="2025-08-28T00:00:00"/>
        <d v="2025-08-29T00:00:00"/>
        <d v="2025-09-01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3T00:00:00"/>
        <d v="2025-10-06T00:00:00"/>
        <d v="2025-10-07T00:00:00"/>
        <d v="2025-10-08T00:00:00"/>
        <d v="2025-10-09T00:00:00"/>
        <d v="2025-10-10T00:00:00"/>
        <d v="2025-10-13T00:00:00"/>
        <d v="2025-10-14T00:00:00"/>
        <d v="2025-10-15T00:00:00"/>
        <d v="2025-10-16T00:00:00"/>
        <d v="2025-10-17T00:00:00"/>
        <d v="2025-10-20T00:00:00"/>
        <d v="2025-10-21T00:00:00"/>
        <d v="2025-10-23T00:00:00"/>
        <d v="2025-10-24T00:00:00"/>
        <d v="2025-10-27T00:00:00"/>
        <d v="2025-10-28T00:00:00"/>
        <d v="2025-10-29T00:00:00"/>
        <d v="2025-10-30T00:00:00"/>
        <d v="2025-10-31T00:00:00"/>
        <d v="2025-11-03T00:00:00"/>
        <d v="2025-11-04T00:00:00"/>
        <d v="2025-11-06T00:00:00"/>
        <d v="2025-11-07T00:00:00"/>
        <d v="2025-11-10T00:00:00"/>
        <d v="2025-11-11T00:00:00"/>
        <d v="2025-11-12T00:00:00"/>
        <d v="2025-11-13T00:00:00"/>
        <d v="2025-11-14T00:00:00"/>
        <d v="2025-11-17T00:00:00"/>
        <d v="2025-11-18T00:00:00"/>
        <d v="2025-11-19T00:00:00"/>
        <d v="2025-11-20T00:00:00"/>
        <d v="2025-11-21T00:00:00"/>
        <d v="2025-11-24T00:00:00"/>
        <d v="2025-11-25T00:00:00"/>
        <d v="2025-11-26T00:00:00"/>
        <d v="2025-11-27T00:00:00"/>
        <d v="2025-11-28T00:00:00"/>
        <d v="2025-12-01T00:00:00"/>
        <d v="2025-12-02T00:00:00"/>
        <d v="2025-12-03T00:00:00"/>
        <d v="2025-12-04T00:00:00"/>
        <d v="2025-12-05T00:00:00"/>
        <d v="2025-12-08T00:00:00"/>
        <d v="2025-12-09T00:00:00"/>
        <d v="2025-12-10T00:00:00"/>
        <d v="2025-12-11T00:00:00"/>
        <d v="2025-12-12T00:00:00"/>
        <d v="2025-12-15T00:00:00"/>
        <d v="2025-12-16T00:00:00"/>
        <d v="2025-12-17T00:00:00"/>
        <d v="2025-12-18T00:00:00"/>
        <d v="2025-12-19T00:00:00"/>
        <d v="2025-12-22T00:00:00"/>
        <d v="2025-12-23T00:00:00"/>
        <d v="2025-12-24T00:00:00"/>
        <d v="2025-12-26T00:00:00"/>
        <d v="2025-12-29T00:00:00"/>
        <d v="2025-12-30T00:00:00"/>
        <d v="2025-12-31T00:00:00"/>
      </sharedItems>
      <fieldGroup par="18"/>
    </cacheField>
    <cacheField name="Open " numFmtId="0">
      <sharedItems containsSemiMixedTypes="0" containsString="0" containsNumber="1" minValue="13758.6" maxValue="26325.8"/>
    </cacheField>
    <cacheField name="High " numFmtId="0">
      <sharedItems containsSemiMixedTypes="0" containsString="0" containsNumber="1" minValue="13898.25" maxValue="26325.8"/>
    </cacheField>
    <cacheField name="Low " numFmtId="0">
      <sharedItems containsSemiMixedTypes="0" containsString="0" containsNumber="1" minValue="13596.75" maxValue="26172.400000000001"/>
    </cacheField>
    <cacheField name="Close " numFmtId="0">
      <sharedItems containsSemiMixedTypes="0" containsString="0" containsNumber="1" minValue="13634.6" maxValue="26216.05"/>
    </cacheField>
    <cacheField name="Shares Traded " numFmtId="0">
      <sharedItems containsSemiMixedTypes="0" containsString="0" containsNumber="1" containsInteger="1" minValue="19064566" maxValue="1103644519"/>
    </cacheField>
    <cacheField name="Turnover (₹ Cr)" numFmtId="0">
      <sharedItems containsSemiMixedTypes="0" containsString="0" containsNumber="1" minValue="1572.77" maxValue="93786.44"/>
    </cacheField>
    <cacheField name="20 Day moving average" numFmtId="0">
      <sharedItems containsMixedTypes="1" containsNumber="1" minValue="14284.602499999999" maxValue="26031.8125"/>
    </cacheField>
    <cacheField name="50 Day moving average" numFmtId="0">
      <sharedItems containsMixedTypes="1" containsNumber="1" minValue="14699.277" maxValue="25929.735000000008"/>
    </cacheField>
    <cacheField name="200 Day moving average" numFmtId="0">
      <sharedItems containsMixedTypes="1" containsNumber="1" minValue="15675.584750000004" maxValue="24914.572499999991"/>
    </cacheField>
    <cacheField name="Daily Return" numFmtId="0">
      <sharedItems containsMixedTypes="1" containsNumber="1" minValue="-1379.4000000000015" maxValue="916.70000000000073"/>
    </cacheField>
    <cacheField name="In %age terms" numFmtId="164">
      <sharedItems containsMixedTypes="1" containsNumber="1" minValue="-5.9509480359800748E-2" maxValue="4.6996060645705259E-2"/>
    </cacheField>
    <cacheField name="Volatality for 5 years" numFmtId="0">
      <sharedItems containsString="0" containsBlank="1" containsNumber="1" minValue="8.7991906907909472E-3" maxValue="8.7991906907909472E-3"/>
    </cacheField>
    <cacheField name="Running peak" numFmtId="0">
      <sharedItems containsSemiMixedTypes="0" containsString="0" containsNumber="1" minValue="14018.5" maxValue="26216.05"/>
    </cacheField>
    <cacheField name="Drawdown %age" numFmtId="0">
      <sharedItems containsSemiMixedTypes="0" containsString="0" containsNumber="1" minValue="-0.17229752584963509" maxValue="0"/>
    </cacheField>
    <cacheField name="Maximum drawdown" numFmtId="0">
      <sharedItems containsString="0" containsBlank="1" containsNumber="1" minValue="-0.17229752584963509" maxValue="-0.17229752584963509"/>
    </cacheField>
    <cacheField name="Months (Date )" numFmtId="0" databaseField="0">
      <fieldGroup base="0">
        <rangePr groupBy="months" startDate="2021-01-01T00:00:00" endDate="2026-01-01T00:00:00"/>
        <groupItems count="14">
          <s v="&lt;01-01-2021"/>
          <s v="Jan"/>
          <s v="Feb"/>
          <s v="Mar"/>
          <s v="Apr"/>
          <s v="May"/>
          <s v="Jun"/>
          <s v="Jul"/>
          <s v="Aug"/>
          <s v="Sep"/>
          <s v="Oct"/>
          <s v="Nov"/>
          <s v="Dec"/>
          <s v="&gt;01-01-2026"/>
        </groupItems>
      </fieldGroup>
    </cacheField>
    <cacheField name="Quarters (Date )" numFmtId="0" databaseField="0">
      <fieldGroup base="0">
        <rangePr groupBy="quarters" startDate="2021-01-01T00:00:00" endDate="2026-01-01T00:00:00"/>
        <groupItems count="6">
          <s v="&lt;01-01-2021"/>
          <s v="Qtr1"/>
          <s v="Qtr2"/>
          <s v="Qtr3"/>
          <s v="Qtr4"/>
          <s v="&gt;01-01-2026"/>
        </groupItems>
      </fieldGroup>
    </cacheField>
    <cacheField name="Years (Date )" numFmtId="0" databaseField="0">
      <fieldGroup base="0">
        <rangePr groupBy="years" startDate="2021-01-01T00:00:00" endDate="2026-01-01T00:00:00"/>
        <groupItems count="8">
          <s v="&lt;01-01-2021"/>
          <s v="2021"/>
          <s v="2022"/>
          <s v="2023"/>
          <s v="2024"/>
          <s v="2025"/>
          <s v="2026"/>
          <s v="&gt;01-0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9">
  <r>
    <x v="0"/>
    <n v="13996.1"/>
    <n v="14049.85"/>
    <n v="13991.35"/>
    <n v="14018.5"/>
    <n v="258090905"/>
    <n v="15873.75"/>
    <s v="-"/>
    <s v="-"/>
    <s v="-"/>
    <n v="22.399999999999636"/>
    <n v="1.6004458384835515E-3"/>
  </r>
  <r>
    <x v="1"/>
    <n v="14104.35"/>
    <n v="14147.95"/>
    <n v="13953.75"/>
    <n v="14132.9"/>
    <n v="494999295"/>
    <n v="28705.09"/>
    <s v="-"/>
    <s v="-"/>
    <s v="-"/>
    <n v="28.549999999999272"/>
    <n v="2.0241982083541088E-3"/>
  </r>
  <r>
    <x v="2"/>
    <n v="14075.15"/>
    <n v="14215.6"/>
    <n v="14048.15"/>
    <n v="14199.5"/>
    <n v="492475349"/>
    <n v="30872.87"/>
    <s v="-"/>
    <s v="-"/>
    <s v="-"/>
    <n v="124.35000000000036"/>
    <n v="8.8347193457974059E-3"/>
  </r>
  <r>
    <x v="3"/>
    <n v="14240.95"/>
    <n v="14244.15"/>
    <n v="14039.9"/>
    <n v="14146.25"/>
    <n v="632323316"/>
    <n v="34615.550000000003"/>
    <s v="-"/>
    <s v="-"/>
    <s v="-"/>
    <n v="-94.700000000000728"/>
    <n v="-6.6498372650701477E-3"/>
  </r>
  <r>
    <x v="4"/>
    <n v="14253.75"/>
    <n v="14256.25"/>
    <n v="14123.1"/>
    <n v="14137.35"/>
    <n v="559173512"/>
    <n v="33446.47"/>
    <s v="-"/>
    <s v="-"/>
    <s v="-"/>
    <n v="-116.39999999999964"/>
    <n v="-8.1662720336753234E-3"/>
  </r>
  <r>
    <x v="5"/>
    <n v="14258.4"/>
    <n v="14367.3"/>
    <n v="14221.65"/>
    <n v="14347.25"/>
    <n v="613472067"/>
    <n v="37615.19"/>
    <s v="-"/>
    <s v="-"/>
    <s v="-"/>
    <n v="88.850000000000364"/>
    <n v="6.2314144644560658E-3"/>
  </r>
  <r>
    <x v="6"/>
    <n v="14474.05"/>
    <n v="14498.2"/>
    <n v="14383.1"/>
    <n v="14484.75"/>
    <n v="672878543"/>
    <n v="40186.21"/>
    <s v="-"/>
    <s v="-"/>
    <s v="-"/>
    <n v="10.700000000000728"/>
    <n v="7.3925404430693058E-4"/>
  </r>
  <r>
    <x v="7"/>
    <n v="14473.8"/>
    <n v="14590.65"/>
    <n v="14432.85"/>
    <n v="14563.45"/>
    <n v="929566952"/>
    <n v="44976.12"/>
    <s v="-"/>
    <s v="-"/>
    <s v="-"/>
    <n v="89.650000000001455"/>
    <n v="6.1939504483965136E-3"/>
  </r>
  <r>
    <x v="8"/>
    <n v="14639.8"/>
    <n v="14653.35"/>
    <n v="14435.7"/>
    <n v="14564.85"/>
    <n v="873956688"/>
    <n v="44682.93"/>
    <s v="-"/>
    <s v="-"/>
    <s v="-"/>
    <n v="-74.949999999998909"/>
    <n v="-5.1196054590908965E-3"/>
  </r>
  <r>
    <x v="9"/>
    <n v="14550.05"/>
    <n v="14617.8"/>
    <n v="14471.5"/>
    <n v="14595.6"/>
    <n v="620194977"/>
    <n v="37534.370000000003"/>
    <s v="-"/>
    <s v="-"/>
    <s v="-"/>
    <n v="45.550000000001091"/>
    <n v="3.1305734344556271E-3"/>
  </r>
  <r>
    <x v="10"/>
    <n v="14594.35"/>
    <n v="14617.45"/>
    <n v="14357.85"/>
    <n v="14433.7"/>
    <n v="789557216"/>
    <n v="39912.18"/>
    <s v="-"/>
    <s v="-"/>
    <s v="-"/>
    <n v="-160.64999999999964"/>
    <n v="-1.100768448063803E-2"/>
  </r>
  <r>
    <x v="11"/>
    <n v="14453.3"/>
    <n v="14459.15"/>
    <n v="14222.8"/>
    <n v="14281.3"/>
    <n v="762043554"/>
    <n v="41716.22"/>
    <s v="-"/>
    <s v="-"/>
    <s v="-"/>
    <n v="-172"/>
    <n v="-1.1900396449253805E-2"/>
  </r>
  <r>
    <x v="12"/>
    <n v="14371.65"/>
    <n v="14546.05"/>
    <n v="14350.85"/>
    <n v="14521.15"/>
    <n v="546108304"/>
    <n v="33084.79"/>
    <s v="-"/>
    <s v="-"/>
    <s v="-"/>
    <n v="149.5"/>
    <n v="1.0402424217121904E-2"/>
  </r>
  <r>
    <x v="13"/>
    <n v="14538.3"/>
    <n v="14666.45"/>
    <n v="14517.55"/>
    <n v="14644.7"/>
    <n v="623069963"/>
    <n v="34639.360000000001"/>
    <s v="-"/>
    <s v="-"/>
    <s v="-"/>
    <n v="106.40000000000146"/>
    <n v="7.3185998362945781E-3"/>
  </r>
  <r>
    <x v="14"/>
    <n v="14730.95"/>
    <n v="14753.55"/>
    <n v="14517.25"/>
    <n v="14590.35"/>
    <n v="704646957"/>
    <n v="41939.040000000001"/>
    <s v="-"/>
    <s v="-"/>
    <s v="-"/>
    <n v="-140.60000000000036"/>
    <n v="-9.5445303934912785E-3"/>
  </r>
  <r>
    <x v="15"/>
    <n v="14583.4"/>
    <n v="14619.9"/>
    <n v="14357.75"/>
    <n v="14371.9"/>
    <n v="776750347"/>
    <n v="45322.54"/>
    <s v="-"/>
    <s v="-"/>
    <s v="-"/>
    <n v="-211.5"/>
    <n v="-1.4502790844384711E-2"/>
  </r>
  <r>
    <x v="16"/>
    <n v="14477.8"/>
    <n v="14491.1"/>
    <n v="14218.6"/>
    <n v="14238.9"/>
    <n v="618631493"/>
    <n v="42278.39"/>
    <s v="-"/>
    <s v="-"/>
    <s v="-"/>
    <n v="-238.89999999999964"/>
    <n v="-1.6501125861664041E-2"/>
  </r>
  <r>
    <x v="17"/>
    <n v="14237.95"/>
    <n v="14237.95"/>
    <n v="13929.3"/>
    <n v="13967.5"/>
    <n v="660711117"/>
    <n v="40579.24"/>
    <s v="-"/>
    <s v="-"/>
    <s v="-"/>
    <n v="-270.45000000000073"/>
    <n v="-1.8995009815317564E-2"/>
  </r>
  <r>
    <x v="18"/>
    <n v="13810.4"/>
    <n v="13898.25"/>
    <n v="13713.25"/>
    <n v="13817.55"/>
    <n v="637871621"/>
    <n v="39881.82"/>
    <s v="-"/>
    <s v="-"/>
    <s v="-"/>
    <n v="7.1499999999996362"/>
    <n v="5.1772577188203357E-4"/>
  </r>
  <r>
    <x v="19"/>
    <n v="13946.6"/>
    <n v="13966.85"/>
    <n v="13596.75"/>
    <n v="13634.6"/>
    <n v="753206122"/>
    <n v="46918.29"/>
    <s v="-"/>
    <s v="-"/>
    <s v="-"/>
    <n v="-312"/>
    <n v="-2.2371043838641677E-2"/>
  </r>
  <r>
    <x v="20"/>
    <n v="13758.6"/>
    <n v="14336.35"/>
    <n v="13661.75"/>
    <n v="14281.2"/>
    <n v="870529495"/>
    <n v="51840.22"/>
    <n v="14284.602499999999"/>
    <s v="-"/>
    <s v="-"/>
    <n v="522.60000000000036"/>
    <n v="3.7983515764685387E-2"/>
  </r>
  <r>
    <x v="21"/>
    <n v="14481.1"/>
    <n v="14731.7"/>
    <n v="14469.15"/>
    <n v="14647.85"/>
    <n v="914965225"/>
    <n v="58177.74"/>
    <n v="14297.737499999999"/>
    <s v="-"/>
    <s v="-"/>
    <n v="166.75"/>
    <n v="1.1515009218912927E-2"/>
  </r>
  <r>
    <x v="22"/>
    <n v="14754.9"/>
    <n v="14868.85"/>
    <n v="14574.15"/>
    <n v="14789.95"/>
    <n v="869477087"/>
    <n v="49312.35"/>
    <n v="14323.484999999997"/>
    <s v="-"/>
    <s v="-"/>
    <n v="35.050000000001091"/>
    <n v="2.3754820432535018E-3"/>
  </r>
  <r>
    <x v="23"/>
    <n v="14789.05"/>
    <n v="14913.7"/>
    <n v="14714.75"/>
    <n v="14895.65"/>
    <n v="884686415"/>
    <n v="47811.8"/>
    <n v="14353.007500000002"/>
    <s v="-"/>
    <s v="-"/>
    <n v="106.60000000000036"/>
    <n v="7.2080356750433847E-3"/>
  </r>
  <r>
    <x v="24"/>
    <n v="14952.6"/>
    <n v="15014.65"/>
    <n v="14864.75"/>
    <n v="14924.25"/>
    <n v="935629058"/>
    <n v="54394.63"/>
    <n v="14390.477500000003"/>
    <s v="-"/>
    <s v="-"/>
    <n v="-28.350000000000364"/>
    <n v="-1.8959913326110753E-3"/>
  </r>
  <r>
    <x v="25"/>
    <n v="15064.3"/>
    <n v="15159.9"/>
    <n v="15041.05"/>
    <n v="15115.8"/>
    <n v="671242694"/>
    <n v="40483.96"/>
    <n v="14429.8225"/>
    <s v="-"/>
    <s v="-"/>
    <n v="51.5"/>
    <n v="3.4186785977443363E-3"/>
  </r>
  <r>
    <x v="26"/>
    <n v="15164.15"/>
    <n v="15257.1"/>
    <n v="15064.3"/>
    <n v="15109.3"/>
    <n v="713279133"/>
    <n v="41930.720000000001"/>
    <n v="14468.25"/>
    <s v="-"/>
    <s v="-"/>
    <n v="-54.850000000000364"/>
    <n v="-3.6170837138910102E-3"/>
  </r>
  <r>
    <x v="27"/>
    <n v="15119.05"/>
    <n v="15168.25"/>
    <n v="14977.2"/>
    <n v="15106.5"/>
    <n v="624791133"/>
    <n v="40707.97"/>
    <n v="14499.477499999999"/>
    <s v="-"/>
    <s v="-"/>
    <n v="-12.549999999999272"/>
    <n v="-8.3007860943639137E-4"/>
  </r>
  <r>
    <x v="28"/>
    <n v="15073.25"/>
    <n v="15188.5"/>
    <n v="15065.4"/>
    <n v="15173.3"/>
    <n v="500122414"/>
    <n v="30933.439999999999"/>
    <n v="14526.63"/>
    <s v="-"/>
    <s v="-"/>
    <n v="100.04999999999927"/>
    <n v="6.6375864528220039E-3"/>
  </r>
  <r>
    <x v="29"/>
    <n v="15186.2"/>
    <n v="15243.5"/>
    <n v="15081"/>
    <n v="15163.3"/>
    <n v="571808807"/>
    <n v="32304.240000000002"/>
    <n v="14557.0525"/>
    <s v="-"/>
    <s v="-"/>
    <n v="-22.900000000001455"/>
    <n v="-1.5079480054260746E-3"/>
  </r>
  <r>
    <x v="30"/>
    <n v="15270.3"/>
    <n v="15340.15"/>
    <n v="15243.4"/>
    <n v="15314.7"/>
    <n v="455959720"/>
    <n v="28955.29"/>
    <n v="14585.4375"/>
    <s v="-"/>
    <s v="-"/>
    <n v="44.400000000001455"/>
    <n v="2.9076049586453088E-3"/>
  </r>
  <r>
    <x v="31"/>
    <n v="15371.45"/>
    <n v="15431.75"/>
    <n v="15242.2"/>
    <n v="15313.45"/>
    <n v="648545320"/>
    <n v="36550.03"/>
    <n v="14629.487499999999"/>
    <s v="-"/>
    <s v="-"/>
    <n v="-58"/>
    <n v="-3.7732289406659748E-3"/>
  </r>
  <r>
    <x v="32"/>
    <n v="15279.9"/>
    <n v="15314.3"/>
    <n v="15170.75"/>
    <n v="15208.9"/>
    <n v="504767226"/>
    <n v="34073.120000000003"/>
    <n v="14681.095000000001"/>
    <s v="-"/>
    <s v="-"/>
    <n v="-71"/>
    <n v="-4.6466272685030665E-3"/>
  </r>
  <r>
    <x v="33"/>
    <n v="15238.7"/>
    <n v="15250.75"/>
    <n v="15078.05"/>
    <n v="15118.95"/>
    <n v="770629541"/>
    <n v="37093.99"/>
    <n v="14715.482500000002"/>
    <s v="-"/>
    <s v="-"/>
    <n v="-119.75"/>
    <n v="-7.8582818744381087E-3"/>
  </r>
  <r>
    <x v="34"/>
    <n v="15074.8"/>
    <n v="15144.05"/>
    <n v="14898.2"/>
    <n v="14981.75"/>
    <n v="712213821"/>
    <n v="37419.339999999997"/>
    <n v="14739.195000000002"/>
    <s v="-"/>
    <s v="-"/>
    <n v="-93.049999999999272"/>
    <n v="-6.1725528696897651E-3"/>
  </r>
  <r>
    <x v="35"/>
    <n v="14999.05"/>
    <n v="15010.1"/>
    <n v="14635.05"/>
    <n v="14675.7"/>
    <n v="609898454"/>
    <n v="37578.07"/>
    <n v="14758.764999999999"/>
    <s v="-"/>
    <s v="-"/>
    <n v="-323.34999999999854"/>
    <n v="-2.1558032008693787E-2"/>
  </r>
  <r>
    <x v="36"/>
    <n v="14782.25"/>
    <n v="14854.5"/>
    <n v="14651.85"/>
    <n v="14707.8"/>
    <n v="744092809"/>
    <n v="39508.089999999997"/>
    <n v="14773.954999999998"/>
    <s v="-"/>
    <s v="-"/>
    <n v="-74.450000000000728"/>
    <n v="-5.0364457372863219E-3"/>
  </r>
  <r>
    <x v="37"/>
    <n v="14729.15"/>
    <n v="15008.8"/>
    <n v="14723.05"/>
    <n v="14982"/>
    <n v="403754669"/>
    <n v="23723.99"/>
    <n v="14797.4"/>
    <s v="-"/>
    <s v="-"/>
    <n v="252.85000000000036"/>
    <n v="1.7166638943863045E-2"/>
  </r>
  <r>
    <x v="38"/>
    <n v="15079.85"/>
    <n v="15176.5"/>
    <n v="15065.35"/>
    <n v="15097.35"/>
    <n v="803883875"/>
    <n v="42983.07"/>
    <n v="14848.125"/>
    <s v="-"/>
    <s v="-"/>
    <n v="17.5"/>
    <n v="1.1604889969064679E-3"/>
  </r>
  <r>
    <x v="39"/>
    <n v="14888.6"/>
    <n v="14919.45"/>
    <n v="14467.75"/>
    <n v="14529.15"/>
    <n v="1103644519"/>
    <n v="65012.959999999999"/>
    <n v="14912.115"/>
    <s v="-"/>
    <s v="-"/>
    <n v="-359.45000000000073"/>
    <n v="-2.414263261824488E-2"/>
  </r>
  <r>
    <x v="40"/>
    <n v="14702.5"/>
    <n v="14806.8"/>
    <n v="14638.55"/>
    <n v="14761.55"/>
    <n v="507302977"/>
    <n v="30030.57"/>
    <n v="14956.842499999999"/>
    <s v="-"/>
    <s v="-"/>
    <n v="59.049999999999272"/>
    <n v="4.0163237544634774E-3"/>
  </r>
  <r>
    <x v="41"/>
    <n v="14865.3"/>
    <n v="14959.1"/>
    <n v="14760.8"/>
    <n v="14919.1"/>
    <n v="621723916"/>
    <n v="34647.26"/>
    <n v="14980.86"/>
    <s v="-"/>
    <s v="-"/>
    <n v="53.800000000001091"/>
    <n v="3.6191667843905669E-3"/>
  </r>
  <r>
    <x v="42"/>
    <n v="15064.4"/>
    <n v="15273.15"/>
    <n v="14995.8"/>
    <n v="15245.6"/>
    <n v="544205583"/>
    <n v="34567.730000000003"/>
    <n v="14994.422500000001"/>
    <s v="-"/>
    <s v="-"/>
    <n v="181.20000000000073"/>
    <n v="1.202835824858612E-2"/>
  </r>
  <r>
    <x v="43"/>
    <n v="15026.75"/>
    <n v="15202.35"/>
    <n v="14980.2"/>
    <n v="15080.75"/>
    <n v="534850447"/>
    <n v="36036.019999999997"/>
    <n v="15017.204999999998"/>
    <s v="-"/>
    <s v="-"/>
    <n v="54"/>
    <n v="3.593591428618963E-3"/>
  </r>
  <r>
    <x v="44"/>
    <n v="14977.95"/>
    <n v="15092.35"/>
    <n v="14862.1"/>
    <n v="14938.1"/>
    <n v="640700362"/>
    <n v="37811.599999999999"/>
    <n v="15026.459999999997"/>
    <s v="-"/>
    <s v="-"/>
    <n v="-39.850000000000364"/>
    <n v="-2.6605777159090772E-3"/>
  </r>
  <r>
    <x v="45"/>
    <n v="15002.45"/>
    <n v="15111.15"/>
    <n v="14919.9"/>
    <n v="14956.2"/>
    <n v="580308065"/>
    <n v="29518.07"/>
    <n v="15027.152499999997"/>
    <s v="-"/>
    <s v="-"/>
    <n v="-46.25"/>
    <n v="-3.0828298044652705E-3"/>
  </r>
  <r>
    <x v="46"/>
    <n v="15049.9"/>
    <n v="15126.85"/>
    <n v="14925.45"/>
    <n v="15098.4"/>
    <n v="675271251"/>
    <n v="38365.480000000003"/>
    <n v="15019.172499999997"/>
    <s v="-"/>
    <s v="-"/>
    <n v="48.5"/>
    <n v="3.2226127748357131E-3"/>
  </r>
  <r>
    <x v="47"/>
    <n v="15202.15"/>
    <n v="15218.45"/>
    <n v="15100.85"/>
    <n v="15174.8"/>
    <n v="404585756"/>
    <n v="25603.32"/>
    <n v="15018.627499999999"/>
    <s v="-"/>
    <s v="-"/>
    <n v="-27.350000000000364"/>
    <n v="-1.7990876290524935E-3"/>
  </r>
  <r>
    <x v="48"/>
    <n v="15321.15"/>
    <n v="15336.3"/>
    <n v="14953.6"/>
    <n v="15030.95"/>
    <n v="493238854"/>
    <n v="32195.96"/>
    <n v="15022.0425"/>
    <s v="-"/>
    <s v="-"/>
    <n v="-290.19999999999891"/>
    <n v="-1.8941136925100199E-2"/>
  </r>
  <r>
    <x v="49"/>
    <n v="15048.4"/>
    <n v="15048.4"/>
    <n v="14745.85"/>
    <n v="14929.5"/>
    <n v="467473367"/>
    <n v="28118"/>
    <n v="15014.924999999999"/>
    <s v="-"/>
    <s v="-"/>
    <n v="-118.89999999999964"/>
    <n v="-7.9011722176443762E-3"/>
  </r>
  <r>
    <x v="50"/>
    <n v="14996.1"/>
    <n v="15051.6"/>
    <n v="14890.65"/>
    <n v="14910.45"/>
    <n v="437651327"/>
    <n v="27975.07"/>
    <n v="15003.235000000001"/>
    <n v="14699.277"/>
    <s v="-"/>
    <n v="-85.649999999999636"/>
    <n v="-5.711484986096361E-3"/>
  </r>
  <r>
    <x v="51"/>
    <n v="14946.55"/>
    <n v="14956.55"/>
    <n v="14696.05"/>
    <n v="14721.3"/>
    <n v="479352147"/>
    <n v="27983.5"/>
    <n v="14983.022500000001"/>
    <n v="14717.115999999998"/>
    <s v="-"/>
    <n v="-225.25"/>
    <n v="-1.5070367409201455E-2"/>
  </r>
  <r>
    <x v="52"/>
    <n v="14855.5"/>
    <n v="14875.2"/>
    <n v="14478.6"/>
    <n v="14557.85"/>
    <n v="542216908"/>
    <n v="31339.71"/>
    <n v="14953.415000000003"/>
    <n v="14728.883999999998"/>
    <s v="-"/>
    <n v="-297.64999999999964"/>
    <n v="-2.0036350173336451E-2"/>
  </r>
  <r>
    <x v="53"/>
    <n v="14471.15"/>
    <n v="14788.25"/>
    <n v="14350.1"/>
    <n v="14744"/>
    <n v="919178208"/>
    <n v="49011.27"/>
    <n v="14920.862499999999"/>
    <n v="14736.051000000001"/>
    <s v="-"/>
    <n v="272.85000000000036"/>
    <n v="1.8854755841795599E-2"/>
  </r>
  <r>
    <x v="54"/>
    <n v="14736.3"/>
    <n v="14763.9"/>
    <n v="14597.85"/>
    <n v="14736.4"/>
    <n v="458997059"/>
    <n v="27345.02"/>
    <n v="14902.115"/>
    <n v="14748.005999999999"/>
    <s v="-"/>
    <n v="0.1000000000003638"/>
    <n v="6.7859639122686021E-6"/>
  </r>
  <r>
    <x v="55"/>
    <n v="14768.55"/>
    <n v="14878.6"/>
    <n v="14707"/>
    <n v="14814.75"/>
    <n v="474150088"/>
    <n v="30322.09"/>
    <n v="14889.8475"/>
    <n v="14759.986999999999"/>
    <s v="-"/>
    <n v="46.200000000000728"/>
    <n v="3.1282691936581944E-3"/>
  </r>
  <r>
    <x v="56"/>
    <n v="14712.45"/>
    <n v="14752.35"/>
    <n v="14535"/>
    <n v="14549.4"/>
    <n v="456403503"/>
    <n v="27868.93"/>
    <n v="14896.800000000003"/>
    <n v="14769.337"/>
    <s v="-"/>
    <n v="-163.05000000000109"/>
    <n v="-1.108245057757213E-2"/>
  </r>
  <r>
    <x v="57"/>
    <n v="14570.9"/>
    <n v="14575.6"/>
    <n v="14264.4"/>
    <n v="14324.9"/>
    <n v="606820996"/>
    <n v="35350.22"/>
    <n v="14888.880000000001"/>
    <n v="14770.63"/>
    <s v="-"/>
    <n v="-246"/>
    <n v="-1.688296536246903E-2"/>
  </r>
  <r>
    <x v="58"/>
    <n v="14506.3"/>
    <n v="14572.9"/>
    <n v="14414.25"/>
    <n v="14507.3"/>
    <n v="481000845"/>
    <n v="29423.45"/>
    <n v="14856.025000000003"/>
    <n v="14765.858999999999"/>
    <s v="-"/>
    <n v="1"/>
    <n v="6.8935565926528475E-5"/>
  </r>
  <r>
    <x v="59"/>
    <n v="14628.5"/>
    <n v="14876.3"/>
    <n v="14617.6"/>
    <n v="14845.1"/>
    <n v="594520567"/>
    <n v="35117.93"/>
    <n v="14826.522500000001"/>
    <n v="14764.708000000001"/>
    <s v="-"/>
    <n v="216.60000000000036"/>
    <n v="1.4806712923402972E-2"/>
  </r>
  <r>
    <x v="60"/>
    <n v="14811.85"/>
    <n v="14813.75"/>
    <n v="14670.25"/>
    <n v="14690.7"/>
    <n v="436874691"/>
    <n v="29741.83"/>
    <n v="14842.319999999998"/>
    <n v="14769.698"/>
    <s v="-"/>
    <n v="-121.14999999999964"/>
    <n v="-8.1792618747826666E-3"/>
  </r>
  <r>
    <x v="61"/>
    <n v="14798.4"/>
    <n v="14883.2"/>
    <n v="14692.45"/>
    <n v="14867.35"/>
    <n v="430028476"/>
    <n v="29585.23"/>
    <n v="14838.7775"/>
    <n v="14774.838"/>
    <s v="-"/>
    <n v="68.950000000000728"/>
    <n v="4.6592874905395671E-3"/>
  </r>
  <r>
    <x v="62"/>
    <n v="14837.7"/>
    <n v="14849.85"/>
    <n v="14459.5"/>
    <n v="14637.8"/>
    <n v="500476690"/>
    <n v="33885.39"/>
    <n v="14836.189999999997"/>
    <n v="14786.558999999999"/>
    <s v="-"/>
    <n v="-199.90000000000146"/>
    <n v="-1.3472438450703374E-2"/>
  </r>
  <r>
    <x v="63"/>
    <n v="14737"/>
    <n v="14779.1"/>
    <n v="14573.9"/>
    <n v="14683.5"/>
    <n v="474211156"/>
    <n v="31885.97"/>
    <n v="14805.799999999997"/>
    <n v="14788.892"/>
    <s v="-"/>
    <n v="-53.5"/>
    <n v="-3.6303182465902153E-3"/>
  </r>
  <r>
    <x v="64"/>
    <n v="14716.45"/>
    <n v="14879.8"/>
    <n v="14649.85"/>
    <n v="14819.05"/>
    <n v="476382016"/>
    <n v="35184.959999999999"/>
    <n v="14785.937499999996"/>
    <n v="14789.668"/>
    <s v="-"/>
    <n v="102.59999999999854"/>
    <n v="6.9717900716544101E-3"/>
  </r>
  <r>
    <x v="65"/>
    <n v="14875.65"/>
    <n v="14984.15"/>
    <n v="14821.1"/>
    <n v="14873.8"/>
    <n v="503728173"/>
    <n v="34444.559999999998"/>
    <n v="14779.985000000001"/>
    <n v="14794.242000000002"/>
    <s v="-"/>
    <n v="-1.8500000000003638"/>
    <n v="-1.2436431349220799E-4"/>
  </r>
  <r>
    <x v="66"/>
    <n v="14882.65"/>
    <n v="14918.45"/>
    <n v="14785.65"/>
    <n v="14834.85"/>
    <n v="498347599"/>
    <n v="35010.36"/>
    <n v="14775.864999999996"/>
    <n v="14804.280000000002"/>
    <s v="-"/>
    <n v="-47.799999999999272"/>
    <n v="-3.2117935985862245E-3"/>
  </r>
  <r>
    <x v="67"/>
    <n v="14644.65"/>
    <n v="14652.5"/>
    <n v="14248.7"/>
    <n v="14310.8"/>
    <n v="638475842"/>
    <n v="43433.24"/>
    <n v="14762.687499999996"/>
    <n v="14816.199000000001"/>
    <s v="-"/>
    <n v="-333.85000000000036"/>
    <n v="-2.279672098684505E-2"/>
  </r>
  <r>
    <x v="68"/>
    <n v="14364.9"/>
    <n v="14528.9"/>
    <n v="14274.9"/>
    <n v="14504.8"/>
    <n v="588666016"/>
    <n v="40846.57"/>
    <n v="14719.487499999997"/>
    <n v="14823.065000000002"/>
    <s v="-"/>
    <n v="139.89999999999964"/>
    <n v="9.7390166308153649E-3"/>
  </r>
  <r>
    <x v="69"/>
    <n v="14522.4"/>
    <n v="14597.55"/>
    <n v="14353.2"/>
    <n v="14581.45"/>
    <n v="556851211"/>
    <n v="40177.25"/>
    <n v="14693.179999999997"/>
    <n v="14836.810000000003"/>
    <s v="-"/>
    <n v="59.050000000001091"/>
    <n v="4.0661323197268423E-3"/>
  </r>
  <r>
    <x v="70"/>
    <n v="14599.6"/>
    <n v="14697.7"/>
    <n v="14559"/>
    <n v="14617.85"/>
    <n v="568568743"/>
    <n v="36653.65"/>
    <n v="14675.7775"/>
    <n v="14855.747000000001"/>
    <s v="-"/>
    <n v="18.25"/>
    <n v="1.2500342475136304E-3"/>
  </r>
  <r>
    <x v="71"/>
    <n v="14306.6"/>
    <n v="14382.3"/>
    <n v="14191.4"/>
    <n v="14359.45"/>
    <n v="503142904"/>
    <n v="34751.949999999997"/>
    <n v="14661.147499999997"/>
    <n v="14862.480000000003"/>
    <s v="-"/>
    <n v="52.850000000000364"/>
    <n v="3.6940992269302534E-3"/>
  </r>
  <r>
    <x v="72"/>
    <n v="14526.7"/>
    <n v="14526.95"/>
    <n v="14207.3"/>
    <n v="14296.4"/>
    <n v="456704716"/>
    <n v="34687.11"/>
    <n v="14643.054999999997"/>
    <n v="14856.712000000001"/>
    <s v="-"/>
    <n v="-230.30000000000109"/>
    <n v="-1.5853566191908766E-2"/>
  </r>
  <r>
    <x v="73"/>
    <n v="14219.15"/>
    <n v="14424.75"/>
    <n v="14151.4"/>
    <n v="14406.15"/>
    <n v="516985252"/>
    <n v="37235.71"/>
    <n v="14629.982499999998"/>
    <n v="14846.841"/>
    <s v="-"/>
    <n v="187"/>
    <n v="1.3151278381619155E-2"/>
  </r>
  <r>
    <x v="74"/>
    <n v="14326.35"/>
    <n v="14461.15"/>
    <n v="14273.3"/>
    <n v="14341.35"/>
    <n v="476613608"/>
    <n v="31894.66"/>
    <n v="14613.090000000002"/>
    <n v="14837.051000000001"/>
    <s v="-"/>
    <n v="15"/>
    <n v="1.0470217466416777E-3"/>
  </r>
  <r>
    <x v="75"/>
    <n v="14449.45"/>
    <n v="14557.5"/>
    <n v="14421.3"/>
    <n v="14485"/>
    <n v="448533329"/>
    <n v="33156.160000000003"/>
    <n v="14593.3375"/>
    <n v="14825.393"/>
    <s v="-"/>
    <n v="35.549999999999272"/>
    <n v="2.4603012571412248E-3"/>
  </r>
  <r>
    <x v="76"/>
    <n v="14493.8"/>
    <n v="14667.55"/>
    <n v="14484.85"/>
    <n v="14653.05"/>
    <n v="442211685"/>
    <n v="32181.14"/>
    <n v="14576.85"/>
    <n v="14812.777000000002"/>
    <s v="-"/>
    <n v="159.25"/>
    <n v="1.0987456705625854E-2"/>
  </r>
  <r>
    <x v="77"/>
    <n v="14710.5"/>
    <n v="14890.25"/>
    <n v="14694.95"/>
    <n v="14864.55"/>
    <n v="453990807"/>
    <n v="37650.11"/>
    <n v="14582.032499999998"/>
    <n v="14803.652000000002"/>
    <s v="-"/>
    <n v="154.04999999999927"/>
    <n v="1.0472111756908282E-2"/>
  </r>
  <r>
    <x v="78"/>
    <n v="14979"/>
    <n v="15044.35"/>
    <n v="14814.45"/>
    <n v="14894.9"/>
    <n v="511466673"/>
    <n v="41597.370000000003"/>
    <n v="14609.014999999999"/>
    <n v="14798.813000000002"/>
    <s v="-"/>
    <n v="-84.100000000000364"/>
    <n v="-5.6145270044729526E-3"/>
  </r>
  <r>
    <x v="79"/>
    <n v="14747.35"/>
    <n v="14855.45"/>
    <n v="14601.7"/>
    <n v="14631.1"/>
    <n v="594744498"/>
    <n v="40335.86"/>
    <n v="14628.395"/>
    <n v="14793.245000000003"/>
    <s v="-"/>
    <n v="-116.25"/>
    <n v="-7.8827721590658661E-3"/>
  </r>
  <r>
    <x v="80"/>
    <n v="14481.05"/>
    <n v="14673.85"/>
    <n v="14416.25"/>
    <n v="14634.15"/>
    <n v="443410846"/>
    <n v="32538.97"/>
    <n v="14617.695000000002"/>
    <n v="14782.601000000001"/>
    <s v="-"/>
    <n v="153.10000000000036"/>
    <n v="1.0572437772122904E-2"/>
  </r>
  <r>
    <x v="81"/>
    <n v="14687.25"/>
    <n v="14723.4"/>
    <n v="14461.5"/>
    <n v="14496.5"/>
    <n v="479657079"/>
    <n v="34024.769999999997"/>
    <n v="14614.867500000002"/>
    <n v="14768.990000000002"/>
    <s v="-"/>
    <n v="-190.75"/>
    <n v="-1.2987455105618819E-2"/>
  </r>
  <r>
    <x v="82"/>
    <n v="14604.15"/>
    <n v="14637.9"/>
    <n v="14506.6"/>
    <n v="14617.85"/>
    <n v="437261063"/>
    <n v="28942.47"/>
    <n v="14596.325000000001"/>
    <n v="14752.651000000002"/>
    <s v="-"/>
    <n v="13.700000000000728"/>
    <n v="9.3808951565142295E-4"/>
  </r>
  <r>
    <x v="83"/>
    <n v="14668.35"/>
    <n v="14743.9"/>
    <n v="14611.5"/>
    <n v="14724.8"/>
    <n v="445281496"/>
    <n v="31015.95"/>
    <n v="14595.327499999999"/>
    <n v="14740.83"/>
    <s v="-"/>
    <n v="56.449999999998909"/>
    <n v="3.8484219424815272E-3"/>
  </r>
  <r>
    <x v="84"/>
    <n v="14816.85"/>
    <n v="14863.05"/>
    <n v="14765.5"/>
    <n v="14823.15"/>
    <n v="483677266"/>
    <n v="33583.370000000003"/>
    <n v="14597.392499999996"/>
    <n v="14732.947"/>
    <s v="-"/>
    <n v="6.2999999999992724"/>
    <n v="4.2519158930537008E-4"/>
  </r>
  <r>
    <x v="85"/>
    <n v="14928.25"/>
    <n v="14966.9"/>
    <n v="14892.5"/>
    <n v="14942.35"/>
    <n v="510598577"/>
    <n v="31620.639999999999"/>
    <n v="14597.597499999998"/>
    <n v="14729.775000000001"/>
    <s v="-"/>
    <n v="14.100000000000364"/>
    <n v="9.4451794416628636E-4"/>
  </r>
  <r>
    <x v="86"/>
    <n v="14789.7"/>
    <n v="14900"/>
    <n v="14771.4"/>
    <n v="14850.75"/>
    <n v="616204478"/>
    <n v="32955.82"/>
    <n v="14601.024999999998"/>
    <n v="14735.108000000002"/>
    <s v="-"/>
    <n v="61.049999999999272"/>
    <n v="4.1278727763240141E-3"/>
  </r>
  <r>
    <x v="87"/>
    <n v="14823.55"/>
    <n v="14824.05"/>
    <n v="14649.7"/>
    <n v="14696.5"/>
    <n v="620318215"/>
    <n v="32035.23"/>
    <n v="14601.819999999998"/>
    <n v="14737.967000000002"/>
    <s v="-"/>
    <n v="-127.04999999999927"/>
    <n v="-8.5708214294146334E-3"/>
  </r>
  <r>
    <x v="88"/>
    <n v="14749.4"/>
    <n v="14749.65"/>
    <n v="14591.9"/>
    <n v="14677.8"/>
    <n v="602738614"/>
    <n v="39176.28"/>
    <n v="14621.105"/>
    <n v="14732.257000000001"/>
    <s v="-"/>
    <n v="-71.600000000000364"/>
    <n v="-4.8544347566680923E-3"/>
  </r>
  <r>
    <x v="89"/>
    <n v="14756.25"/>
    <n v="14938"/>
    <n v="14725.35"/>
    <n v="14923.15"/>
    <n v="534516176"/>
    <n v="35571.279999999999"/>
    <n v="14629.755000000001"/>
    <n v="14723.866000000004"/>
    <s v="-"/>
    <n v="166.89999999999964"/>
    <n v="1.1310461668784388E-2"/>
  </r>
  <r>
    <x v="90"/>
    <n v="15067.2"/>
    <n v="15137.25"/>
    <n v="15043.7"/>
    <n v="15108.1"/>
    <n v="571923125"/>
    <n v="35634.730000000003"/>
    <n v="14646.84"/>
    <n v="14731.746000000003"/>
    <s v="-"/>
    <n v="40.899999999999636"/>
    <n v="2.7145056812148002E-3"/>
  </r>
  <r>
    <x v="91"/>
    <n v="15058.6"/>
    <n v="15133.4"/>
    <n v="15008.85"/>
    <n v="15030.15"/>
    <n v="563293717"/>
    <n v="31100.21"/>
    <n v="14671.352499999999"/>
    <n v="14738.677000000001"/>
    <s v="-"/>
    <n v="-28.450000000000728"/>
    <n v="-1.889285856586982E-3"/>
  </r>
  <r>
    <x v="92"/>
    <n v="15042.6"/>
    <n v="15069.8"/>
    <n v="14884.9"/>
    <n v="14906.05"/>
    <n v="467455658"/>
    <n v="28002.53"/>
    <n v="14704.887500000001"/>
    <n v="14740.898000000001"/>
    <s v="-"/>
    <n v="-136.55000000000109"/>
    <n v="-9.0775530825788816E-3"/>
  </r>
  <r>
    <x v="93"/>
    <n v="14987.8"/>
    <n v="15190"/>
    <n v="14985.85"/>
    <n v="15175.3"/>
    <n v="557730470"/>
    <n v="31921.759999999998"/>
    <n v="14735.369999999999"/>
    <n v="14734.107"/>
    <s v="-"/>
    <n v="187.5"/>
    <n v="1.2510174942286394E-2"/>
  </r>
  <r>
    <x v="94"/>
    <n v="15211.35"/>
    <n v="15256.25"/>
    <n v="15145.45"/>
    <n v="15197.7"/>
    <n v="566722866"/>
    <n v="32061.040000000001"/>
    <n v="14773.827499999996"/>
    <n v="14735.998000000003"/>
    <s v="-"/>
    <n v="-13.649999999999636"/>
    <n v="-8.9735625043139739E-4"/>
  </r>
  <r>
    <x v="95"/>
    <n v="15291.75"/>
    <n v="15293.85"/>
    <n v="15163.4"/>
    <n v="15208.45"/>
    <n v="417323446"/>
    <n v="26871.99"/>
    <n v="14816.644999999999"/>
    <n v="14741.190000000002"/>
    <s v="-"/>
    <n v="-83.299999999999272"/>
    <n v="-5.4473817581375105E-3"/>
  </r>
  <r>
    <x v="96"/>
    <n v="15257.05"/>
    <n v="15319.9"/>
    <n v="15194.95"/>
    <n v="15301.45"/>
    <n v="377682051"/>
    <n v="26187.83"/>
    <n v="14852.817500000001"/>
    <n v="14746.235000000001"/>
    <s v="-"/>
    <n v="44.400000000001455"/>
    <n v="2.9101300710164453E-3"/>
  </r>
  <r>
    <x v="97"/>
    <n v="15323.95"/>
    <n v="15384.55"/>
    <n v="15272.5"/>
    <n v="15337.85"/>
    <n v="682374351"/>
    <n v="48219.93"/>
    <n v="14885.237499999999"/>
    <n v="14750.296"/>
    <s v="-"/>
    <n v="13.899999999999636"/>
    <n v="9.0707683071268412E-4"/>
  </r>
  <r>
    <x v="98"/>
    <n v="15421.2"/>
    <n v="15469.65"/>
    <n v="15394.75"/>
    <n v="15435.65"/>
    <n v="455582440"/>
    <n v="32992.080000000002"/>
    <n v="14908.902499999997"/>
    <n v="14753.556999999999"/>
    <s v="-"/>
    <n v="14.449999999998909"/>
    <n v="9.3702176224930015E-4"/>
  </r>
  <r>
    <x v="99"/>
    <n v="15437.75"/>
    <n v="15606.35"/>
    <n v="15374"/>
    <n v="15582.8"/>
    <n v="435999456"/>
    <n v="32739.29"/>
    <n v="14935.939999999999"/>
    <n v="14761.650999999998"/>
    <s v="-"/>
    <n v="145.04999999999927"/>
    <n v="9.3957992583115595E-3"/>
  </r>
  <r>
    <x v="100"/>
    <n v="15629.65"/>
    <n v="15660.75"/>
    <n v="15528.3"/>
    <n v="15574.85"/>
    <n v="409562322"/>
    <n v="27964.09"/>
    <n v="14983.525"/>
    <n v="14774.717000000002"/>
    <s v="-"/>
    <n v="-54.799999999999272"/>
    <n v="-3.5061565678053746E-3"/>
  </r>
  <r>
    <x v="101"/>
    <n v="15520.35"/>
    <n v="15597.45"/>
    <n v="15459.85"/>
    <n v="15576.2"/>
    <n v="428641666"/>
    <n v="28781.87"/>
    <n v="15030.560000000001"/>
    <n v="14788.004999999999"/>
    <s v="-"/>
    <n v="55.850000000000364"/>
    <n v="3.5985013224573135E-3"/>
  </r>
  <r>
    <x v="102"/>
    <n v="15655.55"/>
    <n v="15705.1"/>
    <n v="15611"/>
    <n v="15690.35"/>
    <n v="410240584"/>
    <n v="27519.48"/>
    <n v="15084.544999999998"/>
    <n v="14805.102999999997"/>
    <s v="-"/>
    <n v="34.800000000001091"/>
    <n v="2.2228538761015163E-3"/>
  </r>
  <r>
    <x v="103"/>
    <n v="15712.5"/>
    <n v="15733.6"/>
    <n v="15622.35"/>
    <n v="15670.25"/>
    <n v="414162241"/>
    <n v="25363.03"/>
    <n v="15138.169999999998"/>
    <n v="14827.752999999999"/>
    <s v="-"/>
    <n v="-42.25"/>
    <n v="-2.6889419252187747E-3"/>
  </r>
  <r>
    <x v="104"/>
    <n v="15725.1"/>
    <n v="15773.45"/>
    <n v="15678.1"/>
    <n v="15751.65"/>
    <n v="393970049"/>
    <n v="25411.48"/>
    <n v="15185.442499999999"/>
    <n v="14846.277999999998"/>
    <s v="-"/>
    <n v="26.549999999999272"/>
    <n v="1.6883835396912753E-3"/>
  </r>
  <r>
    <x v="105"/>
    <n v="15773.9"/>
    <n v="15778.8"/>
    <n v="15680"/>
    <n v="15740.1"/>
    <n v="378164658"/>
    <n v="24172.13"/>
    <n v="15231.867500000002"/>
    <n v="14866.582999999999"/>
    <s v="-"/>
    <n v="-33.799999999999272"/>
    <n v="-2.1427801621665709E-3"/>
  </r>
  <r>
    <x v="106"/>
    <n v="15766.3"/>
    <n v="15800.45"/>
    <n v="15566.9"/>
    <n v="15635.35"/>
    <n v="457855735"/>
    <n v="26926.49"/>
    <n v="15271.755000000001"/>
    <n v="14885.089999999998"/>
    <s v="-"/>
    <n v="-130.94999999999891"/>
    <n v="-8.3056899843336057E-3"/>
  </r>
  <r>
    <x v="107"/>
    <n v="15692.1"/>
    <n v="15751.25"/>
    <n v="15648.5"/>
    <n v="15737.75"/>
    <n v="298297041"/>
    <n v="23032.9"/>
    <n v="15310.985000000001"/>
    <n v="14906.808999999997"/>
    <s v="-"/>
    <n v="45.649999999999636"/>
    <n v="2.9091071303394469E-3"/>
  </r>
  <r>
    <x v="108"/>
    <n v="15796.45"/>
    <n v="15835.55"/>
    <n v="15749.8"/>
    <n v="15799.35"/>
    <n v="363011297"/>
    <n v="24591.69"/>
    <n v="15363.047499999997"/>
    <n v="14935.065999999997"/>
    <s v="-"/>
    <n v="2.8999999999996362"/>
    <n v="1.8358555245005277E-4"/>
  </r>
  <r>
    <x v="109"/>
    <n v="15791.4"/>
    <n v="15823.05"/>
    <n v="15606.5"/>
    <n v="15811.85"/>
    <n v="392862037"/>
    <n v="28001.5"/>
    <n v="15419.124999999996"/>
    <n v="14960.906999999996"/>
    <s v="-"/>
    <n v="20.450000000000728"/>
    <n v="1.2950086756082886E-3"/>
  </r>
  <r>
    <x v="110"/>
    <n v="15866.95"/>
    <n v="15901.6"/>
    <n v="15842.4"/>
    <n v="15869.25"/>
    <n v="323262818"/>
    <n v="22181.26"/>
    <n v="15463.559999999998"/>
    <n v="14980.241999999997"/>
    <s v="-"/>
    <n v="2.2999999999992724"/>
    <n v="1.4495539470404031E-4"/>
  </r>
  <r>
    <x v="111"/>
    <n v="15847.5"/>
    <n v="15880.85"/>
    <n v="15742.6"/>
    <n v="15767.55"/>
    <n v="340191175"/>
    <n v="22505.95"/>
    <n v="15501.617499999998"/>
    <n v="15003.812999999998"/>
    <s v="-"/>
    <n v="-79.950000000000728"/>
    <n v="-5.0449597728348776E-3"/>
  </r>
  <r>
    <x v="112"/>
    <n v="15648.3"/>
    <n v="15769.35"/>
    <n v="15616.75"/>
    <n v="15691.4"/>
    <n v="357649243"/>
    <n v="26048.47"/>
    <n v="15538.487499999999"/>
    <n v="15021.816999999999"/>
    <s v="-"/>
    <n v="43.100000000000364"/>
    <n v="2.7542927985787827E-3"/>
  </r>
  <r>
    <x v="113"/>
    <n v="15756.5"/>
    <n v="15761.5"/>
    <n v="15450.9"/>
    <n v="15683.35"/>
    <n v="640821642"/>
    <n v="42024.55"/>
    <n v="15577.755000000001"/>
    <n v="15042.888999999999"/>
    <s v="-"/>
    <n v="-73.149999999999636"/>
    <n v="-4.6425284803096904E-3"/>
  </r>
  <r>
    <x v="114"/>
    <n v="15525.85"/>
    <n v="15765.15"/>
    <n v="15505.65"/>
    <n v="15746.5"/>
    <n v="351530072"/>
    <n v="22525.89"/>
    <n v="15603.157500000001"/>
    <n v="15062.885999999997"/>
    <s v="-"/>
    <n v="220.64999999999964"/>
    <n v="1.4211782285671937E-2"/>
  </r>
  <r>
    <x v="115"/>
    <n v="15840.5"/>
    <n v="15895.75"/>
    <n v="15752.1"/>
    <n v="15772.75"/>
    <n v="322237561"/>
    <n v="24440.47"/>
    <n v="15630.5975"/>
    <n v="15081.434999999998"/>
    <s v="-"/>
    <n v="-67.75"/>
    <n v="-4.2770114579716552E-3"/>
  </r>
  <r>
    <x v="116"/>
    <n v="15862.8"/>
    <n v="15862.95"/>
    <n v="15673.95"/>
    <n v="15686.95"/>
    <n v="287536735"/>
    <n v="23222.94"/>
    <n v="15658.8125"/>
    <n v="15099.413999999997"/>
    <s v="-"/>
    <n v="-175.84999999999854"/>
    <n v="-1.1085684746702887E-2"/>
  </r>
  <r>
    <x v="117"/>
    <n v="15737.3"/>
    <n v="15821.4"/>
    <n v="15702.7"/>
    <n v="15790.45"/>
    <n v="316662241"/>
    <n v="29623.58"/>
    <n v="15678.0875"/>
    <n v="15116.455999999998"/>
    <s v="-"/>
    <n v="53.150000000001455"/>
    <n v="3.3773264791292952E-3"/>
  </r>
  <r>
    <x v="118"/>
    <n v="15839.35"/>
    <n v="15870.8"/>
    <n v="15772.3"/>
    <n v="15860.35"/>
    <n v="314614380"/>
    <n v="26933.22"/>
    <n v="15700.717500000002"/>
    <n v="15146.048999999997"/>
    <s v="-"/>
    <n v="21"/>
    <n v="1.3258119809209342E-3"/>
  </r>
  <r>
    <x v="119"/>
    <n v="15915.35"/>
    <n v="15915.65"/>
    <n v="15792.15"/>
    <n v="15814.7"/>
    <n v="255099272"/>
    <n v="18713.41"/>
    <n v="15721.952500000003"/>
    <n v="15173.159999999998"/>
    <s v="-"/>
    <n v="-100.64999999999964"/>
    <n v="-6.3240833534920458E-3"/>
  </r>
  <r>
    <x v="120"/>
    <n v="15807.5"/>
    <n v="15835.9"/>
    <n v="15724.05"/>
    <n v="15748.45"/>
    <n v="360334724"/>
    <n v="24392.13"/>
    <n v="15733.547500000001"/>
    <n v="15197.824999999995"/>
    <s v="-"/>
    <n v="-59.049999999999272"/>
    <n v="-3.7355685592281684E-3"/>
  </r>
  <r>
    <x v="121"/>
    <n v="15776.9"/>
    <n v="15839.1"/>
    <n v="15708.75"/>
    <n v="15721.5"/>
    <n v="262386323"/>
    <n v="20379.759999999998"/>
    <n v="15742.227499999999"/>
    <n v="15220.436999999994"/>
    <s v="-"/>
    <n v="-55.399999999999636"/>
    <n v="-3.5114629616717881E-3"/>
  </r>
  <r>
    <x v="122"/>
    <n v="15755.05"/>
    <n v="15755.55"/>
    <n v="15667.05"/>
    <n v="15680"/>
    <n v="224921644"/>
    <n v="17359.97"/>
    <n v="15749.492500000002"/>
    <n v="15247.677999999996"/>
    <s v="-"/>
    <n v="-75.049999999999272"/>
    <n v="-4.7635520039605887E-3"/>
  </r>
  <r>
    <x v="123"/>
    <n v="15705.85"/>
    <n v="15738.35"/>
    <n v="15635.95"/>
    <n v="15722.2"/>
    <n v="254808999"/>
    <n v="18015.419999999998"/>
    <n v="15748.975000000002"/>
    <n v="15275.349999999993"/>
    <s v="-"/>
    <n v="16.350000000000364"/>
    <n v="1.0410133803646644E-3"/>
  </r>
  <r>
    <x v="124"/>
    <n v="15793.4"/>
    <n v="15845.95"/>
    <n v="15762.05"/>
    <n v="15834.35"/>
    <n v="207032153"/>
    <n v="14976.54"/>
    <n v="15751.572500000004"/>
    <n v="15301.670999999995"/>
    <s v="-"/>
    <n v="40.950000000000728"/>
    <n v="2.5928552433295382E-3"/>
  </r>
  <r>
    <x v="125"/>
    <n v="15813.75"/>
    <n v="15914.2"/>
    <n v="15801"/>
    <n v="15818.25"/>
    <n v="391410742"/>
    <n v="24456.05"/>
    <n v="15755.7075"/>
    <n v="15331.530999999994"/>
    <s v="-"/>
    <n v="4.5"/>
    <n v="2.8456248517903722E-4"/>
  </r>
  <r>
    <x v="126"/>
    <n v="15819.6"/>
    <n v="15893.55"/>
    <n v="15779.7"/>
    <n v="15879.65"/>
    <n v="329308646"/>
    <n v="22259.96"/>
    <n v="15759.615"/>
    <n v="15358.195999999994"/>
    <s v="-"/>
    <n v="60.049999999999272"/>
    <n v="3.7959240435914482E-3"/>
  </r>
  <r>
    <x v="127"/>
    <n v="15855.4"/>
    <n v="15885.75"/>
    <n v="15682.9"/>
    <n v="15727.9"/>
    <n v="307928495"/>
    <n v="19597.95"/>
    <n v="15771.830000000002"/>
    <n v="15382.727999999994"/>
    <s v="-"/>
    <n v="-127.5"/>
    <n v="-8.0414243727688992E-3"/>
  </r>
  <r>
    <x v="128"/>
    <n v="15688.25"/>
    <n v="15730.85"/>
    <n v="15632.75"/>
    <n v="15689.8"/>
    <n v="243249366"/>
    <n v="19976.86"/>
    <n v="15771.337500000005"/>
    <n v="15399.99499999999"/>
    <s v="-"/>
    <n v="1.5499999999992724"/>
    <n v="9.880005736772887E-5"/>
  </r>
  <r>
    <x v="129"/>
    <n v="15766.8"/>
    <n v="15789.2"/>
    <n v="15644.75"/>
    <n v="15692.6"/>
    <n v="216272488"/>
    <n v="18482.89"/>
    <n v="15765.860000000004"/>
    <n v="15415.892999999993"/>
    <s v="-"/>
    <n v="-74.199999999998909"/>
    <n v="-4.7060912804119358E-3"/>
  </r>
  <r>
    <x v="130"/>
    <n v="15794"/>
    <n v="15820.8"/>
    <n v="15744.6"/>
    <n v="15812.35"/>
    <n v="246676549"/>
    <n v="18205.97"/>
    <n v="15759.897500000001"/>
    <n v="15437.122999999994"/>
    <s v="-"/>
    <n v="18.350000000000364"/>
    <n v="1.1618336076991494E-3"/>
  </r>
  <r>
    <x v="131"/>
    <n v="15808.7"/>
    <n v="15877.35"/>
    <n v="15764.2"/>
    <n v="15853.95"/>
    <n v="239924352"/>
    <n v="18372.84"/>
    <n v="15757.0525"/>
    <n v="15460.686999999993"/>
    <s v="-"/>
    <n v="45.25"/>
    <n v="2.8623479476490793E-3"/>
  </r>
  <r>
    <x v="132"/>
    <n v="15872.15"/>
    <n v="15952.35"/>
    <n v="15855"/>
    <n v="15924.2"/>
    <n v="284851049"/>
    <n v="20961.37"/>
    <n v="15761.372499999998"/>
    <n v="15487.835999999992"/>
    <s v="-"/>
    <n v="52.050000000001091"/>
    <n v="3.2793288873908758E-3"/>
  </r>
  <r>
    <x v="133"/>
    <n v="15958.35"/>
    <n v="15962.25"/>
    <n v="15882.6"/>
    <n v="15923.4"/>
    <n v="276298105"/>
    <n v="18758.13"/>
    <n v="15773.012500000001"/>
    <n v="15513.962999999994"/>
    <s v="-"/>
    <n v="-34.950000000000728"/>
    <n v="-2.1900760416960854E-3"/>
  </r>
  <r>
    <x v="134"/>
    <n v="15754.5"/>
    <n v="15836.9"/>
    <n v="15707.5"/>
    <n v="15752.4"/>
    <n v="242131813"/>
    <n v="18088.78"/>
    <n v="15785.015000000003"/>
    <n v="15537.934999999996"/>
    <s v="-"/>
    <n v="-2.1000000000003638"/>
    <n v="-1.3329524897650601E-4"/>
  </r>
  <r>
    <x v="135"/>
    <n v="15703.95"/>
    <n v="15728.45"/>
    <n v="15578.55"/>
    <n v="15632.1"/>
    <n v="274284165"/>
    <n v="21329.55"/>
    <n v="15785.310000000003"/>
    <n v="15556.519999999995"/>
    <s v="-"/>
    <n v="-71.850000000000364"/>
    <n v="-4.5752820150344571E-3"/>
  </r>
  <r>
    <x v="136"/>
    <n v="15736.6"/>
    <n v="15834.8"/>
    <n v="15726.4"/>
    <n v="15824.05"/>
    <n v="265250867"/>
    <n v="23988.39"/>
    <n v="15778.2775"/>
    <n v="15570.314999999995"/>
    <s v="-"/>
    <n v="87.449999999998909"/>
    <n v="5.5571089053543269E-3"/>
  </r>
  <r>
    <x v="137"/>
    <n v="15856.8"/>
    <n v="15899.8"/>
    <n v="15768.4"/>
    <n v="15856.05"/>
    <n v="294098244"/>
    <n v="20685.82"/>
    <n v="15785.132500000002"/>
    <n v="15589.780999999999"/>
    <s v="-"/>
    <n v="-0.75"/>
    <n v="-4.7298319963674893E-5"/>
  </r>
  <r>
    <x v="138"/>
    <n v="15849.3"/>
    <n v="15893.35"/>
    <n v="15797"/>
    <n v="15824.45"/>
    <n v="267076679"/>
    <n v="19487.18"/>
    <n v="15788.4125"/>
    <n v="15612.971999999998"/>
    <s v="-"/>
    <n v="-24.849999999998545"/>
    <n v="-1.5678925883161115E-3"/>
  </r>
  <r>
    <x v="139"/>
    <n v="15860.5"/>
    <n v="15881.55"/>
    <n v="15701"/>
    <n v="15746.45"/>
    <n v="311012065"/>
    <n v="26117.34"/>
    <n v="15786.617499999998"/>
    <n v="15635.904999999997"/>
    <s v="-"/>
    <n v="-114.04999999999927"/>
    <n v="-7.1908199615396285E-3"/>
  </r>
  <r>
    <x v="140"/>
    <n v="15761.55"/>
    <n v="15767.5"/>
    <n v="15513.45"/>
    <n v="15709.4"/>
    <n v="318601589"/>
    <n v="26090.48"/>
    <n v="15783.205000000002"/>
    <n v="15652.370999999999"/>
    <s v="-"/>
    <n v="-52.149999999999636"/>
    <n v="-3.3086847423000683E-3"/>
  </r>
  <r>
    <x v="141"/>
    <n v="15762.7"/>
    <n v="15817.35"/>
    <n v="15737.8"/>
    <n v="15778.45"/>
    <n v="401584915"/>
    <n v="29460.54"/>
    <n v="15781.252500000002"/>
    <n v="15664.396999999999"/>
    <s v="-"/>
    <n v="15.75"/>
    <n v="9.9919430046882833E-4"/>
  </r>
  <r>
    <x v="142"/>
    <n v="15800.6"/>
    <n v="15862.8"/>
    <n v="15744.85"/>
    <n v="15763.05"/>
    <n v="400021237"/>
    <n v="30539.63"/>
    <n v="15784.100000000002"/>
    <n v="15679.362999999998"/>
    <s v="-"/>
    <n v="-37.550000000001091"/>
    <n v="-2.3764920319482227E-3"/>
  </r>
  <r>
    <x v="143"/>
    <n v="15874.9"/>
    <n v="15892.9"/>
    <n v="15834.65"/>
    <n v="15885.15"/>
    <n v="244847433"/>
    <n v="20766.990000000002"/>
    <n v="15788.252500000002"/>
    <n v="15696.503000000001"/>
    <s v="-"/>
    <n v="10.25"/>
    <n v="6.4567335857233744E-4"/>
  </r>
  <r>
    <x v="144"/>
    <n v="15951.55"/>
    <n v="16146.9"/>
    <n v="15914.35"/>
    <n v="16130.75"/>
    <n v="341289658"/>
    <n v="26373.24"/>
    <n v="15796.400000000003"/>
    <n v="15710.7"/>
    <s v="-"/>
    <n v="179.20000000000073"/>
    <n v="1.1234018010788967E-2"/>
  </r>
  <r>
    <x v="145"/>
    <n v="16195.25"/>
    <n v="16290.2"/>
    <n v="16176.15"/>
    <n v="16258.8"/>
    <n v="427337644"/>
    <n v="32434.78"/>
    <n v="15811.220000000001"/>
    <n v="15729.361000000001"/>
    <s v="-"/>
    <n v="63.549999999999272"/>
    <n v="3.9239900588134962E-3"/>
  </r>
  <r>
    <x v="146"/>
    <n v="16288.95"/>
    <n v="16349.45"/>
    <n v="16210.3"/>
    <n v="16294.6"/>
    <n v="418174517"/>
    <n v="31386.78"/>
    <n v="15833.247500000001"/>
    <n v="15750.368"/>
    <s v="-"/>
    <n v="5.6499999999996362"/>
    <n v="3.4686090877555865E-4"/>
  </r>
  <r>
    <x v="147"/>
    <n v="16304.4"/>
    <n v="16336.75"/>
    <n v="16223.3"/>
    <n v="16238.2"/>
    <n v="320087281"/>
    <n v="24716.17"/>
    <n v="15853.994999999999"/>
    <n v="15770.231000000002"/>
    <s v="-"/>
    <n v="-66.199999999998909"/>
    <n v="-4.0602536738548432E-3"/>
  </r>
  <r>
    <x v="148"/>
    <n v="16281.35"/>
    <n v="16320.75"/>
    <n v="16179.05"/>
    <n v="16258.25"/>
    <n v="240452917"/>
    <n v="18302.03"/>
    <n v="15879.509999999998"/>
    <n v="15788.238000000001"/>
    <s v="-"/>
    <n v="-23.100000000000364"/>
    <n v="-1.4188012664797676E-3"/>
  </r>
  <r>
    <x v="149"/>
    <n v="16274.8"/>
    <n v="16359.25"/>
    <n v="16202.25"/>
    <n v="16280.1"/>
    <n v="287989486"/>
    <n v="22600.38"/>
    <n v="15907.932500000001"/>
    <n v="15804.690000000002"/>
    <s v="-"/>
    <n v="5.3000000000010914"/>
    <n v="3.2565684370935999E-4"/>
  </r>
  <r>
    <x v="150"/>
    <n v="16327.3"/>
    <n v="16338.75"/>
    <n v="16162.55"/>
    <n v="16282.25"/>
    <n v="277895886"/>
    <n v="20306.59"/>
    <n v="15937.307499999999"/>
    <n v="15818.636"/>
    <s v="-"/>
    <n v="-45.049999999999272"/>
    <n v="-2.7591824735258906E-3"/>
  </r>
  <r>
    <x v="151"/>
    <n v="16303.65"/>
    <n v="16375.5"/>
    <n v="16286.9"/>
    <n v="16364.4"/>
    <n v="280181324"/>
    <n v="18548.87"/>
    <n v="15960.8025"/>
    <n v="15832.784"/>
    <s v="-"/>
    <n v="60.75"/>
    <n v="3.7261594796257282E-3"/>
  </r>
  <r>
    <x v="152"/>
    <n v="16385.7"/>
    <n v="16543.599999999999"/>
    <n v="16376.3"/>
    <n v="16529.099999999999"/>
    <n v="321866286"/>
    <n v="27163.08"/>
    <n v="15986.325000000001"/>
    <n v="15848.548000000003"/>
    <s v="-"/>
    <n v="143.39999999999782"/>
    <n v="8.7515333492006932E-3"/>
  </r>
  <r>
    <x v="153"/>
    <n v="16518.400000000001"/>
    <n v="16589.400000000001"/>
    <n v="16480.75"/>
    <n v="16563.05"/>
    <n v="254049330"/>
    <n v="21456.2"/>
    <n v="16016.569999999998"/>
    <n v="15865.323"/>
    <s v="-"/>
    <n v="44.649999999997817"/>
    <n v="2.7030462998836337E-3"/>
  </r>
  <r>
    <x v="154"/>
    <n v="16545.25"/>
    <n v="16628.55"/>
    <n v="16495.400000000001"/>
    <n v="16614.599999999999"/>
    <n v="297388470"/>
    <n v="25696.44"/>
    <n v="16048.5525"/>
    <n v="15883.179000000002"/>
    <s v="-"/>
    <n v="69.349999999998545"/>
    <n v="4.1915353349147666E-3"/>
  </r>
  <r>
    <x v="155"/>
    <n v="16691.95"/>
    <n v="16701.849999999999"/>
    <n v="16535.849999999999"/>
    <n v="16568.849999999999"/>
    <n v="251796822"/>
    <n v="22721.54"/>
    <n v="16091.662499999997"/>
    <n v="15900.438"/>
    <s v="-"/>
    <n v="-123.10000000000218"/>
    <n v="-7.374812409574806E-3"/>
  </r>
  <r>
    <x v="156"/>
    <n v="16382.5"/>
    <n v="16509.55"/>
    <n v="16376.05"/>
    <n v="16450.5"/>
    <n v="350819323"/>
    <n v="30118.23"/>
    <n v="16138.499999999996"/>
    <n v="15917.013000000001"/>
    <s v="-"/>
    <n v="68"/>
    <n v="4.1507706394018004E-3"/>
  </r>
  <r>
    <x v="157"/>
    <n v="16592.25"/>
    <n v="16592.5"/>
    <n v="16395.7"/>
    <n v="16496.45"/>
    <n v="275597782"/>
    <n v="24355.77"/>
    <n v="16169.822499999998"/>
    <n v="15933.316000000001"/>
    <s v="-"/>
    <n v="-95.799999999999272"/>
    <n v="-5.773779927375689E-3"/>
  </r>
  <r>
    <x v="158"/>
    <n v="16561.400000000001"/>
    <n v="16647.099999999999"/>
    <n v="16495.3"/>
    <n v="16624.599999999999"/>
    <n v="275362819"/>
    <n v="24992.32"/>
    <n v="16201.842499999999"/>
    <n v="15948.490000000002"/>
    <s v="-"/>
    <n v="63.19999999999709"/>
    <n v="3.8161025034113712E-3"/>
  </r>
  <r>
    <x v="159"/>
    <n v="16654"/>
    <n v="16712.45"/>
    <n v="16617.5"/>
    <n v="16634.650000000001"/>
    <n v="265920141"/>
    <n v="22210.6"/>
    <n v="16241.85"/>
    <n v="15964.995000000001"/>
    <s v="-"/>
    <n v="-19.349999999998545"/>
    <n v="-1.1618830311035514E-3"/>
  </r>
  <r>
    <x v="160"/>
    <n v="16627.95"/>
    <n v="16683.7"/>
    <n v="16603.400000000001"/>
    <n v="16636.900000000001"/>
    <n v="253530997"/>
    <n v="22320.21"/>
    <n v="16286.26"/>
    <n v="15981.450999999999"/>
    <s v="-"/>
    <n v="8.9500000000007276"/>
    <n v="5.3825035557604679E-4"/>
  </r>
  <r>
    <x v="161"/>
    <n v="16642.55"/>
    <n v="16722.05"/>
    <n v="16565.599999999999"/>
    <n v="16705.2"/>
    <n v="217405743"/>
    <n v="20499.849999999999"/>
    <n v="16332.635"/>
    <n v="15996.804000000002"/>
    <s v="-"/>
    <n v="62.650000000001455"/>
    <n v="3.7644471550334208E-3"/>
  </r>
  <r>
    <x v="162"/>
    <n v="16775.849999999999"/>
    <n v="16951.5"/>
    <n v="16764.849999999999"/>
    <n v="16931.05"/>
    <n v="283483108"/>
    <n v="23615.87"/>
    <n v="16378.972500000003"/>
    <n v="16015.556999999997"/>
    <s v="-"/>
    <n v="155.20000000000073"/>
    <n v="9.2513941171386699E-3"/>
  </r>
  <r>
    <x v="163"/>
    <n v="16947.5"/>
    <n v="17153.5"/>
    <n v="16915.849999999999"/>
    <n v="17132.2"/>
    <n v="464390247"/>
    <n v="40147.89"/>
    <n v="16437.372500000005"/>
    <n v="16040.35"/>
    <s v="-"/>
    <n v="184.70000000000073"/>
    <n v="1.0898362590352602E-2"/>
  </r>
  <r>
    <x v="164"/>
    <n v="17185.599999999999"/>
    <n v="17225.75"/>
    <n v="17055.05"/>
    <n v="17076.25"/>
    <n v="301894634"/>
    <n v="27691.93"/>
    <n v="16499.725000000002"/>
    <n v="16069.326999999999"/>
    <s v="-"/>
    <n v="-109.34999999999854"/>
    <n v="-6.3628852062190761E-3"/>
  </r>
  <r>
    <x v="165"/>
    <n v="17095.400000000001"/>
    <n v="17245.5"/>
    <n v="17059.7"/>
    <n v="17234.150000000001"/>
    <n v="242377518"/>
    <n v="22620.36"/>
    <n v="16547.000000000004"/>
    <n v="16095.921999999999"/>
    <s v="-"/>
    <n v="138.75"/>
    <n v="8.1162183979316075E-3"/>
  </r>
  <r>
    <x v="166"/>
    <n v="17262.45"/>
    <n v="17340.099999999999"/>
    <n v="17212.2"/>
    <n v="17323.599999999999"/>
    <n v="261373795"/>
    <n v="23579.17"/>
    <n v="16595.767500000002"/>
    <n v="16125.15"/>
    <s v="-"/>
    <n v="61.149999999997817"/>
    <n v="3.5423708685614042E-3"/>
  </r>
  <r>
    <x v="167"/>
    <n v="17399.349999999999"/>
    <n v="17429.55"/>
    <n v="17345.55"/>
    <n v="17377.8"/>
    <n v="228045532"/>
    <n v="21270.62"/>
    <n v="16647.217500000002"/>
    <n v="16157.883"/>
    <s v="-"/>
    <n v="-21.549999999999272"/>
    <n v="-1.2385520148740772E-3"/>
  </r>
  <r>
    <x v="168"/>
    <n v="17401.55"/>
    <n v="17436.5"/>
    <n v="17287"/>
    <n v="17362.099999999999"/>
    <n v="243417811"/>
    <n v="19848.939999999999"/>
    <n v="16704.197500000002"/>
    <n v="16189.63"/>
    <s v="-"/>
    <n v="-39.450000000000728"/>
    <n v="-2.26703943039561E-3"/>
  </r>
  <r>
    <x v="169"/>
    <n v="17375.75"/>
    <n v="17383.400000000001"/>
    <n v="17254.2"/>
    <n v="17353.5"/>
    <n v="252652423"/>
    <n v="22696.35"/>
    <n v="16759.39"/>
    <n v="16219.664999999997"/>
    <s v="-"/>
    <n v="-22.25"/>
    <n v="-1.2805202653122887E-3"/>
  </r>
  <r>
    <x v="170"/>
    <n v="17312.849999999999"/>
    <n v="17379.650000000001"/>
    <n v="17302.7"/>
    <n v="17369.25"/>
    <n v="241509352"/>
    <n v="17719.78"/>
    <n v="16813.059999999998"/>
    <n v="16250.441000000001"/>
    <s v="-"/>
    <n v="56.400000000001455"/>
    <n v="3.2576958732965086E-3"/>
  </r>
  <r>
    <x v="171"/>
    <n v="17363.55"/>
    <n v="17378.349999999999"/>
    <n v="17269.150000000001"/>
    <n v="17355.3"/>
    <n v="241053924"/>
    <n v="18498.63"/>
    <n v="16867.409999999996"/>
    <n v="16282.857"/>
    <s v="-"/>
    <n v="-8.25"/>
    <n v="-4.7513325328057916E-4"/>
  </r>
  <r>
    <x v="172"/>
    <n v="17420.349999999999"/>
    <n v="17438.55"/>
    <n v="17367.05"/>
    <n v="17380"/>
    <n v="230354386"/>
    <n v="18702.82"/>
    <n v="16916.954999999998"/>
    <n v="16315.533000000001"/>
    <s v="-"/>
    <n v="-40.349999999998545"/>
    <n v="-2.3162565620092907E-3"/>
  </r>
  <r>
    <x v="173"/>
    <n v="17387.650000000001"/>
    <n v="17532.7"/>
    <n v="17386.900000000001"/>
    <n v="17519.45"/>
    <n v="388191629"/>
    <n v="24256.799999999999"/>
    <n v="16959.499999999996"/>
    <n v="16349.533000000001"/>
    <s v="-"/>
    <n v="131.79999999999927"/>
    <n v="7.5800927669926223E-3"/>
  </r>
  <r>
    <x v="174"/>
    <n v="17539.2"/>
    <n v="17644.599999999999"/>
    <n v="17510.45"/>
    <n v="17629.5"/>
    <n v="503310763"/>
    <n v="30189.77"/>
    <n v="17007.32"/>
    <n v="16385.477999999999"/>
    <s v="-"/>
    <n v="90.299999999999272"/>
    <n v="5.14846743295015E-3"/>
  </r>
  <r>
    <x v="175"/>
    <n v="17709.650000000001"/>
    <n v="17792.95"/>
    <n v="17537.650000000001"/>
    <n v="17585.150000000001"/>
    <n v="508285916"/>
    <n v="43345.58"/>
    <n v="17058.064999999999"/>
    <n v="16421.380999999998"/>
    <s v="-"/>
    <n v="-124.5"/>
    <n v="-7.0300655292453544E-3"/>
  </r>
  <r>
    <x v="176"/>
    <n v="17443.849999999999"/>
    <n v="17622.75"/>
    <n v="17361.8"/>
    <n v="17396.900000000001"/>
    <n v="339102046"/>
    <n v="25304.27"/>
    <n v="17108.88"/>
    <n v="16456.718999999997"/>
    <s v="-"/>
    <n v="-46.94999999999709"/>
    <n v="-2.6914929903660658E-3"/>
  </r>
  <r>
    <x v="177"/>
    <n v="17450.5"/>
    <n v="17578.349999999999"/>
    <n v="17326.099999999999"/>
    <n v="17562"/>
    <n v="363578479"/>
    <n v="26520.99"/>
    <n v="17156.200000000004"/>
    <n v="16487.063999999998"/>
    <s v="-"/>
    <n v="111.5"/>
    <n v="6.3895017334746852E-3"/>
  </r>
  <r>
    <x v="178"/>
    <n v="17580.900000000001"/>
    <n v="17610.45"/>
    <n v="17524"/>
    <n v="17546.650000000001"/>
    <n v="295191136"/>
    <n v="21772.23"/>
    <n v="17209.477500000001"/>
    <n v="16523.745999999999"/>
    <s v="-"/>
    <n v="-34.25"/>
    <n v="-1.9481368985660573E-3"/>
  </r>
  <r>
    <x v="179"/>
    <n v="17670.849999999999"/>
    <n v="17843.900000000001"/>
    <n v="17646.55"/>
    <n v="17822.95"/>
    <n v="320514486"/>
    <n v="25005.360000000001"/>
    <n v="17255.580000000005"/>
    <n v="16560.883000000002"/>
    <s v="-"/>
    <n v="152.10000000000218"/>
    <n v="8.6073957959012827E-3"/>
  </r>
  <r>
    <x v="180"/>
    <n v="17897.45"/>
    <n v="17947.650000000001"/>
    <n v="17819.400000000001"/>
    <n v="17853.2"/>
    <n v="360130853"/>
    <n v="30787.59"/>
    <n v="17314.995000000003"/>
    <n v="16603.490000000002"/>
    <s v="-"/>
    <n v="-44.25"/>
    <n v="-2.4724192552570338E-3"/>
  </r>
  <r>
    <x v="181"/>
    <n v="17932.2"/>
    <n v="17943.5"/>
    <n v="17802.900000000001"/>
    <n v="17855.099999999999"/>
    <n v="295714657"/>
    <n v="24244.98"/>
    <n v="17375.810000000005"/>
    <n v="16644.307000000001"/>
    <s v="-"/>
    <n v="-77.100000000002183"/>
    <n v="-4.2995282229733207E-3"/>
  </r>
  <r>
    <x v="182"/>
    <n v="17906.45"/>
    <n v="17912.849999999999"/>
    <n v="17576.099999999999"/>
    <n v="17748.599999999999"/>
    <n v="397997281"/>
    <n v="27055.360000000001"/>
    <n v="17433.305"/>
    <n v="16684.329999999998"/>
    <s v="-"/>
    <n v="-157.85000000000218"/>
    <n v="-8.8152593060043822E-3"/>
  </r>
  <r>
    <x v="183"/>
    <n v="17657.95"/>
    <n v="17781.75"/>
    <n v="17608.150000000001"/>
    <n v="17711.3"/>
    <n v="562237732"/>
    <n v="30621.279999999999"/>
    <n v="17474.182499999999"/>
    <n v="16720.817999999999"/>
    <s v="-"/>
    <n v="53.349999999998545"/>
    <n v="3.0213020197700493E-3"/>
  </r>
  <r>
    <x v="184"/>
    <n v="17718.900000000001"/>
    <n v="17742.150000000001"/>
    <n v="17585.349999999999"/>
    <n v="17618.150000000001"/>
    <n v="378592721"/>
    <n v="27167.19"/>
    <n v="17503.137499999997"/>
    <n v="16756.576000000001"/>
    <s v="-"/>
    <n v="-100.75"/>
    <n v="-5.6860188837907543E-3"/>
  </r>
  <r>
    <x v="185"/>
    <n v="17531.900000000001"/>
    <n v="17557.150000000001"/>
    <n v="17452.900000000001"/>
    <n v="17532.05"/>
    <n v="305763919"/>
    <n v="20911.61"/>
    <n v="17530.232499999998"/>
    <n v="16793.891"/>
    <s v="-"/>
    <n v="0.14999999999781721"/>
    <n v="8.5558325108982605E-6"/>
  </r>
  <r>
    <x v="186"/>
    <n v="17615.55"/>
    <n v="17750.900000000001"/>
    <n v="17581.349999999999"/>
    <n v="17691.25"/>
    <n v="295761839"/>
    <n v="21343.51"/>
    <n v="17545.127499999995"/>
    <n v="16831.89"/>
    <s v="-"/>
    <n v="75.700000000000728"/>
    <n v="4.2973395664626275E-3"/>
  </r>
  <r>
    <x v="187"/>
    <n v="17661.349999999999"/>
    <n v="17833.45"/>
    <n v="17640.900000000001"/>
    <n v="17822.3"/>
    <n v="427000191"/>
    <n v="23066.799999999999"/>
    <n v="17563.509999999998"/>
    <n v="16869.234"/>
    <s v="-"/>
    <n v="160.95000000000073"/>
    <n v="9.1131198917410467E-3"/>
  </r>
  <r>
    <x v="188"/>
    <n v="17861.5"/>
    <n v="17884.599999999999"/>
    <n v="17613.150000000001"/>
    <n v="17646"/>
    <n v="395833550"/>
    <n v="24504.3"/>
    <n v="17585.735000000001"/>
    <n v="16908.559000000001"/>
    <s v="-"/>
    <n v="-215.5"/>
    <n v="-1.2065056126305181E-2"/>
  </r>
  <r>
    <x v="189"/>
    <n v="17810.55"/>
    <n v="17857.55"/>
    <n v="17763.8"/>
    <n v="17790.349999999999"/>
    <n v="419890959"/>
    <n v="27371.98"/>
    <n v="17599.93"/>
    <n v="16944.990000000002"/>
    <s v="-"/>
    <n v="-20.200000000000728"/>
    <n v="-1.1341592483107331E-3"/>
  </r>
  <r>
    <x v="190"/>
    <n v="17886.849999999999"/>
    <n v="17941.849999999999"/>
    <n v="17840.349999999999"/>
    <n v="17895.2"/>
    <n v="324066351"/>
    <n v="22778.68"/>
    <n v="17621.772499999999"/>
    <n v="16985.868000000002"/>
    <s v="-"/>
    <n v="8.3500000000021828"/>
    <n v="4.6682339260418598E-4"/>
  </r>
  <r>
    <x v="191"/>
    <n v="17867.55"/>
    <n v="18041.95"/>
    <n v="17839.099999999999"/>
    <n v="17945.95"/>
    <n v="375756457"/>
    <n v="29000.2"/>
    <n v="17648.07"/>
    <n v="17029.583999999999"/>
    <s v="-"/>
    <n v="78.400000000001455"/>
    <n v="4.3878427652365021E-3"/>
  </r>
  <r>
    <x v="192"/>
    <n v="17915.8"/>
    <n v="18008.650000000001"/>
    <n v="17864.95"/>
    <n v="17991.95"/>
    <n v="355568313"/>
    <n v="26491.42"/>
    <n v="17677.602500000001"/>
    <n v="17072.933999999997"/>
    <s v="-"/>
    <n v="76.150000000001455"/>
    <n v="4.2504381607297165E-3"/>
  </r>
  <r>
    <x v="193"/>
    <n v="18097.849999999999"/>
    <n v="18197.8"/>
    <n v="18050.75"/>
    <n v="18161.75"/>
    <n v="506679748"/>
    <n v="34503"/>
    <n v="17708.2"/>
    <n v="17117.511999999999"/>
    <s v="-"/>
    <n v="63.900000000001455"/>
    <n v="3.5308061454814499E-3"/>
  </r>
  <r>
    <x v="194"/>
    <n v="18272.849999999999"/>
    <n v="18350.75"/>
    <n v="18248.7"/>
    <n v="18338.55"/>
    <n v="538714440"/>
    <n v="38903.160000000003"/>
    <n v="17740.314999999999"/>
    <n v="17163.043999999998"/>
    <s v="-"/>
    <n v="65.700000000000728"/>
    <n v="3.5954982391909708E-3"/>
  </r>
  <r>
    <x v="195"/>
    <n v="18500.099999999999"/>
    <n v="18543.150000000001"/>
    <n v="18445.3"/>
    <n v="18477.05"/>
    <n v="469883515"/>
    <n v="36800.839999999997"/>
    <n v="17775.767499999998"/>
    <n v="17207.2"/>
    <s v="-"/>
    <n v="-23.049999999999272"/>
    <n v="-1.2459392111393601E-3"/>
  </r>
  <r>
    <x v="196"/>
    <n v="18602.349999999999"/>
    <n v="18604.45"/>
    <n v="18377.7"/>
    <n v="18418.75"/>
    <n v="368230309"/>
    <n v="30505.86"/>
    <n v="17820.362499999996"/>
    <n v="17251.564999999999"/>
    <s v="-"/>
    <n v="-183.59999999999854"/>
    <n v="-9.8697207610865586E-3"/>
  </r>
  <r>
    <x v="197"/>
    <n v="18439.900000000001"/>
    <n v="18458.3"/>
    <n v="18209.349999999999"/>
    <n v="18266.599999999999"/>
    <n v="371276478"/>
    <n v="28968.42"/>
    <n v="17871.454999999998"/>
    <n v="17294.047999999999"/>
    <s v="-"/>
    <n v="-173.30000000000291"/>
    <n v="-9.3980986881709166E-3"/>
  </r>
  <r>
    <x v="198"/>
    <n v="18382.7"/>
    <n v="18384.2"/>
    <n v="18048"/>
    <n v="18178.099999999999"/>
    <n v="365902008"/>
    <n v="30839.79"/>
    <n v="17906.684999999998"/>
    <n v="17334.615999999998"/>
    <s v="-"/>
    <n v="-204.60000000000218"/>
    <n v="-1.1130029865036266E-2"/>
  </r>
  <r>
    <x v="199"/>
    <n v="18230.7"/>
    <n v="18314.25"/>
    <n v="18034.349999999999"/>
    <n v="18114.900000000001"/>
    <n v="324748084"/>
    <n v="26938.880000000001"/>
    <n v="17938.2575"/>
    <n v="17373.012999999999"/>
    <s v="-"/>
    <n v="-115.79999999999927"/>
    <n v="-6.3519228554032086E-3"/>
  </r>
  <r>
    <x v="200"/>
    <n v="18229.5"/>
    <n v="18241.400000000001"/>
    <n v="17968.5"/>
    <n v="18125.400000000001"/>
    <n v="418703647"/>
    <n v="34572.339999999997"/>
    <n v="17952.855000000003"/>
    <n v="17409.709000000003"/>
    <n v="15675.584750000004"/>
    <n v="-104.09999999999854"/>
    <n v="-5.7105241504154551E-3"/>
  </r>
  <r>
    <x v="201"/>
    <n v="18154.5"/>
    <n v="18310.45"/>
    <n v="18099.3"/>
    <n v="18268.400000000001"/>
    <n v="341377869"/>
    <n v="29764.61"/>
    <n v="17966.465000000004"/>
    <n v="17446.572"/>
    <n v="15696.119250000003"/>
    <n v="113.90000000000146"/>
    <n v="6.2739265746785348E-3"/>
  </r>
  <r>
    <x v="202"/>
    <n v="18295.849999999999"/>
    <n v="18342.05"/>
    <n v="18167.900000000001"/>
    <n v="18210.95"/>
    <n v="335248487"/>
    <n v="30823.75"/>
    <n v="17987.13"/>
    <n v="17484.652000000006"/>
    <n v="15716.796750000003"/>
    <n v="-84.899999999997817"/>
    <n v="-4.6403965926698036E-3"/>
  </r>
  <r>
    <x v="203"/>
    <n v="18187.650000000001"/>
    <n v="18190.7"/>
    <n v="17799.45"/>
    <n v="17857.25"/>
    <n v="374205784"/>
    <n v="30222.34"/>
    <n v="18010.247500000005"/>
    <n v="17518.289000000001"/>
    <n v="15736.854000000003"/>
    <n v="-330.40000000000146"/>
    <n v="-1.8166173199946196E-2"/>
  </r>
  <r>
    <x v="204"/>
    <n v="17833.05"/>
    <n v="17915.849999999999"/>
    <n v="17613.099999999999"/>
    <n v="17671.650000000001"/>
    <n v="336466864"/>
    <n v="28136"/>
    <n v="18017.545000000006"/>
    <n v="17544.172999999999"/>
    <n v="15755.409000000003"/>
    <n v="-161.39999999999782"/>
    <n v="-9.050611084475052E-3"/>
  </r>
  <r>
    <x v="205"/>
    <n v="17783.150000000001"/>
    <n v="17954.099999999999"/>
    <n v="17697.099999999999"/>
    <n v="17929.650000000001"/>
    <n v="281190130"/>
    <n v="24354.38"/>
    <n v="18020.220000000005"/>
    <n v="17565.314000000002"/>
    <n v="15773.080500000004"/>
    <n v="146.5"/>
    <n v="8.2381355384169835E-3"/>
  </r>
  <r>
    <x v="206"/>
    <n v="17970.900000000001"/>
    <n v="18012.25"/>
    <n v="17847.599999999999"/>
    <n v="17888.95"/>
    <n v="296441997"/>
    <n v="23371.51"/>
    <n v="18040.100000000002"/>
    <n v="17592.53"/>
    <n v="15790.992500000002"/>
    <n v="-81.950000000000728"/>
    <n v="-4.5601500203106531E-3"/>
  </r>
  <r>
    <x v="207"/>
    <n v="17947.95"/>
    <n v="17988.75"/>
    <n v="17757.95"/>
    <n v="17829.2"/>
    <n v="330995982"/>
    <n v="26186.85"/>
    <n v="18049.985000000004"/>
    <n v="17621.298999999999"/>
    <n v="15808.013500000003"/>
    <n v="-118.75"/>
    <n v="-6.6163545140252786E-3"/>
  </r>
  <r>
    <x v="208"/>
    <n v="17935.05"/>
    <n v="17947.55"/>
    <n v="17900.599999999999"/>
    <n v="17916.8"/>
    <n v="48520856"/>
    <n v="3637.06"/>
    <n v="18050.330000000002"/>
    <n v="17647.953999999998"/>
    <n v="15824.342250000005"/>
    <n v="-18.25"/>
    <n v="-1.0175605866724654E-3"/>
  </r>
  <r>
    <x v="209"/>
    <n v="18040.2"/>
    <n v="18087.8"/>
    <n v="17836.099999999999"/>
    <n v="18068.55"/>
    <n v="338919483"/>
    <n v="30908.23"/>
    <n v="18063.870000000003"/>
    <n v="17673.797999999999"/>
    <n v="15841.102000000004"/>
    <n v="28.349999999998545"/>
    <n v="1.5714903382445064E-3"/>
  </r>
  <r>
    <x v="210"/>
    <n v="18084.349999999999"/>
    <n v="18112.599999999999"/>
    <n v="17983.05"/>
    <n v="18044.25"/>
    <n v="270197527"/>
    <n v="23686.09"/>
    <n v="18077.780000000002"/>
    <n v="17702.476000000002"/>
    <n v="15858.466750000003"/>
    <n v="-40.099999999998545"/>
    <n v="-2.2173868565913924E-3"/>
  </r>
  <r>
    <x v="211"/>
    <n v="17973.45"/>
    <n v="18061.25"/>
    <n v="17915"/>
    <n v="18017.2"/>
    <n v="261446523"/>
    <n v="22281.11"/>
    <n v="18085.232500000002"/>
    <n v="17730.623"/>
    <n v="15876.519500000002"/>
    <n v="43.75"/>
    <n v="2.4341459207887187E-3"/>
  </r>
  <r>
    <x v="212"/>
    <n v="17967.45"/>
    <n v="17971.349999999999"/>
    <n v="17798.2"/>
    <n v="17873.599999999999"/>
    <n v="232121151"/>
    <n v="20074.78"/>
    <n v="18088.794999999998"/>
    <n v="17756.862999999998"/>
    <n v="15895.199000000004"/>
    <n v="-93.850000000002183"/>
    <n v="-5.2233344186293643E-3"/>
  </r>
  <r>
    <x v="213"/>
    <n v="17977.599999999999"/>
    <n v="18123"/>
    <n v="17905.900000000001"/>
    <n v="18102.75"/>
    <n v="249111898"/>
    <n v="22164.33"/>
    <n v="18082.877499999999"/>
    <n v="17775.714"/>
    <n v="15911.961250000004"/>
    <n v="125.15000000000146"/>
    <n v="6.9614409042364645E-3"/>
  </r>
  <r>
    <x v="214"/>
    <n v="18140.95"/>
    <n v="18210.150000000001"/>
    <n v="18071.3"/>
    <n v="18109.45"/>
    <n v="280428633"/>
    <n v="19099.599999999999"/>
    <n v="18079.927499999998"/>
    <n v="17795.125"/>
    <n v="15929.251500000004"/>
    <n v="-31.5"/>
    <n v="-1.7364029998428968E-3"/>
  </r>
  <r>
    <x v="215"/>
    <n v="18127.05"/>
    <n v="18132.650000000001"/>
    <n v="17958.8"/>
    <n v="17999.2"/>
    <n v="267431829"/>
    <n v="24101.67"/>
    <n v="18068.4725"/>
    <n v="17815.789000000001"/>
    <n v="15946.847000000003"/>
    <n v="-127.84999999999854"/>
    <n v="-7.0529953853494393E-3"/>
  </r>
  <r>
    <x v="216"/>
    <n v="17939.349999999999"/>
    <n v="18022.650000000001"/>
    <n v="17879.25"/>
    <n v="17898.650000000001"/>
    <n v="295715938"/>
    <n v="22950.84"/>
    <n v="18044.579999999998"/>
    <n v="17831.089999999997"/>
    <n v="15964.983500000006"/>
    <n v="-40.69999999999709"/>
    <n v="-2.2687555569180094E-3"/>
  </r>
  <r>
    <x v="217"/>
    <n v="17890.55"/>
    <n v="17945.599999999999"/>
    <n v="17688.5"/>
    <n v="17764.8"/>
    <n v="278425148"/>
    <n v="22625.360000000001"/>
    <n v="18018.575000000001"/>
    <n v="17842.590999999997"/>
    <n v="15983.282250000006"/>
    <n v="-125.75"/>
    <n v="-7.0288504266218764E-3"/>
  </r>
  <r>
    <x v="218"/>
    <n v="17796.25"/>
    <n v="17805.25"/>
    <n v="17280.45"/>
    <n v="17416.55"/>
    <n v="356400425"/>
    <n v="29570.57"/>
    <n v="17993.485000000001"/>
    <n v="17850.330999999998"/>
    <n v="16002.268750000005"/>
    <n v="-379.70000000000073"/>
    <n v="-2.1335955608625452E-2"/>
  </r>
  <r>
    <x v="219"/>
    <n v="17281.75"/>
    <n v="17553.7"/>
    <n v="17216.099999999999"/>
    <n v="17503.349999999999"/>
    <n v="308843255"/>
    <n v="26240.41"/>
    <n v="17955.407500000001"/>
    <n v="17851.419999999998"/>
    <n v="16020.263750000006"/>
    <n v="221.59999999999854"/>
    <n v="1.282277547123402E-2"/>
  </r>
  <r>
    <x v="220"/>
    <n v="17550.05"/>
    <n v="17600.599999999999"/>
    <n v="17354"/>
    <n v="17415.05"/>
    <n v="298052158"/>
    <n v="23766.93"/>
    <n v="17924.829999999998"/>
    <n v="17854.416999999998"/>
    <n v="16039.607500000006"/>
    <n v="-135"/>
    <n v="-7.6922857769635986E-3"/>
  </r>
  <r>
    <x v="221"/>
    <n v="17417.3"/>
    <n v="17564.349999999999"/>
    <n v="17351.7"/>
    <n v="17536.25"/>
    <n v="255947032"/>
    <n v="21953.33"/>
    <n v="17889.312499999996"/>
    <n v="17855.332999999999"/>
    <n v="16055.276750000003"/>
    <n v="118.95000000000073"/>
    <n v="6.8294167293438558E-3"/>
  </r>
  <r>
    <x v="222"/>
    <n v="17338.75"/>
    <n v="17355.400000000001"/>
    <n v="16985.7"/>
    <n v="17026.45"/>
    <n v="356330009"/>
    <n v="28485.53"/>
    <n v="17852.704999999998"/>
    <n v="17858.952000000001"/>
    <n v="16069.718750000002"/>
    <n v="-312.29999999999927"/>
    <n v="-1.8011679042606837E-2"/>
  </r>
  <r>
    <x v="223"/>
    <n v="17055.8"/>
    <n v="17160.7"/>
    <n v="16782.400000000001"/>
    <n v="17053.95"/>
    <n v="348888750"/>
    <n v="27428.2"/>
    <n v="17793.48"/>
    <n v="17851.880999999998"/>
    <n v="16080.901250000004"/>
    <n v="-1.8499999999985448"/>
    <n v="-1.0846750079143429E-4"/>
  </r>
  <r>
    <x v="224"/>
    <n v="17051.150000000001"/>
    <n v="17324.650000000001"/>
    <n v="16931.400000000001"/>
    <n v="16983.2"/>
    <n v="497999836"/>
    <n v="41494.9"/>
    <n v="17753.314999999999"/>
    <n v="17842.571"/>
    <n v="16091.692750000006"/>
    <n v="-67.950000000000728"/>
    <n v="-3.9850684557933462E-3"/>
  </r>
  <r>
    <x v="225"/>
    <n v="17104.400000000001"/>
    <n v="17213.05"/>
    <n v="17064.25"/>
    <n v="17166.900000000001"/>
    <n v="295542125"/>
    <n v="24098.73"/>
    <n v="17718.892500000002"/>
    <n v="17829.644999999997"/>
    <n v="16101.987500000005"/>
    <n v="62.5"/>
    <n v="3.6540305418488808E-3"/>
  </r>
  <r>
    <x v="226"/>
    <n v="17183.2"/>
    <n v="17420.349999999999"/>
    <n v="17149.3"/>
    <n v="17401.650000000001"/>
    <n v="279867500"/>
    <n v="22473.64"/>
    <n v="17680.755000000001"/>
    <n v="17821.28"/>
    <n v="16112.243000000006"/>
    <n v="218.45000000000073"/>
    <n v="1.271299874295828E-2"/>
  </r>
  <r>
    <x v="227"/>
    <n v="17424.900000000001"/>
    <n v="17489.8"/>
    <n v="17180.8"/>
    <n v="17196.7"/>
    <n v="292526485"/>
    <n v="23100.57"/>
    <n v="17656.390000000007"/>
    <n v="17821.375"/>
    <n v="16123.704750000003"/>
    <n v="-228.20000000000073"/>
    <n v="-1.3096201412920632E-2"/>
  </r>
  <r>
    <x v="228"/>
    <n v="17209.05"/>
    <n v="17216.75"/>
    <n v="16891.7"/>
    <n v="16912.25"/>
    <n v="231716681"/>
    <n v="17912.150000000001"/>
    <n v="17624.765000000003"/>
    <n v="17814.069"/>
    <n v="16134.155750000004"/>
    <n v="-296.79999999999927"/>
    <n v="-1.7246739360975726E-2"/>
  </r>
  <r>
    <x v="229"/>
    <n v="17044.099999999999"/>
    <n v="17251.650000000001"/>
    <n v="16987.75"/>
    <n v="17176.7"/>
    <n v="254144221"/>
    <n v="21693.69"/>
    <n v="17574.537500000002"/>
    <n v="17801.381000000001"/>
    <n v="16142.850500000006"/>
    <n v="132.60000000000218"/>
    <n v="7.7798182362226343E-3"/>
  </r>
  <r>
    <x v="230"/>
    <n v="17315.25"/>
    <n v="17484.599999999999"/>
    <n v="17308.95"/>
    <n v="17469.75"/>
    <n v="257791948"/>
    <n v="21665.95"/>
    <n v="17529.945"/>
    <n v="17788.455999999998"/>
    <n v="16152.917500000005"/>
    <n v="154.5"/>
    <n v="8.9227703902629192E-3"/>
  </r>
  <r>
    <x v="231"/>
    <n v="17524.400000000001"/>
    <n v="17543.25"/>
    <n v="17379.599999999999"/>
    <n v="17516.849999999999"/>
    <n v="237170272"/>
    <n v="18984.75"/>
    <n v="17501.220000000005"/>
    <n v="17780.787"/>
    <n v="16163.692750000004"/>
    <n v="-7.5500000000029104"/>
    <n v="-4.3082787427831538E-4"/>
  </r>
  <r>
    <x v="232"/>
    <n v="17476.05"/>
    <n v="17534.349999999999"/>
    <n v="17405.25"/>
    <n v="17511.3"/>
    <n v="204467484"/>
    <n v="16399.53"/>
    <n v="17476.202500000003"/>
    <n v="17774.021999999997"/>
    <n v="16174.709750000005"/>
    <n v="35.25"/>
    <n v="2.0170461860660733E-3"/>
  </r>
  <r>
    <x v="233"/>
    <n v="17619.099999999999"/>
    <n v="17639.5"/>
    <n v="17355.95"/>
    <n v="17368.25"/>
    <n v="256560534"/>
    <n v="20592.03"/>
    <n v="17458.087500000001"/>
    <n v="17769.276000000002"/>
    <n v="16186.221750000002"/>
    <n v="-250.84999999999854"/>
    <n v="-1.4237390105056364E-2"/>
  </r>
  <r>
    <x v="234"/>
    <n v="17283.2"/>
    <n v="17376.2"/>
    <n v="17225.8"/>
    <n v="17324.900000000001"/>
    <n v="270965586"/>
    <n v="20459.79"/>
    <n v="17421.362499999999"/>
    <n v="17762.415000000001"/>
    <n v="16197.468250000004"/>
    <n v="41.700000000000728"/>
    <n v="2.4127476393260927E-3"/>
  </r>
  <r>
    <x v="235"/>
    <n v="17323.650000000001"/>
    <n v="17351.2"/>
    <n v="17192.2"/>
    <n v="17221.400000000001"/>
    <n v="214972109"/>
    <n v="17046.419999999998"/>
    <n v="17382.135000000002"/>
    <n v="17756.55"/>
    <n v="16209.184000000007"/>
    <n v="-102.25"/>
    <n v="-5.902335824147913E-3"/>
  </r>
  <r>
    <x v="236"/>
    <n v="17373"/>
    <n v="17379.349999999999"/>
    <n v="17184.95"/>
    <n v="17248.400000000001"/>
    <n v="219496063"/>
    <n v="18493.54"/>
    <n v="17343.245000000003"/>
    <n v="17750.337000000003"/>
    <n v="16221.912500000004"/>
    <n v="-124.59999999999854"/>
    <n v="-7.1720485811315573E-3"/>
  </r>
  <r>
    <x v="237"/>
    <n v="17276"/>
    <n v="17298.150000000001"/>
    <n v="16966.45"/>
    <n v="16985.2"/>
    <n v="354591366"/>
    <n v="31326.91"/>
    <n v="17310.732500000006"/>
    <n v="17741.480000000003"/>
    <n v="16234.615500000005"/>
    <n v="-290.79999999999927"/>
    <n v="-1.6832600138921003E-2"/>
  </r>
  <r>
    <x v="238"/>
    <n v="16824.25"/>
    <n v="16840.099999999999"/>
    <n v="16410.2"/>
    <n v="16614.2"/>
    <n v="330614079"/>
    <n v="25123.59"/>
    <n v="17271.752500000006"/>
    <n v="17724.738000000001"/>
    <n v="16244.631500000007"/>
    <n v="-210.04999999999927"/>
    <n v="-1.2484954752812118E-2"/>
  </r>
  <r>
    <x v="239"/>
    <n v="16773.150000000001"/>
    <n v="16936.400000000001"/>
    <n v="16688.25"/>
    <n v="16770.849999999999"/>
    <n v="241030834"/>
    <n v="19783.04"/>
    <n v="17231.635000000002"/>
    <n v="17704.101999999999"/>
    <n v="16252.215750000005"/>
    <n v="-2.3000000000029104"/>
    <n v="-1.3712391530528912E-4"/>
  </r>
  <r>
    <x v="240"/>
    <n v="16865.55"/>
    <n v="16971"/>
    <n v="16819.5"/>
    <n v="16955.45"/>
    <n v="207946105"/>
    <n v="17443.939999999999"/>
    <n v="17195.010000000002"/>
    <n v="17683.711999999996"/>
    <n v="16263.424250000004"/>
    <n v="89.900000000001455"/>
    <n v="5.3303924271667072E-3"/>
  </r>
  <r>
    <x v="241"/>
    <n v="17066.8"/>
    <n v="17118.650000000001"/>
    <n v="17015.55"/>
    <n v="17072.599999999999"/>
    <n v="196965302"/>
    <n v="15755.89"/>
    <n v="17172.03"/>
    <n v="17664.916999999994"/>
    <n v="16274.393750000005"/>
    <n v="5.7999999999992724"/>
    <n v="3.3984109499140278E-4"/>
  </r>
  <r>
    <x v="242"/>
    <n v="17149.5"/>
    <n v="17155.599999999999"/>
    <n v="16909.599999999999"/>
    <n v="17003.75"/>
    <n v="182564833"/>
    <n v="15435.01"/>
    <n v="17148.847499999996"/>
    <n v="17647.449999999993"/>
    <n v="16285.161250000005"/>
    <n v="-145.75"/>
    <n v="-8.4987900521881106E-3"/>
  </r>
  <r>
    <x v="243"/>
    <n v="16937.75"/>
    <n v="17112.05"/>
    <n v="16833.2"/>
    <n v="17086.25"/>
    <n v="144777457"/>
    <n v="12567.03"/>
    <n v="17147.712499999998"/>
    <n v="17627.685999999994"/>
    <n v="16293.952000000005"/>
    <n v="148.5"/>
    <n v="8.7673982671842478E-3"/>
  </r>
  <r>
    <x v="244"/>
    <n v="17177.599999999999"/>
    <n v="17250.25"/>
    <n v="17161.150000000001"/>
    <n v="17233.25"/>
    <n v="176026100"/>
    <n v="14553.76"/>
    <n v="17149.327499999999"/>
    <n v="17606.175999999996"/>
    <n v="16303.979500000007"/>
    <n v="55.650000000001455"/>
    <n v="3.2396842399404725E-3"/>
  </r>
  <r>
    <x v="245"/>
    <n v="17220.099999999999"/>
    <n v="17285.95"/>
    <n v="17176.650000000001"/>
    <n v="17213.599999999999"/>
    <n v="161679423"/>
    <n v="14320.79"/>
    <n v="17161.829999999998"/>
    <n v="17584.069999999996"/>
    <n v="16315.455250000006"/>
    <n v="-6.5"/>
    <n v="-3.7746586837474814E-4"/>
  </r>
  <r>
    <x v="246"/>
    <n v="17201.45"/>
    <n v="17264.05"/>
    <n v="17146.349999999999"/>
    <n v="17203.95"/>
    <n v="320831676"/>
    <n v="21929.19"/>
    <n v="17164.165000000001"/>
    <n v="17558.800999999996"/>
    <n v="16326.742250000005"/>
    <n v="2.5"/>
    <n v="1.4533658499719501E-4"/>
  </r>
  <r>
    <x v="247"/>
    <n v="17244.5"/>
    <n v="17400.8"/>
    <n v="17238.5"/>
    <n v="17354.05"/>
    <n v="167025720"/>
    <n v="14588.54"/>
    <n v="17154.280000000002"/>
    <n v="17534.504999999994"/>
    <n v="16337.270000000004"/>
    <n v="109.54999999999927"/>
    <n v="6.3527501522224056E-3"/>
  </r>
  <r>
    <x v="248"/>
    <n v="17387.150000000001"/>
    <n v="17646.650000000001"/>
    <n v="17383.3"/>
    <n v="17625.7"/>
    <n v="200456430"/>
    <n v="16181.36"/>
    <n v="17162.147499999999"/>
    <n v="17516.253999999997"/>
    <n v="16348.166250000002"/>
    <n v="238.54999999999927"/>
    <n v="1.3719902341671824E-2"/>
  </r>
  <r>
    <x v="249"/>
    <n v="17681.400000000001"/>
    <n v="17827.599999999999"/>
    <n v="17593.55"/>
    <n v="17805.25"/>
    <n v="247437472"/>
    <n v="18604.16"/>
    <n v="17197.82"/>
    <n v="17505.205999999998"/>
    <n v="16361.140000000003"/>
    <n v="123.84999999999854"/>
    <n v="7.0045358399220955E-3"/>
  </r>
  <r>
    <x v="250"/>
    <n v="17820.099999999999"/>
    <n v="17944.7"/>
    <n v="17748.849999999999"/>
    <n v="17925.25"/>
    <n v="251460038"/>
    <n v="23737.31"/>
    <n v="17229.247500000001"/>
    <n v="17499.012999999999"/>
    <n v="16375.518750000005"/>
    <n v="105.15000000000146"/>
    <n v="5.9006402882139531E-3"/>
  </r>
  <r>
    <x v="251"/>
    <n v="17768.5"/>
    <n v="17797.95"/>
    <n v="17655.55"/>
    <n v="17745.900000000001"/>
    <n v="236454824"/>
    <n v="22643.82"/>
    <n v="17252.022499999999"/>
    <n v="17495.009999999998"/>
    <n v="16390.592750000003"/>
    <n v="-22.599999999998545"/>
    <n v="-1.2719137800038577E-3"/>
  </r>
  <r>
    <x v="252"/>
    <n v="17797.599999999999"/>
    <n v="17905"/>
    <n v="17704.55"/>
    <n v="17812.7"/>
    <n v="239338015"/>
    <n v="21447.89"/>
    <n v="17263.475000000002"/>
    <n v="17484.560000000001"/>
    <n v="16405.715750000003"/>
    <n v="15.100000000002183"/>
    <n v="8.4842900166326831E-4"/>
  </r>
  <r>
    <x v="253"/>
    <n v="17913.3"/>
    <n v="18017.45"/>
    <n v="17879.150000000001"/>
    <n v="18003.3"/>
    <n v="232418075"/>
    <n v="20853.64"/>
    <n v="17278.545000000006"/>
    <n v="17476.594999999998"/>
    <n v="16421.990000000005"/>
    <n v="90"/>
    <n v="5.024199896166536E-3"/>
  </r>
  <r>
    <x v="254"/>
    <n v="17997.75"/>
    <n v="18081.25"/>
    <n v="17964.400000000001"/>
    <n v="18055.75"/>
    <n v="220238796"/>
    <n v="20781.46"/>
    <n v="17310.297500000004"/>
    <n v="17479.516"/>
    <n v="16438.286500000006"/>
    <n v="58"/>
    <n v="3.2226250503535163E-3"/>
  </r>
  <r>
    <x v="255"/>
    <n v="18170.400000000001"/>
    <n v="18227.95"/>
    <n v="18128.8"/>
    <n v="18212.349999999999"/>
    <n v="244974287"/>
    <n v="22298.69"/>
    <n v="17346.840000000004"/>
    <n v="17487.197999999997"/>
    <n v="16454.883250000003"/>
    <n v="41.94999999999709"/>
    <n v="2.3086998635141265E-3"/>
  </r>
  <r>
    <x v="256"/>
    <n v="18257"/>
    <n v="18272.25"/>
    <n v="18163.8"/>
    <n v="18257.8"/>
    <n v="303700545"/>
    <n v="28670.93"/>
    <n v="17396.387500000001"/>
    <n v="17492.851999999999"/>
    <n v="16471.871250000004"/>
    <n v="0.7999999999992724"/>
    <n v="4.3818809223819491E-5"/>
  </r>
  <r>
    <x v="257"/>
    <n v="18185"/>
    <n v="18286.95"/>
    <n v="18119.650000000001"/>
    <n v="18255.75"/>
    <n v="229451608"/>
    <n v="21024.51"/>
    <n v="17446.857499999998"/>
    <n v="17500.228999999999"/>
    <n v="16490.413250000005"/>
    <n v="70.75"/>
    <n v="3.89056915039868E-3"/>
  </r>
  <r>
    <x v="258"/>
    <n v="18235.650000000001"/>
    <n v="18321.55"/>
    <n v="18228.75"/>
    <n v="18308.099999999999"/>
    <n v="266702919"/>
    <n v="23859.38"/>
    <n v="17510.385000000002"/>
    <n v="17508.759999999998"/>
    <n v="16510.067500000005"/>
    <n v="72.44999999999709"/>
    <n v="3.9729869788023503E-3"/>
  </r>
  <r>
    <x v="259"/>
    <n v="18337.2"/>
    <n v="18350.95"/>
    <n v="18085.900000000001"/>
    <n v="18113.05"/>
    <n v="227507319"/>
    <n v="20852.669999999998"/>
    <n v="17595.079999999994"/>
    <n v="17516.585999999999"/>
    <n v="16529.071500000005"/>
    <n v="-224.15000000000146"/>
    <n v="-1.2223785528870353E-2"/>
  </r>
  <r>
    <x v="260"/>
    <n v="18129.2"/>
    <n v="18129.2"/>
    <n v="17884.900000000001"/>
    <n v="17938.400000000001"/>
    <n v="276662654"/>
    <n v="25310.19"/>
    <n v="17662.189999999995"/>
    <n v="17517.476000000002"/>
    <n v="16545.411250000005"/>
    <n v="-190.79999999999927"/>
    <n v="-1.0524457780817646E-2"/>
  </r>
  <r>
    <x v="261"/>
    <n v="17921"/>
    <n v="17943.7"/>
    <n v="17648.45"/>
    <n v="17757"/>
    <n v="258094246"/>
    <n v="25863.29"/>
    <n v="17711.337500000001"/>
    <n v="17515.359000000004"/>
    <n v="16561.649750000004"/>
    <n v="-164"/>
    <n v="-9.1512750404553322E-3"/>
  </r>
  <r>
    <x v="262"/>
    <n v="17613.7"/>
    <n v="17707.599999999999"/>
    <n v="17485.849999999999"/>
    <n v="17617.150000000001"/>
    <n v="277645373"/>
    <n v="25941.64"/>
    <n v="17745.557499999999"/>
    <n v="17510.155000000002"/>
    <n v="16576.098000000002"/>
    <n v="3.4500000000007276"/>
    <n v="1.958702600816823E-4"/>
  </r>
  <r>
    <x v="263"/>
    <n v="17575.150000000001"/>
    <n v="17599.400000000001"/>
    <n v="16997.849999999999"/>
    <n v="17149.099999999999"/>
    <n v="323847388"/>
    <n v="28387.73"/>
    <n v="17776.227500000001"/>
    <n v="17505.026000000002"/>
    <n v="16590.994750000002"/>
    <n v="-426.05000000000291"/>
    <n v="-2.4241613869583067E-2"/>
  </r>
  <r>
    <x v="264"/>
    <n v="17001.55"/>
    <n v="17309.150000000001"/>
    <n v="16836.8"/>
    <n v="17277.95"/>
    <n v="326515896"/>
    <n v="31344.46"/>
    <n v="17779.370000000003"/>
    <n v="17485.953000000001"/>
    <n v="16603.322750000003"/>
    <n v="276.40000000000146"/>
    <n v="1.6257341242416221E-2"/>
  </r>
  <r>
    <x v="265"/>
    <n v="17062"/>
    <n v="17182.5"/>
    <n v="16866.75"/>
    <n v="17110.150000000001"/>
    <n v="395596577"/>
    <n v="36296.639999999999"/>
    <n v="17781.605000000003"/>
    <n v="17469.323"/>
    <n v="16615.617250000003"/>
    <n v="48.150000000001455"/>
    <n v="2.822060719728136E-3"/>
  </r>
  <r>
    <x v="266"/>
    <n v="17208.3"/>
    <n v="17373.5"/>
    <n v="17077.099999999999"/>
    <n v="17101.95"/>
    <n v="355284285"/>
    <n v="29799.89"/>
    <n v="17776.432500000003"/>
    <n v="17451.542000000001"/>
    <n v="16626.799000000003"/>
    <n v="-106.34999999999854"/>
    <n v="-6.1801572496991888E-3"/>
  </r>
  <r>
    <x v="267"/>
    <n v="17301.05"/>
    <n v="17410"/>
    <n v="17264.150000000001"/>
    <n v="17339.849999999999"/>
    <n v="321660346"/>
    <n v="25474.13"/>
    <n v="17771.3325"/>
    <n v="17435.608"/>
    <n v="16638.134500000004"/>
    <n v="38.799999999999272"/>
    <n v="2.2426384525794257E-3"/>
  </r>
  <r>
    <x v="268"/>
    <n v="17529.45"/>
    <n v="17622.400000000001"/>
    <n v="17244.55"/>
    <n v="17576.849999999999"/>
    <n v="386391485"/>
    <n v="30033.66"/>
    <n v="17770.622500000001"/>
    <n v="17427.109"/>
    <n v="16653.279750000005"/>
    <n v="47.399999999997817"/>
    <n v="2.7040209476051911E-3"/>
  </r>
  <r>
    <x v="269"/>
    <n v="17706.2"/>
    <n v="17794.599999999999"/>
    <n v="17674.8"/>
    <n v="17780"/>
    <n v="271205907"/>
    <n v="23611.59"/>
    <n v="17768.18"/>
    <n v="17430.314999999999"/>
    <n v="16668.640000000003"/>
    <n v="73.799999999999272"/>
    <n v="4.1680315369757069E-3"/>
  </r>
  <r>
    <x v="270"/>
    <n v="17767.75"/>
    <n v="17781.150000000001"/>
    <n v="17511.150000000001"/>
    <n v="17560.2"/>
    <n v="226614989"/>
    <n v="20373.060000000001"/>
    <n v="17766.9175"/>
    <n v="17435.848000000002"/>
    <n v="16684.632750000004"/>
    <n v="-207.54999999999927"/>
    <n v="-1.1681276470008823E-2"/>
  </r>
  <r>
    <x v="271"/>
    <n v="17590.2"/>
    <n v="17617.8"/>
    <n v="17462.55"/>
    <n v="17516.3"/>
    <n v="261434170"/>
    <n v="20651.849999999999"/>
    <n v="17748.665000000001"/>
    <n v="17438.750999999997"/>
    <n v="16699.34450000001"/>
    <n v="-73.900000000001455"/>
    <n v="-4.2012029425476374E-3"/>
  </r>
  <r>
    <x v="272"/>
    <n v="17456.3"/>
    <n v="17536.75"/>
    <n v="17119.400000000001"/>
    <n v="17213.599999999999"/>
    <n v="265037933"/>
    <n v="21925.11"/>
    <n v="17737.184999999998"/>
    <n v="17438.351999999999"/>
    <n v="16715.128750000007"/>
    <n v="-242.70000000000073"/>
    <n v="-1.3903289929710233E-2"/>
  </r>
  <r>
    <x v="273"/>
    <n v="17279.849999999999"/>
    <n v="17306.45"/>
    <n v="17043.650000000001"/>
    <n v="17266.75"/>
    <n v="268526210"/>
    <n v="23846.16"/>
    <n v="17707.23"/>
    <n v="17442.094999999998"/>
    <n v="16729.714750000006"/>
    <n v="-13.099999999998545"/>
    <n v="-7.5810843265413448E-4"/>
  </r>
  <r>
    <x v="274"/>
    <n v="17370.099999999999"/>
    <n v="17477.150000000001"/>
    <n v="17339"/>
    <n v="17463.8"/>
    <n v="236350514"/>
    <n v="19327.669999999998"/>
    <n v="17670.4025"/>
    <n v="17446.350999999999"/>
    <n v="16744.017750000006"/>
    <n v="93.700000000000728"/>
    <n v="5.3943270332353147E-3"/>
  </r>
  <r>
    <x v="275"/>
    <n v="17554.099999999999"/>
    <n v="17639.45"/>
    <n v="17427.150000000001"/>
    <n v="17605.849999999999"/>
    <n v="273606440"/>
    <n v="22210.93"/>
    <n v="17640.805"/>
    <n v="17455.963"/>
    <n v="16759.630000000005"/>
    <n v="51.75"/>
    <n v="2.948029235335335E-3"/>
  </r>
  <r>
    <x v="276"/>
    <n v="17451"/>
    <n v="17454.75"/>
    <n v="17303"/>
    <n v="17374.75"/>
    <n v="253141660"/>
    <n v="23230.82"/>
    <n v="17610.48"/>
    <n v="17464.741999999998"/>
    <n v="16775.234250000009"/>
    <n v="-76.25"/>
    <n v="-4.3693771130594236E-3"/>
  </r>
  <r>
    <x v="277"/>
    <n v="17076.150000000001"/>
    <n v="17099.5"/>
    <n v="16809.650000000001"/>
    <n v="16842.8"/>
    <n v="305510740"/>
    <n v="24976.16"/>
    <n v="17566.327499999999"/>
    <n v="17464.203999999998"/>
    <n v="16788.842750000007"/>
    <n v="-233.35000000000218"/>
    <n v="-1.3665258269574944E-2"/>
  </r>
  <r>
    <x v="278"/>
    <n v="16933.25"/>
    <n v="17375"/>
    <n v="16839.25"/>
    <n v="17352.45"/>
    <n v="298658142"/>
    <n v="24765.67"/>
    <n v="17495.68"/>
    <n v="17457.126"/>
    <n v="16798.734000000004"/>
    <n v="419.20000000000073"/>
    <n v="2.4756027342654287E-2"/>
  </r>
  <r>
    <x v="279"/>
    <n v="17408.45"/>
    <n v="17490.599999999999"/>
    <n v="17257.7"/>
    <n v="17322.2"/>
    <n v="244549223"/>
    <n v="21128.38"/>
    <n v="17447.897499999999"/>
    <n v="17465.93"/>
    <n v="16811.021750000004"/>
    <n v="-86.25"/>
    <n v="-4.9544904916865081E-3"/>
  </r>
  <r>
    <x v="280"/>
    <n v="17396.55"/>
    <n v="17442.900000000001"/>
    <n v="17235.849999999999"/>
    <n v="17304.599999999999"/>
    <n v="232136131"/>
    <n v="19381.259999999998"/>
    <n v="17408.355"/>
    <n v="17468.839999999997"/>
    <n v="16824.477250000007"/>
    <n v="-91.950000000000728"/>
    <n v="-5.2855307517870346E-3"/>
  </r>
  <r>
    <x v="281"/>
    <n v="17236.05"/>
    <n v="17380.8"/>
    <n v="17219.2"/>
    <n v="17276.3"/>
    <n v="189620888"/>
    <n v="16126.96"/>
    <n v="17376.665000000001"/>
    <n v="17465.536999999997"/>
    <n v="16837.829500000003"/>
    <n v="40.25"/>
    <n v="2.3352218170636543E-3"/>
  </r>
  <r>
    <x v="282"/>
    <n v="17192.25"/>
    <n v="17351.05"/>
    <n v="17070.7"/>
    <n v="17206.650000000001"/>
    <n v="215183301"/>
    <n v="18725.57"/>
    <n v="17352.629999999997"/>
    <n v="17460.725999999995"/>
    <n v="16851.728500000005"/>
    <n v="14.400000000001455"/>
    <n v="8.3758670331116958E-4"/>
  </r>
  <r>
    <x v="283"/>
    <n v="16847.95"/>
    <n v="17148.55"/>
    <n v="16843.8"/>
    <n v="17092.2"/>
    <n v="300131995"/>
    <n v="24040.84"/>
    <n v="17332.105"/>
    <n v="17454.632999999998"/>
    <n v="16864.672500000008"/>
    <n v="244.25"/>
    <n v="1.4497312729441859E-2"/>
  </r>
  <r>
    <x v="284"/>
    <n v="17194.5"/>
    <n v="17220.7"/>
    <n v="17027.849999999999"/>
    <n v="17063.25"/>
    <n v="200229631"/>
    <n v="17662.47"/>
    <n v="17329.260000000002"/>
    <n v="17449.111999999997"/>
    <n v="16876.509500000007"/>
    <n v="-131.25"/>
    <n v="-7.6332548198551863E-3"/>
  </r>
  <r>
    <x v="285"/>
    <n v="16548.900000000001"/>
    <n v="16705.25"/>
    <n v="16203.25"/>
    <n v="16247.95"/>
    <n v="457967874"/>
    <n v="36650.83"/>
    <n v="17318.525000000001"/>
    <n v="17443.878999999997"/>
    <n v="16887.710000000006"/>
    <n v="-300.95000000000073"/>
    <n v="-1.8185498734054874E-2"/>
  </r>
  <r>
    <x v="286"/>
    <n v="16515.650000000001"/>
    <n v="16748.8"/>
    <n v="16478.3"/>
    <n v="16658.400000000001"/>
    <n v="329780732"/>
    <n v="25743.77"/>
    <n v="17275.415000000001"/>
    <n v="17424.409999999996"/>
    <n v="16894.238000000005"/>
    <n v="142.75"/>
    <n v="8.6433170962087469E-3"/>
  </r>
  <r>
    <x v="287"/>
    <n v="16481.599999999999"/>
    <n v="16815.900000000001"/>
    <n v="16356.3"/>
    <n v="16793.900000000001"/>
    <n v="404214666"/>
    <n v="33831.57"/>
    <n v="17253.237500000003"/>
    <n v="17412.609999999997"/>
    <n v="16903.276250000006"/>
    <n v="312.30000000000291"/>
    <n v="1.8948403067663513E-2"/>
  </r>
  <r>
    <x v="288"/>
    <n v="16593.099999999999"/>
    <n v="16678.5"/>
    <n v="16478.650000000001"/>
    <n v="16605.95"/>
    <n v="517723542"/>
    <n v="39407.440000000002"/>
    <n v="17225.940000000002"/>
    <n v="17408.784"/>
    <n v="16913.763250000004"/>
    <n v="12.850000000002183"/>
    <n v="7.7441828229819526E-4"/>
  </r>
  <r>
    <x v="289"/>
    <n v="16723.2"/>
    <n v="16768.95"/>
    <n v="16442.95"/>
    <n v="16498.05"/>
    <n v="442068263"/>
    <n v="31413"/>
    <n v="17177.395000000004"/>
    <n v="17408.618999999995"/>
    <n v="16923.404000000006"/>
    <n v="-225.15000000000146"/>
    <n v="-1.3463332376578731E-2"/>
  </r>
  <r>
    <x v="290"/>
    <n v="16339.45"/>
    <n v="16456"/>
    <n v="16133.8"/>
    <n v="16245.35"/>
    <n v="456143040"/>
    <n v="34821.1"/>
    <n v="17113.297500000004"/>
    <n v="17403.162999999997"/>
    <n v="16931.278500000004"/>
    <n v="-94.100000000000364"/>
    <n v="-5.7590677776791976E-3"/>
  </r>
  <r>
    <x v="291"/>
    <n v="15867.95"/>
    <n v="15944.6"/>
    <n v="15711.45"/>
    <n v="15863.15"/>
    <n v="585403660"/>
    <n v="38038.75"/>
    <n v="17047.555"/>
    <n v="17388.960999999999"/>
    <n v="16936.964750000003"/>
    <n v="-4.8000000000010914"/>
    <n v="-3.0249654177137508E-4"/>
  </r>
  <r>
    <x v="292"/>
    <n v="15747.75"/>
    <n v="16028.75"/>
    <n v="15671.45"/>
    <n v="16013.45"/>
    <n v="543600673"/>
    <n v="38704.400000000001"/>
    <n v="16964.897499999999"/>
    <n v="17364.772000000001"/>
    <n v="16941.129750000004"/>
    <n v="265.70000000000073"/>
    <n v="1.6872251591497245E-2"/>
  </r>
  <r>
    <x v="293"/>
    <n v="16078"/>
    <n v="16418.05"/>
    <n v="15990"/>
    <n v="16345.35"/>
    <n v="462231428"/>
    <n v="35329.339999999997"/>
    <n v="16904.89"/>
    <n v="17344.966"/>
    <n v="16946.666750000004"/>
    <n v="267.35000000000036"/>
    <n v="1.66283119791019E-2"/>
  </r>
  <r>
    <x v="294"/>
    <n v="16757.099999999999"/>
    <n v="16757.3"/>
    <n v="16447.900000000001"/>
    <n v="16594.900000000001"/>
    <n v="486445481"/>
    <n v="35513.730000000003"/>
    <n v="16858.82"/>
    <n v="17330.147999999997"/>
    <n v="16952.517000000007"/>
    <n v="-162.19999999999709"/>
    <n v="-9.6794791461528012E-3"/>
  </r>
  <r>
    <x v="295"/>
    <n v="16528.8"/>
    <n v="16694.400000000001"/>
    <n v="16470.900000000001"/>
    <n v="16630.45"/>
    <n v="343717045"/>
    <n v="24720.34"/>
    <n v="16815.375000000004"/>
    <n v="17317.380999999998"/>
    <n v="16959.503000000008"/>
    <n v="101.65000000000146"/>
    <n v="6.1498717390253048E-3"/>
  </r>
  <r>
    <x v="296"/>
    <n v="16633.7"/>
    <n v="16887.95"/>
    <n v="16606.5"/>
    <n v="16871.3"/>
    <n v="314669685"/>
    <n v="23824.02"/>
    <n v="16766.605000000003"/>
    <n v="17305.717999999997"/>
    <n v="16966.613000000008"/>
    <n v="237.59999999999854"/>
    <n v="1.4284254254916137E-2"/>
  </r>
  <r>
    <x v="297"/>
    <n v="16900.650000000001"/>
    <n v="16927.75"/>
    <n v="16555"/>
    <n v="16663"/>
    <n v="381631902"/>
    <n v="29731.09"/>
    <n v="16741.432500000003"/>
    <n v="17299.064999999995"/>
    <n v="16974.462250000008"/>
    <n v="-237.65000000000146"/>
    <n v="-1.4061589347155371E-2"/>
  </r>
  <r>
    <x v="298"/>
    <n v="16876.650000000001"/>
    <n v="16987.900000000001"/>
    <n v="16837.849999999999"/>
    <n v="16975.349999999999"/>
    <n v="259973396"/>
    <n v="21361.32"/>
    <n v="16732.442500000001"/>
    <n v="17285.243999999995"/>
    <n v="16981.088000000007"/>
    <n v="98.69999999999709"/>
    <n v="5.8483170534434905E-3"/>
  </r>
  <r>
    <x v="299"/>
    <n v="17202.900000000001"/>
    <n v="17344.599999999999"/>
    <n v="17175.75"/>
    <n v="17287.05"/>
    <n v="448335248"/>
    <n v="35367.279999999999"/>
    <n v="16713.587500000001"/>
    <n v="17272.236999999994"/>
    <n v="16988.786500000006"/>
    <n v="84.149999999997817"/>
    <n v="4.891617111068355E-3"/>
  </r>
  <r>
    <x v="300"/>
    <n v="17329.5"/>
    <n v="17353.349999999999"/>
    <n v="17096.400000000001"/>
    <n v="17117.599999999999"/>
    <n v="285451208"/>
    <n v="22886.39"/>
    <n v="16711.829999999998"/>
    <n v="17261.873"/>
    <n v="16997.307750000007"/>
    <n v="-211.90000000000146"/>
    <n v="-1.222770420381439E-2"/>
  </r>
  <r>
    <x v="301"/>
    <n v="17120.400000000001"/>
    <n v="17334.400000000001"/>
    <n v="17006.3"/>
    <n v="17315.5"/>
    <n v="338263468"/>
    <n v="27347.599999999999"/>
    <n v="16702.48"/>
    <n v="17245.719999999998"/>
    <n v="17005.021500000006"/>
    <n v="195.09999999999854"/>
    <n v="1.1395761781266707E-2"/>
  </r>
  <r>
    <x v="302"/>
    <n v="17405.05"/>
    <n v="17442.400000000001"/>
    <n v="17199.599999999999"/>
    <n v="17245.650000000001"/>
    <n v="292120348"/>
    <n v="24705.279999999999"/>
    <n v="16704.439999999999"/>
    <n v="17237.111999999997"/>
    <n v="17013.718000000004"/>
    <n v="-159.39999999999782"/>
    <n v="-9.1582615390359591E-3"/>
  </r>
  <r>
    <x v="303"/>
    <n v="17094.95"/>
    <n v="17291.75"/>
    <n v="17091.150000000001"/>
    <n v="17222.75"/>
    <n v="290280124"/>
    <n v="25011.72"/>
    <n v="16706.39"/>
    <n v="17225.770999999997"/>
    <n v="17021.494500000004"/>
    <n v="127.79999999999927"/>
    <n v="7.4758920031938831E-3"/>
  </r>
  <r>
    <x v="304"/>
    <n v="17289"/>
    <n v="17294.900000000001"/>
    <n v="17076.55"/>
    <n v="17153"/>
    <n v="237115741"/>
    <n v="20031.39"/>
    <n v="16712.917500000003"/>
    <n v="17210.159999999996"/>
    <n v="17029.257000000005"/>
    <n v="-136"/>
    <n v="-7.8662733529990172E-3"/>
  </r>
  <r>
    <x v="305"/>
    <n v="17181.849999999999"/>
    <n v="17235.099999999999"/>
    <n v="17003.900000000001"/>
    <n v="17222"/>
    <n v="253240837"/>
    <n v="19976.259999999998"/>
    <n v="16717.405000000002"/>
    <n v="17192.105"/>
    <n v="17036.263750000002"/>
    <n v="40.150000000001455"/>
    <n v="2.3367681594241283E-3"/>
  </r>
  <r>
    <x v="306"/>
    <n v="17297.2"/>
    <n v="17343.650000000001"/>
    <n v="17235.7"/>
    <n v="17325.3"/>
    <n v="235149625"/>
    <n v="20305.78"/>
    <n v="16766.107500000002"/>
    <n v="17172.297999999999"/>
    <n v="17043.673250000003"/>
    <n v="28.099999999998545"/>
    <n v="1.6245403880395986E-3"/>
  </r>
  <r>
    <x v="307"/>
    <n v="17468.150000000001"/>
    <n v="17522.5"/>
    <n v="17387.2"/>
    <n v="17498.25"/>
    <n v="505031841"/>
    <n v="28907.47"/>
    <n v="16799.452499999999"/>
    <n v="17153.648000000001"/>
    <n v="17052.123"/>
    <n v="30.099999999998545"/>
    <n v="1.7231361077159597E-3"/>
  </r>
  <r>
    <x v="308"/>
    <n v="17519.2"/>
    <n v="17559.8"/>
    <n v="17435.2"/>
    <n v="17464.75"/>
    <n v="281111679"/>
    <n v="24032.07"/>
    <n v="16834.669999999998"/>
    <n v="17138.498000000003"/>
    <n v="17060.925500000001"/>
    <n v="-54.450000000000728"/>
    <n v="-3.1080186309877579E-3"/>
  </r>
  <r>
    <x v="309"/>
    <n v="17436.900000000001"/>
    <n v="17703.7"/>
    <n v="17422.7"/>
    <n v="17670.45"/>
    <n v="291773447"/>
    <n v="21132.13"/>
    <n v="16877.61"/>
    <n v="17121.631000000005"/>
    <n v="17069.252500000002"/>
    <n v="233.54999999999927"/>
    <n v="1.3394009256232429E-2"/>
  </r>
  <r>
    <x v="310"/>
    <n v="17809.099999999999"/>
    <n v="18114.650000000001"/>
    <n v="17791.400000000001"/>
    <n v="18053.400000000001"/>
    <n v="345526502"/>
    <n v="38623.94"/>
    <n v="16936.23"/>
    <n v="17112.779000000002"/>
    <n v="17078.545500000004"/>
    <n v="244.30000000000291"/>
    <n v="1.3717706116536093E-2"/>
  </r>
  <r>
    <x v="311"/>
    <n v="18080.599999999999"/>
    <n v="18095.45"/>
    <n v="17921.55"/>
    <n v="17957.400000000001"/>
    <n v="283453612"/>
    <n v="25096.7"/>
    <n v="17026.6325"/>
    <n v="17115.079000000002"/>
    <n v="17089.466250000001"/>
    <n v="-123.19999999999709"/>
    <n v="-6.813933165934598E-3"/>
  </r>
  <r>
    <x v="312"/>
    <n v="17842.75"/>
    <n v="17901"/>
    <n v="17779.849999999999"/>
    <n v="17807.650000000001"/>
    <n v="328824420"/>
    <n v="24252.48"/>
    <n v="17131.345000000005"/>
    <n v="17119.087000000003"/>
    <n v="17100.415500000003"/>
    <n v="-35.099999999998545"/>
    <n v="-1.9671855515544716E-3"/>
  </r>
  <r>
    <x v="313"/>
    <n v="17723.3"/>
    <n v="17787.5"/>
    <n v="17623.7"/>
    <n v="17639.55"/>
    <n v="308840215"/>
    <n v="26236.91"/>
    <n v="17221.055"/>
    <n v="17122.897000000004"/>
    <n v="17110.996750000002"/>
    <n v="-83.75"/>
    <n v="-4.7254179526386173E-3"/>
  </r>
  <r>
    <x v="314"/>
    <n v="17698.150000000001"/>
    <n v="17842.75"/>
    <n v="17600.55"/>
    <n v="17784.349999999999"/>
    <n v="274447433"/>
    <n v="25608.1"/>
    <n v="17285.765000000003"/>
    <n v="17132.706000000002"/>
    <n v="17120.777750000001"/>
    <n v="86.19999999999709"/>
    <n v="4.8705655675874079E-3"/>
  </r>
  <r>
    <x v="315"/>
    <n v="17740.900000000001"/>
    <n v="17779.05"/>
    <n v="17650.95"/>
    <n v="17674.95"/>
    <n v="251701846"/>
    <n v="21001.58"/>
    <n v="17345.237499999999"/>
    <n v="17142.834000000003"/>
    <n v="17130.967000000001"/>
    <n v="-65.950000000000728"/>
    <n v="-3.7173987790924206E-3"/>
  </r>
  <r>
    <x v="316"/>
    <n v="17584.849999999999"/>
    <n v="17595.3"/>
    <n v="17442.349999999999"/>
    <n v="17530.3"/>
    <n v="266029060"/>
    <n v="23958.77"/>
    <n v="17397.462500000001"/>
    <n v="17154.130000000005"/>
    <n v="17140.477999999999"/>
    <n v="-54.549999999999272"/>
    <n v="-3.1021020935634524E-3"/>
  </r>
  <r>
    <x v="317"/>
    <n v="17599.900000000001"/>
    <n v="17663.650000000001"/>
    <n v="17457.400000000001"/>
    <n v="17475.650000000001"/>
    <n v="245061941"/>
    <n v="20229.830000000002"/>
    <n v="17430.412499999999"/>
    <n v="17162.697000000004"/>
    <n v="17149.694750000002"/>
    <n v="-124.25"/>
    <n v="-7.0596992028363788E-3"/>
  </r>
  <r>
    <x v="318"/>
    <n v="17183.45"/>
    <n v="17237.75"/>
    <n v="17067.849999999999"/>
    <n v="17173.650000000001"/>
    <n v="376130248"/>
    <n v="30154.62"/>
    <n v="17471.044999999998"/>
    <n v="17165.413000000004"/>
    <n v="17158.120749999998"/>
    <n v="-9.7999999999992724"/>
    <n v="-5.7031620541854358E-4"/>
  </r>
  <r>
    <x v="319"/>
    <n v="17258.95"/>
    <n v="17275.650000000001"/>
    <n v="16824.7"/>
    <n v="16958.650000000001"/>
    <n v="401399563"/>
    <n v="35467.129999999997"/>
    <n v="17480.96"/>
    <n v="17157.349000000002"/>
    <n v="17164.687249999995"/>
    <n v="-300.29999999999927"/>
    <n v="-1.7399667998342846E-2"/>
  </r>
  <r>
    <x v="320"/>
    <n v="17045.25"/>
    <n v="17186.900000000001"/>
    <n v="16978.95"/>
    <n v="17136.55"/>
    <n v="286069736"/>
    <n v="25972.15"/>
    <n v="17464.54"/>
    <n v="17140.922000000006"/>
    <n v="17170.406999999996"/>
    <n v="91.299999999999272"/>
    <n v="5.3563309426379359E-3"/>
  </r>
  <r>
    <x v="321"/>
    <n v="17234.599999999999"/>
    <n v="17414.7"/>
    <n v="17215.5"/>
    <n v="17392.599999999999"/>
    <n v="285200022"/>
    <n v="24999.9"/>
    <n v="17465.487500000003"/>
    <n v="17132.449000000004"/>
    <n v="17177.347499999996"/>
    <n v="158"/>
    <n v="9.1676047021688935E-3"/>
  </r>
  <r>
    <x v="322"/>
    <n v="17242.75"/>
    <n v="17315.3"/>
    <n v="17149.2"/>
    <n v="17171.95"/>
    <n v="262739740"/>
    <n v="23371.7"/>
    <n v="17469.342500000002"/>
    <n v="17129.975000000002"/>
    <n v="17185.702999999994"/>
    <n v="-70.799999999999272"/>
    <n v="-4.1060735671513693E-3"/>
  </r>
  <r>
    <x v="323"/>
    <n v="17009.05"/>
    <n v="17054.3"/>
    <n v="16888.7"/>
    <n v="16953.95"/>
    <n v="275685925"/>
    <n v="22699.65"/>
    <n v="17465.657500000001"/>
    <n v="17129.142000000003"/>
    <n v="17193.162749999996"/>
    <n v="-55.099999999998545"/>
    <n v="-3.2394519388207186E-3"/>
  </r>
  <r>
    <x v="324"/>
    <n v="17121.3"/>
    <n v="17223.849999999999"/>
    <n v="17064.45"/>
    <n v="17200.8"/>
    <n v="261065753"/>
    <n v="22079.919999999998"/>
    <n v="17452.217499999999"/>
    <n v="17122.886000000002"/>
    <n v="17199.321499999998"/>
    <n v="79.5"/>
    <n v="4.6433389987909799E-3"/>
  </r>
  <r>
    <x v="325"/>
    <n v="17073.349999999999"/>
    <n v="17110.7"/>
    <n v="16958.45"/>
    <n v="17038.400000000001"/>
    <n v="265140480"/>
    <n v="25373.8"/>
    <n v="17454.607499999998"/>
    <n v="17117.626000000004"/>
    <n v="17206.153749999994"/>
    <n v="-34.94999999999709"/>
    <n v="-2.0470499345469455E-3"/>
  </r>
  <r>
    <x v="326"/>
    <n v="17189.5"/>
    <n v="17322.5"/>
    <n v="17071.05"/>
    <n v="17245.05"/>
    <n v="312914417"/>
    <n v="28488.87"/>
    <n v="17445.427499999998"/>
    <n v="17106.277000000002"/>
    <n v="17212.254499999995"/>
    <n v="55.549999999999272"/>
    <n v="3.2316239564850213E-3"/>
  </r>
  <r>
    <x v="327"/>
    <n v="17329.25"/>
    <n v="17377.650000000001"/>
    <n v="17053.25"/>
    <n v="17102.55"/>
    <n v="336243642"/>
    <n v="29582.86"/>
    <n v="17441.415000000001"/>
    <n v="17103.683000000005"/>
    <n v="17219.081499999993"/>
    <n v="-226.70000000000073"/>
    <n v="-1.3081927954181555E-2"/>
  </r>
  <r>
    <x v="328"/>
    <n v="16924.45"/>
    <n v="17092.25"/>
    <n v="16917.25"/>
    <n v="17069.099999999999"/>
    <n v="278155513"/>
    <n v="21222.639999999999"/>
    <n v="17421.629999999997"/>
    <n v="17108.878000000004"/>
    <n v="17225.954749999994"/>
    <n v="144.64999999999782"/>
    <n v="8.5468065431962524E-3"/>
  </r>
  <r>
    <x v="329"/>
    <n v="17096.599999999999"/>
    <n v="17132.849999999999"/>
    <n v="16623.95"/>
    <n v="16677.599999999999"/>
    <n v="310632799"/>
    <n v="27405.52"/>
    <n v="17401.847499999996"/>
    <n v="17103.211000000003"/>
    <n v="17232.851249999996"/>
    <n v="-419"/>
    <n v="-2.4507796871892661E-2"/>
  </r>
  <r>
    <x v="330"/>
    <n v="16854.75"/>
    <n v="16945.7"/>
    <n v="16651.849999999999"/>
    <n v="16682.650000000001"/>
    <n v="265793403"/>
    <n v="21792.91"/>
    <n v="17352.204999999994"/>
    <n v="17090.319000000003"/>
    <n v="17237.776249999995"/>
    <n v="-172.09999999999854"/>
    <n v="-1.0210771444251534E-2"/>
  </r>
  <r>
    <x v="331"/>
    <n v="16415.55"/>
    <n v="16484.2"/>
    <n v="16340.9"/>
    <n v="16411.25"/>
    <n v="300527719"/>
    <n v="25472.95"/>
    <n v="17283.6675"/>
    <n v="17077.880000000005"/>
    <n v="17242.127749999992"/>
    <n v="-4.2999999999992724"/>
    <n v="-2.6194675170793986E-4"/>
  </r>
  <r>
    <x v="332"/>
    <n v="16227.7"/>
    <n v="16403.7"/>
    <n v="16142.1"/>
    <n v="16301.85"/>
    <n v="288402950"/>
    <n v="23274.74"/>
    <n v="17206.359999999997"/>
    <n v="17060.579000000005"/>
    <n v="17244.914249999994"/>
    <n v="74.149999999999636"/>
    <n v="4.5693474737639739E-3"/>
  </r>
  <r>
    <x v="333"/>
    <n v="16248.9"/>
    <n v="16404.55"/>
    <n v="16197.3"/>
    <n v="16240.05"/>
    <n v="283061200"/>
    <n v="22685.27"/>
    <n v="17131.069999999996"/>
    <n v="17042.483000000004"/>
    <n v="17246.802499999994"/>
    <n v="-8.8500000000003638"/>
    <n v="-5.4465225338332839E-4"/>
  </r>
  <r>
    <x v="334"/>
    <n v="16270.05"/>
    <n v="16318.75"/>
    <n v="15992.6"/>
    <n v="16167.1"/>
    <n v="284294438"/>
    <n v="22994.38"/>
    <n v="17061.094999999998"/>
    <n v="17025.440000000006"/>
    <n v="17248.385749999994"/>
    <n v="-102.94999999999891"/>
    <n v="-6.3275773583977256E-3"/>
  </r>
  <r>
    <x v="335"/>
    <n v="16021.1"/>
    <n v="16041.95"/>
    <n v="15735.75"/>
    <n v="15808"/>
    <n v="314921678"/>
    <n v="25352.34"/>
    <n v="16980.232499999998"/>
    <n v="17007.517000000003"/>
    <n v="17250.459249999993"/>
    <n v="-213.10000000000036"/>
    <n v="-1.330120903059093E-2"/>
  </r>
  <r>
    <x v="336"/>
    <n v="15977"/>
    <n v="16083.6"/>
    <n v="15740.85"/>
    <n v="15782.15"/>
    <n v="369135540"/>
    <n v="27454.12"/>
    <n v="16886.884999999995"/>
    <n v="16998.718000000004"/>
    <n v="17251.338749999995"/>
    <n v="-194.85000000000036"/>
    <n v="-1.2195656255867833E-2"/>
  </r>
  <r>
    <x v="337"/>
    <n v="15845.1"/>
    <n v="15977.95"/>
    <n v="15739.65"/>
    <n v="15842.3"/>
    <n v="217646558"/>
    <n v="17852.189999999999"/>
    <n v="16799.477499999997"/>
    <n v="16981.193000000003"/>
    <n v="17251.129249999994"/>
    <n v="-2.8000000000010914"/>
    <n v="-1.7671078125105499E-4"/>
  </r>
  <r>
    <x v="338"/>
    <n v="15912.6"/>
    <n v="16284.25"/>
    <n v="15900.8"/>
    <n v="16259.3"/>
    <n v="295687774"/>
    <n v="22782.99"/>
    <n v="16717.810000000001"/>
    <n v="16962.161000000004"/>
    <n v="17251.060499999992"/>
    <n v="346.69999999999891"/>
    <n v="2.1787765669972155E-2"/>
  </r>
  <r>
    <x v="339"/>
    <n v="16318.15"/>
    <n v="16399.8"/>
    <n v="16211.2"/>
    <n v="16240.3"/>
    <n v="290441105"/>
    <n v="23889.84"/>
    <n v="16672.092499999999"/>
    <n v="16955.228000000006"/>
    <n v="17253.234749999992"/>
    <n v="-77.850000000000364"/>
    <n v="-4.7707613914567742E-3"/>
  </r>
  <r>
    <x v="340"/>
    <n v="15917.4"/>
    <n v="15984.75"/>
    <n v="15775.2"/>
    <n v="15809.4"/>
    <n v="313876082"/>
    <n v="24340.84"/>
    <n v="16636.174999999999"/>
    <n v="16950.073000000004"/>
    <n v="17255.703999999991"/>
    <n v="-108"/>
    <n v="-6.7850277055297977E-3"/>
  </r>
  <r>
    <x v="341"/>
    <n v="16043.8"/>
    <n v="16283.05"/>
    <n v="16003.85"/>
    <n v="16266.15"/>
    <n v="252402013"/>
    <n v="22806.69"/>
    <n v="16569.817500000001"/>
    <n v="16941.354000000007"/>
    <n v="17256.203999999991"/>
    <n v="222.35000000000036"/>
    <n v="1.3858936162255848E-2"/>
  </r>
  <r>
    <x v="342"/>
    <n v="16290.95"/>
    <n v="16414.7"/>
    <n v="16185.75"/>
    <n v="16214.7"/>
    <n v="293829853"/>
    <n v="25110.85"/>
    <n v="16513.495000000003"/>
    <n v="16949.414000000008"/>
    <n v="17258.642499999994"/>
    <n v="-76.25"/>
    <n v="-4.6805128000515618E-3"/>
  </r>
  <r>
    <x v="343"/>
    <n v="16225.55"/>
    <n v="16262.8"/>
    <n v="16078.6"/>
    <n v="16125.15"/>
    <n v="249778296"/>
    <n v="21895.75"/>
    <n v="16465.6325"/>
    <n v="16953.439000000006"/>
    <n v="17260.900749999993"/>
    <n v="-100.39999999999964"/>
    <n v="-6.1877717550406393E-3"/>
  </r>
  <r>
    <x v="344"/>
    <n v="16196.35"/>
    <n v="16223.35"/>
    <n v="16006.95"/>
    <n v="16025.8"/>
    <n v="243342347"/>
    <n v="21400.14"/>
    <n v="16424.192500000001"/>
    <n v="16949.035000000007"/>
    <n v="17262.100749999994"/>
    <n v="-170.55000000000109"/>
    <n v="-1.0530150311644358E-2"/>
  </r>
  <r>
    <x v="345"/>
    <n v="16105"/>
    <n v="16204.45"/>
    <n v="15903.7"/>
    <n v="16170.15"/>
    <n v="314305739"/>
    <n v="27721.21"/>
    <n v="16365.442500000001"/>
    <n v="16937.653000000006"/>
    <n v="17261.57599999999"/>
    <n v="65.149999999999636"/>
    <n v="4.0453275380316449E-3"/>
  </r>
  <r>
    <x v="346"/>
    <n v="16296.6"/>
    <n v="16370.6"/>
    <n v="16221.95"/>
    <n v="16352.45"/>
    <n v="274064956"/>
    <n v="21341.98"/>
    <n v="16322.029999999999"/>
    <n v="16928.447000000007"/>
    <n v="17261.132749999993"/>
    <n v="55.850000000000364"/>
    <n v="3.4270952223163335E-3"/>
  </r>
  <r>
    <x v="347"/>
    <n v="16527.900000000001"/>
    <n v="16695.5"/>
    <n v="16506.150000000001"/>
    <n v="16661.400000000001"/>
    <n v="251400757"/>
    <n v="21216.5"/>
    <n v="16277.4"/>
    <n v="16918.070000000003"/>
    <n v="17261.421999999991"/>
    <n v="133.5"/>
    <n v="8.0772511934365521E-3"/>
  </r>
  <r>
    <x v="348"/>
    <n v="16578.45"/>
    <n v="16690.75"/>
    <n v="16521.900000000001"/>
    <n v="16584.55"/>
    <n v="651613610"/>
    <n v="52929.35"/>
    <n v="16255.342500000002"/>
    <n v="16918.038000000004"/>
    <n v="17263.53799999999"/>
    <n v="6.0999999999985448"/>
    <n v="3.6794754636281104E-4"/>
  </r>
  <r>
    <x v="349"/>
    <n v="16594.400000000001"/>
    <n v="16649.2"/>
    <n v="16438.849999999999"/>
    <n v="16522.75"/>
    <n v="249619038"/>
    <n v="19350.330000000002"/>
    <n v="16231.115"/>
    <n v="16910.222000000005"/>
    <n v="17265.169499999989"/>
    <n v="-71.650000000001455"/>
    <n v="-4.317721641035617E-3"/>
  </r>
  <r>
    <x v="350"/>
    <n v="16481.650000000001"/>
    <n v="16646.400000000001"/>
    <n v="16443.05"/>
    <n v="16628"/>
    <n v="235958283"/>
    <n v="20055.84"/>
    <n v="16223.372499999998"/>
    <n v="16894.936000000005"/>
    <n v="17266.38274999999"/>
    <n v="146.34999999999854"/>
    <n v="8.8795721302174554E-3"/>
  </r>
  <r>
    <x v="351"/>
    <n v="16761.650000000001"/>
    <n v="16793.849999999999"/>
    <n v="16567.900000000001"/>
    <n v="16584.3"/>
    <n v="245514871"/>
    <n v="22249.29"/>
    <n v="16220.64"/>
    <n v="16885.144000000008"/>
    <n v="17268.111499999988"/>
    <n v="-177.35000000000218"/>
    <n v="-1.0580700587352807E-2"/>
  </r>
  <r>
    <x v="352"/>
    <n v="16530.7"/>
    <n v="16610.95"/>
    <n v="16444.55"/>
    <n v="16569.55"/>
    <n v="233589132"/>
    <n v="17999.41"/>
    <n v="16229.2925"/>
    <n v="16870.520000000008"/>
    <n v="17269.210999999988"/>
    <n v="38.849999999998545"/>
    <n v="2.3501727089596052E-3"/>
  </r>
  <r>
    <x v="353"/>
    <n v="16469.599999999999"/>
    <n v="16487.25"/>
    <n v="16347.1"/>
    <n v="16416.349999999999"/>
    <n v="233814633"/>
    <n v="17921.95"/>
    <n v="16242.677499999996"/>
    <n v="16856.998000000007"/>
    <n v="17269.413249999987"/>
    <n v="-53.25"/>
    <n v="-3.2332297080681985E-3"/>
  </r>
  <r>
    <x v="354"/>
    <n v="16474.95"/>
    <n v="16514.3"/>
    <n v="16293.35"/>
    <n v="16356.25"/>
    <n v="243481044"/>
    <n v="18336.150000000001"/>
    <n v="16251.492499999997"/>
    <n v="16840.870000000006"/>
    <n v="17268.679749999988"/>
    <n v="-118.70000000000073"/>
    <n v="-7.2048777082783693E-3"/>
  </r>
  <r>
    <x v="355"/>
    <n v="16263.85"/>
    <n v="16492.8"/>
    <n v="16243.85"/>
    <n v="16478.099999999999"/>
    <n v="204954394"/>
    <n v="16721.68"/>
    <n v="16260.949999999997"/>
    <n v="16824.935000000005"/>
    <n v="17267.387999999988"/>
    <n v="214.24999999999818"/>
    <n v="1.3173387605025759E-2"/>
  </r>
  <r>
    <x v="356"/>
    <n v="16283.95"/>
    <n v="16324.7"/>
    <n v="16172.6"/>
    <n v="16201.8"/>
    <n v="189680523"/>
    <n v="18388.03"/>
    <n v="16294.454999999996"/>
    <n v="16810.057000000004"/>
    <n v="17266.934249999988"/>
    <n v="-82.150000000001455"/>
    <n v="-5.0448447704642581E-3"/>
  </r>
  <r>
    <x v="357"/>
    <n v="15877.55"/>
    <n v="15886.15"/>
    <n v="15684"/>
    <n v="15774.4"/>
    <n v="225534385"/>
    <n v="20002.64"/>
    <n v="16315.437499999996"/>
    <n v="16787.587000000003"/>
    <n v="17265.690749999991"/>
    <n v="-103.14999999999964"/>
    <n v="-6.496594247853078E-3"/>
  </r>
  <r>
    <x v="358"/>
    <n v="15674.25"/>
    <n v="15858"/>
    <n v="15659.45"/>
    <n v="15732.1"/>
    <n v="225425862"/>
    <n v="19825.41"/>
    <n v="16312.042499999996"/>
    <n v="16753.110000000004"/>
    <n v="17262.080499999989"/>
    <n v="57.850000000000364"/>
    <n v="3.6907667033510608E-3"/>
  </r>
  <r>
    <x v="359"/>
    <n v="15729.25"/>
    <n v="15783.65"/>
    <n v="15678.9"/>
    <n v="15692.15"/>
    <n v="183011236"/>
    <n v="16063.24"/>
    <n v="16285.682499999999"/>
    <n v="16718.457000000002"/>
    <n v="17257.617999999988"/>
    <n v="-37.100000000000364"/>
    <n v="-2.3586630004609477E-3"/>
  </r>
  <r>
    <x v="360"/>
    <n v="15832.25"/>
    <n v="15863.15"/>
    <n v="15335.1"/>
    <n v="15360.6"/>
    <n v="264735957"/>
    <n v="21383.06"/>
    <n v="16258.275"/>
    <n v="16678.891"/>
    <n v="17252.90549999999"/>
    <n v="-471.64999999999964"/>
    <n v="-2.9790459347218471E-2"/>
  </r>
  <r>
    <x v="361"/>
    <n v="15272.65"/>
    <n v="15400.4"/>
    <n v="15183.4"/>
    <n v="15293.5"/>
    <n v="342629997"/>
    <n v="29074"/>
    <n v="16235.834999999997"/>
    <n v="16625.035000000003"/>
    <n v="17246.523999999987"/>
    <n v="20.850000000000364"/>
    <n v="1.3651854786170287E-3"/>
  </r>
  <r>
    <x v="362"/>
    <n v="15334.5"/>
    <n v="15382.5"/>
    <n v="15191.1"/>
    <n v="15350.15"/>
    <n v="260022438"/>
    <n v="18531.78"/>
    <n v="16187.202499999999"/>
    <n v="16571.757000000001"/>
    <n v="17239.465499999988"/>
    <n v="15.649999999999636"/>
    <n v="1.0205745215037748E-3"/>
  </r>
  <r>
    <x v="363"/>
    <n v="15455.95"/>
    <n v="15707.25"/>
    <n v="15419.85"/>
    <n v="15638.8"/>
    <n v="262794687"/>
    <n v="18934.27"/>
    <n v="16143.975"/>
    <n v="16522.607000000004"/>
    <n v="17231.560999999991"/>
    <n v="182.84999999999854"/>
    <n v="1.1830395414063746E-2"/>
  </r>
  <r>
    <x v="364"/>
    <n v="15545.65"/>
    <n v="15565.4"/>
    <n v="15385.95"/>
    <n v="15413.3"/>
    <n v="220889589"/>
    <n v="16817.07"/>
    <n v="16119.657499999998"/>
    <n v="16482.592000000004"/>
    <n v="17224.093999999986"/>
    <n v="-132.35000000000036"/>
    <n v="-8.5136356472711259E-3"/>
  </r>
  <r>
    <x v="365"/>
    <n v="15451.55"/>
    <n v="15628.45"/>
    <n v="15367.5"/>
    <n v="15556.65"/>
    <n v="259171810"/>
    <n v="21722.06"/>
    <n v="16089.032500000001"/>
    <n v="16435.171000000006"/>
    <n v="17215.779249999985"/>
    <n v="105.10000000000036"/>
    <n v="6.8019066048390208E-3"/>
  </r>
  <r>
    <x v="366"/>
    <n v="15657.4"/>
    <n v="15749.25"/>
    <n v="15619.45"/>
    <n v="15699.25"/>
    <n v="219599372"/>
    <n v="18259.72"/>
    <n v="16058.357500000002"/>
    <n v="16392.805000000004"/>
    <n v="17207.391749999984"/>
    <n v="41.850000000000364"/>
    <n v="2.6728575625583023E-3"/>
  </r>
  <r>
    <x v="367"/>
    <n v="15926.2"/>
    <n v="15927.45"/>
    <n v="15815.5"/>
    <n v="15832.05"/>
    <n v="210932505"/>
    <n v="17770.419999999998"/>
    <n v="16025.6975"/>
    <n v="16356.184000000007"/>
    <n v="17199.269999999982"/>
    <n v="-94.150000000001455"/>
    <n v="-5.9116424508044258E-3"/>
  </r>
  <r>
    <x v="368"/>
    <n v="15757.45"/>
    <n v="15892.1"/>
    <n v="15710.15"/>
    <n v="15850.2"/>
    <n v="251865155"/>
    <n v="18419.75"/>
    <n v="15984.23"/>
    <n v="16323.312000000007"/>
    <n v="17191.541249999984"/>
    <n v="92.75"/>
    <n v="5.8861046679507152E-3"/>
  </r>
  <r>
    <x v="369"/>
    <n v="15701.7"/>
    <n v="15861.6"/>
    <n v="15687.8"/>
    <n v="15799.1"/>
    <n v="444949551"/>
    <n v="22528.57"/>
    <n v="15947.512500000001"/>
    <n v="16296.843000000008"/>
    <n v="17183.981749999984"/>
    <n v="97.399999999999636"/>
    <n v="6.2031499773909596E-3"/>
  </r>
  <r>
    <x v="370"/>
    <n v="15774.5"/>
    <n v="15890"/>
    <n v="15728.85"/>
    <n v="15780.25"/>
    <n v="306027777"/>
    <n v="23970.65"/>
    <n v="15911.329999999998"/>
    <n v="16273.652000000007"/>
    <n v="17176.209749999984"/>
    <n v="5.75"/>
    <n v="3.6451234587467113E-4"/>
  </r>
  <r>
    <x v="371"/>
    <n v="15703.7"/>
    <n v="15793.95"/>
    <n v="15511.05"/>
    <n v="15752.05"/>
    <n v="364090131"/>
    <n v="25891.94"/>
    <n v="15868.942499999999"/>
    <n v="16246.526000000005"/>
    <n v="17168.264749999984"/>
    <n v="48.349999999998545"/>
    <n v="3.0788922355876984E-3"/>
  </r>
  <r>
    <x v="372"/>
    <n v="15710.5"/>
    <n v="15852.35"/>
    <n v="15661.8"/>
    <n v="15835.35"/>
    <n v="304328467"/>
    <n v="19875.22"/>
    <n v="15827.329999999996"/>
    <n v="16213.715000000004"/>
    <n v="17160.248499999983"/>
    <n v="124.85000000000036"/>
    <n v="7.9469144839438826E-3"/>
  </r>
  <r>
    <x v="373"/>
    <n v="15909.15"/>
    <n v="16025.75"/>
    <n v="15785.45"/>
    <n v="15810.85"/>
    <n v="254164463"/>
    <n v="19129.599999999999"/>
    <n v="15790.619999999995"/>
    <n v="16186.983000000006"/>
    <n v="17152.525249999984"/>
    <n v="-98.299999999999272"/>
    <n v="-6.178834192901524E-3"/>
  </r>
  <r>
    <x v="374"/>
    <n v="15818.2"/>
    <n v="16011.35"/>
    <n v="15800.9"/>
    <n v="15989.8"/>
    <n v="288375300"/>
    <n v="22836.77"/>
    <n v="15760.344999999996"/>
    <n v="16164.121000000003"/>
    <n v="17143.982249999983"/>
    <n v="171.59999999999854"/>
    <n v="1.0848263392800605E-2"/>
  </r>
  <r>
    <x v="375"/>
    <n v="16113.75"/>
    <n v="16150.5"/>
    <n v="16045.95"/>
    <n v="16132.9"/>
    <n v="264615218"/>
    <n v="21465.33"/>
    <n v="15742.022499999995"/>
    <n v="16139.901000000003"/>
    <n v="17135.783749999984"/>
    <n v="19.149999999999636"/>
    <n v="1.1884260336668768E-3"/>
  </r>
  <r>
    <x v="376"/>
    <n v="16273.65"/>
    <n v="16275.5"/>
    <n v="16157.9"/>
    <n v="16220.6"/>
    <n v="281102369"/>
    <n v="20990.69"/>
    <n v="15724.762499999997"/>
    <n v="16121.791000000003"/>
    <n v="17128.522499999981"/>
    <n v="-53.049999999999272"/>
    <n v="-3.2598710184868957E-3"/>
  </r>
  <r>
    <x v="377"/>
    <n v="16136.15"/>
    <n v="16248.55"/>
    <n v="16115.5"/>
    <n v="16216"/>
    <n v="255915072"/>
    <n v="20240.689999999999"/>
    <n v="15725.702499999999"/>
    <n v="16101.302000000001"/>
    <n v="17122.640999999985"/>
    <n v="79.850000000000364"/>
    <n v="4.9485162197922287E-3"/>
  </r>
  <r>
    <x v="378"/>
    <n v="16126.2"/>
    <n v="16158.75"/>
    <n v="16031.15"/>
    <n v="16058.3"/>
    <n v="208648707"/>
    <n v="16042.52"/>
    <n v="15747.782500000001"/>
    <n v="16083.571000000004"/>
    <n v="17115.910999999986"/>
    <n v="-67.900000000001455"/>
    <n v="-4.2105393707135876E-3"/>
  </r>
  <r>
    <x v="379"/>
    <n v="16128.2"/>
    <n v="16140"/>
    <n v="15950.15"/>
    <n v="15966.65"/>
    <n v="233264100"/>
    <n v="19649.66"/>
    <n v="15764.092499999999"/>
    <n v="16063.355000000003"/>
    <n v="17108.469249999984"/>
    <n v="-161.55000000000109"/>
    <n v="-1.0016616857429911E-2"/>
  </r>
  <r>
    <x v="380"/>
    <n v="16018.85"/>
    <n v="16070.85"/>
    <n v="15858.2"/>
    <n v="15938.65"/>
    <n v="228603433"/>
    <n v="18858.830000000002"/>
    <n v="15777.817499999999"/>
    <n v="16049.136"/>
    <n v="17099.187749999983"/>
    <n v="-80.200000000000728"/>
    <n v="-5.0066015974929989E-3"/>
  </r>
  <r>
    <x v="381"/>
    <n v="16010.8"/>
    <n v="16066.95"/>
    <n v="15927.3"/>
    <n v="16049.2"/>
    <n v="205768079"/>
    <n v="17031.43"/>
    <n v="15806.720000000001"/>
    <n v="16034.256000000003"/>
    <n v="17089.614999999983"/>
    <n v="38.400000000001455"/>
    <n v="2.3983810927624763E-3"/>
  </r>
  <r>
    <x v="382"/>
    <n v="16151.4"/>
    <n v="16287.95"/>
    <n v="16142.2"/>
    <n v="16278.5"/>
    <n v="227744850"/>
    <n v="19420.93"/>
    <n v="15844.505000000001"/>
    <n v="16027.014999999999"/>
    <n v="17080.585499999983"/>
    <n v="127.10000000000036"/>
    <n v="7.8692868729645961E-3"/>
  </r>
  <r>
    <x v="383"/>
    <n v="16187.05"/>
    <n v="16359.5"/>
    <n v="16187.05"/>
    <n v="16340.55"/>
    <n v="222630928"/>
    <n v="18068.59"/>
    <n v="15890.922500000001"/>
    <n v="16026.547999999999"/>
    <n v="17073.234999999982"/>
    <n v="153.5"/>
    <n v="9.4828890996197582E-3"/>
  </r>
  <r>
    <x v="384"/>
    <n v="16562.8"/>
    <n v="16588"/>
    <n v="16490.95"/>
    <n v="16520.849999999999"/>
    <n v="284359582"/>
    <n v="22061.81"/>
    <n v="15926.01"/>
    <n v="16028.558000000001"/>
    <n v="17066.381249999984"/>
    <n v="-41.950000000000728"/>
    <n v="-2.5327843118313769E-3"/>
  </r>
  <r>
    <x v="385"/>
    <n v="16523.55"/>
    <n v="16626.95"/>
    <n v="16483.900000000001"/>
    <n v="16605.25"/>
    <n v="243625339"/>
    <n v="20603.169999999998"/>
    <n v="15981.387499999997"/>
    <n v="16035.633"/>
    <n v="17060.894749999981"/>
    <n v="81.700000000000728"/>
    <n v="4.9444580613730539E-3"/>
  </r>
  <r>
    <x v="386"/>
    <n v="16661.25"/>
    <n v="16752.25"/>
    <n v="16610.900000000001"/>
    <n v="16719.45"/>
    <n v="190906776"/>
    <n v="18600.11"/>
    <n v="16033.817499999999"/>
    <n v="16051.578000000001"/>
    <n v="17056.260749999983"/>
    <n v="58.200000000000728"/>
    <n v="3.4931352689624566E-3"/>
  </r>
  <r>
    <x v="387"/>
    <n v="16662.55"/>
    <n v="16706.05"/>
    <n v="16564.25"/>
    <n v="16631"/>
    <n v="211392171"/>
    <n v="19384.43"/>
    <n v="16084.827499999999"/>
    <n v="16070.324000000001"/>
    <n v="17051.401749999983"/>
    <n v="-31.549999999999272"/>
    <n v="-1.8934676865185265E-3"/>
  </r>
  <r>
    <x v="388"/>
    <n v="16632.900000000001"/>
    <n v="16636.099999999999"/>
    <n v="16463.3"/>
    <n v="16483.849999999999"/>
    <n v="208208122"/>
    <n v="20087.54"/>
    <n v="16124.775"/>
    <n v="16086.098"/>
    <n v="17045.445249999986"/>
    <n v="-149.05000000000291"/>
    <n v="-8.9611553006392689E-3"/>
  </r>
  <r>
    <x v="389"/>
    <n v="16475.349999999999"/>
    <n v="16653.45"/>
    <n v="16438.75"/>
    <n v="16641.8"/>
    <n v="185210970"/>
    <n v="17608.03"/>
    <n v="16156.457499999999"/>
    <n v="16090.589"/>
    <n v="17039.634499999986"/>
    <n v="166.45000000000073"/>
    <n v="1.0102972015769058E-2"/>
  </r>
  <r>
    <x v="390"/>
    <n v="16774.849999999999"/>
    <n v="16947.650000000001"/>
    <n v="16746.25"/>
    <n v="16929.599999999999"/>
    <n v="376256315"/>
    <n v="26674.28"/>
    <n v="16198.592499999999"/>
    <n v="16098.619000000001"/>
    <n v="17033.891749999984"/>
    <n v="154.75"/>
    <n v="9.2251197477175653E-3"/>
  </r>
  <r>
    <x v="391"/>
    <n v="17079.5"/>
    <n v="17172.8"/>
    <n v="17018.150000000001"/>
    <n v="17158.25"/>
    <n v="436059722"/>
    <n v="28241.29"/>
    <n v="16256.059999999998"/>
    <n v="16121.023000000001"/>
    <n v="17029.063749999983"/>
    <n v="78.75"/>
    <n v="4.6107907140138767E-3"/>
  </r>
  <r>
    <x v="392"/>
    <n v="17243.2"/>
    <n v="17356.25"/>
    <n v="17154.8"/>
    <n v="17340.05"/>
    <n v="381532671"/>
    <n v="23221.040000000001"/>
    <n v="16326.369999999999"/>
    <n v="16138.865"/>
    <n v="17025.125249999983"/>
    <n v="96.849999999998545"/>
    <n v="5.6167068757538357E-3"/>
  </r>
  <r>
    <x v="393"/>
    <n v="17310.150000000001"/>
    <n v="17390.150000000001"/>
    <n v="17215.849999999999"/>
    <n v="17345.45"/>
    <n v="333639093"/>
    <n v="22576.94"/>
    <n v="16401.605"/>
    <n v="16161.371999999999"/>
    <n v="17021.865749999983"/>
    <n v="35.299999999999272"/>
    <n v="2.0392659797863837E-3"/>
  </r>
  <r>
    <x v="394"/>
    <n v="17349.25"/>
    <n v="17407.5"/>
    <n v="17225.849999999999"/>
    <n v="17388.150000000001"/>
    <n v="285414666"/>
    <n v="20842.13"/>
    <n v="16478.334999999999"/>
    <n v="16185.777999999998"/>
    <n v="17017.784249999982"/>
    <n v="38.900000000001455"/>
    <n v="2.2421718518092397E-3"/>
  </r>
  <r>
    <x v="395"/>
    <n v="17463.099999999999"/>
    <n v="17490.7"/>
    <n v="17161.25"/>
    <n v="17382"/>
    <n v="324981426"/>
    <n v="21848.21"/>
    <n v="16548.252500000002"/>
    <n v="16213.025"/>
    <n v="17013.032249999986"/>
    <n v="-81.099999999998545"/>
    <n v="-4.6440780846469729E-3"/>
  </r>
  <r>
    <x v="396"/>
    <n v="17423.650000000001"/>
    <n v="17474.400000000001"/>
    <n v="17348.75"/>
    <n v="17397.5"/>
    <n v="355310802"/>
    <n v="20013.14"/>
    <n v="16610.7075"/>
    <n v="16237.261999999999"/>
    <n v="17007.556999999983"/>
    <n v="-26.150000000001455"/>
    <n v="-1.500833637039395E-3"/>
  </r>
  <r>
    <x v="397"/>
    <n v="17401.5"/>
    <n v="17548.8"/>
    <n v="17359.75"/>
    <n v="17525.099999999999"/>
    <n v="256994113"/>
    <n v="18475.21"/>
    <n v="16669.552500000002"/>
    <n v="16258.162999999999"/>
    <n v="17002.450749999985"/>
    <n v="123.59999999999854"/>
    <n v="7.1028359624169491E-3"/>
  </r>
  <r>
    <x v="398"/>
    <n v="17566.099999999999"/>
    <n v="17566.099999999999"/>
    <n v="17442.8"/>
    <n v="17534.75"/>
    <n v="312716544"/>
    <n v="21952.35"/>
    <n v="16735.0075"/>
    <n v="16275.436999999998"/>
    <n v="16998.743249999985"/>
    <n v="-31.349999999998545"/>
    <n v="-1.7846875515907655E-3"/>
  </r>
  <r>
    <x v="399"/>
    <n v="17711.650000000001"/>
    <n v="17719.3"/>
    <n v="17631.95"/>
    <n v="17659"/>
    <n v="311247237"/>
    <n v="20476.53"/>
    <n v="16808.829999999998"/>
    <n v="16294.440999999999"/>
    <n v="16995.526499999985"/>
    <n v="-52.650000000001455"/>
    <n v="-2.9726197164014335E-3"/>
  </r>
  <r>
    <x v="400"/>
    <n v="17659.650000000001"/>
    <n v="17724.650000000001"/>
    <n v="17597.849999999999"/>
    <n v="17698.150000000001"/>
    <n v="303872483"/>
    <n v="18422.47"/>
    <n v="16893.447499999998"/>
    <n v="16317.165999999999"/>
    <n v="16993.246999999985"/>
    <n v="38.5"/>
    <n v="2.1801111573558933E-3"/>
  </r>
  <r>
    <x v="401"/>
    <n v="17797.2"/>
    <n v="17839.099999999999"/>
    <n v="17764.05"/>
    <n v="17825.25"/>
    <n v="278042725"/>
    <n v="18495.27"/>
    <n v="16981.422499999997"/>
    <n v="16338.569"/>
    <n v="16991.110749999985"/>
    <n v="28.049999999999272"/>
    <n v="1.5760906209965203E-3"/>
  </r>
  <r>
    <x v="402"/>
    <n v="17868.150000000001"/>
    <n v="17965.95"/>
    <n v="17833.349999999999"/>
    <n v="17944.25"/>
    <n v="262768582"/>
    <n v="21209.54"/>
    <n v="17070.224999999999"/>
    <n v="16363.387999999999"/>
    <n v="16988.894999999986"/>
    <n v="76.099999999998545"/>
    <n v="4.2589747679529517E-3"/>
  </r>
  <r>
    <x v="403"/>
    <n v="17898.650000000001"/>
    <n v="17968.45"/>
    <n v="17852.05"/>
    <n v="17956.5"/>
    <n v="263914197"/>
    <n v="18441.68"/>
    <n v="17153.512500000001"/>
    <n v="16390.881999999998"/>
    <n v="16987.561499999985"/>
    <n v="57.849999999998545"/>
    <n v="3.2320873361956649E-3"/>
  </r>
  <r>
    <x v="404"/>
    <n v="17966.55"/>
    <n v="17992.2"/>
    <n v="17710.75"/>
    <n v="17758.45"/>
    <n v="295627263"/>
    <n v="21531.99"/>
    <n v="17234.310000000001"/>
    <n v="16421.684999999998"/>
    <n v="16988.057749999985"/>
    <n v="-208.09999999999854"/>
    <n v="-1.1582635508764819E-2"/>
  </r>
  <r>
    <x v="405"/>
    <n v="17682.900000000001"/>
    <n v="17690.05"/>
    <n v="17467.349999999999"/>
    <n v="17490.7"/>
    <n v="287559133"/>
    <n v="19605.439999999999"/>
    <n v="17296.189999999999"/>
    <n v="16449.728999999996"/>
    <n v="16988.491749999986"/>
    <n v="-192.20000000000073"/>
    <n v="-1.0869257870598189E-2"/>
  </r>
  <r>
    <x v="406"/>
    <n v="17357.349999999999"/>
    <n v="17625.55"/>
    <n v="17345.2"/>
    <n v="17577.5"/>
    <n v="285616338"/>
    <n v="20365.8"/>
    <n v="17340.462500000001"/>
    <n v="16469.981"/>
    <n v="16986.296999999988"/>
    <n v="220.15000000000146"/>
    <n v="1.268338772911772E-2"/>
  </r>
  <r>
    <x v="407"/>
    <n v="17525.45"/>
    <n v="17623.650000000001"/>
    <n v="17499.25"/>
    <n v="17604.95"/>
    <n v="261953239"/>
    <n v="17819.88"/>
    <n v="17383.365000000002"/>
    <n v="16497.494999999999"/>
    <n v="16984.73974999999"/>
    <n v="79.5"/>
    <n v="4.5362601245617085E-3"/>
  </r>
  <r>
    <x v="408"/>
    <n v="17679"/>
    <n v="17726.5"/>
    <n v="17487.45"/>
    <n v="17522.45"/>
    <n v="230181848"/>
    <n v="17566.7"/>
    <n v="17432.062500000004"/>
    <n v="16534.106"/>
    <n v="16983.61849999999"/>
    <n v="-156.54999999999927"/>
    <n v="-8.8551388653203954E-3"/>
  </r>
  <r>
    <x v="409"/>
    <n v="17619.3"/>
    <n v="17685.849999999999"/>
    <n v="17519.349999999999"/>
    <n v="17558.900000000001"/>
    <n v="266636238"/>
    <n v="17500.8"/>
    <n v="17483.9925"/>
    <n v="16569.912999999997"/>
    <n v="16981.646749999993"/>
    <n v="-60.399999999997817"/>
    <n v="-3.4280590034790155E-3"/>
  </r>
  <r>
    <x v="410"/>
    <n v="17188.650000000001"/>
    <n v="17380.150000000001"/>
    <n v="17166.2"/>
    <n v="17312.900000000001"/>
    <n v="244854637"/>
    <n v="19351.5"/>
    <n v="17529.847500000003"/>
    <n v="16607.247999999996"/>
    <n v="16979.098499999993"/>
    <n v="124.25"/>
    <n v="7.2286072495513021E-3"/>
  </r>
  <r>
    <x v="411"/>
    <n v="17414.95"/>
    <n v="17777.650000000001"/>
    <n v="17401.5"/>
    <n v="17759.3"/>
    <n v="324687477"/>
    <n v="26284.26"/>
    <n v="17549.012500000004"/>
    <n v="16646.293999999998"/>
    <n v="16975.441749999991"/>
    <n v="344.34999999999854"/>
    <n v="1.9773240807467063E-2"/>
  </r>
  <r>
    <x v="412"/>
    <n v="17485.7"/>
    <n v="17695.599999999999"/>
    <n v="17468.45"/>
    <n v="17542.8"/>
    <n v="308526598"/>
    <n v="26813.95"/>
    <n v="17579.065000000006"/>
    <n v="16695.609999999997"/>
    <n v="16974.152249999988"/>
    <n v="57.099999999998545"/>
    <n v="3.2655255437299361E-3"/>
  </r>
  <r>
    <x v="413"/>
    <n v="17598.400000000001"/>
    <n v="17643.849999999999"/>
    <n v="17476.45"/>
    <n v="17539.45"/>
    <n v="256268616"/>
    <n v="19548.88"/>
    <n v="17589.202500000003"/>
    <n v="16739.463"/>
    <n v="16972.49824999999"/>
    <n v="-58.950000000000728"/>
    <n v="-3.3497363396672837E-3"/>
  </r>
  <r>
    <x v="414"/>
    <n v="17546.45"/>
    <n v="17683.150000000001"/>
    <n v="17540.349999999999"/>
    <n v="17665.8"/>
    <n v="230309013"/>
    <n v="17011.259999999998"/>
    <n v="17598.902500000004"/>
    <n v="16777.475999999995"/>
    <n v="16969.681749999989"/>
    <n v="119.34999999999854"/>
    <n v="6.8019456927183872E-3"/>
  </r>
  <r>
    <x v="415"/>
    <n v="17695.7"/>
    <n v="17764.650000000001"/>
    <n v="17587.650000000001"/>
    <n v="17655.599999999999"/>
    <n v="251204527"/>
    <n v="17521.09"/>
    <n v="17612.785000000003"/>
    <n v="16822.525999999998"/>
    <n v="16967.463499999991"/>
    <n v="-40.100000000002183"/>
    <n v="-2.266087241533377E-3"/>
  </r>
  <r>
    <x v="416"/>
    <n v="17519.400000000001"/>
    <n v="17650.75"/>
    <n v="17484.3"/>
    <n v="17624.400000000001"/>
    <n v="354137885"/>
    <n v="25419.5"/>
    <n v="17626.465"/>
    <n v="16864.504999999997"/>
    <n v="16965.74549999999"/>
    <n v="105"/>
    <n v="5.9933559368471516E-3"/>
  </r>
  <r>
    <x v="417"/>
    <n v="17748.150000000001"/>
    <n v="17807.650000000001"/>
    <n v="17691.95"/>
    <n v="17798.75"/>
    <n v="279845682"/>
    <n v="19925.25"/>
    <n v="17637.810000000001"/>
    <n v="16903.007999999998"/>
    <n v="16964.37424999999"/>
    <n v="50.599999999998545"/>
    <n v="2.851001371973898E-3"/>
  </r>
  <r>
    <x v="418"/>
    <n v="17923.349999999999"/>
    <n v="17925.95"/>
    <n v="17786"/>
    <n v="17833.349999999999"/>
    <n v="270299618"/>
    <n v="20564.060000000001"/>
    <n v="17651.4925"/>
    <n v="16942.342000000001"/>
    <n v="16964.543999999991"/>
    <n v="-90"/>
    <n v="-5.0213827214220562E-3"/>
  </r>
  <r>
    <x v="419"/>
    <n v="17890.849999999999"/>
    <n v="17980.55"/>
    <n v="17889.150000000001"/>
    <n v="17936.349999999999"/>
    <n v="228242025"/>
    <n v="17648.169999999998"/>
    <n v="17666.422499999997"/>
    <n v="16982.004999999997"/>
    <n v="16966.627999999993"/>
    <n v="45.5"/>
    <n v="2.5431994567055227E-3"/>
  </r>
  <r>
    <x v="420"/>
    <n v="18044.45"/>
    <n v="18088.3"/>
    <n v="18015.45"/>
    <n v="18070.05"/>
    <n v="259922741"/>
    <n v="21039.08"/>
    <n v="17680.289999999997"/>
    <n v="17024.749999999996"/>
    <n v="16968.792999999991"/>
    <n v="25.599999999998545"/>
    <n v="1.4187187750249271E-3"/>
  </r>
  <r>
    <x v="421"/>
    <n v="17771.150000000001"/>
    <n v="18091.55"/>
    <n v="17771.150000000001"/>
    <n v="18003.75"/>
    <n v="365866933"/>
    <n v="26611.96"/>
    <n v="17698.884999999995"/>
    <n v="17070.545999999998"/>
    <n v="16972.067999999988"/>
    <n v="232.59999999999854"/>
    <n v="1.3088629604724428E-2"/>
  </r>
  <r>
    <x v="422"/>
    <n v="18046.349999999999"/>
    <n v="18096.150000000001"/>
    <n v="17861.5"/>
    <n v="17877.400000000001"/>
    <n v="289637528"/>
    <n v="22007.78"/>
    <n v="17707.809999999994"/>
    <n v="17115.580000000002"/>
    <n v="16974.40549999999"/>
    <n v="-168.94999999999709"/>
    <n v="-9.3620039509372862E-3"/>
  </r>
  <r>
    <x v="423"/>
    <n v="17796.8"/>
    <n v="17820.05"/>
    <n v="17497.25"/>
    <n v="17530.849999999999"/>
    <n v="468464263"/>
    <n v="36013.89"/>
    <n v="17704.467499999995"/>
    <n v="17156.421000000002"/>
    <n v="16978.660249999994"/>
    <n v="-265.95000000000073"/>
    <n v="-1.4943697743414587E-2"/>
  </r>
  <r>
    <x v="424"/>
    <n v="17540.650000000001"/>
    <n v="17667.2"/>
    <n v="17429.7"/>
    <n v="17622.25"/>
    <n v="258329581"/>
    <n v="19548.990000000002"/>
    <n v="17683.184999999998"/>
    <n v="17190.821"/>
    <n v="16981.04474999999"/>
    <n v="81.599999999998545"/>
    <n v="4.6520510927473349E-3"/>
  </r>
  <r>
    <x v="425"/>
    <n v="17770.400000000001"/>
    <n v="17919.3"/>
    <n v="17744.400000000001"/>
    <n v="17816.25"/>
    <n v="263100874"/>
    <n v="20456.689999999999"/>
    <n v="17676.375"/>
    <n v="17223.47"/>
    <n v="16984.239999999991"/>
    <n v="45.849999999998545"/>
    <n v="2.5801332553008678E-3"/>
  </r>
  <r>
    <x v="426"/>
    <n v="17766.349999999999"/>
    <n v="17838.7"/>
    <n v="17663.599999999999"/>
    <n v="17718.349999999999"/>
    <n v="245532498"/>
    <n v="19816.78"/>
    <n v="17692.6525"/>
    <n v="17257.137000000002"/>
    <n v="16987.486749999993"/>
    <n v="-48"/>
    <n v="-2.7017367101289801E-3"/>
  </r>
  <r>
    <x v="427"/>
    <n v="17609.650000000001"/>
    <n v="17722.75"/>
    <n v="17532.45"/>
    <n v="17629.8"/>
    <n v="284094023"/>
    <n v="21303.96"/>
    <n v="17699.695"/>
    <n v="17287.092000000001"/>
    <n v="16989.070249999993"/>
    <n v="20.149999999997817"/>
    <n v="1.1442589716432648E-3"/>
  </r>
  <r>
    <x v="428"/>
    <n v="17593.849999999999"/>
    <n v="17642.150000000001"/>
    <n v="17291.650000000001"/>
    <n v="17327.349999999999"/>
    <n v="390754862"/>
    <n v="23750.53"/>
    <n v="17700.937499999996"/>
    <n v="17315.368000000006"/>
    <n v="16991.235749999993"/>
    <n v="-266.5"/>
    <n v="-1.5147338416548965E-2"/>
  </r>
  <r>
    <x v="429"/>
    <n v="17156.3"/>
    <n v="17196.400000000001"/>
    <n v="16978.3"/>
    <n v="17016.3"/>
    <n v="492002942"/>
    <n v="27533.01"/>
    <n v="17691.182499999995"/>
    <n v="17340.749000000003"/>
    <n v="16993.311249999992"/>
    <n v="-140"/>
    <n v="-8.1602676567791421E-3"/>
  </r>
  <r>
    <x v="430"/>
    <n v="17110.900000000001"/>
    <n v="17176.45"/>
    <n v="16942.349999999999"/>
    <n v="17007.400000000001"/>
    <n v="359895458"/>
    <n v="22712.799999999999"/>
    <n v="17664.052499999998"/>
    <n v="17361.742000000006"/>
    <n v="16992.509249999992"/>
    <n v="-103.5"/>
    <n v="-6.0487759264562348E-3"/>
  </r>
  <r>
    <x v="431"/>
    <n v="16870.55"/>
    <n v="17037.599999999999"/>
    <n v="16820.400000000001"/>
    <n v="16858.599999999999"/>
    <n v="323922457"/>
    <n v="21400.93"/>
    <n v="17648.777499999997"/>
    <n v="17383.117000000006"/>
    <n v="16990.197499999995"/>
    <n v="-11.950000000000728"/>
    <n v="-7.0833493869498787E-4"/>
  </r>
  <r>
    <x v="432"/>
    <n v="16993.599999999999"/>
    <n v="17026.05"/>
    <n v="16788.599999999999"/>
    <n v="16818.099999999999"/>
    <n v="340034380"/>
    <n v="24758.63"/>
    <n v="17603.742499999997"/>
    <n v="17399.305000000004"/>
    <n v="16986.906249999996"/>
    <n v="-175.5"/>
    <n v="-1.0327417380660956E-2"/>
  </r>
  <r>
    <x v="433"/>
    <n v="16798.05"/>
    <n v="17187.099999999999"/>
    <n v="16747.7"/>
    <n v="17094.349999999999"/>
    <n v="380204763"/>
    <n v="26205.63"/>
    <n v="17567.5075"/>
    <n v="17410.097000000002"/>
    <n v="16983.440249999996"/>
    <n v="296.29999999999927"/>
    <n v="1.7638952140278146E-2"/>
  </r>
  <r>
    <x v="434"/>
    <n v="17102.099999999999"/>
    <n v="17114.650000000001"/>
    <n v="16855.55"/>
    <n v="16887.349999999999"/>
    <n v="285850587"/>
    <n v="21860.54"/>
    <n v="17545.252499999995"/>
    <n v="17425.173000000003"/>
    <n v="16982.070749999995"/>
    <n v="-214.75"/>
    <n v="-1.2556937452125763E-2"/>
  </r>
  <r>
    <x v="435"/>
    <n v="17147.45"/>
    <n v="17287.3"/>
    <n v="17117.3"/>
    <n v="17274.3"/>
    <n v="231601639"/>
    <n v="18480.43"/>
    <n v="17506.329999999998"/>
    <n v="17432.503000000001"/>
    <n v="16979.882999999994"/>
    <n v="126.84999999999854"/>
    <n v="7.3976013926268071E-3"/>
  </r>
  <r>
    <x v="436"/>
    <n v="17379.25"/>
    <n v="17428.8"/>
    <n v="17315.650000000001"/>
    <n v="17331.8"/>
    <n v="268239320"/>
    <n v="20404.46"/>
    <n v="17487.264999999996"/>
    <n v="17445.884000000002"/>
    <n v="16980.147499999995"/>
    <n v="-47.450000000000728"/>
    <n v="-2.7302674166031749E-3"/>
  </r>
  <r>
    <x v="437"/>
    <n v="17287.2"/>
    <n v="17337.349999999999"/>
    <n v="17216.95"/>
    <n v="17314.650000000001"/>
    <n v="216273136"/>
    <n v="17043.259999999998"/>
    <n v="17472.634999999995"/>
    <n v="17458.131000000005"/>
    <n v="16980.564499999993"/>
    <n v="27.450000000000728"/>
    <n v="1.5878800499792174E-3"/>
  </r>
  <r>
    <x v="438"/>
    <n v="17094.349999999999"/>
    <n v="17280.150000000001"/>
    <n v="17064.7"/>
    <n v="17241"/>
    <n v="234005512"/>
    <n v="16220.67"/>
    <n v="17448.429999999997"/>
    <n v="17471.804000000004"/>
    <n v="16982.211749999995"/>
    <n v="146.65000000000146"/>
    <n v="8.5788579267419632E-3"/>
  </r>
  <r>
    <x v="439"/>
    <n v="17256.05"/>
    <n v="17261.8"/>
    <n v="16950.3"/>
    <n v="16983.55"/>
    <n v="282617982"/>
    <n v="22178.37"/>
    <n v="17418.812499999996"/>
    <n v="17486.947000000004"/>
    <n v="16985.345749999993"/>
    <n v="-272.5"/>
    <n v="-1.5791562959078121E-2"/>
  </r>
  <r>
    <x v="440"/>
    <n v="17025.55"/>
    <n v="17142.349999999999"/>
    <n v="16960.05"/>
    <n v="17123.599999999999"/>
    <n v="256037322"/>
    <n v="18098.41"/>
    <n v="17371.172500000001"/>
    <n v="17493.782000000003"/>
    <n v="16986.409249999993"/>
    <n v="98.049999999999272"/>
    <n v="5.7589916331630565E-3"/>
  </r>
  <r>
    <x v="441"/>
    <n v="17087.349999999999"/>
    <n v="17112.349999999999"/>
    <n v="16956.95"/>
    <n v="17014.349999999999"/>
    <n v="266438674"/>
    <n v="18189.64"/>
    <n v="17323.849999999999"/>
    <n v="17497.662"/>
    <n v="16987.249999999996"/>
    <n v="-73"/>
    <n v="-4.2721662516422973E-3"/>
  </r>
  <r>
    <x v="442"/>
    <n v="17322.3"/>
    <n v="17348.55"/>
    <n v="17169.75"/>
    <n v="17185.7"/>
    <n v="226997138"/>
    <n v="17813.47"/>
    <n v="17274.379999999997"/>
    <n v="17494.784000000003"/>
    <n v="16986.958749999998"/>
    <n v="-136.59999999999854"/>
    <n v="-7.8857888386645279E-3"/>
  </r>
  <r>
    <x v="443"/>
    <n v="17144.8"/>
    <n v="17328.55"/>
    <n v="17098.55"/>
    <n v="17311.8"/>
    <n v="212223419"/>
    <n v="16887.830000000002"/>
    <n v="17239.794999999998"/>
    <n v="17491.697"/>
    <n v="16987.868499999997"/>
    <n v="167"/>
    <n v="9.7405627362232277E-3"/>
  </r>
  <r>
    <x v="444"/>
    <n v="17438.75"/>
    <n v="17527.8"/>
    <n v="17434.05"/>
    <n v="17486.95"/>
    <n v="239493630"/>
    <n v="18224.95"/>
    <n v="17228.842499999999"/>
    <n v="17491.024000000001"/>
    <n v="16988.996249999997"/>
    <n v="48.200000000000728"/>
    <n v="2.7639595727905228E-3"/>
  </r>
  <r>
    <x v="445"/>
    <n v="17568.150000000001"/>
    <n v="17607.599999999999"/>
    <n v="17472.849999999999"/>
    <n v="17512.25"/>
    <n v="210480869"/>
    <n v="17200.79"/>
    <n v="17222.077499999999"/>
    <n v="17493"/>
    <n v="16990.264749999998"/>
    <n v="-55.900000000001455"/>
    <n v="-3.1818945079590878E-3"/>
  </r>
  <r>
    <x v="446"/>
    <n v="17423.099999999999"/>
    <n v="17584.150000000001"/>
    <n v="17421"/>
    <n v="17563.95"/>
    <n v="249604832"/>
    <n v="18345.599999999999"/>
    <n v="17206.877499999999"/>
    <n v="17495.605"/>
    <n v="16991.757999999998"/>
    <n v="140.85000000000218"/>
    <n v="8.0840952528540965E-3"/>
  </r>
  <r>
    <x v="447"/>
    <n v="17622.849999999999"/>
    <n v="17670.150000000001"/>
    <n v="17520.75"/>
    <n v="17576.3"/>
    <n v="277702680"/>
    <n v="23547.38"/>
    <n v="17199.157500000001"/>
    <n v="17498.933999999997"/>
    <n v="16993.557999999997"/>
    <n v="-46.549999999999272"/>
    <n v="-2.6414569720561248E-3"/>
  </r>
  <r>
    <x v="448"/>
    <n v="17736.349999999999"/>
    <n v="17777.55"/>
    <n v="17707.400000000001"/>
    <n v="17730.75"/>
    <n v="45029477"/>
    <n v="3772.49"/>
    <n v="17196.482500000002"/>
    <n v="17499.957999999999"/>
    <n v="16994.669249999999"/>
    <n v="-5.5999999999985448"/>
    <n v="-3.1573576299512274E-4"/>
  </r>
  <r>
    <x v="449"/>
    <n v="17808.3"/>
    <n v="17811.5"/>
    <n v="17637"/>
    <n v="17656.349999999999"/>
    <n v="251358203"/>
    <n v="20338.32"/>
    <n v="17216.6525"/>
    <n v="17503.877999999997"/>
    <n v="16995.194499999998"/>
    <n v="-151.95000000000073"/>
    <n v="-8.5325381984805247E-3"/>
  </r>
  <r>
    <x v="450"/>
    <n v="17771.400000000001"/>
    <n v="17783.900000000001"/>
    <n v="17654.5"/>
    <n v="17736.95"/>
    <n v="324649088"/>
    <n v="24166.3"/>
    <n v="17248.654999999999"/>
    <n v="17503.824999999997"/>
    <n v="16994.45"/>
    <n v="-34.450000000000728"/>
    <n v="-1.9385079397234166E-3"/>
  </r>
  <r>
    <x v="451"/>
    <n v="17756.400000000001"/>
    <n v="17838.900000000001"/>
    <n v="17723.7"/>
    <n v="17786.8"/>
    <n v="250030113"/>
    <n v="19099.59"/>
    <n v="17285.1325"/>
    <n v="17504.600999999995"/>
    <n v="16993.508500000004"/>
    <n v="30.399999999997817"/>
    <n v="1.7120587506475307E-3"/>
  </r>
  <r>
    <x v="452"/>
    <n v="17910.2"/>
    <n v="18022.8"/>
    <n v="17899.900000000001"/>
    <n v="18012.2"/>
    <n v="227174539"/>
    <n v="19846.47"/>
    <n v="17331.5425"/>
    <n v="17503.831999999999"/>
    <n v="16993.713"/>
    <n v="102"/>
    <n v="5.6950787819231496E-3"/>
  </r>
  <r>
    <x v="453"/>
    <n v="18130.7"/>
    <n v="18175.8"/>
    <n v="18060.150000000001"/>
    <n v="18145.400000000001"/>
    <n v="349924808"/>
    <n v="26796.59"/>
    <n v="17391.247500000001"/>
    <n v="17505.190999999995"/>
    <n v="16994.710500000001"/>
    <n v="14.700000000000728"/>
    <n v="8.1077950658279749E-4"/>
  </r>
  <r>
    <x v="454"/>
    <n v="18177.900000000001"/>
    <n v="18178.75"/>
    <n v="18048.650000000001"/>
    <n v="18082.849999999999"/>
    <n v="270878019"/>
    <n v="20072.62"/>
    <n v="17443.800000000003"/>
    <n v="17508.968999999997"/>
    <n v="16995.421000000002"/>
    <n v="-95.05000000000291"/>
    <n v="-5.2288768229555062E-3"/>
  </r>
  <r>
    <x v="455"/>
    <n v="17968.349999999999"/>
    <n v="18106.3"/>
    <n v="17959.2"/>
    <n v="18052.7"/>
    <n v="212968291"/>
    <n v="16037.78"/>
    <n v="17503.575000000001"/>
    <n v="17515.456999999999"/>
    <n v="16995.556500000002"/>
    <n v="84.350000000002183"/>
    <n v="4.6943653702205372E-3"/>
  </r>
  <r>
    <x v="456"/>
    <n v="18053.400000000001"/>
    <n v="18135.099999999999"/>
    <n v="18017.150000000001"/>
    <n v="18117.150000000001"/>
    <n v="267941526"/>
    <n v="21062.54"/>
    <n v="17542.495000000003"/>
    <n v="17526.696999999996"/>
    <n v="16994.758250000003"/>
    <n v="63.75"/>
    <n v="3.5311908006248126E-3"/>
  </r>
  <r>
    <x v="457"/>
    <n v="18211.75"/>
    <n v="18255.5"/>
    <n v="18064.75"/>
    <n v="18202.8"/>
    <n v="314758398"/>
    <n v="25124.84"/>
    <n v="17581.762500000004"/>
    <n v="17537.489999999994"/>
    <n v="16994.055000000004"/>
    <n v="-8.9500000000007276"/>
    <n v="-4.9144096531089697E-4"/>
  </r>
  <r>
    <x v="458"/>
    <n v="18288.25"/>
    <n v="18296.400000000001"/>
    <n v="18117.5"/>
    <n v="18157"/>
    <n v="307155149"/>
    <n v="23344.58"/>
    <n v="17626.170000000002"/>
    <n v="17549.446999999996"/>
    <n v="16993.790250000005"/>
    <n v="-131.25"/>
    <n v="-7.1767391631238639E-3"/>
  </r>
  <r>
    <x v="459"/>
    <n v="18044.349999999999"/>
    <n v="18103.099999999999"/>
    <n v="17969.400000000001"/>
    <n v="18028.2"/>
    <n v="256451785"/>
    <n v="19848.060000000001"/>
    <n v="17671.97"/>
    <n v="17562.137999999992"/>
    <n v="16993.034750000006"/>
    <n v="-16.149999999997817"/>
    <n v="-8.9501699978097404E-4"/>
  </r>
  <r>
    <x v="460"/>
    <n v="18272.349999999999"/>
    <n v="18362.3"/>
    <n v="18259.349999999999"/>
    <n v="18349.7"/>
    <n v="378469072"/>
    <n v="30732.11"/>
    <n v="17724.202500000003"/>
    <n v="17571.523999999994"/>
    <n v="16992.610500000006"/>
    <n v="77.350000000002183"/>
    <n v="4.2331719784265403E-3"/>
  </r>
  <r>
    <x v="461"/>
    <n v="18376.400000000001"/>
    <n v="18399.45"/>
    <n v="18311.400000000001"/>
    <n v="18329.150000000001"/>
    <n v="301401961"/>
    <n v="21697.66"/>
    <n v="17785.5075"/>
    <n v="17592.259999999995"/>
    <n v="16994.667000000005"/>
    <n v="-47.25"/>
    <n v="-2.5712326679872008E-3"/>
  </r>
  <r>
    <x v="462"/>
    <n v="18362.75"/>
    <n v="18427.95"/>
    <n v="18282"/>
    <n v="18403.400000000001"/>
    <n v="250926391"/>
    <n v="17836.189999999999"/>
    <n v="17851.247500000005"/>
    <n v="17603.656999999992"/>
    <n v="16997.527750000005"/>
    <n v="40.650000000001455"/>
    <n v="2.2137207117671077E-3"/>
  </r>
  <r>
    <x v="463"/>
    <n v="18398.25"/>
    <n v="18442.150000000001"/>
    <n v="18344.150000000001"/>
    <n v="18409.650000000001"/>
    <n v="219268992"/>
    <n v="19732.87"/>
    <n v="17912.132500000003"/>
    <n v="17620.868999999995"/>
    <n v="17001.459000000003"/>
    <n v="11.400000000001455"/>
    <n v="6.1962414903599279E-4"/>
  </r>
  <r>
    <x v="464"/>
    <n v="18358.7"/>
    <n v="18417.599999999999"/>
    <n v="18312.95"/>
    <n v="18343.900000000001"/>
    <n v="200512910"/>
    <n v="16410.36"/>
    <n v="17967.025000000005"/>
    <n v="17638.272999999997"/>
    <n v="17007.761750000005"/>
    <n v="-14.799999999999272"/>
    <n v="-8.0615729871936852E-4"/>
  </r>
  <r>
    <x v="465"/>
    <n v="18382.95"/>
    <n v="18394.599999999999"/>
    <n v="18209.8"/>
    <n v="18307.650000000001"/>
    <n v="198794846"/>
    <n v="16553.689999999999"/>
    <n v="18009.872500000005"/>
    <n v="17651.834999999999"/>
    <n v="17013.091500000002"/>
    <n v="-75.299999999999272"/>
    <n v="-4.0961869558476345E-3"/>
  </r>
  <r>
    <x v="466"/>
    <n v="18246.400000000001"/>
    <n v="18262.3"/>
    <n v="18133.349999999999"/>
    <n v="18159.95"/>
    <n v="213794598"/>
    <n v="15037.5"/>
    <n v="18049.642500000009"/>
    <n v="17664.876"/>
    <n v="17019.079000000005"/>
    <n v="-86.450000000000728"/>
    <n v="-4.7379209049456727E-3"/>
  </r>
  <r>
    <x v="467"/>
    <n v="18179.150000000001"/>
    <n v="18261.849999999999"/>
    <n v="18137.7"/>
    <n v="18244.2"/>
    <n v="177681099"/>
    <n v="14750.98"/>
    <n v="18079.442500000008"/>
    <n v="17675.586999999996"/>
    <n v="17024.369000000006"/>
    <n v="65.049999999999272"/>
    <n v="3.5782751118726272E-3"/>
  </r>
  <r>
    <x v="468"/>
    <n v="18325.2"/>
    <n v="18325.400000000001"/>
    <n v="18246"/>
    <n v="18267.25"/>
    <n v="178791087"/>
    <n v="15674.45"/>
    <n v="18112.837500000005"/>
    <n v="17684.495999999996"/>
    <n v="17028.890750000006"/>
    <n v="-57.950000000000728"/>
    <n v="-3.1623120075088252E-3"/>
  </r>
  <r>
    <x v="469"/>
    <n v="18326.099999999999"/>
    <n v="18529.7"/>
    <n v="18294.25"/>
    <n v="18484.099999999999"/>
    <n v="204044559"/>
    <n v="18218.349999999999"/>
    <n v="18139.662500000006"/>
    <n v="17693.173999999995"/>
    <n v="17032.342750000007"/>
    <n v="158"/>
    <n v="8.6215834247330321E-3"/>
  </r>
  <r>
    <x v="470"/>
    <n v="18528.45"/>
    <n v="18534.900000000001"/>
    <n v="18445.099999999999"/>
    <n v="18512.75"/>
    <n v="205876043"/>
    <n v="17112.8"/>
    <n v="18181.050000000003"/>
    <n v="17704.128999999997"/>
    <n v="17035.863250000006"/>
    <n v="-15.700000000000728"/>
    <n v="-8.4734556857161427E-4"/>
  </r>
  <r>
    <x v="471"/>
    <n v="18430.55"/>
    <n v="18614.25"/>
    <n v="18365.599999999999"/>
    <n v="18562.75"/>
    <n v="206468884"/>
    <n v="19006.919999999998"/>
    <n v="18219.840000000004"/>
    <n v="17712.982999999997"/>
    <n v="17040.626000000004"/>
    <n v="132.20000000000073"/>
    <n v="7.1728733000372066E-3"/>
  </r>
  <r>
    <x v="472"/>
    <n v="18552.45"/>
    <n v="18678.099999999999"/>
    <n v="18552.150000000001"/>
    <n v="18618.05"/>
    <n v="195255179"/>
    <n v="16568.169999999998"/>
    <n v="18258.637500000001"/>
    <n v="17724.162999999997"/>
    <n v="17045.858250000005"/>
    <n v="65.599999999998545"/>
    <n v="3.5359211317102885E-3"/>
  </r>
  <r>
    <x v="473"/>
    <n v="18625.7"/>
    <n v="18816.05"/>
    <n v="18616.55"/>
    <n v="18758.349999999999"/>
    <n v="345636288"/>
    <n v="32757.21"/>
    <n v="18288.93"/>
    <n v="17738.975999999999"/>
    <n v="17052.880500000007"/>
    <n v="132.64999999999782"/>
    <n v="7.1218799830340771E-3"/>
  </r>
  <r>
    <x v="474"/>
    <n v="18871.95"/>
    <n v="18887.599999999999"/>
    <n v="18778.2"/>
    <n v="18812.5"/>
    <n v="324955829"/>
    <n v="22216.65"/>
    <n v="18319.577499999996"/>
    <n v="17763.525999999998"/>
    <n v="17060.338500000005"/>
    <n v="-59.450000000000728"/>
    <n v="-3.1501779095430373E-3"/>
  </r>
  <r>
    <x v="475"/>
    <n v="18752.400000000001"/>
    <n v="18781.95"/>
    <n v="18639.2"/>
    <n v="18696.099999999999"/>
    <n v="254401004"/>
    <n v="20233.759999999998"/>
    <n v="18356.059999999998"/>
    <n v="17787.330999999998"/>
    <n v="17067.082000000006"/>
    <n v="-56.30000000000291"/>
    <n v="-3.0022823745228825E-3"/>
  </r>
  <r>
    <x v="476"/>
    <n v="18719.55"/>
    <n v="18728.599999999999"/>
    <n v="18591.349999999999"/>
    <n v="18701.05"/>
    <n v="288393766"/>
    <n v="19471.830000000002"/>
    <n v="18388.229999999996"/>
    <n v="17804.928"/>
    <n v="17072.533250000008"/>
    <n v="-18.5"/>
    <n v="-9.8827161977718485E-4"/>
  </r>
  <r>
    <x v="477"/>
    <n v="18600.650000000001"/>
    <n v="18654.900000000001"/>
    <n v="18577.900000000001"/>
    <n v="18642.75"/>
    <n v="217777090"/>
    <n v="17772.27"/>
    <n v="18417.424999999996"/>
    <n v="17824.581999999999"/>
    <n v="17079.164750000007"/>
    <n v="42.099999999998545"/>
    <n v="2.2633617642393434E-3"/>
  </r>
  <r>
    <x v="478"/>
    <n v="18638.849999999999"/>
    <n v="18668.3"/>
    <n v="18528.400000000001"/>
    <n v="18560.5"/>
    <n v="200501720"/>
    <n v="17496.8"/>
    <n v="18439.422499999997"/>
    <n v="17844.841"/>
    <n v="17088.164500000003"/>
    <n v="-78.349999999998545"/>
    <n v="-4.2035855216388642E-3"/>
  </r>
  <r>
    <x v="479"/>
    <n v="18570.849999999999"/>
    <n v="18625"/>
    <n v="18536.95"/>
    <n v="18609.349999999999"/>
    <n v="202811256"/>
    <n v="19277.650000000001"/>
    <n v="18459.597499999996"/>
    <n v="17869.504000000001"/>
    <n v="17094.204750000004"/>
    <n v="38.5"/>
    <n v="2.0731415094085623E-3"/>
  </r>
  <r>
    <x v="480"/>
    <n v="18662.400000000001"/>
    <n v="18664.7"/>
    <n v="18410.099999999999"/>
    <n v="18496.599999999999"/>
    <n v="215839572"/>
    <n v="20317.78"/>
    <n v="18488.654999999995"/>
    <n v="17901.365000000002"/>
    <n v="17100.640500000005"/>
    <n v="-165.80000000000291"/>
    <n v="-8.8841735253773844E-3"/>
  </r>
  <r>
    <x v="481"/>
    <n v="18402.150000000001"/>
    <n v="18521.55"/>
    <n v="18345.7"/>
    <n v="18497.150000000001"/>
    <n v="193883468"/>
    <n v="16688.2"/>
    <n v="18495.999999999996"/>
    <n v="17931.148999999998"/>
    <n v="17106.600500000004"/>
    <n v="95"/>
    <n v="5.1624402583393784E-3"/>
  </r>
  <r>
    <x v="482"/>
    <n v="18524.400000000001"/>
    <n v="18617.25"/>
    <n v="18490.2"/>
    <n v="18608"/>
    <n v="187585567"/>
    <n v="16536.169999999998"/>
    <n v="18504.400000000001"/>
    <n v="17963.919999999998"/>
    <n v="17112.704750000004"/>
    <n v="83.599999999998545"/>
    <n v="4.5129666817817875E-3"/>
  </r>
  <r>
    <x v="483"/>
    <n v="18671.25"/>
    <n v="18696.099999999999"/>
    <n v="18632.900000000001"/>
    <n v="18660.3"/>
    <n v="208030337"/>
    <n v="16626"/>
    <n v="18514.629999999997"/>
    <n v="17999.718000000001"/>
    <n v="17119.711500000005"/>
    <n v="-10.950000000000728"/>
    <n v="-5.8646314520992044E-4"/>
  </r>
  <r>
    <x v="484"/>
    <n v="18614.400000000001"/>
    <n v="18652.900000000001"/>
    <n v="18387.7"/>
    <n v="18414.900000000001"/>
    <n v="183127544"/>
    <n v="15618.55"/>
    <n v="18527.162499999999"/>
    <n v="18031.037"/>
    <n v="17127.552000000003"/>
    <n v="-199.5"/>
    <n v="-1.0717509025270758E-2"/>
  </r>
  <r>
    <x v="485"/>
    <n v="18319.099999999999"/>
    <n v="18440.95"/>
    <n v="18255.150000000001"/>
    <n v="18269"/>
    <n v="277650193"/>
    <n v="23292.95"/>
    <n v="18530.712500000001"/>
    <n v="18061.588000000003"/>
    <n v="17134.310250000002"/>
    <n v="-50.099999999998545"/>
    <n v="-2.7348505112149914E-3"/>
  </r>
  <r>
    <x v="486"/>
    <n v="18288.099999999999"/>
    <n v="18431.650000000001"/>
    <n v="18244.55"/>
    <n v="18420.45"/>
    <n v="154847475"/>
    <n v="14455.23"/>
    <n v="18528.780000000002"/>
    <n v="18081.482000000004"/>
    <n v="17144.415500000003"/>
    <n v="132.35000000000218"/>
    <n v="7.2369464296456274E-3"/>
  </r>
  <r>
    <x v="487"/>
    <n v="18340.3"/>
    <n v="18404.900000000001"/>
    <n v="18202.650000000001"/>
    <n v="18385.3"/>
    <n v="169041783"/>
    <n v="15038.56"/>
    <n v="18541.805"/>
    <n v="18103.255000000001"/>
    <n v="17153.225750000005"/>
    <n v="45"/>
    <n v="2.4536130815744563E-3"/>
  </r>
  <r>
    <x v="488"/>
    <n v="18435.150000000001"/>
    <n v="18473.349999999999"/>
    <n v="18162.75"/>
    <n v="18199.099999999999"/>
    <n v="187594274"/>
    <n v="17223.439999999999"/>
    <n v="18548.86"/>
    <n v="18124.668000000005"/>
    <n v="17161.182750000004"/>
    <n v="-236.05000000000291"/>
    <n v="-1.2804343875694143E-2"/>
  </r>
  <r>
    <x v="489"/>
    <n v="18288.8"/>
    <n v="18318.75"/>
    <n v="18068.599999999999"/>
    <n v="18127.349999999999"/>
    <n v="195699650"/>
    <n v="16725.23"/>
    <n v="18545.452499999999"/>
    <n v="18143.830000000005"/>
    <n v="17169.148500000003"/>
    <n v="-161.45000000000073"/>
    <n v="-8.8278071825379865E-3"/>
  </r>
  <r>
    <x v="490"/>
    <n v="17977.650000000001"/>
    <n v="18050.45"/>
    <n v="17779.5"/>
    <n v="17806.8"/>
    <n v="221454773"/>
    <n v="18486.939999999999"/>
    <n v="18527.614999999998"/>
    <n v="18166.706000000006"/>
    <n v="17177.295000000006"/>
    <n v="-170.85000000000218"/>
    <n v="-9.5034668046158517E-3"/>
  </r>
  <r>
    <x v="491"/>
    <n v="17830.400000000001"/>
    <n v="18084.099999999999"/>
    <n v="17774.25"/>
    <n v="18014.599999999999"/>
    <n v="176652342"/>
    <n v="13708.21"/>
    <n v="18492.317499999997"/>
    <n v="18180.370000000006"/>
    <n v="17185.102250000004"/>
    <n v="184.19999999999709"/>
    <n v="1.0330671213208737E-2"/>
  </r>
  <r>
    <x v="492"/>
    <n v="18089.8"/>
    <n v="18149.25"/>
    <n v="17967.45"/>
    <n v="18132.3"/>
    <n v="214257094"/>
    <n v="13000.64"/>
    <n v="18464.909999999996"/>
    <n v="18200.375000000004"/>
    <n v="17195.859500000006"/>
    <n v="42.5"/>
    <n v="2.3493902641267455E-3"/>
  </r>
  <r>
    <x v="493"/>
    <n v="18084.75"/>
    <n v="18173.099999999999"/>
    <n v="18068.349999999999"/>
    <n v="18122.5"/>
    <n v="193873167"/>
    <n v="13997.59"/>
    <n v="18440.622499999994"/>
    <n v="18219.307000000004"/>
    <n v="17206.453750000001"/>
    <n v="37.75"/>
    <n v="2.0873940751185392E-3"/>
  </r>
  <r>
    <x v="494"/>
    <n v="18045.7"/>
    <n v="18229.7"/>
    <n v="17992.8"/>
    <n v="18191"/>
    <n v="281052828"/>
    <n v="18466.05"/>
    <n v="18408.829999999994"/>
    <n v="18235.521000000004"/>
    <n v="17215.339500000002"/>
    <n v="145.29999999999927"/>
    <n v="8.0517796483372366E-3"/>
  </r>
  <r>
    <x v="495"/>
    <n v="18259.099999999999"/>
    <n v="18265.25"/>
    <n v="18080.3"/>
    <n v="18105.3"/>
    <n v="192005563"/>
    <n v="14475.22"/>
    <n v="18377.754999999997"/>
    <n v="18249.602000000003"/>
    <n v="17223.320000000003"/>
    <n v="-153.79999999999927"/>
    <n v="-8.4231972003000859E-3"/>
  </r>
  <r>
    <x v="496"/>
    <n v="18131.7"/>
    <n v="18215.150000000001"/>
    <n v="18086.5"/>
    <n v="18197.45"/>
    <n v="256073979"/>
    <n v="11793.06"/>
    <n v="18348.214999999997"/>
    <n v="18261.463000000003"/>
    <n v="17230.694250000004"/>
    <n v="65.75"/>
    <n v="3.6262457463999511E-3"/>
  </r>
  <r>
    <x v="497"/>
    <n v="18163.2"/>
    <n v="18251.95"/>
    <n v="18149.8"/>
    <n v="18232.55"/>
    <n v="208699772"/>
    <n v="13680.91"/>
    <n v="18323.035"/>
    <n v="18274.133000000005"/>
    <n v="17237.325000000001"/>
    <n v="69.349999999998545"/>
    <n v="3.8181597956306458E-3"/>
  </r>
  <r>
    <x v="498"/>
    <n v="18230.650000000001"/>
    <n v="18243"/>
    <n v="18020.599999999999"/>
    <n v="18042.95"/>
    <n v="235162202"/>
    <n v="16687.71"/>
    <n v="18302.525000000001"/>
    <n v="18287.258000000002"/>
    <n v="17245.172750000005"/>
    <n v="-187.70000000000073"/>
    <n v="-1.0295847926431626E-2"/>
  </r>
  <r>
    <x v="499"/>
    <n v="18101.95"/>
    <n v="18120.3"/>
    <n v="17892.599999999999"/>
    <n v="17992.150000000001"/>
    <n v="269949738"/>
    <n v="22108.53"/>
    <n v="18276.647499999999"/>
    <n v="18293.502"/>
    <n v="17250.510750000001"/>
    <n v="-109.79999999999927"/>
    <n v="-6.0656448614651607E-3"/>
  </r>
  <r>
    <x v="500"/>
    <n v="18008.05"/>
    <n v="18047.400000000001"/>
    <n v="17795.55"/>
    <n v="17859.45"/>
    <n v="238220578"/>
    <n v="17495.25"/>
    <n v="18245.787499999999"/>
    <n v="18300.218000000004"/>
    <n v="17254.036250000001"/>
    <n v="-148.59999999999854"/>
    <n v="-8.2518651380909403E-3"/>
  </r>
  <r>
    <x v="501"/>
    <n v="17952.55"/>
    <n v="18141.400000000001"/>
    <n v="17936.150000000001"/>
    <n v="18101.2"/>
    <n v="257237669"/>
    <n v="19916.16"/>
    <n v="18213.93"/>
    <n v="18302.668000000001"/>
    <n v="17257.745500000005"/>
    <n v="148.65000000000146"/>
    <n v="8.2801607571070107E-3"/>
  </r>
  <r>
    <x v="502"/>
    <n v="18121.3"/>
    <n v="18127.599999999999"/>
    <n v="17856"/>
    <n v="17914.150000000001"/>
    <n v="283277918"/>
    <n v="20570.3"/>
    <n v="18194.1325"/>
    <n v="18308.955999999998"/>
    <n v="17261.674000000003"/>
    <n v="-207.14999999999782"/>
    <n v="-1.143129907898428E-2"/>
  </r>
  <r>
    <x v="503"/>
    <n v="17924.25"/>
    <n v="17976.349999999999"/>
    <n v="17824.349999999999"/>
    <n v="17895.7"/>
    <n v="259853294"/>
    <n v="20204.330000000002"/>
    <n v="18159.440000000002"/>
    <n v="18306.994999999999"/>
    <n v="17265.016500000005"/>
    <n v="-28.549999999999272"/>
    <n v="-1.5928142042204987E-3"/>
  </r>
  <r>
    <x v="504"/>
    <n v="17920.849999999999"/>
    <n v="17945.8"/>
    <n v="17761.650000000001"/>
    <n v="17858.2"/>
    <n v="227769060"/>
    <n v="19762.43"/>
    <n v="18121.210000000003"/>
    <n v="18302.000999999997"/>
    <n v="17268.381250000006"/>
    <n v="-62.649999999997817"/>
    <n v="-3.4959279275256377E-3"/>
  </r>
  <r>
    <x v="505"/>
    <n v="17867.5"/>
    <n v="17999.349999999999"/>
    <n v="17774.25"/>
    <n v="17956.599999999999"/>
    <n v="256700729"/>
    <n v="21341.7"/>
    <n v="18093.375000000004"/>
    <n v="18297.507999999994"/>
    <n v="17271.907250000007"/>
    <n v="89.099999999998545"/>
    <n v="4.9867077095283917E-3"/>
  </r>
  <r>
    <x v="506"/>
    <n v="18033.150000000001"/>
    <n v="18049.650000000001"/>
    <n v="17853.650000000001"/>
    <n v="17894.849999999999"/>
    <n v="206195816"/>
    <n v="16728.37"/>
    <n v="18077.755000000001"/>
    <n v="18295.585999999996"/>
    <n v="17275.58025000001"/>
    <n v="-138.30000000000291"/>
    <n v="-7.6692092063784141E-3"/>
  </r>
  <r>
    <x v="507"/>
    <n v="17922.8"/>
    <n v="18072.05"/>
    <n v="17886.95"/>
    <n v="18053.3"/>
    <n v="219055125"/>
    <n v="17461.09"/>
    <n v="18051.474999999999"/>
    <n v="18291.139999999996"/>
    <n v="17278.428000000007"/>
    <n v="130.5"/>
    <n v="7.2812283794942761E-3"/>
  </r>
  <r>
    <x v="508"/>
    <n v="18074.3"/>
    <n v="18183.75"/>
    <n v="18032.45"/>
    <n v="18165.349999999999"/>
    <n v="255840928"/>
    <n v="20500.07"/>
    <n v="18034.875"/>
    <n v="18288.149999999998"/>
    <n v="17281.203250000006"/>
    <n v="91.049999999999272"/>
    <n v="5.0375394897727317E-3"/>
  </r>
  <r>
    <x v="509"/>
    <n v="18119.8"/>
    <n v="18155.2"/>
    <n v="18063.75"/>
    <n v="18107.849999999999"/>
    <n v="237833991"/>
    <n v="18413.13"/>
    <n v="18033.187499999996"/>
    <n v="18288.316999999995"/>
    <n v="17284.706250000007"/>
    <n v="-11.950000000000728"/>
    <n v="-6.5949955297523854E-4"/>
  </r>
  <r>
    <x v="510"/>
    <n v="18115.599999999999"/>
    <n v="18145.45"/>
    <n v="18016.2"/>
    <n v="18027.650000000001"/>
    <n v="237225269"/>
    <n v="19519.96"/>
    <n v="18032.212499999998"/>
    <n v="18289.909999999996"/>
    <n v="17286.893250000008"/>
    <n v="-87.94999999999709"/>
    <n v="-4.8549316611096018E-3"/>
  </r>
  <r>
    <x v="511"/>
    <n v="18118.45"/>
    <n v="18162.599999999999"/>
    <n v="18063.45"/>
    <n v="18118.55"/>
    <n v="202460434"/>
    <n v="17060.12"/>
    <n v="18043.254999999997"/>
    <n v="18283.468999999997"/>
    <n v="17286.764500000005"/>
    <n v="9.9999999998544808E-2"/>
    <n v="5.5192359168993379E-6"/>
  </r>
  <r>
    <x v="512"/>
    <n v="18183.95"/>
    <n v="18201.25"/>
    <n v="18078.650000000001"/>
    <n v="18118.3"/>
    <n v="216910302"/>
    <n v="19705.91"/>
    <n v="18048.452499999999"/>
    <n v="18279.256999999998"/>
    <n v="17287.570250000008"/>
    <n v="-65.650000000001455"/>
    <n v="-3.6103266891957717E-3"/>
  </r>
  <r>
    <x v="513"/>
    <n v="18093.349999999999"/>
    <n v="18100.599999999999"/>
    <n v="17846.150000000001"/>
    <n v="17891.95"/>
    <n v="257227052"/>
    <n v="20890.560000000001"/>
    <n v="18047.752499999999"/>
    <n v="18273.554999999997"/>
    <n v="17289.123500000009"/>
    <n v="-201.39999999999782"/>
    <n v="-1.1131161448819473E-2"/>
  </r>
  <r>
    <x v="514"/>
    <n v="17877.2"/>
    <n v="17884.75"/>
    <n v="17493.55"/>
    <n v="17604.349999999999"/>
    <n v="476342611"/>
    <n v="40104.83"/>
    <n v="18036.224999999999"/>
    <n v="18263.200999999997"/>
    <n v="17290.385500000008"/>
    <n v="-272.85000000000218"/>
    <n v="-1.5262457208064024E-2"/>
  </r>
  <r>
    <x v="515"/>
    <n v="17541.95"/>
    <n v="17709.150000000001"/>
    <n v="17405.55"/>
    <n v="17648.95"/>
    <n v="432434028"/>
    <n v="38159.879999999997"/>
    <n v="18006.892499999998"/>
    <n v="18248.409999999996"/>
    <n v="17289.48550000001"/>
    <n v="107"/>
    <n v="6.0996639484207854E-3"/>
  </r>
  <r>
    <x v="516"/>
    <n v="17731.45"/>
    <n v="17735.7"/>
    <n v="17537.55"/>
    <n v="17662.150000000001"/>
    <n v="398338541"/>
    <n v="35023.699999999997"/>
    <n v="17984.075000000001"/>
    <n v="18235.235999999997"/>
    <n v="17289.355500000009"/>
    <n v="-69.299999999999272"/>
    <n v="-3.9083098110983183E-3"/>
  </r>
  <r>
    <x v="517"/>
    <n v="17811.599999999999"/>
    <n v="17972.2"/>
    <n v="17353.400000000001"/>
    <n v="17616.3"/>
    <n v="512870802"/>
    <n v="38486.19"/>
    <n v="17957.310000000001"/>
    <n v="18225.279999999995"/>
    <n v="17290.014750000009"/>
    <n v="-195.29999999999927"/>
    <n v="-1.0964764535471226E-2"/>
  </r>
  <r>
    <x v="518"/>
    <n v="17517.099999999999"/>
    <n v="17653.900000000001"/>
    <n v="17445.95"/>
    <n v="17610.400000000001"/>
    <n v="490113567"/>
    <n v="37639.96"/>
    <n v="17926.497500000001"/>
    <n v="18212.721999999994"/>
    <n v="17290.718000000008"/>
    <n v="93.30000000000291"/>
    <n v="5.3262240896040395E-3"/>
  </r>
  <r>
    <x v="519"/>
    <n v="17721.75"/>
    <n v="17870.3"/>
    <n v="17584.2"/>
    <n v="17854.05"/>
    <n v="424123037"/>
    <n v="34503.67"/>
    <n v="17904.870000000003"/>
    <n v="18199.584999999995"/>
    <n v="17292.901750000008"/>
    <n v="132.29999999999927"/>
    <n v="7.4654026831435533E-3"/>
  </r>
  <r>
    <x v="520"/>
    <n v="17818.55"/>
    <n v="17823.7"/>
    <n v="17698.349999999999"/>
    <n v="17764.599999999999"/>
    <n v="282544790"/>
    <n v="21864.880000000001"/>
    <n v="17897.965"/>
    <n v="18186.983999999997"/>
    <n v="17297.378750000011"/>
    <n v="-53.950000000000728"/>
    <n v="-3.0277435593805743E-3"/>
  </r>
  <r>
    <x v="521"/>
    <n v="17790.099999999999"/>
    <n v="17811.150000000001"/>
    <n v="17652.55"/>
    <n v="17721.5"/>
    <n v="354395693"/>
    <n v="23611.08"/>
    <n v="17893.2225"/>
    <n v="18172.020999999997"/>
    <n v="17300.519000000008"/>
    <n v="-68.599999999998545"/>
    <n v="-3.8560772564515404E-3"/>
  </r>
  <r>
    <x v="522"/>
    <n v="17750.3"/>
    <n v="17898.7"/>
    <n v="17744.150000000001"/>
    <n v="17871.7"/>
    <n v="290994265"/>
    <n v="23733.4"/>
    <n v="17874.237499999999"/>
    <n v="18155.195999999996"/>
    <n v="17302.16350000001"/>
    <n v="121.40000000000146"/>
    <n v="6.8393210255602134E-3"/>
  </r>
  <r>
    <x v="523"/>
    <n v="17885.5"/>
    <n v="17916.900000000001"/>
    <n v="17779.8"/>
    <n v="17893.45"/>
    <n v="260854055"/>
    <n v="21529.97"/>
    <n v="17872.114999999998"/>
    <n v="18140.268999999997"/>
    <n v="17305.662250000008"/>
    <n v="7.9500000000007276"/>
    <n v="4.4449414330047959E-4"/>
  </r>
  <r>
    <x v="524"/>
    <n v="17847.55"/>
    <n v="17876.95"/>
    <n v="17801"/>
    <n v="17856.5"/>
    <n v="231991834"/>
    <n v="17063.990000000002"/>
    <n v="17872.002499999999"/>
    <n v="18122.970999999998"/>
    <n v="17310.359750000011"/>
    <n v="8.9500000000007276"/>
    <n v="5.0146938935600278E-4"/>
  </r>
  <r>
    <x v="525"/>
    <n v="17859.099999999999"/>
    <n v="17880.7"/>
    <n v="17719.75"/>
    <n v="17770.900000000001"/>
    <n v="231276483"/>
    <n v="17406.310000000001"/>
    <n v="17871.917500000003"/>
    <n v="18103.850999999999"/>
    <n v="17313.638250000007"/>
    <n v="-88.19999999999709"/>
    <n v="-4.938658723003796E-3"/>
  </r>
  <r>
    <x v="526"/>
    <n v="17840.349999999999"/>
    <n v="17954.55"/>
    <n v="17800.05"/>
    <n v="17929.849999999999"/>
    <n v="244512944"/>
    <n v="20579.8"/>
    <n v="17862.6325"/>
    <n v="18085.346999999998"/>
    <n v="17317.300750000006"/>
    <n v="89.5"/>
    <n v="5.0167177213451533E-3"/>
  </r>
  <r>
    <x v="527"/>
    <n v="17896.599999999999"/>
    <n v="18034.099999999999"/>
    <n v="17853.8"/>
    <n v="18015.849999999999"/>
    <n v="229273800"/>
    <n v="21457.34"/>
    <n v="17864.3825"/>
    <n v="18069.923000000003"/>
    <n v="17320.724750000005"/>
    <n v="119.25"/>
    <n v="6.6632768235307272E-3"/>
  </r>
  <r>
    <x v="528"/>
    <n v="18094.75"/>
    <n v="18134.75"/>
    <n v="18000.650000000001"/>
    <n v="18035.849999999999"/>
    <n v="230246175"/>
    <n v="18891.55"/>
    <n v="17862.509999999998"/>
    <n v="18057.385000000002"/>
    <n v="17325.291250000006"/>
    <n v="-58.900000000001455"/>
    <n v="-3.2550878017105211E-3"/>
  </r>
  <r>
    <x v="529"/>
    <n v="17974.849999999999"/>
    <n v="18034.25"/>
    <n v="17884.599999999999"/>
    <n v="17944.2"/>
    <n v="208053929"/>
    <n v="16998.330000000002"/>
    <n v="17856.034999999996"/>
    <n v="18046.892"/>
    <n v="17330.125000000007"/>
    <n v="-30.649999999997817"/>
    <n v="-1.7051602655931938E-3"/>
  </r>
  <r>
    <x v="530"/>
    <n v="17965.55"/>
    <n v="18004.349999999999"/>
    <n v="17818.400000000001"/>
    <n v="17844.599999999999"/>
    <n v="174563233"/>
    <n v="14729.07"/>
    <n v="17847.852500000001"/>
    <n v="18033.589"/>
    <n v="17336.458000000006"/>
    <n v="-120.95000000000073"/>
    <n v="-6.7323293748313149E-3"/>
  </r>
  <r>
    <x v="531"/>
    <n v="17905.8"/>
    <n v="17924.900000000001"/>
    <n v="17800.3"/>
    <n v="17826.7"/>
    <n v="198248205"/>
    <n v="15593.09"/>
    <n v="17838.699999999997"/>
    <n v="18020.548999999999"/>
    <n v="17342.26775000001"/>
    <n v="-79.099999999998545"/>
    <n v="-4.4175630242713837E-3"/>
  </r>
  <r>
    <x v="532"/>
    <n v="17755.349999999999"/>
    <n v="17772.5"/>
    <n v="17529.45"/>
    <n v="17554.3"/>
    <n v="204021979"/>
    <n v="17162.09"/>
    <n v="17824.107499999998"/>
    <n v="18007.139999999996"/>
    <n v="17349.345000000008"/>
    <n v="-201.04999999999927"/>
    <n v="-1.1323347610720109E-2"/>
  </r>
  <r>
    <x v="533"/>
    <n v="17574.650000000001"/>
    <n v="17620.05"/>
    <n v="17455.400000000001"/>
    <n v="17511.25"/>
    <n v="240807918"/>
    <n v="19313.68"/>
    <n v="17795.907499999998"/>
    <n v="17986.065999999995"/>
    <n v="17355.607250000008"/>
    <n v="-63.400000000001455"/>
    <n v="-3.6074687120370222E-3"/>
  </r>
  <r>
    <x v="534"/>
    <n v="17591.349999999999"/>
    <n v="17599.75"/>
    <n v="17421.8"/>
    <n v="17465.8"/>
    <n v="209406363"/>
    <n v="16100.18"/>
    <n v="17776.872500000001"/>
    <n v="17963.084999999995"/>
    <n v="17361.963250000008"/>
    <n v="-125.54999999999927"/>
    <n v="-7.1370304155166766E-3"/>
  </r>
  <r>
    <x v="535"/>
    <n v="17428.599999999999"/>
    <n v="17451.599999999999"/>
    <n v="17299"/>
    <n v="17392.7"/>
    <n v="246448847"/>
    <n v="16638.41"/>
    <n v="17769.945"/>
    <n v="17944.102999999999"/>
    <n v="17368.456750000008"/>
    <n v="-35.899999999997817"/>
    <n v="-2.0598326887987456E-3"/>
  </r>
  <r>
    <x v="536"/>
    <n v="17383.25"/>
    <n v="17440.45"/>
    <n v="17255.2"/>
    <n v="17303.95"/>
    <n v="420881259"/>
    <n v="32959.769999999997"/>
    <n v="17757.1325"/>
    <n v="17926.576999999997"/>
    <n v="17376.380250000009"/>
    <n v="-79.299999999999272"/>
    <n v="-4.5618627126687633E-3"/>
  </r>
  <r>
    <x v="537"/>
    <n v="17360.099999999999"/>
    <n v="17467.75"/>
    <n v="17345.25"/>
    <n v="17450.900000000001"/>
    <n v="272881409"/>
    <n v="19784.53"/>
    <n v="17739.2225"/>
    <n v="17904.246999999996"/>
    <n v="17383.989250000006"/>
    <n v="90.80000000000291"/>
    <n v="5.2303846176002975E-3"/>
  </r>
  <r>
    <x v="538"/>
    <n v="17421.5"/>
    <n v="17445.8"/>
    <n v="17306"/>
    <n v="17321.900000000001"/>
    <n v="310669094"/>
    <n v="22068.68"/>
    <n v="17730.952500000003"/>
    <n v="17885.558999999997"/>
    <n v="17392.032250000007"/>
    <n v="-99.599999999998545"/>
    <n v="-5.7170737307349279E-3"/>
  </r>
  <r>
    <x v="539"/>
    <n v="17451.25"/>
    <n v="17644.75"/>
    <n v="17427.7"/>
    <n v="17594.349999999999"/>
    <n v="356169518"/>
    <n v="24143.96"/>
    <n v="17716.527500000004"/>
    <n v="17868.014999999996"/>
    <n v="17397.345250000006"/>
    <n v="143.09999999999854"/>
    <n v="8.1999856743785425E-3"/>
  </r>
  <r>
    <x v="540"/>
    <n v="17680.349999999999"/>
    <n v="17799.95"/>
    <n v="17671.95"/>
    <n v="17711.45"/>
    <n v="362801096"/>
    <n v="26959.41"/>
    <n v="17703.542500000003"/>
    <n v="17857.354999999996"/>
    <n v="17404.115500000007"/>
    <n v="31.100000000002183"/>
    <n v="1.7590149516272125E-3"/>
  </r>
  <r>
    <x v="541"/>
    <n v="17665.75"/>
    <n v="17766.5"/>
    <n v="17602.25"/>
    <n v="17754.400000000001"/>
    <n v="267041402"/>
    <n v="23155.56"/>
    <n v="17700.885000000002"/>
    <n v="17855.447999999993"/>
    <n v="17413.62575000001"/>
    <n v="88.650000000001455"/>
    <n v="5.0181849058206678E-3"/>
  </r>
  <r>
    <x v="542"/>
    <n v="17772.05"/>
    <n v="17772.349999999999"/>
    <n v="17573.599999999999"/>
    <n v="17589.599999999999"/>
    <n v="262352056"/>
    <n v="21964.17"/>
    <n v="17702.530000000006"/>
    <n v="17850.243999999995"/>
    <n v="17421.06700000001"/>
    <n v="-182.45000000000073"/>
    <n v="-1.0266120115574777E-2"/>
  </r>
  <r>
    <x v="543"/>
    <n v="17443.8"/>
    <n v="17451.5"/>
    <n v="17324.349999999999"/>
    <n v="17412.900000000001"/>
    <n v="235927570"/>
    <n v="19794.73"/>
    <n v="17688.424999999999"/>
    <n v="17839.389999999996"/>
    <n v="17427.941500000004"/>
    <n v="-30.899999999997817"/>
    <n v="-1.7714030199840528E-3"/>
  </r>
  <r>
    <x v="544"/>
    <n v="17421.900000000001"/>
    <n v="17529.900000000001"/>
    <n v="17113.45"/>
    <n v="17154.3"/>
    <n v="254914657"/>
    <n v="22860.67"/>
    <n v="17664.397499999999"/>
    <n v="17825.197999999997"/>
    <n v="17434.380250000006"/>
    <n v="-267.60000000000218"/>
    <n v="-1.5359977958776147E-2"/>
  </r>
  <r>
    <x v="545"/>
    <n v="17160.55"/>
    <n v="17224.650000000001"/>
    <n v="16987.099999999999"/>
    <n v="17043.3"/>
    <n v="290604200"/>
    <n v="26057.599999999999"/>
    <n v="17629.287499999999"/>
    <n v="17804.463999999996"/>
    <n v="17440.022750000004"/>
    <n v="-117.25"/>
    <n v="-6.8325315913534239E-3"/>
  </r>
  <r>
    <x v="546"/>
    <n v="17166.45"/>
    <n v="17211.349999999999"/>
    <n v="16938.900000000001"/>
    <n v="16972.150000000001"/>
    <n v="248188970"/>
    <n v="22659.09"/>
    <n v="17592.907500000001"/>
    <n v="17783.223999999998"/>
    <n v="17444.388500000005"/>
    <n v="-194.29999999999927"/>
    <n v="-1.1318589457925155E-2"/>
  </r>
  <r>
    <x v="547"/>
    <n v="16994.650000000001"/>
    <n v="17062.45"/>
    <n v="16850.150000000001"/>
    <n v="16985.599999999999"/>
    <n v="349820607"/>
    <n v="24198.71"/>
    <n v="17545.022499999999"/>
    <n v="17758.718000000001"/>
    <n v="17447.487000000001"/>
    <n v="-9.0500000000029104"/>
    <n v="-5.3252052851944054E-4"/>
  </r>
  <r>
    <x v="548"/>
    <n v="17111.8"/>
    <n v="17145.8"/>
    <n v="16958.150000000001"/>
    <n v="17100.05"/>
    <n v="408121255"/>
    <n v="30478.42"/>
    <n v="17493.510000000002"/>
    <n v="17733.778999999999"/>
    <n v="17449.108000000004"/>
    <n v="-11.75"/>
    <n v="-6.8666066690821546E-4"/>
  </r>
  <r>
    <x v="549"/>
    <n v="17066.599999999999"/>
    <n v="17066.599999999999"/>
    <n v="16828.349999999999"/>
    <n v="16988.400000000001"/>
    <n v="241777405"/>
    <n v="21454.09"/>
    <n v="17446.719999999998"/>
    <n v="17714.921000000002"/>
    <n v="17451.685500000003"/>
    <n v="-78.19999999999709"/>
    <n v="-4.5820491486293167E-3"/>
  </r>
  <r>
    <x v="550"/>
    <n v="17060.400000000001"/>
    <n v="17127.7"/>
    <n v="17016"/>
    <n v="17107.5"/>
    <n v="246737873"/>
    <n v="22039.11"/>
    <n v="17398.93"/>
    <n v="17694.846000000001"/>
    <n v="17454.013750000002"/>
    <n v="47.099999999998545"/>
    <n v="2.7607793486670034E-3"/>
  </r>
  <r>
    <x v="551"/>
    <n v="17177.45"/>
    <n v="17207.25"/>
    <n v="17107.849999999999"/>
    <n v="17151.900000000001"/>
    <n v="185700457"/>
    <n v="15712"/>
    <n v="17362.075000000001"/>
    <n v="17679.807000000001"/>
    <n v="17456.411250000001"/>
    <n v="-25.549999999999272"/>
    <n v="-1.4874151867709858E-3"/>
  </r>
  <r>
    <x v="552"/>
    <n v="17097.400000000001"/>
    <n v="17205.400000000001"/>
    <n v="17045.3"/>
    <n v="17076.900000000001"/>
    <n v="219171517"/>
    <n v="19676.97"/>
    <n v="17328.334999999999"/>
    <n v="17660.821000000004"/>
    <n v="17459.249250000004"/>
    <n v="-20.5"/>
    <n v="-1.1990127153836256E-3"/>
  </r>
  <r>
    <x v="553"/>
    <n v="17076.2"/>
    <n v="17109.45"/>
    <n v="16917.349999999999"/>
    <n v="16945.05"/>
    <n v="228038299"/>
    <n v="19019.88"/>
    <n v="17304.465000000004"/>
    <n v="17644.076000000005"/>
    <n v="17461.786000000004"/>
    <n v="-131.15000000000146"/>
    <n v="-7.6802801560066905E-3"/>
  </r>
  <r>
    <x v="554"/>
    <n v="16984.3"/>
    <n v="17091"/>
    <n v="16918.55"/>
    <n v="16985.7"/>
    <n v="218418670"/>
    <n v="18466.560000000001"/>
    <n v="17276.155000000002"/>
    <n v="17625.063000000002"/>
    <n v="17464.429499999998"/>
    <n v="1.4000000000014552"/>
    <n v="8.2429066844171101E-5"/>
  </r>
  <r>
    <x v="555"/>
    <n v="17031.75"/>
    <n v="17061.75"/>
    <n v="16913.75"/>
    <n v="16951.7"/>
    <n v="238840919"/>
    <n v="20942.5"/>
    <n v="17252.150000000001"/>
    <n v="17607.613000000001"/>
    <n v="17467.576750000004"/>
    <n v="-80.049999999999272"/>
    <n v="-4.7000455032512383E-3"/>
  </r>
  <r>
    <x v="556"/>
    <n v="16977.3"/>
    <n v="17126.150000000001"/>
    <n v="16940.599999999999"/>
    <n v="17080.7"/>
    <n v="345911087"/>
    <n v="27261.74"/>
    <n v="17230.099999999999"/>
    <n v="17587.514999999999"/>
    <n v="17469.944750000006"/>
    <n v="103.40000000000146"/>
    <n v="6.0904855306792866E-3"/>
  </r>
  <r>
    <x v="557"/>
    <n v="17210.349999999999"/>
    <n v="17381.599999999999"/>
    <n v="17204.650000000001"/>
    <n v="17359.75"/>
    <n v="263889033"/>
    <n v="24970.98"/>
    <n v="17218.9375"/>
    <n v="17571.232000000004"/>
    <n v="17474.339250000005"/>
    <n v="149.40000000000146"/>
    <n v="8.6808228769316986E-3"/>
  </r>
  <r>
    <x v="558"/>
    <n v="17427.95"/>
    <n v="17428.05"/>
    <n v="17312.75"/>
    <n v="17398.05"/>
    <n v="230170687"/>
    <n v="20359.580000000002"/>
    <n v="17214.38"/>
    <n v="17557.361000000001"/>
    <n v="17482.266000000003"/>
    <n v="-29.900000000001455"/>
    <n v="-1.7156349427214018E-3"/>
  </r>
  <r>
    <x v="559"/>
    <n v="17422.3"/>
    <n v="17570.55"/>
    <n v="17402.7"/>
    <n v="17557.05"/>
    <n v="248345193"/>
    <n v="23911.75"/>
    <n v="17218.1875"/>
    <n v="17542.015000000003"/>
    <n v="17490.59575"/>
    <n v="134.75"/>
    <n v="7.7343404716943235E-3"/>
  </r>
  <r>
    <x v="560"/>
    <n v="17533.849999999999"/>
    <n v="17638.7"/>
    <n v="17502.849999999999"/>
    <n v="17599.150000000001"/>
    <n v="242708337"/>
    <n v="23543.21"/>
    <n v="17216.322499999998"/>
    <n v="17530.999000000003"/>
    <n v="17499.920250000003"/>
    <n v="65.30000000000291"/>
    <n v="3.7242248564920378E-3"/>
  </r>
  <r>
    <x v="561"/>
    <n v="17634.900000000001"/>
    <n v="17694.099999999999"/>
    <n v="17597.95"/>
    <n v="17624.05"/>
    <n v="254819382"/>
    <n v="21092.06"/>
    <n v="17210.707499999997"/>
    <n v="17522.429000000004"/>
    <n v="17511.113000000001"/>
    <n v="-10.850000000002183"/>
    <n v="-6.1525724557565857E-4"/>
  </r>
  <r>
    <x v="562"/>
    <n v="17704.8"/>
    <n v="17748.75"/>
    <n v="17655.150000000001"/>
    <n v="17722.3"/>
    <n v="304263454"/>
    <n v="25841.64"/>
    <n v="17204.189999999999"/>
    <n v="17512.539000000004"/>
    <n v="17522.765750000002"/>
    <n v="17.5"/>
    <n v="9.8843251547602907E-4"/>
  </r>
  <r>
    <x v="563"/>
    <n v="17759.55"/>
    <n v="17825.75"/>
    <n v="17717.25"/>
    <n v="17812.400000000001"/>
    <n v="232816318"/>
    <n v="22851.93"/>
    <n v="17210.825000000001"/>
    <n v="17504.61900000001"/>
    <n v="17534.626500000002"/>
    <n v="52.850000000002183"/>
    <n v="2.9758636902400223E-3"/>
  </r>
  <r>
    <x v="564"/>
    <n v="17807.3"/>
    <n v="17842.150000000001"/>
    <n v="17729.650000000001"/>
    <n v="17828"/>
    <n v="285764798"/>
    <n v="26460.2"/>
    <n v="17230.800000000003"/>
    <n v="17503.028000000006"/>
    <n v="17545.494500000001"/>
    <n v="20.700000000000728"/>
    <n v="1.1624446154105748E-3"/>
  </r>
  <r>
    <x v="565"/>
    <n v="17863"/>
    <n v="17863"/>
    <n v="17574.05"/>
    <n v="17706.849999999999"/>
    <n v="357401212"/>
    <n v="35118.57"/>
    <n v="17264.485000000001"/>
    <n v="17507.501000000007"/>
    <n v="17557.567999999999"/>
    <n v="-156.15000000000146"/>
    <n v="-8.7415327772491433E-3"/>
  </r>
  <r>
    <x v="566"/>
    <n v="17766.599999999999"/>
    <n v="17766.599999999999"/>
    <n v="17610.2"/>
    <n v="17660.150000000001"/>
    <n v="258856690"/>
    <n v="23032.99"/>
    <n v="17297.662499999999"/>
    <n v="17508.659000000007"/>
    <n v="17568.319"/>
    <n v="-106.44999999999709"/>
    <n v="-5.9915797057398211E-3"/>
  </r>
  <r>
    <x v="567"/>
    <n v="17653.349999999999"/>
    <n v="17666.150000000001"/>
    <n v="17579.849999999999"/>
    <n v="17618.75"/>
    <n v="281463379"/>
    <n v="21562.080000000002"/>
    <n v="17332.0625"/>
    <n v="17508.619000000006"/>
    <n v="17578.123499999998"/>
    <n v="-34.599999999998545"/>
    <n v="-1.9599679380966528E-3"/>
  </r>
  <r>
    <x v="568"/>
    <n v="17638.599999999999"/>
    <n v="17684.45"/>
    <n v="17584.349999999999"/>
    <n v="17624.45"/>
    <n v="215103396"/>
    <n v="19457.45"/>
    <n v="17363.719999999998"/>
    <n v="17508.668000000009"/>
    <n v="17587.057000000001"/>
    <n v="-14.149999999997817"/>
    <n v="-8.022178630955869E-4"/>
  </r>
  <r>
    <x v="569"/>
    <n v="17639.75"/>
    <n v="17663.2"/>
    <n v="17553.95"/>
    <n v="17624.05"/>
    <n v="230156645"/>
    <n v="19091.439999999999"/>
    <n v="17389.939999999999"/>
    <n v="17508.949000000008"/>
    <n v="17595.928250000001"/>
    <n v="-15.700000000000728"/>
    <n v="-8.9003528961582379E-4"/>
  </r>
  <r>
    <x v="570"/>
    <n v="17707.55"/>
    <n v="17754.5"/>
    <n v="17612.5"/>
    <n v="17743.400000000001"/>
    <n v="255740393"/>
    <n v="23142.94"/>
    <n v="17421.722499999996"/>
    <n v="17504.349000000006"/>
    <n v="17605.053"/>
    <n v="35.850000000002183"/>
    <n v="2.0245601452489013E-3"/>
  </r>
  <r>
    <x v="571"/>
    <n v="17761.55"/>
    <n v="17807.45"/>
    <n v="17716.849999999999"/>
    <n v="17769.25"/>
    <n v="297445999"/>
    <n v="28819.53"/>
    <n v="17453.517499999998"/>
    <n v="17503.925000000007"/>
    <n v="17614.868750000001"/>
    <n v="7.7000000000007276"/>
    <n v="4.3352072313512774E-4"/>
  </r>
  <r>
    <x v="572"/>
    <n v="17767.3"/>
    <n v="17827.75"/>
    <n v="17711.2"/>
    <n v="17813.599999999999"/>
    <n v="233008677"/>
    <n v="21295.14"/>
    <n v="17484.384999999998"/>
    <n v="17504.880000000005"/>
    <n v="17624.954749999997"/>
    <n v="46.299999999999272"/>
    <n v="2.6059108587123125E-3"/>
  </r>
  <r>
    <x v="573"/>
    <n v="17813.099999999999"/>
    <n v="17931.599999999999"/>
    <n v="17797.900000000001"/>
    <n v="17915.05"/>
    <n v="241434660"/>
    <n v="24454.15"/>
    <n v="17521.219999999998"/>
    <n v="17503.718000000004"/>
    <n v="17634.846000000001"/>
    <n v="101.95000000000073"/>
    <n v="5.7233159865492664E-3"/>
  </r>
  <r>
    <x v="574"/>
    <n v="17950.400000000001"/>
    <n v="18089.150000000001"/>
    <n v="17885.3"/>
    <n v="18065"/>
    <n v="290263674"/>
    <n v="27026.12"/>
    <n v="17569.719999999998"/>
    <n v="17504.150000000005"/>
    <n v="17645.366999999998"/>
    <n v="114.59999999999854"/>
    <n v="6.3842588465994367E-3"/>
  </r>
  <r>
    <x v="575"/>
    <n v="18124.8"/>
    <n v="18180.25"/>
    <n v="18101.75"/>
    <n v="18147.650000000001"/>
    <n v="265216308"/>
    <n v="23615.47"/>
    <n v="17623.685000000001"/>
    <n v="17508.320000000003"/>
    <n v="17655.743000000002"/>
    <n v="22.850000000002183"/>
    <n v="1.2607035663843012E-3"/>
  </r>
  <r>
    <x v="576"/>
    <n v="18113.8"/>
    <n v="18116.349999999999"/>
    <n v="18042.400000000001"/>
    <n v="18089.849999999999"/>
    <n v="226171254"/>
    <n v="19079.79"/>
    <n v="17683.482500000002"/>
    <n v="17515.855000000007"/>
    <n v="17665.816749999998"/>
    <n v="-23.950000000000728"/>
    <n v="-1.3221963364948674E-3"/>
  </r>
  <r>
    <x v="577"/>
    <n v="18081"/>
    <n v="18267.45"/>
    <n v="18066.7"/>
    <n v="18255.8"/>
    <n v="226643581"/>
    <n v="21889.48"/>
    <n v="17733.939999999999"/>
    <n v="17519.055000000008"/>
    <n v="17675.163"/>
    <n v="174.79999999999927"/>
    <n v="9.667606880150394E-3"/>
  </r>
  <r>
    <x v="578"/>
    <n v="18117.3"/>
    <n v="18216.95"/>
    <n v="18055.45"/>
    <n v="18069"/>
    <n v="239702311"/>
    <n v="26152.880000000001"/>
    <n v="17778.7425"/>
    <n v="17523.854000000007"/>
    <n v="17685.362000000001"/>
    <n v="-48.299999999999272"/>
    <n v="-2.6659601596263943E-3"/>
  </r>
  <r>
    <x v="579"/>
    <n v="18120.599999999999"/>
    <n v="18286.95"/>
    <n v="18100.3"/>
    <n v="18264.400000000001"/>
    <n v="228399379"/>
    <n v="22687.94"/>
    <n v="17812.29"/>
    <n v="17524.517000000007"/>
    <n v="17695.415499999999"/>
    <n v="143.80000000000291"/>
    <n v="7.9357195677848928E-3"/>
  </r>
  <r>
    <x v="580"/>
    <n v="18303.400000000001"/>
    <n v="18344.2"/>
    <n v="18229.650000000001"/>
    <n v="18265.95"/>
    <n v="245368649"/>
    <n v="23478.06"/>
    <n v="17847.657499999998"/>
    <n v="17530.921000000006"/>
    <n v="17706.90425"/>
    <n v="-37.450000000000728"/>
    <n v="-2.0460679436607801E-3"/>
  </r>
  <r>
    <x v="581"/>
    <n v="18313.599999999999"/>
    <n v="18326.75"/>
    <n v="18211.95"/>
    <n v="18315.099999999999"/>
    <n v="220450874"/>
    <n v="21416.41"/>
    <n v="17880.997500000001"/>
    <n v="17539.348000000005"/>
    <n v="17718.54075"/>
    <n v="1.5"/>
    <n v="8.1906342827188538E-5"/>
  </r>
  <r>
    <x v="582"/>
    <n v="18357.8"/>
    <n v="18389.7"/>
    <n v="18270.400000000001"/>
    <n v="18297"/>
    <n v="248932544"/>
    <n v="26440.1"/>
    <n v="17915.549999999996"/>
    <n v="17549.116000000002"/>
    <n v="17729.87025"/>
    <n v="-60.799999999999272"/>
    <n v="-3.3119436969571122E-3"/>
  </r>
  <r>
    <x v="583"/>
    <n v="18273.75"/>
    <n v="18342.75"/>
    <n v="18194.55"/>
    <n v="18314.8"/>
    <n v="241702589"/>
    <n v="22046.04"/>
    <n v="17944.285"/>
    <n v="17563.97"/>
    <n v="17739.962749999999"/>
    <n v="41.049999999999272"/>
    <n v="2.2463916820575566E-3"/>
  </r>
  <r>
    <x v="584"/>
    <n v="18339.3"/>
    <n v="18458.900000000001"/>
    <n v="18287.900000000001"/>
    <n v="18398.849999999999"/>
    <n v="216088535"/>
    <n v="19329.75"/>
    <n v="17969.404999999999"/>
    <n v="17580.041000000005"/>
    <n v="17749.833999999995"/>
    <n v="59.549999999999272"/>
    <n v="3.2471250265822182E-3"/>
  </r>
  <r>
    <x v="585"/>
    <n v="18432.349999999999"/>
    <n v="18432.349999999999"/>
    <n v="18264.349999999999"/>
    <n v="18286.5"/>
    <n v="219490491"/>
    <n v="21063.78"/>
    <n v="17997.947499999998"/>
    <n v="17598.702000000001"/>
    <n v="17759.223999999998"/>
    <n v="-145.84999999999854"/>
    <n v="-7.912718671249111E-3"/>
  </r>
  <r>
    <x v="586"/>
    <n v="18300.45"/>
    <n v="18309"/>
    <n v="18115.349999999999"/>
    <n v="18181.75"/>
    <n v="229898510"/>
    <n v="20903.12"/>
    <n v="18026.929999999997"/>
    <n v="17616.578000000001"/>
    <n v="17767.630249999998"/>
    <n v="-118.70000000000073"/>
    <n v="-6.4861793016019126E-3"/>
  </r>
  <r>
    <x v="587"/>
    <n v="18287.5"/>
    <n v="18297.2"/>
    <n v="18104.849999999999"/>
    <n v="18129.95"/>
    <n v="272103515"/>
    <n v="24172.44"/>
    <n v="18053.009999999998"/>
    <n v="17634.134000000002"/>
    <n v="17774.941749999994"/>
    <n v="-157.54999999999927"/>
    <n v="-8.6151742993847858E-3"/>
  </r>
  <r>
    <x v="588"/>
    <n v="18186.150000000001"/>
    <n v="18218.099999999999"/>
    <n v="18060.400000000001"/>
    <n v="18203.400000000001"/>
    <n v="260898407"/>
    <n v="22105.67"/>
    <n v="18078.57"/>
    <n v="17647.715000000004"/>
    <n v="17782.436499999996"/>
    <n v="17.25"/>
    <n v="9.4852401415362777E-4"/>
  </r>
  <r>
    <x v="589"/>
    <n v="18201.099999999999"/>
    <n v="18335.25"/>
    <n v="18178.849999999999"/>
    <n v="18314.400000000001"/>
    <n v="262560942"/>
    <n v="25147.58"/>
    <n v="18107.517500000002"/>
    <n v="17665.345000000001"/>
    <n v="17791.034249999993"/>
    <n v="113.30000000000291"/>
    <n v="6.2248984951460582E-3"/>
  </r>
  <r>
    <x v="590"/>
    <n v="18362.900000000001"/>
    <n v="18419.75"/>
    <n v="18324.2"/>
    <n v="18348"/>
    <n v="270354216"/>
    <n v="28648.15"/>
    <n v="18142.035000000003"/>
    <n v="17679.745999999999"/>
    <n v="17799.397249999995"/>
    <n v="-14.900000000001455"/>
    <n v="-8.1141867569945131E-4"/>
  </r>
  <r>
    <x v="591"/>
    <n v="18294.8"/>
    <n v="18392.599999999999"/>
    <n v="18262.95"/>
    <n v="18285.400000000001"/>
    <n v="232621507"/>
    <n v="24273.17"/>
    <n v="18172.265000000007"/>
    <n v="17692.477000000003"/>
    <n v="17806.489249999995"/>
    <n v="-9.3999999999978172"/>
    <n v="-5.1380720204636382E-4"/>
  </r>
  <r>
    <x v="592"/>
    <n v="18268.900000000001"/>
    <n v="18338.099999999999"/>
    <n v="18202.400000000001"/>
    <n v="18321.150000000001"/>
    <n v="235915651"/>
    <n v="22411.41"/>
    <n v="18198.072500000006"/>
    <n v="17703.097000000002"/>
    <n v="17812.124999999993"/>
    <n v="52.25"/>
    <n v="2.8600517819901577E-3"/>
  </r>
  <r>
    <x v="593"/>
    <n v="18368.349999999999"/>
    <n v="18508.55"/>
    <n v="18333.150000000001"/>
    <n v="18499.349999999999"/>
    <n v="198668359"/>
    <n v="19094.080000000002"/>
    <n v="18223.450000000004"/>
    <n v="17717.728000000003"/>
    <n v="17817.030499999993"/>
    <n v="131"/>
    <n v="7.1318327449117645E-3"/>
  </r>
  <r>
    <x v="594"/>
    <n v="18619.150000000001"/>
    <n v="18641.2"/>
    <n v="18581.25"/>
    <n v="18598.650000000001"/>
    <n v="265323978"/>
    <n v="19237.57"/>
    <n v="18252.665000000001"/>
    <n v="17739.457000000002"/>
    <n v="17822.799999999996"/>
    <n v="-20.5"/>
    <n v="-1.1010169637174628E-3"/>
  </r>
  <r>
    <x v="595"/>
    <n v="18606.650000000001"/>
    <n v="18662.45"/>
    <n v="18575.5"/>
    <n v="18633.849999999999"/>
    <n v="234391323"/>
    <n v="21660.69"/>
    <n v="18279.347500000003"/>
    <n v="17768.344000000001"/>
    <n v="17828.852499999994"/>
    <n v="27.19999999999709"/>
    <n v="1.4618429432486282E-3"/>
  </r>
  <r>
    <x v="596"/>
    <n v="18594.2"/>
    <n v="18603.900000000001"/>
    <n v="18483.849999999999"/>
    <n v="18534.400000000001"/>
    <n v="696495765"/>
    <n v="70755.08"/>
    <n v="18303.657500000001"/>
    <n v="17800.155000000002"/>
    <n v="17835.111749999996"/>
    <n v="-59.799999999999272"/>
    <n v="-3.2160566198061367E-3"/>
  </r>
  <r>
    <x v="597"/>
    <n v="18579.400000000001"/>
    <n v="18580.3"/>
    <n v="18464.55"/>
    <n v="18487.75"/>
    <n v="265630759"/>
    <n v="24056.99"/>
    <n v="18325.885000000002"/>
    <n v="17831.400000000001"/>
    <n v="17840.796249999996"/>
    <n v="-91.650000000001455"/>
    <n v="-4.9328826549835539E-3"/>
  </r>
  <r>
    <x v="598"/>
    <n v="18550.849999999999"/>
    <n v="18573.7"/>
    <n v="18478.400000000001"/>
    <n v="18534.099999999999"/>
    <n v="270923679"/>
    <n v="23171.88"/>
    <n v="18337.482500000002"/>
    <n v="17861.442999999999"/>
    <n v="17845.609499999995"/>
    <n v="-16.75"/>
    <n v="-9.0292358571170605E-4"/>
  </r>
  <r>
    <x v="599"/>
    <n v="18612"/>
    <n v="18640.150000000001"/>
    <n v="18582.8"/>
    <n v="18593.849999999999"/>
    <n v="256111496"/>
    <n v="20369.16"/>
    <n v="18360.737499999999"/>
    <n v="17890.124"/>
    <n v="17850.606249999997"/>
    <n v="-18.150000000001455"/>
    <n v="-9.7517730496461718E-4"/>
  </r>
  <r>
    <x v="600"/>
    <n v="18600.8"/>
    <n v="18622.75"/>
    <n v="18531.599999999999"/>
    <n v="18599"/>
    <n v="220789926"/>
    <n v="21957.47"/>
    <n v="18377.21"/>
    <n v="17922.232999999997"/>
    <n v="17855.280499999997"/>
    <n v="-1.7999999999992724"/>
    <n v="-9.6770031396459959E-5"/>
  </r>
  <r>
    <x v="601"/>
    <n v="18665.599999999999"/>
    <n v="18738.95"/>
    <n v="18636"/>
    <n v="18726.400000000001"/>
    <n v="260109671"/>
    <n v="21482.77"/>
    <n v="18393.862499999996"/>
    <n v="17952.062999999998"/>
    <n v="17859.784749999995"/>
    <n v="60.80000000000291"/>
    <n v="3.2573289902281693E-3"/>
  </r>
  <r>
    <x v="602"/>
    <n v="18725.349999999999"/>
    <n v="18777.900000000001"/>
    <n v="18615.599999999999"/>
    <n v="18634.55"/>
    <n v="286468927"/>
    <n v="22762.3"/>
    <n v="18414.427499999998"/>
    <n v="17983.553"/>
    <n v="17864.290499999996"/>
    <n v="-90.799999999999272"/>
    <n v="-4.8490415399444755E-3"/>
  </r>
  <r>
    <x v="603"/>
    <n v="18655.900000000001"/>
    <n v="18676.650000000001"/>
    <n v="18555.400000000001"/>
    <n v="18563.400000000001"/>
    <n v="221760885"/>
    <n v="20181.419999999998"/>
    <n v="18431.304999999997"/>
    <n v="18014.706000000002"/>
    <n v="17867.741999999995"/>
    <n v="-92.5"/>
    <n v="-4.9582169715746754E-3"/>
  </r>
  <r>
    <x v="604"/>
    <n v="18595.05"/>
    <n v="18633.599999999999"/>
    <n v="18559.75"/>
    <n v="18601.5"/>
    <n v="179463966"/>
    <n v="15386.04"/>
    <n v="18443.735000000001"/>
    <n v="18047.073"/>
    <n v="17870.776499999996"/>
    <n v="6.4500000000007276"/>
    <n v="3.4686650479567025E-4"/>
  </r>
  <r>
    <x v="605"/>
    <n v="18631.8"/>
    <n v="18728.900000000001"/>
    <n v="18631.8"/>
    <n v="18716.150000000001"/>
    <n v="233167883"/>
    <n v="22612.62"/>
    <n v="18453.8675"/>
    <n v="18079.389000000003"/>
    <n v="17874.991749999997"/>
    <n v="84.350000000002183"/>
    <n v="4.5272061743901384E-3"/>
  </r>
  <r>
    <x v="606"/>
    <n v="18744.599999999999"/>
    <n v="18769.7"/>
    <n v="18690"/>
    <n v="18755.900000000001"/>
    <n v="261354575"/>
    <n v="19520.080000000002"/>
    <n v="18475.350000000002"/>
    <n v="18114.678"/>
    <n v="17881.118999999995"/>
    <n v="11.30000000000291"/>
    <n v="6.0284028466880653E-4"/>
  </r>
  <r>
    <x v="607"/>
    <n v="18774.45"/>
    <n v="18794.099999999999"/>
    <n v="18669.05"/>
    <n v="18688.099999999999"/>
    <n v="263004991"/>
    <n v="24820.77"/>
    <n v="18504.057500000003"/>
    <n v="18148.182000000001"/>
    <n v="17887.010999999995"/>
    <n v="-86.350000000002183"/>
    <n v="-4.5993357994509659E-3"/>
  </r>
  <r>
    <x v="608"/>
    <n v="18723.3"/>
    <n v="18864.7"/>
    <n v="18710.5"/>
    <n v="18826"/>
    <n v="272771256"/>
    <n v="28877.67"/>
    <n v="18531.965000000004"/>
    <n v="18174.749"/>
    <n v="17892.426749999995"/>
    <n v="102.70000000000073"/>
    <n v="5.4851441786437612E-3"/>
  </r>
  <r>
    <x v="609"/>
    <n v="18873.3"/>
    <n v="18881.45"/>
    <n v="18719.150000000001"/>
    <n v="18755.45"/>
    <n v="219815214"/>
    <n v="22699.84"/>
    <n v="18563.095000000001"/>
    <n v="18203.308000000005"/>
    <n v="17898.944499999994"/>
    <n v="-117.84999999999854"/>
    <n v="-6.2442710071899743E-3"/>
  </r>
  <r>
    <x v="610"/>
    <n v="18752.349999999999"/>
    <n v="18839.7"/>
    <n v="18660.650000000001"/>
    <n v="18816.7"/>
    <n v="211649257"/>
    <n v="19687.080000000002"/>
    <n v="18585.147499999999"/>
    <n v="18227.276000000002"/>
    <n v="17904.927249999993"/>
    <n v="64.350000000002183"/>
    <n v="3.431569909904742E-3"/>
  </r>
  <r>
    <x v="611"/>
    <n v="18849.400000000001"/>
    <n v="18875.900000000001"/>
    <n v="18794.849999999999"/>
    <n v="18856.849999999999"/>
    <n v="217481345"/>
    <n v="19102.48"/>
    <n v="18608.5825"/>
    <n v="18251.627"/>
    <n v="17912.446249999994"/>
    <n v="7.4499999999970896"/>
    <n v="3.952380447121441E-4"/>
  </r>
  <r>
    <x v="612"/>
    <n v="18853.599999999999"/>
    <n v="18886.599999999999"/>
    <n v="18759.5"/>
    <n v="18771.25"/>
    <n v="252697871"/>
    <n v="24990.87"/>
    <n v="18637.154999999999"/>
    <n v="18276.282999999999"/>
    <n v="17917.933999999997"/>
    <n v="-82.349999999998545"/>
    <n v="-4.3678660839308438E-3"/>
  </r>
  <r>
    <x v="613"/>
    <n v="18741.849999999999"/>
    <n v="18756.400000000001"/>
    <n v="18647.099999999999"/>
    <n v="18665.5"/>
    <n v="210562119"/>
    <n v="20619.599999999999"/>
    <n v="18659.659999999996"/>
    <n v="18297.261999999999"/>
    <n v="17924.076249999995"/>
    <n v="-76.349999999998545"/>
    <n v="-4.0737707323449156E-3"/>
  </r>
  <r>
    <x v="614"/>
    <n v="18682.349999999999"/>
    <n v="18722.05"/>
    <n v="18646.7"/>
    <n v="18691.2"/>
    <n v="171271325"/>
    <n v="17355.14"/>
    <n v="18667.967499999999"/>
    <n v="18314.324000000001"/>
    <n v="17929.706499999993"/>
    <n v="8.8500000000021828"/>
    <n v="4.737091425865688E-4"/>
  </r>
  <r>
    <x v="615"/>
    <n v="18748.55"/>
    <n v="18829.25"/>
    <n v="18714.25"/>
    <n v="18817.400000000001"/>
    <n v="222464605"/>
    <n v="21415.89"/>
    <n v="18672.594999999998"/>
    <n v="18331.588"/>
    <n v="17934.833499999997"/>
    <n v="68.850000000002183"/>
    <n v="3.672283989962007E-3"/>
  </r>
  <r>
    <x v="616"/>
    <n v="18908.150000000001"/>
    <n v="19011.25"/>
    <n v="18861.349999999999"/>
    <n v="18972.099999999999"/>
    <n v="398782019"/>
    <n v="37356.94"/>
    <n v="18681.772499999999"/>
    <n v="18353.798999999999"/>
    <n v="17940.642499999994"/>
    <n v="63.94999999999709"/>
    <n v="3.3821394478040995E-3"/>
  </r>
  <r>
    <x v="617"/>
    <n v="19076.849999999999"/>
    <n v="19201.7"/>
    <n v="19024.599999999999"/>
    <n v="19189.05"/>
    <n v="247906587"/>
    <n v="26376.62"/>
    <n v="18703.657500000001"/>
    <n v="18380.038"/>
    <n v="17947.380999999998"/>
    <n v="112.20000000000073"/>
    <n v="5.8814741427437303E-3"/>
  </r>
  <r>
    <x v="618"/>
    <n v="19246.5"/>
    <n v="19345.099999999999"/>
    <n v="19234.400000000001"/>
    <n v="19322.55"/>
    <n v="226050219"/>
    <n v="22681.54"/>
    <n v="18738.722500000003"/>
    <n v="18411.444000000003"/>
    <n v="17954.332499999997"/>
    <n v="76.049999999999272"/>
    <n v="3.9513677811549774E-3"/>
  </r>
  <r>
    <x v="619"/>
    <n v="19406.599999999999"/>
    <n v="19434.150000000001"/>
    <n v="19300"/>
    <n v="19389"/>
    <n v="226916635"/>
    <n v="26634.06"/>
    <n v="18778.145"/>
    <n v="18445.406000000003"/>
    <n v="17961.778499999993"/>
    <n v="-17.599999999998545"/>
    <n v="-9.0690795914784381E-4"/>
  </r>
  <r>
    <x v="620"/>
    <n v="19405.95"/>
    <n v="19421.599999999999"/>
    <n v="19339.599999999999"/>
    <n v="19398.5"/>
    <n v="224418797"/>
    <n v="24699.24"/>
    <n v="18817.9025"/>
    <n v="18480.705000000002"/>
    <n v="17969.041749999993"/>
    <n v="-7.4500000000007276"/>
    <n v="-3.8390287514915414E-4"/>
  </r>
  <r>
    <x v="621"/>
    <n v="19385.7"/>
    <n v="19512.2"/>
    <n v="19373"/>
    <n v="19497.3"/>
    <n v="268261285"/>
    <n v="28540.18"/>
    <n v="18857.877499999999"/>
    <n v="18513.807000000004"/>
    <n v="17975.683999999994"/>
    <n v="111.59999999999854"/>
    <n v="5.7568207493151414E-3"/>
  </r>
  <r>
    <x v="622"/>
    <n v="19422.8"/>
    <n v="19523.599999999999"/>
    <n v="19303.599999999999"/>
    <n v="19331.8"/>
    <n v="237102566"/>
    <n v="23089.25"/>
    <n v="18896.422500000001"/>
    <n v="18548.368000000002"/>
    <n v="17983.15174999999"/>
    <n v="-91"/>
    <n v="-4.6852153139609123E-3"/>
  </r>
  <r>
    <x v="623"/>
    <n v="19400.349999999999"/>
    <n v="19435.849999999999"/>
    <n v="19327.099999999999"/>
    <n v="19355.900000000001"/>
    <n v="268246132"/>
    <n v="25991.55"/>
    <n v="18931.284999999996"/>
    <n v="18578.732000000004"/>
    <n v="17990.423749999991"/>
    <n v="-44.44999999999709"/>
    <n v="-2.2911957773956186E-3"/>
  </r>
  <r>
    <x v="624"/>
    <n v="19427.099999999999"/>
    <n v="19515.099999999999"/>
    <n v="19406.45"/>
    <n v="19439.400000000001"/>
    <n v="251263638"/>
    <n v="26883.78"/>
    <n v="18970.91"/>
    <n v="18607.549000000003"/>
    <n v="17999.548999999988"/>
    <n v="12.30000000000291"/>
    <n v="6.3313618604953447E-4"/>
  </r>
  <r>
    <x v="625"/>
    <n v="19497.45"/>
    <n v="19507.7"/>
    <n v="19361.75"/>
    <n v="19384.3"/>
    <n v="327941559"/>
    <n v="40163.14"/>
    <n v="19012.805"/>
    <n v="18635.037"/>
    <n v="18008.634749999987"/>
    <n v="-113.15000000000146"/>
    <n v="-5.8033229986486157E-3"/>
  </r>
  <r>
    <x v="626"/>
    <n v="19495.2"/>
    <n v="19567"/>
    <n v="19385.8"/>
    <n v="19413.75"/>
    <n v="310442517"/>
    <n v="27244.560000000001"/>
    <n v="19046.212500000001"/>
    <n v="18659.770000000004"/>
    <n v="18016.474999999988"/>
    <n v="-81.450000000000728"/>
    <n v="-4.1779514957528381E-3"/>
  </r>
  <r>
    <x v="627"/>
    <n v="19493.45"/>
    <n v="19595.349999999999"/>
    <n v="19433.5"/>
    <n v="19564.5"/>
    <n v="291165841"/>
    <n v="25484.44"/>
    <n v="19079.105000000003"/>
    <n v="18686.248000000003"/>
    <n v="18024.951999999987"/>
    <n v="71.049999999999272"/>
    <n v="3.6448140272757911E-3"/>
  </r>
  <r>
    <x v="628"/>
    <n v="19612.150000000001"/>
    <n v="19731.849999999999"/>
    <n v="19562.95"/>
    <n v="19711.45"/>
    <n v="268707894"/>
    <n v="25975.57"/>
    <n v="19122.924999999999"/>
    <n v="18712.422000000002"/>
    <n v="18034.625499999991"/>
    <n v="99.299999999999272"/>
    <n v="5.0631878707841447E-3"/>
  </r>
  <r>
    <x v="629"/>
    <n v="19787.5"/>
    <n v="19819.45"/>
    <n v="19690.2"/>
    <n v="19749.25"/>
    <n v="286353897"/>
    <n v="33269.08"/>
    <n v="19167.197500000002"/>
    <n v="18745.271000000004"/>
    <n v="18046.545999999991"/>
    <n v="-38.25"/>
    <n v="-1.9330385344283006E-3"/>
  </r>
  <r>
    <x v="630"/>
    <n v="19802.95"/>
    <n v="19851.7"/>
    <n v="19727.45"/>
    <n v="19833.150000000001"/>
    <n v="259660464"/>
    <n v="26447.9"/>
    <n v="19216.887500000001"/>
    <n v="18774.968000000001"/>
    <n v="18060.210749999991"/>
    <n v="30.200000000000728"/>
    <n v="1.525025311885387E-3"/>
  </r>
  <r>
    <x v="631"/>
    <n v="19831.7"/>
    <n v="19991.849999999999"/>
    <n v="19758.400000000001"/>
    <n v="19979.150000000001"/>
    <n v="274698867"/>
    <n v="30622.66"/>
    <n v="19267.71"/>
    <n v="18806.312000000002"/>
    <n v="18074.339499999991"/>
    <n v="147.45000000000073"/>
    <n v="7.4350660810722589E-3"/>
  </r>
  <r>
    <x v="632"/>
    <n v="19800.45"/>
    <n v="19887.400000000001"/>
    <n v="19700"/>
    <n v="19745"/>
    <n v="312461795"/>
    <n v="33802.14"/>
    <n v="19323.825000000004"/>
    <n v="18839.593000000004"/>
    <n v="18089.942249999993"/>
    <n v="-55.450000000000728"/>
    <n v="-2.8004414041095391E-3"/>
  </r>
  <r>
    <x v="633"/>
    <n v="19748.45"/>
    <n v="19782.75"/>
    <n v="19658.3"/>
    <n v="19672.349999999999"/>
    <n v="265562151"/>
    <n v="24522.29"/>
    <n v="19372.512500000001"/>
    <n v="18868.553000000004"/>
    <n v="18104.576749999993"/>
    <n v="-76.100000000002183"/>
    <n v="-3.8534669809530461E-3"/>
  </r>
  <r>
    <x v="634"/>
    <n v="19729.349999999999"/>
    <n v="19729.349999999999"/>
    <n v="19615.95"/>
    <n v="19680.599999999999"/>
    <n v="369653496"/>
    <n v="29665.67"/>
    <n v="19422.855"/>
    <n v="18895.704000000005"/>
    <n v="18117.466749999992"/>
    <n v="-48.75"/>
    <n v="-2.4709379680526731E-3"/>
  </r>
  <r>
    <x v="635"/>
    <n v="19733.349999999999"/>
    <n v="19825.599999999999"/>
    <n v="19716.7"/>
    <n v="19778.3"/>
    <n v="244747425"/>
    <n v="23023.86"/>
    <n v="19472.324999999997"/>
    <n v="18921.339000000004"/>
    <n v="18131.432999999994"/>
    <n v="44.950000000000728"/>
    <n v="2.277869697745225E-3"/>
  </r>
  <r>
    <x v="636"/>
    <n v="19850.900000000001"/>
    <n v="19867.55"/>
    <n v="19603.55"/>
    <n v="19659.900000000001"/>
    <n v="334891351"/>
    <n v="35019.129999999997"/>
    <n v="19520.37"/>
    <n v="18951.175000000007"/>
    <n v="18143.95299999999"/>
    <n v="-191"/>
    <n v="-9.6217299971285922E-3"/>
  </r>
  <r>
    <x v="637"/>
    <n v="19659.75"/>
    <n v="19695.900000000001"/>
    <n v="19563.099999999999"/>
    <n v="19646.05"/>
    <n v="258671382"/>
    <n v="22995.98"/>
    <n v="19554.760000000002"/>
    <n v="18980.738000000008"/>
    <n v="18155.593499999992"/>
    <n v="-13.700000000000728"/>
    <n v="-6.9685524993963444E-4"/>
  </r>
  <r>
    <x v="638"/>
    <n v="19666.349999999999"/>
    <n v="19772.75"/>
    <n v="19597.599999999999"/>
    <n v="19753.8"/>
    <n v="295053318"/>
    <n v="23075.38"/>
    <n v="19577.609999999997"/>
    <n v="19011.060000000009"/>
    <n v="18167.250499999987"/>
    <n v="87.450000000000728"/>
    <n v="4.4466817686047858E-3"/>
  </r>
  <r>
    <x v="639"/>
    <n v="19784"/>
    <n v="19795.599999999999"/>
    <n v="19704.599999999999"/>
    <n v="19733.55"/>
    <n v="298048161"/>
    <n v="24554.71"/>
    <n v="19599.172499999993"/>
    <n v="19042.068000000007"/>
    <n v="18179.814499999989"/>
    <n v="-50.450000000000728"/>
    <n v="-2.5500404367165756E-3"/>
  </r>
  <r>
    <x v="640"/>
    <n v="19655.400000000001"/>
    <n v="19678.25"/>
    <n v="19423.55"/>
    <n v="19526.55"/>
    <n v="290666798"/>
    <n v="23997.47"/>
    <n v="19616.399999999998"/>
    <n v="19070.451000000008"/>
    <n v="18193.564499999986"/>
    <n v="-128.85000000000218"/>
    <n v="-6.5554504105743037E-3"/>
  </r>
  <r>
    <x v="641"/>
    <n v="19463.75"/>
    <n v="19537.650000000001"/>
    <n v="19296.45"/>
    <n v="19381.650000000001"/>
    <n v="315688612"/>
    <n v="29899.38"/>
    <n v="19622.802499999998"/>
    <n v="19094.022000000008"/>
    <n v="18205.579249999988"/>
    <n v="-82.099999999998545"/>
    <n v="-4.2180977458094434E-3"/>
  </r>
  <r>
    <x v="642"/>
    <n v="19462.8"/>
    <n v="19538.849999999999"/>
    <n v="19436.45"/>
    <n v="19517"/>
    <n v="280799561"/>
    <n v="28086.15"/>
    <n v="19617.02"/>
    <n v="19115.947000000007"/>
    <n v="18217.415749999986"/>
    <n v="54.200000000000728"/>
    <n v="2.784799720492464E-3"/>
  </r>
  <r>
    <x v="643"/>
    <n v="19576.849999999999"/>
    <n v="19620.45"/>
    <n v="19524.8"/>
    <n v="19597.3"/>
    <n v="216586074"/>
    <n v="21655.87"/>
    <n v="19626.28"/>
    <n v="19139.864000000009"/>
    <n v="18229.072249999987"/>
    <n v="20.450000000000728"/>
    <n v="1.0446011488058973E-3"/>
  </r>
  <r>
    <x v="644"/>
    <n v="19627.2"/>
    <n v="19634.400000000001"/>
    <n v="19533.099999999999"/>
    <n v="19570.849999999999"/>
    <n v="260294052"/>
    <n v="25437.47"/>
    <n v="19638.349999999999"/>
    <n v="19161.823000000008"/>
    <n v="18240.499749999988"/>
    <n v="-56.350000000002183"/>
    <n v="-2.8710157332682289E-3"/>
  </r>
  <r>
    <x v="645"/>
    <n v="19578.8"/>
    <n v="19645.5"/>
    <n v="19467.5"/>
    <n v="19632.55"/>
    <n v="266495074"/>
    <n v="23201.75"/>
    <n v="19644.922499999997"/>
    <n v="19181.267000000007"/>
    <n v="18250.919249999988"/>
    <n v="53.75"/>
    <n v="2.7453163625962779E-3"/>
  </r>
  <r>
    <x v="646"/>
    <n v="19605.55"/>
    <n v="19623.599999999999"/>
    <n v="19495.400000000001"/>
    <n v="19543.099999999999"/>
    <n v="312193785"/>
    <n v="29430.34"/>
    <n v="19657.334999999999"/>
    <n v="19201.241000000005"/>
    <n v="18261.520749999989"/>
    <n v="-62.450000000000728"/>
    <n v="-3.1853225234691569E-3"/>
  </r>
  <r>
    <x v="647"/>
    <n v="19554.25"/>
    <n v="19557.75"/>
    <n v="19412.75"/>
    <n v="19428.3"/>
    <n v="235524048"/>
    <n v="24521.24"/>
    <n v="19663.802499999998"/>
    <n v="19221.415000000008"/>
    <n v="18271.416499999988"/>
    <n v="-125.95000000000073"/>
    <n v="-6.4410550136160026E-3"/>
  </r>
  <r>
    <x v="648"/>
    <n v="19383.95"/>
    <n v="19465.849999999999"/>
    <n v="19257.900000000001"/>
    <n v="19434.55"/>
    <n v="243850815"/>
    <n v="22767.43"/>
    <n v="19656.992499999993"/>
    <n v="19240.22600000001"/>
    <n v="18280.676499999987"/>
    <n v="50.599999999998545"/>
    <n v="2.6104070635757184E-3"/>
  </r>
  <r>
    <x v="649"/>
    <n v="19369"/>
    <n v="19482.75"/>
    <n v="19317.2"/>
    <n v="19465"/>
    <n v="226627230"/>
    <n v="21484.66"/>
    <n v="19643.147499999992"/>
    <n v="19258.235000000008"/>
    <n v="18289.195499999987"/>
    <n v="96"/>
    <n v="4.9563735866590946E-3"/>
  </r>
  <r>
    <x v="650"/>
    <n v="19450.55"/>
    <n v="19461.55"/>
    <n v="19326.25"/>
    <n v="19365.25"/>
    <n v="268663456"/>
    <n v="26505.65"/>
    <n v="19628.934999999994"/>
    <n v="19275.658000000007"/>
    <n v="18298.238749999982"/>
    <n v="-85.299999999999272"/>
    <n v="-4.3854801021050447E-3"/>
  </r>
  <r>
    <x v="651"/>
    <n v="19301.75"/>
    <n v="19373.8"/>
    <n v="19253.599999999999"/>
    <n v="19310.150000000001"/>
    <n v="256142364"/>
    <n v="25641.41"/>
    <n v="19605.539999999994"/>
    <n v="19290.983000000007"/>
    <n v="18306.380249999984"/>
    <n v="8.4000000000014552"/>
    <n v="4.3519370005317939E-4"/>
  </r>
  <r>
    <x v="652"/>
    <n v="19320.650000000001"/>
    <n v="19425.95"/>
    <n v="19296.3"/>
    <n v="19393.599999999999"/>
    <n v="262589133"/>
    <n v="20738.75"/>
    <n v="19572.089999999997"/>
    <n v="19302.65800000001"/>
    <n v="18313.996999999985"/>
    <n v="72.94999999999709"/>
    <n v="3.7757528861605116E-3"/>
  </r>
  <r>
    <x v="653"/>
    <n v="19417.099999999999"/>
    <n v="19443.5"/>
    <n v="19381.3"/>
    <n v="19396.45"/>
    <n v="208704354"/>
    <n v="20226.48"/>
    <n v="19554.519999999997"/>
    <n v="19317.839000000007"/>
    <n v="18320.903999999984"/>
    <n v="-20.649999999997817"/>
    <n v="-1.0634955786393344E-3"/>
  </r>
  <r>
    <x v="654"/>
    <n v="19439.2"/>
    <n v="19472.05"/>
    <n v="19366.599999999999"/>
    <n v="19444"/>
    <n v="225214991"/>
    <n v="20167.16"/>
    <n v="19540.724999999999"/>
    <n v="19334.500000000007"/>
    <n v="18327.159249999982"/>
    <n v="4.7999999999992724"/>
    <n v="2.4692374171772871E-4"/>
  </r>
  <r>
    <x v="655"/>
    <n v="19535.150000000001"/>
    <n v="19584.45"/>
    <n v="19369"/>
    <n v="19386.7"/>
    <n v="268256859"/>
    <n v="24338.240000000002"/>
    <n v="19528.895"/>
    <n v="19351.350000000009"/>
    <n v="18333.964999999982"/>
    <n v="-148.45000000000073"/>
    <n v="-7.5991226071978318E-3"/>
  </r>
  <r>
    <x v="656"/>
    <n v="19297.400000000001"/>
    <n v="19339.55"/>
    <n v="19229.7"/>
    <n v="19265.8"/>
    <n v="466518217"/>
    <n v="24998.12"/>
    <n v="19509.314999999999"/>
    <n v="19364.76100000001"/>
    <n v="18340.634999999987"/>
    <n v="-31.600000000002183"/>
    <n v="-1.6375262988797548E-3"/>
  </r>
  <r>
    <x v="657"/>
    <n v="19298.349999999999"/>
    <n v="19366.849999999999"/>
    <n v="19249.7"/>
    <n v="19306.05"/>
    <n v="248178769"/>
    <n v="18237.22"/>
    <n v="19489.61"/>
    <n v="19374.95900000001"/>
    <n v="18346.378249999987"/>
    <n v="7.7000000000007276"/>
    <n v="3.9899784178443898E-4"/>
  </r>
  <r>
    <x v="658"/>
    <n v="19374.849999999999"/>
    <n v="19377.900000000001"/>
    <n v="19309.099999999999"/>
    <n v="19342.650000000001"/>
    <n v="307388116"/>
    <n v="22501.119999999999"/>
    <n v="19472.609999999997"/>
    <n v="19387.318000000007"/>
    <n v="18351.894499999984"/>
    <n v="-32.19999999999709"/>
    <n v="-1.6619483505677254E-3"/>
  </r>
  <r>
    <x v="659"/>
    <n v="19433.45"/>
    <n v="19452.8"/>
    <n v="19334.75"/>
    <n v="19347.45"/>
    <n v="233004568"/>
    <n v="19877.490000000002"/>
    <n v="19452.052499999998"/>
    <n v="19397.651000000009"/>
    <n v="18357.822749999985"/>
    <n v="-86"/>
    <n v="-4.4253593674823564E-3"/>
  </r>
  <r>
    <x v="660"/>
    <n v="19375.55"/>
    <n v="19388.2"/>
    <n v="19223.650000000001"/>
    <n v="19253.8"/>
    <n v="562557215"/>
    <n v="45699.54"/>
    <n v="19432.747500000001"/>
    <n v="19409.491000000005"/>
    <n v="18364.418999999983"/>
    <n v="-121.75"/>
    <n v="-6.283692591952229E-3"/>
  </r>
  <r>
    <x v="661"/>
    <n v="19258.150000000001"/>
    <n v="19458.55"/>
    <n v="19255.7"/>
    <n v="19435.3"/>
    <n v="372502191"/>
    <n v="25962.38"/>
    <n v="19419.11"/>
    <n v="19418.233000000004"/>
    <n v="18368.939499999989"/>
    <n v="177.14999999999782"/>
    <n v="9.198702886829618E-3"/>
  </r>
  <r>
    <x v="662"/>
    <n v="19525.05"/>
    <n v="19545.150000000001"/>
    <n v="19432.849999999999"/>
    <n v="19528.8"/>
    <n v="396071122"/>
    <n v="24822.79"/>
    <n v="19421.7925"/>
    <n v="19429.802000000007"/>
    <n v="18374.470249999984"/>
    <n v="3.75"/>
    <n v="1.920609678336291E-4"/>
  </r>
  <r>
    <x v="663"/>
    <n v="19564.650000000001"/>
    <n v="19587.05"/>
    <n v="19525.75"/>
    <n v="19574.900000000001"/>
    <n v="303958622"/>
    <n v="24029.89"/>
    <n v="19422.3825"/>
    <n v="19444.953000000005"/>
    <n v="18380.097249999984"/>
    <n v="10.25"/>
    <n v="5.2390408210726993E-4"/>
  </r>
  <r>
    <x v="664"/>
    <n v="19581.2"/>
    <n v="19636.45"/>
    <n v="19491.5"/>
    <n v="19611.05"/>
    <n v="512974083"/>
    <n v="32500.52"/>
    <n v="19421.262500000001"/>
    <n v="19463.141000000007"/>
    <n v="18385.923499999983"/>
    <n v="29.849999999998545"/>
    <n v="1.5244213837762009E-3"/>
  </r>
  <r>
    <x v="665"/>
    <n v="19598.650000000001"/>
    <n v="19737"/>
    <n v="19550.05"/>
    <n v="19727.05"/>
    <n v="304929822"/>
    <n v="23591"/>
    <n v="19423.272499999999"/>
    <n v="19481.538000000004"/>
    <n v="18392.259249999981"/>
    <n v="128.39999999999782"/>
    <n v="6.5514716574865007E-3"/>
  </r>
  <r>
    <x v="666"/>
    <n v="19774.8"/>
    <n v="19867.150000000001"/>
    <n v="19727.05"/>
    <n v="19819.95"/>
    <n v="288093693"/>
    <n v="23530.84"/>
    <n v="19427.997499999998"/>
    <n v="19499.731000000007"/>
    <n v="18399.356249999983"/>
    <n v="45.150000000001455"/>
    <n v="2.283208932580934E-3"/>
  </r>
  <r>
    <x v="667"/>
    <n v="19890"/>
    <n v="20008.150000000001"/>
    <n v="19865.349999999999"/>
    <n v="19996.349999999999"/>
    <n v="248763130"/>
    <n v="21924.34"/>
    <n v="19441.84"/>
    <n v="19516.688000000006"/>
    <n v="18407.656249999982"/>
    <n v="106.34999999999854"/>
    <n v="5.3469079939667446E-3"/>
  </r>
  <r>
    <x v="668"/>
    <n v="20110.150000000001"/>
    <n v="20110.349999999999"/>
    <n v="19914.650000000001"/>
    <n v="19993.2"/>
    <n v="328064239"/>
    <n v="30110.799999999999"/>
    <n v="19470.2425"/>
    <n v="19532.834000000003"/>
    <n v="18416.416999999983"/>
    <n v="-116.95000000000073"/>
    <n v="-5.8154712918601159E-3"/>
  </r>
  <r>
    <x v="669"/>
    <n v="19989.5"/>
    <n v="20096.900000000001"/>
    <n v="19944.099999999999"/>
    <n v="20070"/>
    <n v="251394599"/>
    <n v="24332.36"/>
    <n v="19498.174999999996"/>
    <n v="19546.247000000003"/>
    <n v="18425.046749999983"/>
    <n v="80.5"/>
    <n v="4.0271142349733611E-3"/>
  </r>
  <r>
    <x v="670"/>
    <n v="20127.95"/>
    <n v="20167.650000000001"/>
    <n v="20043.45"/>
    <n v="20103.099999999999"/>
    <n v="275111881"/>
    <n v="21902.65"/>
    <n v="19528.424999999996"/>
    <n v="19559.867000000002"/>
    <n v="18432.976249999985"/>
    <n v="-24.850000000002183"/>
    <n v="-1.2346016360335842E-3"/>
  </r>
  <r>
    <x v="671"/>
    <n v="20156.45"/>
    <n v="20222.45"/>
    <n v="20129.7"/>
    <n v="20192.349999999999"/>
    <n v="438185104"/>
    <n v="42681.35"/>
    <n v="19565.317499999997"/>
    <n v="19573.959000000003"/>
    <n v="18440.927999999982"/>
    <n v="35.899999999997817"/>
    <n v="1.7810675987089898E-3"/>
  </r>
  <r>
    <x v="672"/>
    <n v="20155.95"/>
    <n v="20195.349999999999"/>
    <n v="20115.7"/>
    <n v="20133.3"/>
    <n v="264870758"/>
    <n v="21135.95"/>
    <n v="19609.427499999998"/>
    <n v="19587.86"/>
    <n v="18449.075999999983"/>
    <n v="-22.650000000001455"/>
    <n v="-1.1237376556302956E-3"/>
  </r>
  <r>
    <x v="673"/>
    <n v="19980.75"/>
    <n v="20050.650000000001"/>
    <n v="19878.849999999999"/>
    <n v="19901.400000000001"/>
    <n v="378065882"/>
    <n v="37351.58"/>
    <n v="19646.412499999995"/>
    <n v="19603.89"/>
    <n v="18456.652249999981"/>
    <n v="-79.349999999998545"/>
    <n v="-3.9713223978078173E-3"/>
  </r>
  <r>
    <x v="674"/>
    <n v="19840.55"/>
    <n v="19848.75"/>
    <n v="19709.95"/>
    <n v="19742.349999999999"/>
    <n v="275132260"/>
    <n v="26711.83"/>
    <n v="19671.659999999996"/>
    <n v="19614.8"/>
    <n v="18462.367499999982"/>
    <n v="-98.200000000000728"/>
    <n v="-4.9494595663931058E-3"/>
  </r>
  <r>
    <x v="675"/>
    <n v="19744.849999999999"/>
    <n v="19798.650000000001"/>
    <n v="19657.5"/>
    <n v="19674.25"/>
    <n v="246410075"/>
    <n v="24137.57"/>
    <n v="19686.577499999996"/>
    <n v="19620.859"/>
    <n v="18467.016749999981"/>
    <n v="-70.599999999998545"/>
    <n v="-3.575615920100611E-3"/>
  </r>
  <r>
    <x v="676"/>
    <n v="19678.2"/>
    <n v="19734.150000000001"/>
    <n v="19601.55"/>
    <n v="19674.55"/>
    <n v="188398392"/>
    <n v="20194.48"/>
    <n v="19700.954999999994"/>
    <n v="19626.657999999999"/>
    <n v="18471.907499999983"/>
    <n v="-3.6500000000014552"/>
    <n v="-1.8548444471554588E-4"/>
  </r>
  <r>
    <x v="677"/>
    <n v="19682.8"/>
    <n v="19699.349999999999"/>
    <n v="19637.45"/>
    <n v="19664.7"/>
    <n v="204869058"/>
    <n v="18118.189999999999"/>
    <n v="19721.392499999998"/>
    <n v="19631.874"/>
    <n v="18476.774999999983"/>
    <n v="-18.099999999998545"/>
    <n v="-9.1958461194538107E-4"/>
  </r>
  <r>
    <x v="678"/>
    <n v="19637.05"/>
    <n v="19730.7"/>
    <n v="19554"/>
    <n v="19716.45"/>
    <n v="203559874"/>
    <n v="19659.169999999998"/>
    <n v="19739.325000000001"/>
    <n v="19633.878000000001"/>
    <n v="18481.884749999983"/>
    <n v="79.400000000001455"/>
    <n v="4.0433771875104186E-3"/>
  </r>
  <r>
    <x v="679"/>
    <n v="19761.8"/>
    <n v="19766.650000000001"/>
    <n v="19492.099999999999"/>
    <n v="19523.55"/>
    <n v="352810261"/>
    <n v="30069.78"/>
    <n v="19758.015000000003"/>
    <n v="19633.977999999999"/>
    <n v="18487.664499999984"/>
    <n v="-238.25"/>
    <n v="-1.2056088008177394E-2"/>
  </r>
  <r>
    <x v="680"/>
    <n v="19581.2"/>
    <n v="19726.25"/>
    <n v="19551.05"/>
    <n v="19638.3"/>
    <n v="243508919"/>
    <n v="20978.720000000001"/>
    <n v="19766.82"/>
    <n v="19629.464"/>
    <n v="18492.235499999981"/>
    <n v="57.099999999998545"/>
    <n v="2.9160623455150116E-3"/>
  </r>
  <r>
    <x v="681"/>
    <n v="19622.400000000001"/>
    <n v="19623.2"/>
    <n v="19479.650000000001"/>
    <n v="19528.75"/>
    <n v="221719625"/>
    <n v="21459.58"/>
    <n v="19786.044999999998"/>
    <n v="19625.567000000003"/>
    <n v="18497.943999999981"/>
    <n v="-93.650000000001455"/>
    <n v="-4.7726068166993561E-3"/>
  </r>
  <r>
    <x v="682"/>
    <n v="19446.3"/>
    <n v="19457.8"/>
    <n v="19333.599999999999"/>
    <n v="19436.099999999999"/>
    <n v="277148310"/>
    <n v="26017.47"/>
    <n v="19790.717500000002"/>
    <n v="19616.559000000001"/>
    <n v="18503.101999999981"/>
    <n v="-10.200000000000728"/>
    <n v="-5.2452137424603793E-4"/>
  </r>
  <r>
    <x v="683"/>
    <n v="19521.849999999999"/>
    <n v="19576.95"/>
    <n v="19487.3"/>
    <n v="19545.75"/>
    <n v="234865323"/>
    <n v="22019.040000000001"/>
    <n v="19786.082499999997"/>
    <n v="19610.381000000001"/>
    <n v="18507.242499999982"/>
    <n v="23.900000000001455"/>
    <n v="1.22426921628849E-3"/>
  </r>
  <r>
    <x v="684"/>
    <n v="19621.2"/>
    <n v="19675.75"/>
    <n v="19589.400000000001"/>
    <n v="19653.5"/>
    <n v="159051277"/>
    <n v="16096.52"/>
    <n v="19784.624999999996"/>
    <n v="19607.849000000002"/>
    <n v="18511.669749999983"/>
    <n v="32.299999999999272"/>
    <n v="1.6461786231218923E-3"/>
  </r>
  <r>
    <x v="685"/>
    <n v="19539.45"/>
    <n v="19588.95"/>
    <n v="19480.5"/>
    <n v="19512.349999999999"/>
    <n v="165094800"/>
    <n v="15499.67"/>
    <n v="19786.747499999998"/>
    <n v="19607.307000000001"/>
    <n v="18517.862749999982"/>
    <n v="-27.100000000002183"/>
    <n v="-1.3869377080727545E-3"/>
  </r>
  <r>
    <x v="686"/>
    <n v="19565.599999999999"/>
    <n v="19717.8"/>
    <n v="19565.45"/>
    <n v="19689.849999999999"/>
    <n v="216559447"/>
    <n v="18735.62"/>
    <n v="19776.012499999997"/>
    <n v="19601.988000000001"/>
    <n v="18524.079499999985"/>
    <n v="124.25"/>
    <n v="6.3504313693421108E-3"/>
  </r>
  <r>
    <x v="687"/>
    <n v="19767"/>
    <n v="19839.2"/>
    <n v="19756.95"/>
    <n v="19811.349999999999"/>
    <n v="213729730"/>
    <n v="19900.990000000002"/>
    <n v="19769.5075"/>
    <n v="19602.587"/>
    <n v="18530.426499999987"/>
    <n v="44.349999999998545"/>
    <n v="2.2436383872109348E-3"/>
  </r>
  <r>
    <x v="688"/>
    <n v="19822.7"/>
    <n v="19843.3"/>
    <n v="19772.650000000001"/>
    <n v="19794"/>
    <n v="217904144"/>
    <n v="20999.94"/>
    <n v="19760.257499999996"/>
    <n v="19605.892999999996"/>
    <n v="18537.556749999985"/>
    <n v="-28.700000000000728"/>
    <n v="-1.4478350577873209E-3"/>
  </r>
  <r>
    <x v="689"/>
    <n v="19654.55"/>
    <n v="19805.400000000001"/>
    <n v="19635.3"/>
    <n v="19751.05"/>
    <n v="254955979"/>
    <n v="24363.02"/>
    <n v="19750.297499999993"/>
    <n v="19606.696999999996"/>
    <n v="18545.531249999985"/>
    <n v="96.5"/>
    <n v="4.9098045999526833E-3"/>
  </r>
  <r>
    <x v="690"/>
    <n v="19737.25"/>
    <n v="19781.3"/>
    <n v="19691.849999999999"/>
    <n v="19731.75"/>
    <n v="180964341"/>
    <n v="14746.01"/>
    <n v="19734.349999999999"/>
    <n v="19607.046999999999"/>
    <n v="18553.649749999982"/>
    <n v="-5.5"/>
    <n v="-2.7866090767457473E-4"/>
  </r>
  <r>
    <x v="691"/>
    <n v="19843.2"/>
    <n v="19849.75"/>
    <n v="19775.650000000001"/>
    <n v="19811.5"/>
    <n v="185846716"/>
    <n v="16839.87"/>
    <n v="19715.782499999994"/>
    <n v="19611.150999999998"/>
    <n v="18563.274499999985"/>
    <n v="-31.700000000000728"/>
    <n v="-1.5975245928076484E-3"/>
  </r>
  <r>
    <x v="692"/>
    <n v="19820.45"/>
    <n v="19840.95"/>
    <n v="19659.95"/>
    <n v="19671.099999999999"/>
    <n v="198942937"/>
    <n v="18581.64"/>
    <n v="19696.739999999998"/>
    <n v="19619.748"/>
    <n v="18572.258999999984"/>
    <n v="-149.35000000000218"/>
    <n v="-7.53514678021953E-3"/>
  </r>
  <r>
    <x v="693"/>
    <n v="19545.2"/>
    <n v="19681.8"/>
    <n v="19512.349999999999"/>
    <n v="19624.7"/>
    <n v="230312163"/>
    <n v="23582.01"/>
    <n v="19673.629999999997"/>
    <n v="19622.830000000002"/>
    <n v="18579.952999999983"/>
    <n v="79.5"/>
    <n v="4.0674948324908415E-3"/>
  </r>
  <r>
    <x v="694"/>
    <n v="19542.150000000001"/>
    <n v="19593.8"/>
    <n v="19518.7"/>
    <n v="19542.650000000001"/>
    <n v="198341255"/>
    <n v="17944.310000000001"/>
    <n v="19659.794999999998"/>
    <n v="19623.377999999997"/>
    <n v="18587.463999999985"/>
    <n v="0.5"/>
    <n v="2.5585721120756926E-5"/>
  </r>
  <r>
    <x v="695"/>
    <n v="19521.599999999999"/>
    <n v="19556.849999999999"/>
    <n v="19257.849999999999"/>
    <n v="19281.75"/>
    <n v="176044288"/>
    <n v="16212.9"/>
    <n v="19649.810000000001"/>
    <n v="19622.813999999998"/>
    <n v="18594.222249999984"/>
    <n v="-239.84999999999854"/>
    <n v="-1.2286390459798303E-2"/>
  </r>
  <r>
    <x v="696"/>
    <n v="19286.45"/>
    <n v="19347.3"/>
    <n v="19074.150000000001"/>
    <n v="19122.150000000001"/>
    <n v="225291741"/>
    <n v="19818.32"/>
    <n v="19630.185000000001"/>
    <n v="19615.797999999999"/>
    <n v="18600.104499999987"/>
    <n v="-164.29999999999927"/>
    <n v="-8.5189342776923315E-3"/>
  </r>
  <r>
    <x v="697"/>
    <n v="19027.25"/>
    <n v="19041.7"/>
    <n v="18837.849999999999"/>
    <n v="18857.25"/>
    <n v="300356469"/>
    <n v="28939.64"/>
    <n v="19602.565000000002"/>
    <n v="19607.378999999997"/>
    <n v="18604.727999999985"/>
    <n v="-170"/>
    <n v="-8.9345543890998434E-3"/>
  </r>
  <r>
    <x v="698"/>
    <n v="18928.75"/>
    <n v="19076.150000000001"/>
    <n v="18926.650000000001"/>
    <n v="19047.25"/>
    <n v="205201044"/>
    <n v="19947.48"/>
    <n v="19562.192500000001"/>
    <n v="19595.957999999999"/>
    <n v="18607.851499999986"/>
    <n v="118.5"/>
    <n v="6.2603182988839731E-3"/>
  </r>
  <r>
    <x v="699"/>
    <n v="19053.400000000001"/>
    <n v="19158.5"/>
    <n v="18940"/>
    <n v="19140.900000000001"/>
    <n v="180132492"/>
    <n v="17095.73"/>
    <n v="19528.732500000002"/>
    <n v="19588.211999999996"/>
    <n v="18612.872999999985"/>
    <n v="87.5"/>
    <n v="4.5923562198872635E-3"/>
  </r>
  <r>
    <x v="700"/>
    <n v="19232.95"/>
    <n v="19233.7"/>
    <n v="19056.45"/>
    <n v="19079.599999999999"/>
    <n v="206049341"/>
    <n v="19397.36"/>
    <n v="19509.600000000002"/>
    <n v="19581.729999999996"/>
    <n v="18618.616749999983"/>
    <n v="-153.35000000000218"/>
    <n v="-7.97329582825319E-3"/>
  </r>
  <r>
    <x v="701"/>
    <n v="19064.05"/>
    <n v="19096.05"/>
    <n v="18973.7"/>
    <n v="18989.150000000001"/>
    <n v="194103279"/>
    <n v="18452.509999999998"/>
    <n v="19481.665000000001"/>
    <n v="19576.016999999996"/>
    <n v="18624.717499999984"/>
    <n v="-74.899999999997817"/>
    <n v="-3.9288608663950115E-3"/>
  </r>
  <r>
    <x v="702"/>
    <n v="19120"/>
    <n v="19175.25"/>
    <n v="19064.150000000001"/>
    <n v="19133.25"/>
    <n v="245595109"/>
    <n v="19771.490000000002"/>
    <n v="19454.685000000005"/>
    <n v="19569.596999999998"/>
    <n v="18629.157249999986"/>
    <n v="13.25"/>
    <n v="6.9299163179916323E-4"/>
  </r>
  <r>
    <x v="703"/>
    <n v="19241"/>
    <n v="19276.25"/>
    <n v="19210.900000000001"/>
    <n v="19230.599999999999"/>
    <n v="189516123"/>
    <n v="17304.87"/>
    <n v="19439.542500000003"/>
    <n v="19564.39"/>
    <n v="18635.252749999989"/>
    <n v="-10.400000000001455"/>
    <n v="-5.4051244737807051E-4"/>
  </r>
  <r>
    <x v="704"/>
    <n v="19345.849999999999"/>
    <n v="19423"/>
    <n v="19309.7"/>
    <n v="19411.75"/>
    <n v="180690631"/>
    <n v="16296.56"/>
    <n v="19423.784999999996"/>
    <n v="19561.072999999997"/>
    <n v="18641.927249999986"/>
    <n v="65.900000000001455"/>
    <n v="3.4064153293859646E-3"/>
  </r>
  <r>
    <x v="705"/>
    <n v="19404.05"/>
    <n v="19423.5"/>
    <n v="19329.099999999999"/>
    <n v="19406.7"/>
    <n v="198660124"/>
    <n v="18288.060000000001"/>
    <n v="19411.697499999998"/>
    <n v="19560.427999999996"/>
    <n v="18649.694999999989"/>
    <n v="2.6500000000014552"/>
    <n v="1.3656942751649555E-4"/>
  </r>
  <r>
    <x v="706"/>
    <n v="19449.599999999999"/>
    <n v="19464.400000000001"/>
    <n v="19401.5"/>
    <n v="19443.5"/>
    <n v="194967997"/>
    <n v="17060.45"/>
    <n v="19406.415000000001"/>
    <n v="19560.827999999994"/>
    <n v="18656.945499999987"/>
    <n v="-6.0999999999985448"/>
    <n v="-3.1363112866066885E-4"/>
  </r>
  <r>
    <x v="707"/>
    <n v="19457.400000000001"/>
    <n v="19463.900000000001"/>
    <n v="19378.349999999999"/>
    <n v="19395.3"/>
    <n v="208418472"/>
    <n v="19087.29"/>
    <n v="19394.0975"/>
    <n v="19564.381999999998"/>
    <n v="18664.68874999999"/>
    <n v="-62.100000000002183"/>
    <n v="-3.1915877763731113E-3"/>
  </r>
  <r>
    <x v="708"/>
    <n v="19351.849999999999"/>
    <n v="19451.3"/>
    <n v="19329.45"/>
    <n v="19425.349999999999"/>
    <n v="152215785"/>
    <n v="12916.21"/>
    <n v="19373.294999999998"/>
    <n v="19566.166999999998"/>
    <n v="18671.398749999989"/>
    <n v="73.5"/>
    <n v="3.7980864878551664E-3"/>
  </r>
  <r>
    <x v="709"/>
    <n v="19547.25"/>
    <n v="19547.25"/>
    <n v="19510.25"/>
    <n v="19525.55"/>
    <n v="37311902"/>
    <n v="2482.27"/>
    <n v="19354.862499999996"/>
    <n v="19567.821"/>
    <n v="18677.698749999992"/>
    <n v="-21.700000000000728"/>
    <n v="-1.110130581028059E-3"/>
  </r>
  <r>
    <x v="710"/>
    <n v="19486.75"/>
    <n v="19494.400000000001"/>
    <n v="19414.75"/>
    <n v="19443.55"/>
    <n v="189275733"/>
    <n v="13527.22"/>
    <n v="19343.587499999998"/>
    <n v="19571.383000000002"/>
    <n v="18684.78724999999"/>
    <n v="-43.200000000000728"/>
    <n v="-2.2168909643732653E-3"/>
  </r>
  <r>
    <x v="711"/>
    <n v="19651.400000000001"/>
    <n v="19693.2"/>
    <n v="19579.650000000001"/>
    <n v="19675.45"/>
    <n v="291464988"/>
    <n v="24957.24"/>
    <n v="19329.177499999998"/>
    <n v="19575.178"/>
    <n v="18691.86674999999"/>
    <n v="24.049999999999272"/>
    <n v="1.2238313809702754E-3"/>
  </r>
  <r>
    <x v="712"/>
    <n v="19674.7"/>
    <n v="19875.25"/>
    <n v="19627"/>
    <n v="19765.2"/>
    <n v="282686669"/>
    <n v="26041.45"/>
    <n v="19322.374999999996"/>
    <n v="19579.981"/>
    <n v="18699.651249999992"/>
    <n v="90.5"/>
    <n v="4.5998160073597054E-3"/>
  </r>
  <r>
    <x v="713"/>
    <n v="19674.75"/>
    <n v="19806"/>
    <n v="19667.45"/>
    <n v="19731.8"/>
    <n v="236827462"/>
    <n v="21681.279999999999"/>
    <n v="19327.079999999998"/>
    <n v="19584.708999999995"/>
    <n v="18707.885749999994"/>
    <n v="57.049999999999272"/>
    <n v="2.8996556500082223E-3"/>
  </r>
  <r>
    <x v="714"/>
    <n v="19731.150000000001"/>
    <n v="19756.45"/>
    <n v="19670.5"/>
    <n v="19694"/>
    <n v="173780543"/>
    <n v="16737.05"/>
    <n v="19332.435000000001"/>
    <n v="19587.846999999998"/>
    <n v="18717.084999999988"/>
    <n v="-37.150000000001455"/>
    <n v="-1.8828096689752728E-3"/>
  </r>
  <r>
    <x v="715"/>
    <n v="19770.900000000001"/>
    <n v="19829.099999999999"/>
    <n v="19754.05"/>
    <n v="19783.400000000001"/>
    <n v="194969012"/>
    <n v="17947.2"/>
    <n v="19340.002499999999"/>
    <n v="19589.505999999998"/>
    <n v="18727.533249999989"/>
    <n v="12.5"/>
    <n v="6.3224233595840344E-4"/>
  </r>
  <r>
    <x v="716"/>
    <n v="19784"/>
    <n v="19825.55"/>
    <n v="19703.849999999999"/>
    <n v="19811.849999999999"/>
    <n v="184497984"/>
    <n v="17405.48"/>
    <n v="19365.084999999999"/>
    <n v="19590.632999999998"/>
    <n v="18738.205499999989"/>
    <n v="27.849999999998545"/>
    <n v="1.407703194500533E-3"/>
  </r>
  <r>
    <x v="717"/>
    <n v="19828.45"/>
    <n v="19875.150000000001"/>
    <n v="19786.75"/>
    <n v="19802"/>
    <n v="170024085"/>
    <n v="15906.94"/>
    <n v="19399.57"/>
    <n v="19590.470999999998"/>
    <n v="18748.953999999991"/>
    <n v="-26.450000000000728"/>
    <n v="-1.3339418865317624E-3"/>
  </r>
  <r>
    <x v="718"/>
    <n v="19809.599999999999"/>
    <n v="19832.849999999999"/>
    <n v="19768.849999999999"/>
    <n v="19794.7"/>
    <n v="145895044"/>
    <n v="14389.29"/>
    <n v="19446.807499999999"/>
    <n v="19586.583999999999"/>
    <n v="18759.882499999989"/>
    <n v="-14.899999999997817"/>
    <n v="-7.5216056861308748E-4"/>
  </r>
  <r>
    <x v="719"/>
    <n v="19844.650000000001"/>
    <n v="19916.849999999999"/>
    <n v="19800"/>
    <n v="19889.7"/>
    <n v="229595031"/>
    <n v="23043.25"/>
    <n v="19484.18"/>
    <n v="19582.613999999998"/>
    <n v="18770.803999999989"/>
    <n v="45.049999999999272"/>
    <n v="2.2701332600977729E-3"/>
  </r>
  <r>
    <x v="720"/>
    <n v="19976.55"/>
    <n v="20104.650000000001"/>
    <n v="19956.3"/>
    <n v="20096.599999999999"/>
    <n v="236241768"/>
    <n v="22367.64"/>
    <n v="19521.620000000003"/>
    <n v="19579.007999999998"/>
    <n v="18780.98224999999"/>
    <n v="120.04999999999927"/>
    <n v="6.0095461929111525E-3"/>
  </r>
  <r>
    <x v="721"/>
    <n v="20108.5"/>
    <n v="20158.7"/>
    <n v="20015.849999999999"/>
    <n v="20133.150000000001"/>
    <n v="486585349"/>
    <n v="48877.95"/>
    <n v="19572.47"/>
    <n v="19578.877999999997"/>
    <n v="18792.642249999994"/>
    <n v="24.650000000001455"/>
    <n v="1.2258497650248132E-3"/>
  </r>
  <r>
    <x v="722"/>
    <n v="20194.099999999999"/>
    <n v="20291.55"/>
    <n v="20183.7"/>
    <n v="20267.900000000001"/>
    <n v="265812566"/>
    <n v="22461.53"/>
    <n v="19629.670000000002"/>
    <n v="19577.693999999996"/>
    <n v="18804.700499999992"/>
    <n v="73.80000000000291"/>
    <n v="3.6545327595685333E-3"/>
  </r>
  <r>
    <x v="723"/>
    <n v="20601.95"/>
    <n v="20702.650000000001"/>
    <n v="20507.75"/>
    <n v="20686.8"/>
    <n v="381107418"/>
    <n v="33917.519999999997"/>
    <n v="19686.402500000004"/>
    <n v="19580.385999999999"/>
    <n v="18816.681499999992"/>
    <n v="84.849999999998545"/>
    <n v="4.1185421768327049E-3"/>
  </r>
  <r>
    <x v="724"/>
    <n v="20808.900000000001"/>
    <n v="20864.05"/>
    <n v="20711.150000000001"/>
    <n v="20855.099999999999"/>
    <n v="421008350"/>
    <n v="41763.519999999997"/>
    <n v="19759.212500000001"/>
    <n v="19596.094000000001"/>
    <n v="18830.648249999991"/>
    <n v="46.19999999999709"/>
    <n v="2.2202038550810993E-3"/>
  </r>
  <r>
    <x v="725"/>
    <n v="20950.75"/>
    <n v="20961.95"/>
    <n v="20852.150000000001"/>
    <n v="20937.7"/>
    <n v="359212958"/>
    <n v="35654.76"/>
    <n v="19831.38"/>
    <n v="19618.348999999998"/>
    <n v="18845.641249999993"/>
    <n v="-13.049999999999272"/>
    <n v="-6.2288939536767291E-4"/>
  </r>
  <r>
    <x v="726"/>
    <n v="20932.400000000001"/>
    <n v="20941.25"/>
    <n v="20850.8"/>
    <n v="20901.150000000001"/>
    <n v="274985308"/>
    <n v="24862.43"/>
    <n v="19907.93"/>
    <n v="19643.617999999999"/>
    <n v="18861.475249999996"/>
    <n v="-31.25"/>
    <n v="-1.4929009573675259E-3"/>
  </r>
  <r>
    <x v="727"/>
    <n v="20934.099999999999"/>
    <n v="21006.1"/>
    <n v="20862.7"/>
    <n v="20969.400000000001"/>
    <n v="292440768"/>
    <n v="27449.96"/>
    <n v="19980.812500000004"/>
    <n v="19668.150000000001"/>
    <n v="18876.331749999998"/>
    <n v="35.30000000000291"/>
    <n v="1.686243975141177E-3"/>
  </r>
  <r>
    <x v="728"/>
    <n v="20965.3"/>
    <n v="21026.1"/>
    <n v="20923.7"/>
    <n v="20997.1"/>
    <n v="212921451"/>
    <n v="21150.17"/>
    <n v="20059.517500000005"/>
    <n v="19694.244000000002"/>
    <n v="18891.099499999997"/>
    <n v="31.799999999999272"/>
    <n v="1.5167920325489868E-3"/>
  </r>
  <r>
    <x v="729"/>
    <n v="21018.55"/>
    <n v="21037.9"/>
    <n v="20867.150000000001"/>
    <n v="20906.400000000001"/>
    <n v="244867128"/>
    <n v="25404.639999999999"/>
    <n v="20138.105000000003"/>
    <n v="19719.857"/>
    <n v="18905.905749999998"/>
    <n v="-112.14999999999782"/>
    <n v="-5.3357629332184105E-3"/>
  </r>
  <r>
    <x v="730"/>
    <n v="20929.75"/>
    <n v="20950"/>
    <n v="20769.5"/>
    <n v="20926.349999999999"/>
    <n v="260269318"/>
    <n v="25918.44"/>
    <n v="20207.147500000003"/>
    <n v="19747.514000000003"/>
    <n v="18920.716749999996"/>
    <n v="-3.4000000000014552"/>
    <n v="-1.624481897777783E-4"/>
  </r>
  <r>
    <x v="731"/>
    <n v="21110.400000000001"/>
    <n v="21210.9"/>
    <n v="21074.45"/>
    <n v="21182.7"/>
    <n v="334410589"/>
    <n v="32593.42"/>
    <n v="20281.287500000002"/>
    <n v="19773.275000000001"/>
    <n v="18936.125499999998"/>
    <n v="72.299999999999272"/>
    <n v="3.4248522055479414E-3"/>
  </r>
  <r>
    <x v="732"/>
    <n v="21287.45"/>
    <n v="21492.3"/>
    <n v="21235.3"/>
    <n v="21456.65"/>
    <n v="508761756"/>
    <n v="50114.46"/>
    <n v="20356.650000000001"/>
    <n v="19806.353999999999"/>
    <n v="18952.905499999997"/>
    <n v="169.20000000000073"/>
    <n v="7.9483451517208831E-3"/>
  </r>
  <r>
    <x v="733"/>
    <n v="21434.799999999999"/>
    <n v="21482.799999999999"/>
    <n v="21365.35"/>
    <n v="21418.65"/>
    <n v="249668965"/>
    <n v="23615.279999999999"/>
    <n v="20441.222500000003"/>
    <n v="19846.764999999999"/>
    <n v="18972.417250000002"/>
    <n v="-16.149999999997817"/>
    <n v="-7.5344766454540359E-4"/>
  </r>
  <r>
    <x v="734"/>
    <n v="21477.65"/>
    <n v="21505.05"/>
    <n v="21337.75"/>
    <n v="21453.1"/>
    <n v="249750062"/>
    <n v="23750.61"/>
    <n v="20525.565000000002"/>
    <n v="19884.222999999994"/>
    <n v="18991.954249999999"/>
    <n v="-24.55000000000291"/>
    <n v="-1.1430487041181371E-3"/>
  </r>
  <r>
    <x v="735"/>
    <n v="21543.5"/>
    <n v="21593"/>
    <n v="21087.35"/>
    <n v="21150.15"/>
    <n v="363886229"/>
    <n v="30993.119999999999"/>
    <n v="20613.52"/>
    <n v="19920.214999999997"/>
    <n v="19011.890750000002"/>
    <n v="-393.34999999999854"/>
    <n v="-1.8258407408266928E-2"/>
  </r>
  <r>
    <x v="736"/>
    <n v="21033.95"/>
    <n v="21288.35"/>
    <n v="20976.799999999999"/>
    <n v="21255.05"/>
    <n v="277548079"/>
    <n v="26001.02"/>
    <n v="20681.857500000002"/>
    <n v="19952.970999999998"/>
    <n v="19030.678"/>
    <n v="221.09999999999854"/>
    <n v="1.051157771127147E-2"/>
  </r>
  <r>
    <x v="737"/>
    <n v="21295.85"/>
    <n v="21390.5"/>
    <n v="21232.45"/>
    <n v="21349.4"/>
    <n v="284708918"/>
    <n v="27709.29"/>
    <n v="20754.017500000002"/>
    <n v="19984.275000000001"/>
    <n v="19050.433499999999"/>
    <n v="53.55000000000291"/>
    <n v="2.5145744358644013E-3"/>
  </r>
  <r>
    <x v="738"/>
    <n v="21365.200000000001"/>
    <n v="21477.15"/>
    <n v="21329.45"/>
    <n v="21441.35"/>
    <n v="219467748"/>
    <n v="20081.330000000002"/>
    <n v="20831.387500000004"/>
    <n v="20015.036"/>
    <n v="19069.925999999999"/>
    <n v="76.149999999997817"/>
    <n v="3.5642072154717865E-3"/>
  </r>
  <r>
    <x v="739"/>
    <n v="21497.65"/>
    <n v="21675.75"/>
    <n v="21495.8"/>
    <n v="21654.75"/>
    <n v="256542963"/>
    <n v="23059.25"/>
    <n v="20913.72"/>
    <n v="20047.982999999997"/>
    <n v="19090.523249999998"/>
    <n v="157.09999999999854"/>
    <n v="7.3077755010430689E-3"/>
  </r>
  <r>
    <x v="740"/>
    <n v="21715"/>
    <n v="21801.45"/>
    <n v="21678"/>
    <n v="21778.7"/>
    <n v="393080755"/>
    <n v="35031"/>
    <n v="21001.9725"/>
    <n v="20086.057000000001"/>
    <n v="19110.825249999998"/>
    <n v="63.700000000000728"/>
    <n v="2.933456136311339E-3"/>
  </r>
  <r>
    <x v="741"/>
    <n v="21737.65"/>
    <n v="21770.3"/>
    <n v="21676.9"/>
    <n v="21731.4"/>
    <n v="270922276"/>
    <n v="23697.88"/>
    <n v="21086.077500000003"/>
    <n v="20126.995999999999"/>
    <n v="19131.161499999998"/>
    <n v="-6.25"/>
    <n v="-2.8751958008340364E-4"/>
  </r>
  <r>
    <x v="742"/>
    <n v="21727.75"/>
    <n v="21834.35"/>
    <n v="21680.85"/>
    <n v="21741.9"/>
    <n v="153995217"/>
    <n v="14184.09"/>
    <n v="21165.99"/>
    <n v="20165.394"/>
    <n v="19151.0465"/>
    <n v="14.150000000001455"/>
    <n v="6.5124092462410762E-4"/>
  </r>
  <r>
    <x v="743"/>
    <n v="21751.35"/>
    <n v="21755.599999999999"/>
    <n v="21555.65"/>
    <n v="21665.8"/>
    <n v="263711568"/>
    <n v="25316.13"/>
    <n v="21239.690000000002"/>
    <n v="20206.810000000001"/>
    <n v="19171.807999999997"/>
    <n v="-85.549999999999272"/>
    <n v="-3.9330892105547141E-3"/>
  </r>
  <r>
    <x v="744"/>
    <n v="21661.1"/>
    <n v="21677"/>
    <n v="21500.35"/>
    <n v="21517.35"/>
    <n v="311933117"/>
    <n v="32329.23"/>
    <n v="21288.640000000003"/>
    <n v="20247.632000000005"/>
    <n v="19193.072499999998"/>
    <n v="-143.75"/>
    <n v="-6.6363204084741775E-3"/>
  </r>
  <r>
    <x v="745"/>
    <n v="21605.8"/>
    <n v="21685.65"/>
    <n v="21564.55"/>
    <n v="21658.6"/>
    <n v="339172697"/>
    <n v="30868.15"/>
    <n v="21321.752499999999"/>
    <n v="20287.126"/>
    <n v="19214.887749999998"/>
    <n v="52.799999999999272"/>
    <n v="2.4437882420460838E-3"/>
  </r>
  <r>
    <x v="746"/>
    <n v="21705.75"/>
    <n v="21749.599999999999"/>
    <n v="21629.200000000001"/>
    <n v="21710.799999999999"/>
    <n v="309303266"/>
    <n v="26554.49"/>
    <n v="21357.797499999997"/>
    <n v="20334.663"/>
    <n v="19237.964250000001"/>
    <n v="5.0499999999992724"/>
    <n v="2.3265724519997108E-4"/>
  </r>
  <r>
    <x v="747"/>
    <n v="21747.599999999999"/>
    <n v="21763.95"/>
    <n v="21492.9"/>
    <n v="21513"/>
    <n v="231452935"/>
    <n v="21140.94"/>
    <n v="21398.28"/>
    <n v="20386.436000000002"/>
    <n v="19261.657500000001"/>
    <n v="-234.59999999999854"/>
    <n v="-1.078739723003911E-2"/>
  </r>
  <r>
    <x v="748"/>
    <n v="21653.599999999999"/>
    <n v="21724.45"/>
    <n v="21517.85"/>
    <n v="21544.85"/>
    <n v="228568589"/>
    <n v="24055.74"/>
    <n v="21425.46"/>
    <n v="20439.550999999999"/>
    <n v="19284.2945"/>
    <n v="-108.75"/>
    <n v="-5.0222595780840141E-3"/>
  </r>
  <r>
    <x v="749"/>
    <n v="21529.3"/>
    <n v="21641.85"/>
    <n v="21448.65"/>
    <n v="21618.7"/>
    <n v="216991926"/>
    <n v="20958.96"/>
    <n v="21452.847499999996"/>
    <n v="20489.503000000001"/>
    <n v="19306.518500000002"/>
    <n v="89.400000000001455"/>
    <n v="4.1524805729866486E-3"/>
  </r>
  <r>
    <x v="750"/>
    <n v="21688"/>
    <n v="21726.5"/>
    <n v="21593.75"/>
    <n v="21647.200000000001"/>
    <n v="212453866"/>
    <n v="23492.12"/>
    <n v="21488.462499999998"/>
    <n v="20539.059000000001"/>
    <n v="19329.670000000002"/>
    <n v="-40.799999999999272"/>
    <n v="-1.8812246403540794E-3"/>
  </r>
  <r>
    <x v="751"/>
    <n v="21773.55"/>
    <n v="21928.25"/>
    <n v="21715.15"/>
    <n v="21894.55"/>
    <n v="294678459"/>
    <n v="30565.5"/>
    <n v="21524.504999999997"/>
    <n v="20590.411"/>
    <n v="19352.368500000004"/>
    <n v="121"/>
    <n v="5.5572012832082966E-3"/>
  </r>
  <r>
    <x v="752"/>
    <n v="22053.15"/>
    <n v="22115.55"/>
    <n v="21963.55"/>
    <n v="22097.45"/>
    <n v="345543523"/>
    <n v="29523.15"/>
    <n v="21560.097499999996"/>
    <n v="20648.519"/>
    <n v="19376.081750000005"/>
    <n v="44.299999999999272"/>
    <n v="2.0087833257380135E-3"/>
  </r>
  <r>
    <x v="753"/>
    <n v="22080.5"/>
    <n v="22124.15"/>
    <n v="21969.8"/>
    <n v="22032.3"/>
    <n v="292433764"/>
    <n v="24435.94"/>
    <n v="21592.137500000001"/>
    <n v="20707.803"/>
    <n v="19401.184500000003"/>
    <n v="-48.200000000000728"/>
    <n v="-2.182921582391736E-3"/>
  </r>
  <r>
    <x v="754"/>
    <n v="21647.25"/>
    <n v="21851.5"/>
    <n v="21550.45"/>
    <n v="21571.95"/>
    <n v="455999867"/>
    <n v="47533.440000000002"/>
    <n v="21622.82"/>
    <n v="20763.837000000003"/>
    <n v="19426.620750000006"/>
    <n v="-75.299999999999272"/>
    <n v="-3.478501888230573E-3"/>
  </r>
  <r>
    <x v="755"/>
    <n v="21414.2"/>
    <n v="21539.4"/>
    <n v="21285.55"/>
    <n v="21462.25"/>
    <n v="387341268"/>
    <n v="39718.839999999997"/>
    <n v="21628.762500000001"/>
    <n v="20807.041000000001"/>
    <n v="19449.552000000007"/>
    <n v="48.049999999999272"/>
    <n v="2.2438382008199828E-3"/>
  </r>
  <r>
    <x v="756"/>
    <n v="21615.200000000001"/>
    <n v="21670.6"/>
    <n v="21575"/>
    <n v="21622.400000000001"/>
    <n v="343055124"/>
    <n v="34429.24"/>
    <n v="21644.3675"/>
    <n v="20848.151999999998"/>
    <n v="19472.104750000002"/>
    <n v="7.2000000000007276"/>
    <n v="3.3309893038235719E-4"/>
  </r>
  <r>
    <x v="757"/>
    <n v="21706.15"/>
    <n v="21720.3"/>
    <n v="21541.8"/>
    <n v="21571.8"/>
    <n v="162073740"/>
    <n v="13917.46"/>
    <n v="21662.735000000001"/>
    <n v="20891.730000000003"/>
    <n v="19494.813250000003"/>
    <n v="-134.35000000000218"/>
    <n v="-6.1894900753934794E-3"/>
  </r>
  <r>
    <x v="758"/>
    <n v="21716.7"/>
    <n v="21750.25"/>
    <n v="21192.6"/>
    <n v="21238.799999999999"/>
    <n v="449718534"/>
    <n v="48813.68"/>
    <n v="21673.855000000003"/>
    <n v="20935.260000000002"/>
    <n v="19515.873500000002"/>
    <n v="-477.90000000000146"/>
    <n v="-2.2006105900067754E-2"/>
  </r>
  <r>
    <x v="759"/>
    <n v="21185.25"/>
    <n v="21482.35"/>
    <n v="21137.200000000001"/>
    <n v="21453.95"/>
    <n v="407460664"/>
    <n v="41718.639999999999"/>
    <n v="21663.727500000001"/>
    <n v="20971.529000000002"/>
    <n v="19535.077250000002"/>
    <n v="268.70000000000073"/>
    <n v="1.2683352804427643E-2"/>
  </r>
  <r>
    <x v="760"/>
    <n v="21454.6"/>
    <n v="21459"/>
    <n v="21247.05"/>
    <n v="21352.6"/>
    <n v="418143077"/>
    <n v="40088.5"/>
    <n v="21653.6875"/>
    <n v="21010.097000000002"/>
    <n v="19554.561750000001"/>
    <n v="-102"/>
    <n v="-4.7542252011223704E-3"/>
  </r>
  <r>
    <x v="761"/>
    <n v="21433.1"/>
    <n v="21763.25"/>
    <n v="21429.599999999999"/>
    <n v="21737.599999999999"/>
    <n v="376702289"/>
    <n v="34516.42"/>
    <n v="21632.382500000003"/>
    <n v="21048.278000000002"/>
    <n v="19573.329000000002"/>
    <n v="304.5"/>
    <n v="1.4206997587843103E-2"/>
  </r>
  <r>
    <x v="762"/>
    <n v="21775.75"/>
    <n v="21813.05"/>
    <n v="21501.8"/>
    <n v="21522.1"/>
    <n v="375137333"/>
    <n v="32916.300000000003"/>
    <n v="21632.692499999997"/>
    <n v="21089.521000000001"/>
    <n v="19593.896750000004"/>
    <n v="-253.65000000000146"/>
    <n v="-1.1648278474909082E-2"/>
  </r>
  <r>
    <x v="763"/>
    <n v="21487.25"/>
    <n v="21741.35"/>
    <n v="21448.85"/>
    <n v="21725.7"/>
    <n v="410583065"/>
    <n v="41587.85"/>
    <n v="21621.702499999999"/>
    <n v="21124.659000000003"/>
    <n v="19612.895750000003"/>
    <n v="238.45000000000073"/>
    <n v="1.1097278618715784E-2"/>
  </r>
  <r>
    <x v="764"/>
    <n v="21780.65"/>
    <n v="21832.95"/>
    <n v="21658.75"/>
    <n v="21697.45"/>
    <n v="332541208"/>
    <n v="34042.15"/>
    <n v="21624.697499999998"/>
    <n v="21164.537"/>
    <n v="19632.462250000004"/>
    <n v="-83.200000000000728"/>
    <n v="-3.8199043646539805E-3"/>
  </r>
  <r>
    <x v="765"/>
    <n v="21812.75"/>
    <n v="22126.799999999999"/>
    <n v="21805.55"/>
    <n v="21853.8"/>
    <n v="442794738"/>
    <n v="38395.9"/>
    <n v="21633.702499999996"/>
    <n v="21204.606"/>
    <n v="19651.809500000007"/>
    <n v="41.049999999999272"/>
    <n v="1.881926854706503E-3"/>
  </r>
  <r>
    <x v="766"/>
    <n v="21921.05"/>
    <n v="21964.3"/>
    <n v="21726.95"/>
    <n v="21771.7"/>
    <n v="440849699"/>
    <n v="33807.94"/>
    <n v="21643.462499999998"/>
    <n v="21246.013999999999"/>
    <n v="19672.544250000006"/>
    <n v="-149.34999999999854"/>
    <n v="-6.8130860519910567E-3"/>
  </r>
  <r>
    <x v="767"/>
    <n v="21825.200000000001"/>
    <n v="21951.4"/>
    <n v="21737.55"/>
    <n v="21929.4"/>
    <n v="370968111"/>
    <n v="32910.82"/>
    <n v="21646.507499999996"/>
    <n v="21285.210999999999"/>
    <n v="19693.10200000001"/>
    <n v="104.20000000000073"/>
    <n v="4.7742976009383983E-3"/>
  </r>
  <r>
    <x v="768"/>
    <n v="22045.05"/>
    <n v="22053.3"/>
    <n v="21860.15"/>
    <n v="21930.5"/>
    <n v="346263704"/>
    <n v="30088.76"/>
    <n v="21667.327499999999"/>
    <n v="21327.758999999998"/>
    <n v="19714.655250000007"/>
    <n v="-114.54999999999927"/>
    <n v="-5.196177826768335E-3"/>
  </r>
  <r>
    <x v="769"/>
    <n v="22009.65"/>
    <n v="22011.05"/>
    <n v="21665.3"/>
    <n v="21717.95"/>
    <n v="491069786"/>
    <n v="41082.019999999997"/>
    <n v="21686.61"/>
    <n v="21370.474999999999"/>
    <n v="19736.185500000007"/>
    <n v="-291.70000000000073"/>
    <n v="-1.3253277539624696E-2"/>
  </r>
  <r>
    <x v="770"/>
    <n v="21727"/>
    <n v="21804.45"/>
    <n v="21629.9"/>
    <n v="21782.5"/>
    <n v="349222850"/>
    <n v="31176.16"/>
    <n v="21691.572500000002"/>
    <n v="21407.039999999994"/>
    <n v="19756.655000000006"/>
    <n v="55.5"/>
    <n v="2.5544253693561008E-3"/>
  </r>
  <r>
    <x v="771"/>
    <n v="21800.799999999999"/>
    <n v="21831.7"/>
    <n v="21574.75"/>
    <n v="21616.05"/>
    <n v="287436165"/>
    <n v="23921.14"/>
    <n v="21698.337500000001"/>
    <n v="21440.757999999998"/>
    <n v="19776.850500000011"/>
    <n v="-184.75"/>
    <n v="-8.4744596528567757E-3"/>
  </r>
  <r>
    <x v="772"/>
    <n v="21664.3"/>
    <n v="21766.799999999999"/>
    <n v="21543.35"/>
    <n v="21743.25"/>
    <n v="365785766"/>
    <n v="29896.62"/>
    <n v="21684.412500000002"/>
    <n v="21470.415999999997"/>
    <n v="19796.084500000008"/>
    <n v="78.950000000000728"/>
    <n v="3.6442442174453239E-3"/>
  </r>
  <r>
    <x v="773"/>
    <n v="21578.15"/>
    <n v="21870.85"/>
    <n v="21530.2"/>
    <n v="21840.05"/>
    <n v="359120861"/>
    <n v="32535"/>
    <n v="21666.702500000007"/>
    <n v="21499.922999999995"/>
    <n v="19815.73275000001"/>
    <n v="261.89999999999782"/>
    <n v="1.2137277755507206E-2"/>
  </r>
  <r>
    <x v="774"/>
    <n v="21906.55"/>
    <n v="21953.85"/>
    <n v="21794.799999999999"/>
    <n v="21910.75"/>
    <n v="345394395"/>
    <n v="29559.69"/>
    <n v="21657.090000000004"/>
    <n v="21522.987999999998"/>
    <n v="19835.35775000001"/>
    <n v="4.2000000000007276"/>
    <n v="1.9172347996378837E-4"/>
  </r>
  <r>
    <x v="775"/>
    <n v="22020.3"/>
    <n v="22068.65"/>
    <n v="21968.95"/>
    <n v="22040.7"/>
    <n v="343892935"/>
    <n v="30666.89"/>
    <n v="21674.030000000002"/>
    <n v="21544.100999999995"/>
    <n v="19854.586500000009"/>
    <n v="20.400000000001455"/>
    <n v="9.2641789621401415E-4"/>
  </r>
  <r>
    <x v="776"/>
    <n v="22103.45"/>
    <n v="22186.65"/>
    <n v="22021.05"/>
    <n v="22122.25"/>
    <n v="218252325"/>
    <n v="21375.71"/>
    <n v="21702.952500000003"/>
    <n v="21566.160999999996"/>
    <n v="19874.05175000001"/>
    <n v="18.799999999999272"/>
    <n v="8.5054595549560231E-4"/>
  </r>
  <r>
    <x v="777"/>
    <n v="22099.200000000001"/>
    <n v="22215.599999999999"/>
    <n v="22045.85"/>
    <n v="22196.95"/>
    <n v="295705319"/>
    <n v="26872.32"/>
    <n v="21727.945"/>
    <n v="21590.582999999999"/>
    <n v="19894.21375000001"/>
    <n v="97.75"/>
    <n v="4.4232370402548507E-3"/>
  </r>
  <r>
    <x v="778"/>
    <n v="22248.85"/>
    <n v="22249.4"/>
    <n v="21997.95"/>
    <n v="22055.05"/>
    <n v="364545679"/>
    <n v="29741.39"/>
    <n v="21759.202499999999"/>
    <n v="21615.133999999998"/>
    <n v="19913.919500000007"/>
    <n v="-193.79999999999927"/>
    <n v="-8.7105625684023805E-3"/>
  </r>
  <r>
    <x v="779"/>
    <n v="22081.55"/>
    <n v="22252.5"/>
    <n v="21875.25"/>
    <n v="22217.45"/>
    <n v="343495136"/>
    <n v="33985.94"/>
    <n v="21800.014999999999"/>
    <n v="21636.292999999998"/>
    <n v="19933.849750000008"/>
    <n v="135.90000000000146"/>
    <n v="6.1544592657671888E-3"/>
  </r>
  <r>
    <x v="780"/>
    <n v="22290"/>
    <n v="22297.5"/>
    <n v="22186.1"/>
    <n v="22212.7"/>
    <n v="225983194"/>
    <n v="24617.01"/>
    <n v="21838.19"/>
    <n v="21662.513999999996"/>
    <n v="19953.615000000009"/>
    <n v="-77.299999999999272"/>
    <n v="-3.4679228353521434E-3"/>
  </r>
  <r>
    <x v="781"/>
    <n v="22169.200000000001"/>
    <n v="22202.15"/>
    <n v="22075.15"/>
    <n v="22122.05"/>
    <n v="207775504"/>
    <n v="20850.259999999998"/>
    <n v="21881.195"/>
    <n v="21688.240999999995"/>
    <n v="19973.348750000012"/>
    <n v="-47.150000000001455"/>
    <n v="-2.1268246035040261E-3"/>
  </r>
  <r>
    <x v="782"/>
    <n v="22090.2"/>
    <n v="22218.25"/>
    <n v="22085.65"/>
    <n v="22198.35"/>
    <n v="252199186"/>
    <n v="24620.71"/>
    <n v="21900.4175"/>
    <n v="21707.027999999998"/>
    <n v="19992.383500000011"/>
    <n v="108.14999999999782"/>
    <n v="4.8958361626421591E-3"/>
  </r>
  <r>
    <x v="783"/>
    <n v="22214.1"/>
    <n v="22229.15"/>
    <n v="21915.85"/>
    <n v="21951.15"/>
    <n v="202952371"/>
    <n v="20579.8"/>
    <n v="21934.23"/>
    <n v="21721.861999999997"/>
    <n v="20011.890250000011"/>
    <n v="-262.94999999999709"/>
    <n v="-1.1837076451442873E-2"/>
  </r>
  <r>
    <x v="784"/>
    <n v="21935.200000000001"/>
    <n v="22060.55"/>
    <n v="21860.65"/>
    <n v="21982.799999999999"/>
    <n v="360165824"/>
    <n v="40196.120000000003"/>
    <n v="21945.502499999999"/>
    <n v="21732.511999999999"/>
    <n v="20030.072000000011"/>
    <n v="47.599999999998545"/>
    <n v="2.1700280827162983E-3"/>
  </r>
  <r>
    <x v="785"/>
    <n v="22048.3"/>
    <n v="22353.3"/>
    <n v="22047.75"/>
    <n v="22338.75"/>
    <n v="351503075"/>
    <n v="29646.47"/>
    <n v="21959.77"/>
    <n v="21743.105999999996"/>
    <n v="20047.991750000008"/>
    <n v="290.45000000000073"/>
    <n v="1.317335123342846E-2"/>
  </r>
  <r>
    <x v="786"/>
    <n v="22403.5"/>
    <n v="22440.9"/>
    <n v="22358.3"/>
    <n v="22405.599999999999"/>
    <n v="298794435"/>
    <n v="23771.71"/>
    <n v="21984.017499999998"/>
    <n v="21766.877999999997"/>
    <n v="20068.253000000012"/>
    <n v="2.0999999999985448"/>
    <n v="9.3735353850895833E-5"/>
  </r>
  <r>
    <x v="787"/>
    <n v="22371.25"/>
    <n v="22416.9"/>
    <n v="22269.15"/>
    <n v="22356.3"/>
    <n v="296153036"/>
    <n v="29165.37"/>
    <n v="22015.712500000001"/>
    <n v="21789.888999999999"/>
    <n v="20089.372250000011"/>
    <n v="-14.950000000000728"/>
    <n v="-6.6826842487570999E-4"/>
  </r>
  <r>
    <x v="788"/>
    <n v="22327.5"/>
    <n v="22497.200000000001"/>
    <n v="22224.35"/>
    <n v="22474.05"/>
    <n v="312262560"/>
    <n v="31029.01"/>
    <n v="22037.057499999999"/>
    <n v="21810.027000000002"/>
    <n v="20110.504000000012"/>
    <n v="146.54999999999927"/>
    <n v="6.5636546859253958E-3"/>
  </r>
  <r>
    <x v="789"/>
    <n v="22505.3"/>
    <n v="22525.65"/>
    <n v="22430"/>
    <n v="22493.55"/>
    <n v="379865142"/>
    <n v="33558.46"/>
    <n v="22064.234999999997"/>
    <n v="21830.681"/>
    <n v="20131.857250000008"/>
    <n v="-11.75"/>
    <n v="-5.2209923884596074E-4"/>
  </r>
  <r>
    <x v="790"/>
    <n v="22517.5"/>
    <n v="22526.6"/>
    <n v="22307.25"/>
    <n v="22332.65"/>
    <n v="277897373"/>
    <n v="27222.37"/>
    <n v="22103.014999999996"/>
    <n v="21847.457000000002"/>
    <n v="20152.753000000008"/>
    <n v="-184.84999999999854"/>
    <n v="-8.209170645053783E-3"/>
  </r>
  <r>
    <x v="791"/>
    <n v="22334.45"/>
    <n v="22452.55"/>
    <n v="22256"/>
    <n v="22335.7"/>
    <n v="299201167"/>
    <n v="29781.119999999999"/>
    <n v="22130.522499999999"/>
    <n v="21858.536"/>
    <n v="20172.676250000008"/>
    <n v="1.25"/>
    <n v="5.596735088618703E-5"/>
  </r>
  <r>
    <x v="792"/>
    <n v="22432.2"/>
    <n v="22446.75"/>
    <n v="21905.65"/>
    <n v="21997.7"/>
    <n v="493341697"/>
    <n v="40109.230000000003"/>
    <n v="22166.504999999997"/>
    <n v="21870.621999999996"/>
    <n v="20192.927750000006"/>
    <n v="-434.5"/>
    <n v="-1.9369477804227851E-2"/>
  </r>
  <r>
    <x v="793"/>
    <n v="21982.55"/>
    <n v="22204.6"/>
    <n v="21917.5"/>
    <n v="22146.65"/>
    <n v="426742460"/>
    <n v="37348.300000000003"/>
    <n v="22179.227500000001"/>
    <n v="21875.737999999998"/>
    <n v="20211.310500000007"/>
    <n v="164.10000000000218"/>
    <n v="7.4650120208984939E-3"/>
  </r>
  <r>
    <x v="794"/>
    <n v="22064.85"/>
    <n v="22120.9"/>
    <n v="21931.7"/>
    <n v="22023.35"/>
    <n v="661460455"/>
    <n v="60260.88"/>
    <n v="22194.557499999999"/>
    <n v="21885.355"/>
    <n v="20229.547000000006"/>
    <n v="-41.5"/>
    <n v="-1.8808194934477236E-3"/>
  </r>
  <r>
    <x v="795"/>
    <n v="21990.1"/>
    <n v="22123.7"/>
    <n v="21916.55"/>
    <n v="22055.7"/>
    <n v="356321519"/>
    <n v="23015.51"/>
    <n v="22200.1875"/>
    <n v="21895.474999999999"/>
    <n v="20246.670500000007"/>
    <n v="65.600000000002183"/>
    <n v="2.983160604090122E-3"/>
  </r>
  <r>
    <x v="796"/>
    <n v="21946.45"/>
    <n v="21978.3"/>
    <n v="21793.1"/>
    <n v="21817.45"/>
    <n v="344157465"/>
    <n v="30291.599999999999"/>
    <n v="22200.9375"/>
    <n v="21903.417000000001"/>
    <n v="20263.779750000009"/>
    <n v="-129"/>
    <n v="-5.8779438132363091E-3"/>
  </r>
  <r>
    <x v="797"/>
    <n v="21843.9"/>
    <n v="21930.9"/>
    <n v="21710.2"/>
    <n v="21839.1"/>
    <n v="312414696"/>
    <n v="28939.85"/>
    <n v="22185.697500000002"/>
    <n v="21905.55"/>
    <n v="20280.195000000011"/>
    <n v="-4.8000000000029104"/>
    <n v="-2.1974098031958168E-4"/>
  </r>
  <r>
    <x v="798"/>
    <n v="21989.9"/>
    <n v="22080.95"/>
    <n v="21941.3"/>
    <n v="22011.95"/>
    <n v="353172434"/>
    <n v="31258.400000000001"/>
    <n v="22167.805"/>
    <n v="21912.072"/>
    <n v="20296.951750000011"/>
    <n v="22.049999999999272"/>
    <n v="1.0027330729107122E-3"/>
  </r>
  <r>
    <x v="799"/>
    <n v="21932.2"/>
    <n v="22180.7"/>
    <n v="21883.3"/>
    <n v="22096.75"/>
    <n v="388656439"/>
    <n v="39023.19"/>
    <n v="22165.65"/>
    <n v="21921.414000000001"/>
    <n v="20314.341000000011"/>
    <n v="164.54999999999927"/>
    <n v="7.5026673110768312E-3"/>
  </r>
  <r>
    <x v="800"/>
    <n v="21947.9"/>
    <n v="22073.200000000001"/>
    <n v="21947.55"/>
    <n v="22004.7"/>
    <n v="328403719"/>
    <n v="33382.080000000002"/>
    <n v="22159.614999999998"/>
    <n v="21930.974999999999"/>
    <n v="20331.855500000009"/>
    <n v="56.799999999999272"/>
    <n v="2.5879469106383419E-3"/>
  </r>
  <r>
    <x v="801"/>
    <n v="22053.95"/>
    <n v="22193.599999999999"/>
    <n v="22052.85"/>
    <n v="22123.65"/>
    <n v="409136866"/>
    <n v="38830.730000000003"/>
    <n v="22149.215"/>
    <n v="21938.125"/>
    <n v="20348.884000000009"/>
    <n v="69.700000000000728"/>
    <n v="3.1604315780166693E-3"/>
  </r>
  <r>
    <x v="802"/>
    <n v="22163.599999999999"/>
    <n v="22516"/>
    <n v="22163.599999999999"/>
    <n v="22326.9"/>
    <n v="407422815"/>
    <n v="45656.57"/>
    <n v="22149.295000000002"/>
    <n v="21942.706999999999"/>
    <n v="20365.870250000011"/>
    <n v="163.30000000000291"/>
    <n v="7.3679366167952376E-3"/>
  </r>
  <r>
    <x v="803"/>
    <n v="22455"/>
    <n v="22529.95"/>
    <n v="22427.75"/>
    <n v="22462"/>
    <n v="243637071"/>
    <n v="21420.69"/>
    <n v="22155.722500000003"/>
    <n v="21947.295999999995"/>
    <n v="20384.332000000009"/>
    <n v="7"/>
    <n v="3.1173458027165444E-4"/>
  </r>
  <r>
    <x v="804"/>
    <n v="22458.799999999999"/>
    <n v="22497.599999999999"/>
    <n v="22388.15"/>
    <n v="22453.3"/>
    <n v="289524237"/>
    <n v="27940.93"/>
    <n v="22181.265000000003"/>
    <n v="21955.889999999996"/>
    <n v="20403.825000000012"/>
    <n v="-5.5"/>
    <n v="-2.4489287050065011E-4"/>
  </r>
  <r>
    <x v="805"/>
    <n v="22385.7"/>
    <n v="22521.1"/>
    <n v="22346.5"/>
    <n v="22434.65"/>
    <n v="309647491"/>
    <n v="30793.279999999999"/>
    <n v="22204.79"/>
    <n v="21973.516999999996"/>
    <n v="20423.08400000001"/>
    <n v="48.950000000000728"/>
    <n v="2.1866638076986971E-3"/>
  </r>
  <r>
    <x v="806"/>
    <n v="22592.1"/>
    <n v="22619"/>
    <n v="22303.8"/>
    <n v="22514.65"/>
    <n v="400986156"/>
    <n v="40705.56"/>
    <n v="22209.585000000006"/>
    <n v="21992.965"/>
    <n v="20441.676500000012"/>
    <n v="-77.44999999999709"/>
    <n v="-3.4281894998692947E-3"/>
  </r>
  <r>
    <x v="807"/>
    <n v="22486.400000000001"/>
    <n v="22537.599999999999"/>
    <n v="22427.599999999999"/>
    <n v="22513.7"/>
    <n v="242244731"/>
    <n v="24797.82"/>
    <n v="22215.037500000006"/>
    <n v="22010.809999999994"/>
    <n v="20460.470250000009"/>
    <n v="27.299999999999272"/>
    <n v="1.2140671694890811E-3"/>
  </r>
  <r>
    <x v="808"/>
    <n v="22578.35"/>
    <n v="22697.3"/>
    <n v="22550.35"/>
    <n v="22666.3"/>
    <n v="227633561"/>
    <n v="22480.2"/>
    <n v="22222.907500000008"/>
    <n v="22029.647999999997"/>
    <n v="20479.59825000001"/>
    <n v="87.950000000000728"/>
    <n v="3.8953245033406221E-3"/>
  </r>
  <r>
    <x v="809"/>
    <n v="22765.1"/>
    <n v="22768.400000000001"/>
    <n v="22612.25"/>
    <n v="22642.75"/>
    <n v="232356772"/>
    <n v="21651.69"/>
    <n v="22232.520000000008"/>
    <n v="22058.197999999997"/>
    <n v="20498.799750000009"/>
    <n v="-122.34999999999854"/>
    <n v="-5.3744547575015509E-3"/>
  </r>
  <r>
    <x v="810"/>
    <n v="22720.25"/>
    <n v="22775.7"/>
    <n v="22673.7"/>
    <n v="22753.8"/>
    <n v="276847931"/>
    <n v="25355.05"/>
    <n v="22239.980000000007"/>
    <n v="22081.973999999998"/>
    <n v="20518.236250000009"/>
    <n v="33.549999999999272"/>
    <n v="1.4766562867925869E-3"/>
  </r>
  <r>
    <x v="811"/>
    <n v="22677.4"/>
    <n v="22726.45"/>
    <n v="22503.75"/>
    <n v="22519.4"/>
    <n v="357187778"/>
    <n v="36456.910000000003"/>
    <n v="22261.037500000002"/>
    <n v="22109.998"/>
    <n v="20537.921750000009"/>
    <n v="-158"/>
    <n v="-6.9672890190233443E-3"/>
  </r>
  <r>
    <x v="812"/>
    <n v="22339.05"/>
    <n v="22427.45"/>
    <n v="22259.55"/>
    <n v="22272.5"/>
    <n v="355465814"/>
    <n v="29474.59"/>
    <n v="22270.222500000003"/>
    <n v="22125.633999999998"/>
    <n v="20556.234500000006"/>
    <n v="-66.549999999999272"/>
    <n v="-2.9790881886203433E-3"/>
  </r>
  <r>
    <x v="813"/>
    <n v="22125.3"/>
    <n v="22213.75"/>
    <n v="22079.45"/>
    <n v="22147.9"/>
    <n v="317267066"/>
    <n v="28661.040000000001"/>
    <n v="22283.962500000001"/>
    <n v="22140.641999999996"/>
    <n v="20573.740750000004"/>
    <n v="22.600000000002183"/>
    <n v="1.021455076315448E-3"/>
  </r>
  <r>
    <x v="814"/>
    <n v="22212.35"/>
    <n v="22326.5"/>
    <n v="21961.7"/>
    <n v="21995.85"/>
    <n v="456906707"/>
    <n v="43314.67"/>
    <n v="22284.025000000001"/>
    <n v="22149.085999999996"/>
    <n v="20591.152750000005"/>
    <n v="-216.5"/>
    <n v="-9.74683002924049E-3"/>
  </r>
  <r>
    <x v="815"/>
    <n v="21861.5"/>
    <n v="22179.55"/>
    <n v="21777.65"/>
    <n v="22147"/>
    <n v="362530569"/>
    <n v="36073.629999999997"/>
    <n v="22282.65"/>
    <n v="22155.054"/>
    <n v="20607.676000000007"/>
    <n v="285.5"/>
    <n v="1.3059488141252887E-2"/>
  </r>
  <r>
    <x v="816"/>
    <n v="22336.9"/>
    <n v="22375.65"/>
    <n v="22198.15"/>
    <n v="22336.400000000001"/>
    <n v="279259571"/>
    <n v="26841.200000000001"/>
    <n v="22287.215"/>
    <n v="22160.917999999998"/>
    <n v="20624.324000000008"/>
    <n v="-0.5"/>
    <n v="-2.2384484865849779E-5"/>
  </r>
  <r>
    <x v="817"/>
    <n v="22447.05"/>
    <n v="22447.55"/>
    <n v="22349.45"/>
    <n v="22368"/>
    <n v="231520813"/>
    <n v="25651.64"/>
    <n v="22313.162499999999"/>
    <n v="22172.211999999996"/>
    <n v="20641.145500000006"/>
    <n v="-79.049999999999272"/>
    <n v="-3.5216208811402511E-3"/>
  </r>
  <r>
    <x v="818"/>
    <n v="22421.55"/>
    <n v="22476.45"/>
    <n v="22384"/>
    <n v="22402.400000000001"/>
    <n v="235898642"/>
    <n v="21925.599999999999"/>
    <n v="22339.607499999998"/>
    <n v="22180.983999999993"/>
    <n v="20657.040250000005"/>
    <n v="-19.149999999997817"/>
    <n v="-8.5408903487929329E-4"/>
  </r>
  <r>
    <x v="819"/>
    <n v="22316.9"/>
    <n v="22625.95"/>
    <n v="22305.25"/>
    <n v="22570.35"/>
    <n v="475044740"/>
    <n v="53803.8"/>
    <n v="22359.13"/>
    <n v="22190.421999999999"/>
    <n v="20672.4395"/>
    <n v="253.44999999999709"/>
    <n v="1.1356864080584539E-2"/>
  </r>
  <r>
    <x v="820"/>
    <n v="22620.400000000001"/>
    <n v="22620.400000000001"/>
    <n v="22385.55"/>
    <n v="22419.95"/>
    <n v="329887340"/>
    <n v="36984.89"/>
    <n v="22382.81"/>
    <n v="22207.47"/>
    <n v="20688.346250000002"/>
    <n v="-200.45000000000073"/>
    <n v="-8.8614701773620588E-3"/>
  </r>
  <r>
    <x v="821"/>
    <n v="22475.55"/>
    <n v="22655.8"/>
    <n v="22441.9"/>
    <n v="22643.4"/>
    <n v="291957361"/>
    <n v="32431.45"/>
    <n v="22403.572500000002"/>
    <n v="22220.218999999997"/>
    <n v="20703.453500000003"/>
    <n v="167.85000000000218"/>
    <n v="7.4681153520159546E-3"/>
  </r>
  <r>
    <x v="822"/>
    <n v="22679.65"/>
    <n v="22783.35"/>
    <n v="22568.400000000001"/>
    <n v="22604.85"/>
    <n v="361859375"/>
    <n v="38741.699999999997"/>
    <n v="22429.56"/>
    <n v="22240.766"/>
    <n v="20719.184000000001"/>
    <n v="-74.80000000000291"/>
    <n v="-3.2981108614993137E-3"/>
  </r>
  <r>
    <x v="823"/>
    <n v="22567.85"/>
    <n v="22710.5"/>
    <n v="22567.85"/>
    <n v="22648.2"/>
    <n v="445909456"/>
    <n v="43133.31"/>
    <n v="22443.4575"/>
    <n v="22257.998000000003"/>
    <n v="20735.549250000004"/>
    <n v="80.350000000002183"/>
    <n v="3.5603746036951766E-3"/>
  </r>
  <r>
    <x v="824"/>
    <n v="22766.35"/>
    <n v="22794.7"/>
    <n v="22348.05"/>
    <n v="22475.85"/>
    <n v="438060727"/>
    <n v="44432.55"/>
    <n v="22452.767500000002"/>
    <n v="22274.161"/>
    <n v="20752.010750000005"/>
    <n v="-290.5"/>
    <n v="-1.2760060352230375E-2"/>
  </r>
  <r>
    <x v="825"/>
    <n v="22561.599999999999"/>
    <n v="22588.799999999999"/>
    <n v="22409.45"/>
    <n v="22442.7"/>
    <n v="320255789"/>
    <n v="33417.53"/>
    <n v="22453.895"/>
    <n v="22285.463000000003"/>
    <n v="20767.193000000003"/>
    <n v="-118.89999999999782"/>
    <n v="-5.2700163108998395E-3"/>
  </r>
  <r>
    <x v="826"/>
    <n v="22489.75"/>
    <n v="22499.05"/>
    <n v="22232.05"/>
    <n v="22302.5"/>
    <n v="297815469"/>
    <n v="31512.26"/>
    <n v="22454.297500000001"/>
    <n v="22293.503000000004"/>
    <n v="20782.485000000004"/>
    <n v="-187.25"/>
    <n v="-8.3260151846952495E-3"/>
  </r>
  <r>
    <x v="827"/>
    <n v="22231.200000000001"/>
    <n v="22368.65"/>
    <n v="22185.200000000001"/>
    <n v="22302.5"/>
    <n v="277438692"/>
    <n v="29717.33"/>
    <n v="22443.69"/>
    <n v="22297.108000000004"/>
    <n v="20796.928750000006"/>
    <n v="71.299999999999272"/>
    <n v="3.2072042894670224E-3"/>
  </r>
  <r>
    <x v="828"/>
    <n v="22224.799999999999"/>
    <n v="22307.75"/>
    <n v="21932.400000000001"/>
    <n v="21957.5"/>
    <n v="331327454"/>
    <n v="37870.879999999997"/>
    <n v="22433.129999999997"/>
    <n v="22299.219000000005"/>
    <n v="20810.618750000005"/>
    <n v="-267.29999999999927"/>
    <n v="-1.202710485583669E-2"/>
  </r>
  <r>
    <x v="829"/>
    <n v="21990.95"/>
    <n v="22131.3"/>
    <n v="21950.3"/>
    <n v="22055.200000000001"/>
    <n v="265804411"/>
    <n v="28717.71"/>
    <n v="22397.69"/>
    <n v="22297.267999999996"/>
    <n v="20821.849000000002"/>
    <n v="64.25"/>
    <n v="2.9216564086590163E-3"/>
  </r>
  <r>
    <x v="830"/>
    <n v="22027.95"/>
    <n v="22131.65"/>
    <n v="21821.05"/>
    <n v="22104.05"/>
    <n v="278186886"/>
    <n v="29036.080000000002"/>
    <n v="22368.3125"/>
    <n v="22294.023000000001"/>
    <n v="20833.378750000003"/>
    <n v="76.099999999998545"/>
    <n v="3.4547018674002138E-3"/>
  </r>
  <r>
    <x v="831"/>
    <n v="22112.9"/>
    <n v="22270.05"/>
    <n v="22081.25"/>
    <n v="22217.85"/>
    <n v="230238941"/>
    <n v="23741.66"/>
    <n v="22335.825000000001"/>
    <n v="22291.85"/>
    <n v="20844.733250000005"/>
    <n v="104.94999999999709"/>
    <n v="4.7460984312323162E-3"/>
  </r>
  <r>
    <x v="832"/>
    <n v="22255.599999999999"/>
    <n v="22297.55"/>
    <n v="22151.75"/>
    <n v="22200.55"/>
    <n v="231935478"/>
    <n v="23815.79"/>
    <n v="22320.747499999998"/>
    <n v="22293.766"/>
    <n v="20855.926750000006"/>
    <n v="-55.049999999999272"/>
    <n v="-2.4735347508042594E-3"/>
  </r>
  <r>
    <x v="833"/>
    <n v="22319.200000000001"/>
    <n v="22432.25"/>
    <n v="22054.55"/>
    <n v="22403.85"/>
    <n v="368945092"/>
    <n v="38836.11"/>
    <n v="22317.15"/>
    <n v="22293.81"/>
    <n v="20868.204500000003"/>
    <n v="84.649999999997817"/>
    <n v="3.7926986630344196E-3"/>
  </r>
  <r>
    <x v="834"/>
    <n v="22415.25"/>
    <n v="22502.15"/>
    <n v="22345.65"/>
    <n v="22466.1"/>
    <n v="242654570"/>
    <n v="27388.67"/>
    <n v="22329.947499999998"/>
    <n v="22302.864000000005"/>
    <n v="20881.862000000005"/>
    <n v="50.849999999998545"/>
    <n v="2.268544852276845E-3"/>
  </r>
  <r>
    <x v="835"/>
    <n v="22512.85"/>
    <n v="22520.25"/>
    <n v="22470.05"/>
    <n v="22502"/>
    <n v="19064566"/>
    <n v="1572.77"/>
    <n v="22353.46"/>
    <n v="22312.530000000006"/>
    <n v="20895.789500000003"/>
    <n v="-10.849999999998545"/>
    <n v="-4.8194697694865579E-4"/>
  </r>
  <r>
    <x v="836"/>
    <n v="22404.55"/>
    <n v="22591.1"/>
    <n v="22404.55"/>
    <n v="22529.05"/>
    <n v="347591587"/>
    <n v="30782.35"/>
    <n v="22371.21"/>
    <n v="22315.795000000006"/>
    <n v="20909.408000000003"/>
    <n v="124.5"/>
    <n v="5.5569069675579291E-3"/>
  </r>
  <r>
    <x v="837"/>
    <n v="22576.6"/>
    <n v="22629.5"/>
    <n v="22483.15"/>
    <n v="22597.8"/>
    <n v="290345590"/>
    <n v="28556.14"/>
    <n v="22380.842499999999"/>
    <n v="22318.264000000003"/>
    <n v="20923.753750000003"/>
    <n v="21.200000000000728"/>
    <n v="9.3902536254355075E-4"/>
  </r>
  <r>
    <x v="838"/>
    <n v="22614.1"/>
    <n v="22993.599999999999"/>
    <n v="22577.45"/>
    <n v="22967.65"/>
    <n v="369767547"/>
    <n v="39157.65"/>
    <n v="22392.332499999997"/>
    <n v="22323.094000000005"/>
    <n v="20938.512500000001"/>
    <n v="353.55000000000291"/>
    <n v="1.5634051321962977E-2"/>
  </r>
  <r>
    <x v="839"/>
    <n v="22930.75"/>
    <n v="23026.400000000001"/>
    <n v="22908"/>
    <n v="22957.1"/>
    <n v="261927120"/>
    <n v="27966.99"/>
    <n v="22420.594999999998"/>
    <n v="22332.965999999997"/>
    <n v="20954.581750000001"/>
    <n v="26.349999999998545"/>
    <n v="1.149112000261594E-3"/>
  </r>
  <r>
    <x v="840"/>
    <n v="23038.95"/>
    <n v="23110.799999999999"/>
    <n v="22871.200000000001"/>
    <n v="22932.45"/>
    <n v="260006078"/>
    <n v="27204.54"/>
    <n v="22439.932499999995"/>
    <n v="22342.237000000001"/>
    <n v="20970.699499999999"/>
    <n v="-106.5"/>
    <n v="-4.6226064989940948E-3"/>
  </r>
  <r>
    <x v="841"/>
    <n v="22977.15"/>
    <n v="22998.55"/>
    <n v="22858.5"/>
    <n v="22888.15"/>
    <n v="217890750"/>
    <n v="23054.65"/>
    <n v="22465.557499999999"/>
    <n v="22354.232999999997"/>
    <n v="20987.728999999999"/>
    <n v="-89"/>
    <n v="-3.8734133693691338E-3"/>
  </r>
  <r>
    <x v="842"/>
    <n v="22762.75"/>
    <n v="22825.5"/>
    <n v="22685.45"/>
    <n v="22704.7"/>
    <n v="269932784"/>
    <n v="27549.09"/>
    <n v="22477.794999999998"/>
    <n v="22365.281999999996"/>
    <n v="21005.261500000004"/>
    <n v="-58.049999999999272"/>
    <n v="-2.5502191079724229E-3"/>
  </r>
  <r>
    <x v="843"/>
    <n v="22617.45"/>
    <n v="22705.75"/>
    <n v="22417"/>
    <n v="22488.65"/>
    <n v="373374457"/>
    <n v="32991.46"/>
    <n v="22482.787499999999"/>
    <n v="22379.421999999999"/>
    <n v="21021.200000000004"/>
    <n v="-128.79999999999927"/>
    <n v="-5.6947180163988099E-3"/>
  </r>
  <r>
    <x v="844"/>
    <n v="22568.1"/>
    <n v="22653.75"/>
    <n v="22465.1"/>
    <n v="22530.7"/>
    <n v="572122639"/>
    <n v="67040.320000000007"/>
    <n v="22474.810000000005"/>
    <n v="22386.261999999992"/>
    <n v="21035.656750000002"/>
    <n v="-37.399999999997817"/>
    <n v="-1.6572064108187139E-3"/>
  </r>
  <r>
    <x v="845"/>
    <n v="23337.9"/>
    <n v="23338.7"/>
    <n v="23062.3"/>
    <n v="23263.9"/>
    <n v="569425569"/>
    <n v="56418.25"/>
    <n v="22477.552500000002"/>
    <n v="22396.408999999996"/>
    <n v="21050.456000000006"/>
    <n v="-74"/>
    <n v="-3.1708079990059087E-3"/>
  </r>
  <r>
    <x v="846"/>
    <n v="23179.5"/>
    <n v="23179.5"/>
    <n v="21281.45"/>
    <n v="21884.5"/>
    <n v="1006105058"/>
    <n v="93786.44"/>
    <n v="22518.612500000007"/>
    <n v="22420.572999999993"/>
    <n v="21068.612750000004"/>
    <n v="-1295"/>
    <n v="-5.5868331931232341E-2"/>
  </r>
  <r>
    <x v="847"/>
    <n v="22128.35"/>
    <n v="22670.400000000001"/>
    <n v="21791.95"/>
    <n v="22620.35"/>
    <n v="638487077"/>
    <n v="64326.85"/>
    <n v="22497.712500000001"/>
    <n v="22421.913999999993"/>
    <n v="21080.319750000006"/>
    <n v="492"/>
    <n v="2.2233921643502567E-2"/>
  </r>
  <r>
    <x v="848"/>
    <n v="22798.6"/>
    <n v="22910.15"/>
    <n v="22642.6"/>
    <n v="22821.4"/>
    <n v="480413289"/>
    <n v="49047.39"/>
    <n v="22513.605000000003"/>
    <n v="22437.539000000001"/>
    <n v="21096.28"/>
    <n v="22.80000000000291"/>
    <n v="1.000061407279522E-3"/>
  </r>
  <r>
    <x v="849"/>
    <n v="22821.85"/>
    <n v="23320.2"/>
    <n v="22789.05"/>
    <n v="23290.15"/>
    <n v="473554898"/>
    <n v="47621.54"/>
    <n v="22556.800000000003"/>
    <n v="22453.727999999999"/>
    <n v="21113.214250000005"/>
    <n v="468.30000000000291"/>
    <n v="2.0519808867379415E-2"/>
  </r>
  <r>
    <x v="850"/>
    <n v="23319.15"/>
    <n v="23411.9"/>
    <n v="23227.15"/>
    <n v="23259.200000000001"/>
    <n v="304392368"/>
    <n v="29060.400000000001"/>
    <n v="22618.547500000004"/>
    <n v="22477.595999999998"/>
    <n v="21132.340000000004"/>
    <n v="-59.950000000000728"/>
    <n v="-2.5708484228627853E-3"/>
  </r>
  <r>
    <x v="851"/>
    <n v="23283.75"/>
    <n v="23389.45"/>
    <n v="23206.65"/>
    <n v="23264.85"/>
    <n v="305185666"/>
    <n v="29190.91"/>
    <n v="22676.305000000004"/>
    <n v="22502.685999999998"/>
    <n v="21151.80975"/>
    <n v="-18.900000000001455"/>
    <n v="-8.1172491544538377E-4"/>
  </r>
  <r>
    <x v="852"/>
    <n v="23344.45"/>
    <n v="23441.95"/>
    <n v="23295.95"/>
    <n v="23322.95"/>
    <n v="295630910"/>
    <n v="31795.48"/>
    <n v="22728.655000000006"/>
    <n v="22525.509999999995"/>
    <n v="21171.583250000003"/>
    <n v="-21.5"/>
    <n v="-9.2098978558072687E-4"/>
  </r>
  <r>
    <x v="853"/>
    <n v="23480.95"/>
    <n v="23481.05"/>
    <n v="23353.9"/>
    <n v="23398.9"/>
    <n v="268279841"/>
    <n v="30151.67"/>
    <n v="22784.775000000001"/>
    <n v="22545.431"/>
    <n v="21191.230000000003"/>
    <n v="-82.049999999999272"/>
    <n v="-3.4943219929346671E-3"/>
  </r>
  <r>
    <x v="854"/>
    <n v="23464.95"/>
    <n v="23490.400000000001"/>
    <n v="23334.25"/>
    <n v="23465.599999999999"/>
    <n v="223086741"/>
    <n v="25746.34"/>
    <n v="22834.527500000004"/>
    <n v="22564.168999999998"/>
    <n v="21211.242250000007"/>
    <n v="0.64999999999781721"/>
    <n v="2.7700890050812687E-5"/>
  </r>
  <r>
    <x v="855"/>
    <n v="23570.799999999999"/>
    <n v="23579.05"/>
    <n v="23499.7"/>
    <n v="23557.9"/>
    <n v="272207297"/>
    <n v="29389.75"/>
    <n v="22884.502500000002"/>
    <n v="22584.415000000001"/>
    <n v="21231.350250000003"/>
    <n v="-12.899999999997817"/>
    <n v="-5.4728732160121076E-4"/>
  </r>
  <r>
    <x v="856"/>
    <n v="23629.85"/>
    <n v="23664"/>
    <n v="23412.9"/>
    <n v="23516"/>
    <n v="328811255"/>
    <n v="39430.39"/>
    <n v="22937.297500000004"/>
    <n v="22606.880000000001"/>
    <n v="21252.206250000003"/>
    <n v="-113.84999999999854"/>
    <n v="-4.8180585149714683E-3"/>
  </r>
  <r>
    <x v="857"/>
    <n v="23586.15"/>
    <n v="23624"/>
    <n v="23442.6"/>
    <n v="23567"/>
    <n v="280336970"/>
    <n v="33390.07"/>
    <n v="22986.645000000004"/>
    <n v="22626.906999999996"/>
    <n v="21273.457250000007"/>
    <n v="-19.150000000001455"/>
    <n v="-8.1191716325052855E-4"/>
  </r>
  <r>
    <x v="858"/>
    <n v="23661.15"/>
    <n v="23667.1"/>
    <n v="23398.2"/>
    <n v="23501.1"/>
    <n v="609877803"/>
    <n v="70062.97"/>
    <n v="23035.105000000003"/>
    <n v="22647.972999999998"/>
    <n v="21294.762000000006"/>
    <n v="-160.05000000000291"/>
    <n v="-6.7642527941373471E-3"/>
  </r>
  <r>
    <x v="859"/>
    <n v="23382.3"/>
    <n v="23558.1"/>
    <n v="23350"/>
    <n v="23537.85"/>
    <n v="239358460"/>
    <n v="24862.37"/>
    <n v="23061.7775"/>
    <n v="22664.668999999998"/>
    <n v="21315.554250000001"/>
    <n v="155.54999999999927"/>
    <n v="6.6524678923801026E-3"/>
  </r>
  <r>
    <x v="860"/>
    <n v="23577.1"/>
    <n v="23754.15"/>
    <n v="23562.05"/>
    <n v="23721.3"/>
    <n v="298111025"/>
    <n v="34263.360000000001"/>
    <n v="23090.814999999999"/>
    <n v="22682.571"/>
    <n v="21336.506249999999"/>
    <n v="144.20000000000073"/>
    <n v="6.1161041858413777E-3"/>
  </r>
  <r>
    <x v="861"/>
    <n v="23723.1"/>
    <n v="23889.9"/>
    <n v="23670.45"/>
    <n v="23868.799999999999"/>
    <n v="287824687"/>
    <n v="33979.620000000003"/>
    <n v="23130.2575"/>
    <n v="22701.921000000002"/>
    <n v="21358.843749999996"/>
    <n v="145.70000000000073"/>
    <n v="6.1416931176785806E-3"/>
  </r>
  <r>
    <x v="862"/>
    <n v="23881.55"/>
    <n v="24087.45"/>
    <n v="23805.4"/>
    <n v="24044.5"/>
    <n v="515227010"/>
    <n v="61216.71"/>
    <n v="23179.29"/>
    <n v="22728.909000000003"/>
    <n v="21381.01125"/>
    <n v="162.95000000000073"/>
    <n v="6.8232589593221855E-3"/>
  </r>
  <r>
    <x v="863"/>
    <n v="24085.9"/>
    <n v="24174"/>
    <n v="23985.8"/>
    <n v="24010.6"/>
    <n v="354779832"/>
    <n v="41242.870000000003"/>
    <n v="23246.28"/>
    <n v="22764.348999999998"/>
    <n v="21403.589749999999"/>
    <n v="-75.30000000000291"/>
    <n v="-3.1263104139767628E-3"/>
  </r>
  <r>
    <x v="864"/>
    <n v="23992.95"/>
    <n v="24164"/>
    <n v="23992.7"/>
    <n v="24141.95"/>
    <n v="242468081"/>
    <n v="28204.06"/>
    <n v="23322.377499999995"/>
    <n v="22801.602999999999"/>
    <n v="21425.768250000001"/>
    <n v="149"/>
    <n v="6.2101575671186741E-3"/>
  </r>
  <r>
    <x v="865"/>
    <n v="24228.75"/>
    <n v="24236.35"/>
    <n v="24056.400000000001"/>
    <n v="24123.85"/>
    <n v="309629240"/>
    <n v="34838.65"/>
    <n v="23402.939999999995"/>
    <n v="22844.524999999994"/>
    <n v="21448.422749999998"/>
    <n v="-104.90000000000146"/>
    <n v="-4.3295671464686153E-3"/>
  </r>
  <r>
    <x v="866"/>
    <n v="24291.75"/>
    <n v="24309.15"/>
    <n v="24207.1"/>
    <n v="24286.5"/>
    <n v="289201551"/>
    <n v="36661.17"/>
    <n v="23445.937499999993"/>
    <n v="22884.061999999998"/>
    <n v="21470.406749999998"/>
    <n v="-5.25"/>
    <n v="-2.1612275772638859E-4"/>
  </r>
  <r>
    <x v="867"/>
    <n v="24369.95"/>
    <n v="24401"/>
    <n v="24281"/>
    <n v="24302.15"/>
    <n v="251189844"/>
    <n v="28466.6"/>
    <n v="23566.037499999995"/>
    <n v="22923.063999999998"/>
    <n v="21492.739499999996"/>
    <n v="-67.799999999999272"/>
    <n v="-2.7821148586681249E-3"/>
  </r>
  <r>
    <x v="868"/>
    <n v="24213.35"/>
    <n v="24363"/>
    <n v="24168.85"/>
    <n v="24323.85"/>
    <n v="298381204"/>
    <n v="32052.48"/>
    <n v="23650.127499999999"/>
    <n v="22961.746999999996"/>
    <n v="21514.268500000002"/>
    <n v="110.5"/>
    <n v="4.5635981803426621E-3"/>
  </r>
  <r>
    <x v="869"/>
    <n v="24329.45"/>
    <n v="24344.6"/>
    <n v="24240.55"/>
    <n v="24320.55"/>
    <n v="266299131"/>
    <n v="26356.03"/>
    <n v="23725.25"/>
    <n v="23000.175999999999"/>
    <n v="21535.921749999998"/>
    <n v="-8.9000000000014552"/>
    <n v="-3.6581180421264988E-4"/>
  </r>
  <r>
    <x v="870"/>
    <n v="24351"/>
    <n v="24443.599999999999"/>
    <n v="24331.9"/>
    <n v="24433.200000000001"/>
    <n v="250537091"/>
    <n v="29361.08"/>
    <n v="23776.769999999997"/>
    <n v="23035.18"/>
    <n v="21557.174500000001"/>
    <n v="82.200000000000728"/>
    <n v="3.3756313909080009E-3"/>
  </r>
  <r>
    <x v="871"/>
    <n v="24459.85"/>
    <n v="24461.05"/>
    <n v="24141.8"/>
    <n v="24324.45"/>
    <n v="292263786"/>
    <n v="35358.54"/>
    <n v="23835.469999999998"/>
    <n v="23075.445"/>
    <n v="21578.825000000004"/>
    <n v="-135.39999999999782"/>
    <n v="-5.5356022215997981E-3"/>
  </r>
  <r>
    <x v="872"/>
    <n v="24396.55"/>
    <n v="24402.65"/>
    <n v="24193.75"/>
    <n v="24315.95"/>
    <n v="306404194"/>
    <n v="32115.439999999999"/>
    <n v="23888.45"/>
    <n v="23109.065999999995"/>
    <n v="21599.485500000003"/>
    <n v="-80.599999999998545"/>
    <n v="-3.3037458165190796E-3"/>
  </r>
  <r>
    <x v="873"/>
    <n v="24387.95"/>
    <n v="24592.2"/>
    <n v="24331.15"/>
    <n v="24502.15"/>
    <n v="325823474"/>
    <n v="39565.33"/>
    <n v="23938.1"/>
    <n v="23143.287999999997"/>
    <n v="21620.398750000004"/>
    <n v="114.20000000000073"/>
    <n v="4.6826404023298691E-3"/>
  </r>
  <r>
    <x v="874"/>
    <n v="24587.599999999999"/>
    <n v="24635.05"/>
    <n v="24522.75"/>
    <n v="24586.7"/>
    <n v="305395934"/>
    <n v="31593.040000000001"/>
    <n v="23993.262500000004"/>
    <n v="23180.366999999998"/>
    <n v="21643.402500000011"/>
    <n v="-0.89999999999781721"/>
    <n v="-3.6603816557851E-5"/>
  </r>
  <r>
    <x v="875"/>
    <n v="24615.9"/>
    <n v="24661.25"/>
    <n v="24587.65"/>
    <n v="24613"/>
    <n v="283212233"/>
    <n v="28668.71"/>
    <n v="24049.317500000001"/>
    <n v="23222.583999999995"/>
    <n v="21667.624250000012"/>
    <n v="-2.9000000000014552"/>
    <n v="-1.178100333524858E-4"/>
  </r>
  <r>
    <x v="876"/>
    <n v="24543.8"/>
    <n v="24837.75"/>
    <n v="24504.45"/>
    <n v="24800.85"/>
    <n v="350924425"/>
    <n v="40477.17"/>
    <n v="24102.072500000006"/>
    <n v="23265.989999999994"/>
    <n v="21692.318000000007"/>
    <n v="257.04999999999927"/>
    <n v="1.0473113372827324E-2"/>
  </r>
  <r>
    <x v="877"/>
    <n v="24853.8"/>
    <n v="24854.799999999999"/>
    <n v="24508.15"/>
    <n v="24530.9"/>
    <n v="343772965"/>
    <n v="33588.080000000002"/>
    <n v="24166.315000000002"/>
    <n v="23315.956999999999"/>
    <n v="21717.949500000006"/>
    <n v="-322.89999999999782"/>
    <n v="-1.2991977081975305E-2"/>
  </r>
  <r>
    <x v="878"/>
    <n v="24445.75"/>
    <n v="24595.200000000001"/>
    <n v="24362.3"/>
    <n v="24509.25"/>
    <n v="324190553"/>
    <n v="32496.23"/>
    <n v="24214.510000000002"/>
    <n v="23360.524999999994"/>
    <n v="21742.280500000008"/>
    <n v="63.5"/>
    <n v="2.5975885378849086E-3"/>
  </r>
  <r>
    <x v="879"/>
    <n v="24568.9"/>
    <n v="24582.55"/>
    <n v="24074.2"/>
    <n v="24479.05"/>
    <n v="436408768"/>
    <n v="44921.42"/>
    <n v="24264.917500000003"/>
    <n v="23411.56"/>
    <n v="21766.244500000008"/>
    <n v="-89.850000000002183"/>
    <n v="-3.6570623837453927E-3"/>
  </r>
  <r>
    <x v="880"/>
    <n v="24444.95"/>
    <n v="24504.25"/>
    <n v="24307.25"/>
    <n v="24413.5"/>
    <n v="366616574"/>
    <n v="39538.11"/>
    <n v="24311.977500000001"/>
    <n v="23460.037"/>
    <n v="21791.022000000008"/>
    <n v="-31.450000000000728"/>
    <n v="-1.2865643006019945E-3"/>
  </r>
  <r>
    <x v="881"/>
    <n v="24230.95"/>
    <n v="24426.15"/>
    <n v="24210.799999999999"/>
    <n v="24406.1"/>
    <n v="391821970"/>
    <n v="37853.620000000003"/>
    <n v="24346.587500000001"/>
    <n v="23506.226000000002"/>
    <n v="21814.898000000001"/>
    <n v="175.14999999999782"/>
    <n v="7.2283587725614478E-3"/>
  </r>
  <r>
    <x v="882"/>
    <n v="24423.35"/>
    <n v="24861.15"/>
    <n v="24410.9"/>
    <n v="24834.85"/>
    <n v="383826136"/>
    <n v="42118.36"/>
    <n v="24373.452499999999"/>
    <n v="23549.991000000002"/>
    <n v="21839.284750000003"/>
    <n v="411.5"/>
    <n v="1.6848630511375386E-2"/>
  </r>
  <r>
    <x v="883"/>
    <n v="24943.3"/>
    <n v="24999.75"/>
    <n v="24774.6"/>
    <n v="24836.1"/>
    <n v="354966070"/>
    <n v="37102.92"/>
    <n v="24412.969999999998"/>
    <n v="23602.677000000003"/>
    <n v="21866.2785"/>
    <n v="-107.20000000000073"/>
    <n v="-4.2977472908556896E-3"/>
  </r>
  <r>
    <x v="884"/>
    <n v="24839.4"/>
    <n v="24971.75"/>
    <n v="24798.65"/>
    <n v="24857.3"/>
    <n v="384989431"/>
    <n v="37576.58"/>
    <n v="24454.244999999999"/>
    <n v="23651.322000000007"/>
    <n v="21892.730250000001"/>
    <n v="17.899999999997817"/>
    <n v="7.2062932276938314E-4"/>
  </r>
  <r>
    <x v="885"/>
    <n v="24886.7"/>
    <n v="24984.6"/>
    <n v="24856.5"/>
    <n v="24951.15"/>
    <n v="333646302"/>
    <n v="35411.32"/>
    <n v="24490.012499999997"/>
    <n v="23699.146000000004"/>
    <n v="21918.749249999997"/>
    <n v="64.450000000000728"/>
    <n v="2.58973668666399E-3"/>
  </r>
  <r>
    <x v="886"/>
    <n v="25030.95"/>
    <n v="25078.3"/>
    <n v="24956.400000000001"/>
    <n v="25010.9"/>
    <n v="431313292"/>
    <n v="38822.9"/>
    <n v="24531.377499999999"/>
    <n v="23748.129000000004"/>
    <n v="21945.94325"/>
    <n v="-20.049999999999272"/>
    <n v="-8.0100835166061499E-4"/>
  </r>
  <r>
    <x v="887"/>
    <n v="24789"/>
    <n v="24851.9"/>
    <n v="24686.85"/>
    <n v="24717.7"/>
    <n v="345027881"/>
    <n v="35368.54"/>
    <n v="24567.597499999996"/>
    <n v="23797.766"/>
    <n v="21972.548500000004"/>
    <n v="-71.299999999999272"/>
    <n v="-2.8762757674774806E-3"/>
  </r>
  <r>
    <x v="888"/>
    <n v="24302.85"/>
    <n v="24350.05"/>
    <n v="23893.7"/>
    <n v="24055.599999999999"/>
    <n v="486994718"/>
    <n v="45066.65"/>
    <n v="24588.374999999996"/>
    <n v="23840.163999999993"/>
    <n v="21997.08025000001"/>
    <n v="-247.25"/>
    <n v="-1.0173703907154923E-2"/>
  </r>
  <r>
    <x v="889"/>
    <n v="24189.85"/>
    <n v="24382.6"/>
    <n v="23960.400000000001"/>
    <n v="23992.55"/>
    <n v="312339387"/>
    <n v="31553.65"/>
    <n v="24574.962499999998"/>
    <n v="23861.922999999995"/>
    <n v="22018.388250000004"/>
    <n v="-197.29999999999927"/>
    <n v="-8.1563134951229254E-3"/>
  </r>
  <r>
    <x v="890"/>
    <n v="24289.4"/>
    <n v="24337.7"/>
    <n v="24184.9"/>
    <n v="24297.5"/>
    <n v="317564429"/>
    <n v="29738.85"/>
    <n v="24558.562499999996"/>
    <n v="23882.631999999994"/>
    <n v="22039.595750000008"/>
    <n v="8.0999999999985448"/>
    <n v="3.3347880145242554E-4"/>
  </r>
  <r>
    <x v="891"/>
    <n v="24248.55"/>
    <n v="24340.5"/>
    <n v="24079.7"/>
    <n v="24117"/>
    <n v="311875940"/>
    <n v="30858.18"/>
    <n v="24551.777499999997"/>
    <n v="23909.932999999994"/>
    <n v="22062.424500000012"/>
    <n v="-131.54999999999927"/>
    <n v="-5.4250666534699718E-3"/>
  </r>
  <r>
    <x v="892"/>
    <n v="24386.85"/>
    <n v="24419.75"/>
    <n v="24311.200000000001"/>
    <n v="24367.5"/>
    <n v="215129992"/>
    <n v="22339.19"/>
    <n v="24541.404999999999"/>
    <n v="23934.509999999995"/>
    <n v="22083.952000000005"/>
    <n v="-19.349999999998545"/>
    <n v="-7.9346041001599409E-4"/>
  </r>
  <r>
    <x v="893"/>
    <n v="24320.05"/>
    <n v="24472.799999999999"/>
    <n v="24212.1"/>
    <n v="24347"/>
    <n v="279925100"/>
    <n v="30311.85"/>
    <n v="24543.982500000002"/>
    <n v="23967.766"/>
    <n v="22107.434000000008"/>
    <n v="26.950000000000728"/>
    <n v="1.108139169121804E-3"/>
  </r>
  <r>
    <x v="894"/>
    <n v="24342.35"/>
    <n v="24359.95"/>
    <n v="24116.5"/>
    <n v="24139"/>
    <n v="239727640"/>
    <n v="25459.58"/>
    <n v="24536.224999999999"/>
    <n v="24004.932999999997"/>
    <n v="22131.045500000011"/>
    <n v="-203.34999999999854"/>
    <n v="-8.3537538487450293E-3"/>
  </r>
  <r>
    <x v="895"/>
    <n v="24184.400000000001"/>
    <n v="24196.5"/>
    <n v="24099.7"/>
    <n v="24143.75"/>
    <n v="303254705"/>
    <n v="27834.61"/>
    <n v="24513.84"/>
    <n v="24037.098999999998"/>
    <n v="22154.027250000006"/>
    <n v="-40.650000000001455"/>
    <n v="-1.6808355799606959E-3"/>
  </r>
  <r>
    <x v="896"/>
    <n v="24334.85"/>
    <n v="24563.9"/>
    <n v="24204.5"/>
    <n v="24541.15"/>
    <n v="271611087"/>
    <n v="28521.9"/>
    <n v="24490.377499999999"/>
    <n v="24054.695999999996"/>
    <n v="22178.337250000004"/>
    <n v="206.30000000000291"/>
    <n v="8.4775537963045974E-3"/>
  </r>
  <r>
    <x v="897"/>
    <n v="24636.35"/>
    <n v="24638.799999999999"/>
    <n v="24522.95"/>
    <n v="24572.65"/>
    <n v="243645503"/>
    <n v="22124.41"/>
    <n v="24477.392499999998"/>
    <n v="24107.828999999994"/>
    <n v="22205.432250000005"/>
    <n v="-63.69999999999709"/>
    <n v="-2.5856102872380484E-3"/>
  </r>
  <r>
    <x v="898"/>
    <n v="24648.9"/>
    <n v="24734.3"/>
    <n v="24607.200000000001"/>
    <n v="24698.85"/>
    <n v="238318940"/>
    <n v="25478.73"/>
    <n v="24479.480000000003"/>
    <n v="24146.874999999989"/>
    <n v="22234.009250000003"/>
    <n v="49.94999999999709"/>
    <n v="2.0264595986026592E-3"/>
  </r>
  <r>
    <x v="899"/>
    <n v="24680.55"/>
    <n v="24787.95"/>
    <n v="24654.5"/>
    <n v="24770.2"/>
    <n v="257114212"/>
    <n v="27404.63"/>
    <n v="24488.959999999999"/>
    <n v="24184.423999999995"/>
    <n v="22262.267250000004"/>
    <n v="89.650000000001455"/>
    <n v="3.6324149988554329E-3"/>
  </r>
  <r>
    <x v="900"/>
    <n v="24863.4"/>
    <n v="24867.35"/>
    <n v="24784.45"/>
    <n v="24811.5"/>
    <n v="220345125"/>
    <n v="24227.03"/>
    <n v="24503.517500000002"/>
    <n v="24214.024999999994"/>
    <n v="22290.413750000011"/>
    <n v="-51.900000000001455"/>
    <n v="-2.0874055841116441E-3"/>
  </r>
  <r>
    <x v="901"/>
    <n v="24845.4"/>
    <n v="24858.400000000001"/>
    <n v="24771.65"/>
    <n v="24823.15"/>
    <n v="206800655"/>
    <n v="23134.22"/>
    <n v="24523.417500000003"/>
    <n v="24245.070999999996"/>
    <n v="22319.073250000005"/>
    <n v="-22.25"/>
    <n v="-8.9553800703550757E-4"/>
  </r>
  <r>
    <x v="902"/>
    <n v="24906.1"/>
    <n v="25043.8"/>
    <n v="24874.7"/>
    <n v="25010.6"/>
    <n v="210266456"/>
    <n v="22166.86"/>
    <n v="24544.270000000004"/>
    <n v="24276.236999999997"/>
    <n v="22348.243250000007"/>
    <n v="104.5"/>
    <n v="4.1957592718249751E-3"/>
  </r>
  <r>
    <x v="903"/>
    <n v="25024.799999999999"/>
    <n v="25073.1"/>
    <n v="24973.65"/>
    <n v="25017.75"/>
    <n v="223346636"/>
    <n v="26695"/>
    <n v="24553.057499999999"/>
    <n v="24309.99"/>
    <n v="22377.630000000005"/>
    <n v="-7.0499999999992724"/>
    <n v="-2.8172053323100574E-4"/>
  </r>
  <r>
    <x v="904"/>
    <n v="25030.799999999999"/>
    <n v="25129.599999999999"/>
    <n v="24964.65"/>
    <n v="25052.35"/>
    <n v="220419448"/>
    <n v="26994.19"/>
    <n v="24562.14"/>
    <n v="24342.367000000002"/>
    <n v="22406.565750000005"/>
    <n v="21.549999999999272"/>
    <n v="8.609393227543376E-4"/>
  </r>
  <r>
    <x v="905"/>
    <n v="25035.3"/>
    <n v="25192.9"/>
    <n v="24998.5"/>
    <n v="25151.95"/>
    <n v="353993900"/>
    <n v="43221.73"/>
    <n v="24571.892500000002"/>
    <n v="24374.102000000006"/>
    <n v="22434.768750000003"/>
    <n v="116.65000000000146"/>
    <n v="4.6594208976925167E-3"/>
  </r>
  <r>
    <x v="906"/>
    <n v="25249.7"/>
    <n v="25268.35"/>
    <n v="25199.4"/>
    <n v="25235.9"/>
    <n v="638166179"/>
    <n v="89554.91"/>
    <n v="24581.932500000003"/>
    <n v="24405.983000000004"/>
    <n v="22463.495000000006"/>
    <n v="-13.799999999999272"/>
    <n v="-5.4654114702350014E-4"/>
  </r>
  <r>
    <x v="907"/>
    <n v="25333.599999999999"/>
    <n v="25333.65"/>
    <n v="25235.5"/>
    <n v="25278.7"/>
    <n v="222815249"/>
    <n v="28187.71"/>
    <n v="24593.182500000003"/>
    <n v="24440.381000000001"/>
    <n v="22492.457000000006"/>
    <n v="-54.899999999997817"/>
    <n v="-2.1670824517635795E-3"/>
  </r>
  <r>
    <x v="908"/>
    <n v="25313.4"/>
    <n v="25321.7"/>
    <n v="25235.8"/>
    <n v="25279.85"/>
    <n v="212131921"/>
    <n v="27276.14"/>
    <n v="24621.232500000002"/>
    <n v="24474.615000000002"/>
    <n v="22521.874000000007"/>
    <n v="-33.55000000000291"/>
    <n v="-1.3253849739664726E-3"/>
  </r>
  <r>
    <x v="909"/>
    <n v="25089.95"/>
    <n v="25216"/>
    <n v="25083.8"/>
    <n v="25198.7"/>
    <n v="253788501"/>
    <n v="26293.35"/>
    <n v="24682.445"/>
    <n v="24510.190000000006"/>
    <n v="22551.14650000001"/>
    <n v="108.75"/>
    <n v="4.3344048114882655E-3"/>
  </r>
  <r>
    <x v="910"/>
    <n v="25250.5"/>
    <n v="25275.45"/>
    <n v="25127.75"/>
    <n v="25145.1"/>
    <n v="222242223"/>
    <n v="26272.38"/>
    <n v="24742.752499999999"/>
    <n v="24543.407000000003"/>
    <n v="22579.512250000007"/>
    <n v="-105.40000000000146"/>
    <n v="-4.1741747688165166E-3"/>
  </r>
  <r>
    <x v="911"/>
    <n v="25093.7"/>
    <n v="25168.75"/>
    <n v="24801.3"/>
    <n v="24852.15"/>
    <n v="311671856"/>
    <n v="33001.17"/>
    <n v="24785.1325"/>
    <n v="24571.883000000002"/>
    <n v="22608.02"/>
    <n v="-241.54999999999927"/>
    <n v="-9.6259220441783904E-3"/>
  </r>
  <r>
    <x v="912"/>
    <n v="24823.4"/>
    <n v="24957.5"/>
    <n v="24753.15"/>
    <n v="24936.400000000001"/>
    <n v="254367252"/>
    <n v="25180.28"/>
    <n v="24821.89"/>
    <n v="24591.55"/>
    <n v="22633.903500000004"/>
    <n v="113"/>
    <n v="4.5521564330430154E-3"/>
  </r>
  <r>
    <x v="913"/>
    <n v="24999.4"/>
    <n v="25130.5"/>
    <n v="24896.799999999999"/>
    <n v="25041.1"/>
    <n v="251274802"/>
    <n v="27846.31"/>
    <n v="24850.334999999999"/>
    <n v="24609.387999999992"/>
    <n v="22659.759500000007"/>
    <n v="41.69999999999709"/>
    <n v="1.6680400329606745E-3"/>
  </r>
  <r>
    <x v="914"/>
    <n v="25034"/>
    <n v="25113.7"/>
    <n v="24885.15"/>
    <n v="24918.45"/>
    <n v="279229206"/>
    <n v="29395.73"/>
    <n v="24885.040000000001"/>
    <n v="24629.998"/>
    <n v="22686.306000000004"/>
    <n v="-115.54999999999927"/>
    <n v="-4.6157226172405235E-3"/>
  </r>
  <r>
    <x v="915"/>
    <n v="25059.65"/>
    <n v="25433.35"/>
    <n v="24941.45"/>
    <n v="25388.9"/>
    <n v="380069653"/>
    <n v="41747.910000000003"/>
    <n v="24924.012500000001"/>
    <n v="24645.527999999998"/>
    <n v="22712.428250000008"/>
    <n v="329.25"/>
    <n v="1.3138651178288602E-2"/>
  </r>
  <r>
    <x v="916"/>
    <n v="25430.45"/>
    <n v="25430.5"/>
    <n v="25292.45"/>
    <n v="25356.5"/>
    <n v="250781898"/>
    <n v="25530.69"/>
    <n v="24986.270000000004"/>
    <n v="24670.828999999994"/>
    <n v="22740.455750000008"/>
    <n v="-73.950000000000728"/>
    <n v="-2.9079312399112375E-3"/>
  </r>
  <r>
    <x v="917"/>
    <n v="25406.65"/>
    <n v="25445.7"/>
    <n v="25336.2"/>
    <n v="25383.75"/>
    <n v="168694880"/>
    <n v="18705.009999999998"/>
    <n v="25027.037500000002"/>
    <n v="24692.228999999996"/>
    <n v="22768.179000000007"/>
    <n v="-22.900000000001455"/>
    <n v="-9.0133882270985956E-4"/>
  </r>
  <r>
    <x v="918"/>
    <n v="25416.9"/>
    <n v="25441.65"/>
    <n v="25352.25"/>
    <n v="25418.55"/>
    <n v="215956868"/>
    <n v="25280.83"/>
    <n v="25067.592500000006"/>
    <n v="24713.86099999999"/>
    <n v="22796.08775000001"/>
    <n v="1.6499999999978172"/>
    <n v="6.4917436823444917E-5"/>
  </r>
  <r>
    <x v="919"/>
    <n v="25402.400000000001"/>
    <n v="25482.2"/>
    <n v="25285.55"/>
    <n v="25377.55"/>
    <n v="215727159"/>
    <n v="28832"/>
    <n v="25103.577500000003"/>
    <n v="24735.75499999999"/>
    <n v="22824.207000000009"/>
    <n v="-24.850000000002183"/>
    <n v="-9.7825402324198431E-4"/>
  </r>
  <r>
    <x v="920"/>
    <n v="25487.05"/>
    <n v="25611.95"/>
    <n v="25376.05"/>
    <n v="25415.8"/>
    <n v="314461263"/>
    <n v="34389.269999999997"/>
    <n v="25133.945000000003"/>
    <n v="24756.894999999997"/>
    <n v="22851.646250000009"/>
    <n v="-71.25"/>
    <n v="-2.7955373415126505E-3"/>
  </r>
  <r>
    <x v="921"/>
    <n v="25525.95"/>
    <n v="25849.25"/>
    <n v="25426.6"/>
    <n v="25790.95"/>
    <n v="533067422"/>
    <n v="68915.27"/>
    <n v="25164.160000000003"/>
    <n v="24776.546999999999"/>
    <n v="22878.242250000007"/>
    <n v="265"/>
    <n v="1.0381592066113112E-2"/>
  </r>
  <r>
    <x v="922"/>
    <n v="25872.55"/>
    <n v="25956"/>
    <n v="25847.35"/>
    <n v="25939.05"/>
    <n v="209187756"/>
    <n v="24825.74"/>
    <n v="25212.55"/>
    <n v="24805.876999999997"/>
    <n v="22906.531250000011"/>
    <n v="66.5"/>
    <n v="2.570291679791903E-3"/>
  </r>
  <r>
    <x v="923"/>
    <n v="25921.45"/>
    <n v="26011.55"/>
    <n v="25886.85"/>
    <n v="25940.400000000001"/>
    <n v="384115033"/>
    <n v="35573.629999999997"/>
    <n v="25258.9725"/>
    <n v="24838.339"/>
    <n v="22934.887000000002"/>
    <n v="18.950000000000728"/>
    <n v="7.310547828150326E-4"/>
  </r>
  <r>
    <x v="924"/>
    <n v="25899.45"/>
    <n v="26032.799999999999"/>
    <n v="25871.35"/>
    <n v="26004.15"/>
    <n v="278540972"/>
    <n v="27868.080000000002"/>
    <n v="25305.105000000003"/>
    <n v="24867.103999999999"/>
    <n v="22961.15500000001"/>
    <n v="104.70000000000073"/>
    <n v="4.0425568882737168E-3"/>
  </r>
  <r>
    <x v="925"/>
    <n v="26005.4"/>
    <n v="26250.9"/>
    <n v="25998.400000000001"/>
    <n v="26216.05"/>
    <n v="370895477"/>
    <n v="40838.36"/>
    <n v="25352.695"/>
    <n v="24895.452999999994"/>
    <n v="22986.90025000001"/>
    <n v="210.64999999999782"/>
    <n v="8.1002407192351522E-3"/>
  </r>
  <r>
    <x v="926"/>
    <n v="26248.25"/>
    <n v="26277.35"/>
    <n v="26151.4"/>
    <n v="26178.95"/>
    <n v="490332370"/>
    <n v="55420.63"/>
    <n v="25405.9"/>
    <n v="24927.513999999996"/>
    <n v="23013.292000000005"/>
    <n v="-69.299999999999272"/>
    <n v="-2.6401760117340878E-3"/>
  </r>
  <r>
    <x v="927"/>
    <n v="26061.3"/>
    <n v="26134.7"/>
    <n v="25794.1"/>
    <n v="25810.85"/>
    <n v="375370974"/>
    <n v="36028.06"/>
    <n v="25453.052499999998"/>
    <n v="24955.07599999999"/>
    <n v="23039.681000000011"/>
    <n v="-250.45000000000073"/>
    <n v="-9.6100348025616802E-3"/>
  </r>
  <r>
    <x v="928"/>
    <n v="25788.45"/>
    <n v="25907.599999999999"/>
    <n v="25739.200000000001"/>
    <n v="25796.9"/>
    <n v="247423786"/>
    <n v="27473.29"/>
    <n v="25479.66"/>
    <n v="24980.674999999996"/>
    <n v="23063.888250000011"/>
    <n v="8.4500000000007276"/>
    <n v="3.2766606756128139E-4"/>
  </r>
  <r>
    <x v="929"/>
    <n v="25452.85"/>
    <n v="25639.45"/>
    <n v="25230.3"/>
    <n v="25250.1"/>
    <n v="423395030"/>
    <n v="45689.5"/>
    <n v="25505.512500000004"/>
    <n v="25006.428"/>
    <n v="23087.887250000007"/>
    <n v="-202.75"/>
    <n v="-7.9657091445555217E-3"/>
  </r>
  <r>
    <x v="930"/>
    <n v="25181.9"/>
    <n v="25485.05"/>
    <n v="24966.799999999999"/>
    <n v="25014.6"/>
    <n v="374914801"/>
    <n v="42719.71"/>
    <n v="25508.0825"/>
    <n v="25021.848999999995"/>
    <n v="23109.605750000006"/>
    <n v="-167.30000000000291"/>
    <n v="-6.6436607245681581E-3"/>
  </r>
  <r>
    <x v="931"/>
    <n v="25084.1"/>
    <n v="25143"/>
    <n v="24694.35"/>
    <n v="24795.75"/>
    <n v="374345795"/>
    <n v="40550.239999999998"/>
    <n v="25501.557499999999"/>
    <n v="25033.870999999999"/>
    <n v="23130.047000000002"/>
    <n v="-288.34999999999854"/>
    <n v="-1.1495329710852634E-2"/>
  </r>
  <r>
    <x v="932"/>
    <n v="24832.2"/>
    <n v="25044"/>
    <n v="24756.799999999999"/>
    <n v="25013.15"/>
    <n v="333220055"/>
    <n v="33493.360000000001"/>
    <n v="25498.737499999999"/>
    <n v="25041.664000000004"/>
    <n v="23148.112250000006"/>
    <n v="180.95000000000073"/>
    <n v="7.2869097381625765E-3"/>
  </r>
  <r>
    <x v="933"/>
    <n v="25065.8"/>
    <n v="25234.05"/>
    <n v="24947.7"/>
    <n v="24981.95"/>
    <n v="290562844"/>
    <n v="30877.63"/>
    <n v="25502.575000000001"/>
    <n v="25045.23"/>
    <n v="23165.894750000007"/>
    <n v="-83.849999999998545"/>
    <n v="-3.3451954455871566E-3"/>
  </r>
  <r>
    <x v="934"/>
    <n v="25067.05"/>
    <n v="25134.05"/>
    <n v="24979.4"/>
    <n v="24998.45"/>
    <n v="261364749"/>
    <n v="28046.45"/>
    <n v="25499.6175"/>
    <n v="25048.147000000001"/>
    <n v="23183.711250000004"/>
    <n v="-68.599999999998545"/>
    <n v="-2.7366602771366614E-3"/>
  </r>
  <r>
    <x v="935"/>
    <n v="24985.3"/>
    <n v="25028.65"/>
    <n v="24920.05"/>
    <n v="24964.25"/>
    <n v="210462717"/>
    <n v="21734.97"/>
    <n v="25503.6175"/>
    <n v="25050.970000000005"/>
    <n v="23201.438000000002"/>
    <n v="-21.049999999999272"/>
    <n v="-8.4249538728769612E-4"/>
  </r>
  <r>
    <x v="936"/>
    <n v="25023.45"/>
    <n v="25159.75"/>
    <n v="25017.5"/>
    <n v="25127.95"/>
    <n v="206423311"/>
    <n v="21270.9"/>
    <n v="25482.384999999998"/>
    <n v="25051.232000000004"/>
    <n v="23220.508500000007"/>
    <n v="104.5"/>
    <n v="4.1760828343014251E-3"/>
  </r>
  <r>
    <x v="937"/>
    <n v="25186.3"/>
    <n v="25212.05"/>
    <n v="25008.15"/>
    <n v="25057.35"/>
    <n v="257228772"/>
    <n v="29113.88"/>
    <n v="25470.9575"/>
    <n v="25053.573000000004"/>
    <n v="23239.873000000007"/>
    <n v="-128.95000000000073"/>
    <n v="-5.1198469008945629E-3"/>
  </r>
  <r>
    <x v="938"/>
    <n v="25008.55"/>
    <n v="25093.4"/>
    <n v="24908.45"/>
    <n v="24971.3"/>
    <n v="226774456"/>
    <n v="24115.83"/>
    <n v="25454.637500000001"/>
    <n v="25060.366000000002"/>
    <n v="23258.412750000007"/>
    <n v="-37.25"/>
    <n v="-1.489490594216778E-3"/>
  </r>
  <r>
    <x v="939"/>
    <n v="25027.4"/>
    <n v="25029.5"/>
    <n v="24728.9"/>
    <n v="24749.85"/>
    <n v="252755662"/>
    <n v="32606.34"/>
    <n v="25432.275000000001"/>
    <n v="25078.68"/>
    <n v="23276.062500000004"/>
    <n v="-277.55000000000291"/>
    <n v="-1.1089845529300002E-2"/>
  </r>
  <r>
    <x v="940"/>
    <n v="24664.95"/>
    <n v="24886.2"/>
    <n v="24567.65"/>
    <n v="24854.05"/>
    <n v="290855392"/>
    <n v="31772.76"/>
    <n v="25400.89"/>
    <n v="25093.826000000001"/>
    <n v="23291.538000000004"/>
    <n v="189.09999999999854"/>
    <n v="7.6667497805589929E-3"/>
  </r>
  <r>
    <x v="941"/>
    <n v="24956.15"/>
    <n v="24978.3"/>
    <n v="24679.599999999999"/>
    <n v="24781.1"/>
    <n v="241978957"/>
    <n v="32207.22"/>
    <n v="25372.802499999998"/>
    <n v="25104.957000000002"/>
    <n v="23306.914750000007"/>
    <n v="-175.05000000000291"/>
    <n v="-7.0143030876157943E-3"/>
  </r>
  <r>
    <x v="942"/>
    <n v="24798.65"/>
    <n v="24882"/>
    <n v="24445.8"/>
    <n v="24472.1"/>
    <n v="279484697"/>
    <n v="32801.589999999997"/>
    <n v="25322.309999999998"/>
    <n v="25118.239000000009"/>
    <n v="23322.163249999998"/>
    <n v="-326.55000000000291"/>
    <n v="-1.316805551915136E-2"/>
  </r>
  <r>
    <x v="943"/>
    <n v="24378.15"/>
    <n v="24604.25"/>
    <n v="24378.1"/>
    <n v="24435.5"/>
    <n v="284556771"/>
    <n v="31928.1"/>
    <n v="25248.962499999994"/>
    <n v="25120.331000000009"/>
    <n v="23335.814249999999"/>
    <n v="57.349999999998545"/>
    <n v="2.3525164953041369E-3"/>
  </r>
  <r>
    <x v="944"/>
    <n v="24412.7"/>
    <n v="24480.65"/>
    <n v="24341.200000000001"/>
    <n v="24399.4"/>
    <n v="216686434"/>
    <n v="27817.66"/>
    <n v="25173.717499999995"/>
    <n v="25122.10100000001"/>
    <n v="23349.66275"/>
    <n v="-13.299999999999272"/>
    <n v="-5.4479840410930677E-4"/>
  </r>
  <r>
    <x v="945"/>
    <n v="24418.05"/>
    <n v="24440.25"/>
    <n v="24073.9"/>
    <n v="24180.799999999999"/>
    <n v="372642214"/>
    <n v="37068.910000000003"/>
    <n v="25093.479999999996"/>
    <n v="25127.309000000008"/>
    <n v="23364.072999999997"/>
    <n v="-237.25"/>
    <n v="-9.7161730768836989E-3"/>
  </r>
  <r>
    <x v="946"/>
    <n v="24251.1"/>
    <n v="24492.6"/>
    <n v="24134.9"/>
    <n v="24339.15"/>
    <n v="278562235"/>
    <n v="28136.06"/>
    <n v="24991.717499999995"/>
    <n v="25128.05000000001"/>
    <n v="23376.683999999994"/>
    <n v="88.05000000000291"/>
    <n v="3.6307631406411632E-3"/>
  </r>
  <r>
    <x v="947"/>
    <n v="24328.85"/>
    <n v="24484.5"/>
    <n v="24140.85"/>
    <n v="24466.85"/>
    <n v="332044690"/>
    <n v="35579.480000000003"/>
    <n v="24899.727500000001"/>
    <n v="25124.010000000006"/>
    <n v="23389.825750000004"/>
    <n v="138"/>
    <n v="5.672277974503522E-3"/>
  </r>
  <r>
    <x v="948"/>
    <n v="24371.45"/>
    <n v="24498.2"/>
    <n v="24307.3"/>
    <n v="24340.85"/>
    <n v="285196335"/>
    <n v="31068.7"/>
    <n v="24832.5275"/>
    <n v="25121.894000000008"/>
    <n v="23404.594999999994"/>
    <n v="-30.600000000002183"/>
    <n v="-1.2555674775198923E-3"/>
  </r>
  <r>
    <x v="949"/>
    <n v="24349.85"/>
    <n v="24372.45"/>
    <n v="24172.6"/>
    <n v="24205.35"/>
    <n v="287007588"/>
    <n v="33403.89"/>
    <n v="24759.724999999999"/>
    <n v="25114.734000000004"/>
    <n v="23418.574999999997"/>
    <n v="-144.5"/>
    <n v="-5.9343281375449954E-3"/>
  </r>
  <r>
    <x v="950"/>
    <n v="24302.75"/>
    <n v="24368.25"/>
    <n v="24280.2"/>
    <n v="24304.35"/>
    <n v="38811387"/>
    <n v="3348.45"/>
    <n v="24707.487499999996"/>
    <n v="25103.437000000005"/>
    <n v="23431.508249999992"/>
    <n v="1.5999999999985448"/>
    <n v="6.5836170803655749E-5"/>
  </r>
  <r>
    <x v="951"/>
    <n v="24315.75"/>
    <n v="24316.75"/>
    <n v="23816.15"/>
    <n v="23995.35"/>
    <n v="285531635"/>
    <n v="31561.52"/>
    <n v="24671.974999999995"/>
    <n v="25093.294000000005"/>
    <n v="23444.793999999994"/>
    <n v="-320.40000000000146"/>
    <n v="-1.3176644767280527E-2"/>
  </r>
  <r>
    <x v="952"/>
    <n v="23916.5"/>
    <n v="24229.05"/>
    <n v="23842.75"/>
    <n v="24213.3"/>
    <n v="289511197"/>
    <n v="30074.77"/>
    <n v="24631.954999999994"/>
    <n v="25076.738000000001"/>
    <n v="23455.297999999988"/>
    <n v="296.79999999999927"/>
    <n v="1.240984257730016E-2"/>
  </r>
  <r>
    <x v="953"/>
    <n v="24308.75"/>
    <n v="24537.599999999999"/>
    <n v="24204.05"/>
    <n v="24484.05"/>
    <n v="351082031"/>
    <n v="34108.839999999997"/>
    <n v="24591.962499999994"/>
    <n v="25060.792000000005"/>
    <n v="23465.877249999987"/>
    <n v="175.29999999999927"/>
    <n v="7.2113950737902723E-3"/>
  </r>
  <r>
    <x v="954"/>
    <n v="24489.599999999999"/>
    <n v="24503.35"/>
    <n v="24179.05"/>
    <n v="24199.35"/>
    <n v="322185588"/>
    <n v="30971.89"/>
    <n v="24567.067499999994"/>
    <n v="25050.118000000006"/>
    <n v="23478.135999999988"/>
    <n v="-290.25"/>
    <n v="-1.1851969815758527E-2"/>
  </r>
  <r>
    <x v="955"/>
    <n v="24207.7"/>
    <n v="24276.15"/>
    <n v="24066.65"/>
    <n v="24148.2"/>
    <n v="298725122"/>
    <n v="27670.3"/>
    <n v="24527.112499999992"/>
    <n v="25033.058000000012"/>
    <n v="23491.272999999983"/>
    <n v="-59.5"/>
    <n v="-2.4578956282505153E-3"/>
  </r>
  <r>
    <x v="956"/>
    <n v="24087.25"/>
    <n v="24336.799999999999"/>
    <n v="24004.6"/>
    <n v="24141.3"/>
    <n v="273370562"/>
    <n v="26600.28"/>
    <n v="24486.30999999999"/>
    <n v="25012.983000000007"/>
    <n v="23504.702749999989"/>
    <n v="54.049999999999272"/>
    <n v="2.2439257283417276E-3"/>
  </r>
  <r>
    <x v="957"/>
    <n v="24225.8"/>
    <n v="24242"/>
    <n v="23839.15"/>
    <n v="23883.45"/>
    <n v="255825829"/>
    <n v="26852.73"/>
    <n v="24436.97749999999"/>
    <n v="24991.091000000011"/>
    <n v="23517.297249999981"/>
    <n v="-342.34999999999854"/>
    <n v="-1.4131628264082034E-2"/>
  </r>
  <r>
    <x v="958"/>
    <n v="23822.45"/>
    <n v="23873.599999999999"/>
    <n v="23509.599999999999"/>
    <n v="23559.05"/>
    <n v="304569316"/>
    <n v="27765.81"/>
    <n v="24378.282499999994"/>
    <n v="24963.186000000005"/>
    <n v="23528.855499999991"/>
    <n v="-263.40000000000146"/>
    <n v="-1.1056797264765019E-2"/>
  </r>
  <r>
    <x v="959"/>
    <n v="23542.15"/>
    <n v="23675.9"/>
    <n v="23484.15"/>
    <n v="23532.7"/>
    <n v="257708474"/>
    <n v="24814.37"/>
    <n v="24307.669999999995"/>
    <n v="24928.770000000004"/>
    <n v="23540.456749999983"/>
    <n v="-9.4500000000007276"/>
    <n v="-4.0140768791298699E-4"/>
  </r>
  <r>
    <x v="960"/>
    <n v="23605.3"/>
    <n v="23606.799999999999"/>
    <n v="23350.400000000001"/>
    <n v="23453.8"/>
    <n v="263311912"/>
    <n v="25257.33"/>
    <n v="24246.812499999996"/>
    <n v="24895.45"/>
    <n v="23550.85049999999"/>
    <n v="-151.5"/>
    <n v="-6.4180501836451987E-3"/>
  </r>
  <r>
    <x v="961"/>
    <n v="23529.55"/>
    <n v="23780.65"/>
    <n v="23464.799999999999"/>
    <n v="23518.5"/>
    <n v="297477279"/>
    <n v="30486.78"/>
    <n v="24176.799999999999"/>
    <n v="24861.624"/>
    <n v="23561.356499999983"/>
    <n v="-11.049999999999272"/>
    <n v="-4.6962224096930337E-4"/>
  </r>
  <r>
    <x v="962"/>
    <n v="23488.45"/>
    <n v="23507.3"/>
    <n v="23263.15"/>
    <n v="23349.9"/>
    <n v="420332354"/>
    <n v="40900.89"/>
    <n v="24113.670000000002"/>
    <n v="24834.951000000001"/>
    <n v="23570.260999999991"/>
    <n v="-138.54999999999927"/>
    <n v="-5.8986438015279537E-3"/>
  </r>
  <r>
    <x v="963"/>
    <n v="23411.8"/>
    <n v="23956.1"/>
    <n v="23359"/>
    <n v="23907.25"/>
    <n v="367562789"/>
    <n v="39257.519999999997"/>
    <n v="24057.56"/>
    <n v="24803.220999999998"/>
    <n v="23579.399999999991"/>
    <n v="495.45000000000073"/>
    <n v="2.1162405282806138E-2"/>
  </r>
  <r>
    <x v="964"/>
    <n v="24253.55"/>
    <n v="24351.55"/>
    <n v="24135.45"/>
    <n v="24221.9"/>
    <n v="687172787"/>
    <n v="85975.81"/>
    <n v="24031.147499999999"/>
    <n v="24780.543999999998"/>
    <n v="23590.307749999993"/>
    <n v="-31.649999999997817"/>
    <n v="-1.3049636032662359E-3"/>
  </r>
  <r>
    <x v="965"/>
    <n v="24343.3"/>
    <n v="24343.3"/>
    <n v="24125.4"/>
    <n v="24194.5"/>
    <n v="230691771"/>
    <n v="24140.67"/>
    <n v="24022.272499999999"/>
    <n v="24766.612999999994"/>
    <n v="23602.929999999997"/>
    <n v="-148.79999999999927"/>
    <n v="-6.1125648535736432E-3"/>
  </r>
  <r>
    <x v="966"/>
    <n v="24204.799999999999"/>
    <n v="24354.55"/>
    <n v="24145.65"/>
    <n v="24274.9"/>
    <n v="295011445"/>
    <n v="31149.09"/>
    <n v="24022.957500000004"/>
    <n v="24742.724999999995"/>
    <n v="23614.633499999996"/>
    <n v="70.100000000002183"/>
    <n v="2.8961197778953839E-3"/>
  </r>
  <r>
    <x v="967"/>
    <n v="24274.15"/>
    <n v="24345.75"/>
    <n v="23873.35"/>
    <n v="23914.15"/>
    <n v="366745300"/>
    <n v="41198.269999999997"/>
    <n v="24019.745000000003"/>
    <n v="24721.092999999997"/>
    <n v="23627.149499999996"/>
    <n v="-360"/>
    <n v="-1.4830591390429736E-2"/>
  </r>
  <r>
    <x v="968"/>
    <n v="23927.15"/>
    <n v="24188.45"/>
    <n v="23927.15"/>
    <n v="24131.1"/>
    <n v="282104071"/>
    <n v="30509.98"/>
    <n v="23992.110000000008"/>
    <n v="24691.70099999999"/>
    <n v="23637.073250000001"/>
    <n v="203.94999999999709"/>
    <n v="8.5237899206548652E-3"/>
  </r>
  <r>
    <x v="969"/>
    <n v="24140.85"/>
    <n v="24301.7"/>
    <n v="24008.65"/>
    <n v="24276.05"/>
    <n v="220384187"/>
    <n v="23162.75"/>
    <n v="23981.622500000005"/>
    <n v="24665.951999999994"/>
    <n v="23648.076249999998"/>
    <n v="135.20000000000073"/>
    <n v="5.600465600838443E-3"/>
  </r>
  <r>
    <x v="970"/>
    <n v="24367.5"/>
    <n v="24481.35"/>
    <n v="24280"/>
    <n v="24457.15"/>
    <n v="339470947"/>
    <n v="34228.300000000003"/>
    <n v="23985.157500000005"/>
    <n v="24643.921999999999"/>
    <n v="23660.866749999997"/>
    <n v="89.650000000001455"/>
    <n v="3.679080742792714E-3"/>
  </r>
  <r>
    <x v="971"/>
    <n v="24488.75"/>
    <n v="24573.200000000001"/>
    <n v="24366.3"/>
    <n v="24467.45"/>
    <n v="348003156"/>
    <n v="34639.78"/>
    <n v="23992.797500000004"/>
    <n v="24624.749"/>
    <n v="23674.240000000002"/>
    <n v="-21.299999999999272"/>
    <n v="-8.6978714715938018E-4"/>
  </r>
  <r>
    <x v="972"/>
    <n v="24539.15"/>
    <n v="24857.75"/>
    <n v="24295.55"/>
    <n v="24708.400000000001"/>
    <n v="361469920"/>
    <n v="40471.33"/>
    <n v="24016.402500000004"/>
    <n v="24598.278999999995"/>
    <n v="23688.497000000007"/>
    <n v="169.25"/>
    <n v="6.8971419140434771E-3"/>
  </r>
  <r>
    <x v="973"/>
    <n v="24729.45"/>
    <n v="24751.05"/>
    <n v="24620.5"/>
    <n v="24677.8"/>
    <n v="226731303"/>
    <n v="23904.13"/>
    <n v="24041.157500000005"/>
    <n v="24573.665999999997"/>
    <n v="23703.322750000007"/>
    <n v="-51.650000000001455"/>
    <n v="-2.0886028601526298E-3"/>
  </r>
  <r>
    <x v="974"/>
    <n v="24633.9"/>
    <n v="24705"/>
    <n v="24580.05"/>
    <n v="24619"/>
    <n v="248139308"/>
    <n v="25099.79"/>
    <n v="24050.845000000005"/>
    <n v="24548.413999999993"/>
    <n v="23717.511500000011"/>
    <n v="-14.900000000001455"/>
    <n v="-6.0485753372391108E-4"/>
  </r>
  <r>
    <x v="975"/>
    <n v="24652.65"/>
    <n v="24677.8"/>
    <n v="24510.65"/>
    <n v="24610.05"/>
    <n v="261048951"/>
    <n v="26093.38"/>
    <n v="24071.827500000003"/>
    <n v="24520.710999999996"/>
    <n v="23731.052750000013"/>
    <n v="-42.600000000002183"/>
    <n v="-1.7280089564408766E-3"/>
  </r>
  <r>
    <x v="976"/>
    <n v="24620.5"/>
    <n v="24691.75"/>
    <n v="24583.85"/>
    <n v="24641.8"/>
    <n v="187252712"/>
    <n v="21592.23"/>
    <n v="24094.92"/>
    <n v="24488.591"/>
    <n v="23743.89950000001"/>
    <n v="21.299999999999272"/>
    <n v="8.65132714607716E-4"/>
  </r>
  <r>
    <x v="977"/>
    <n v="24604.45"/>
    <n v="24675.25"/>
    <n v="24527.95"/>
    <n v="24548.7"/>
    <n v="266051129"/>
    <n v="28235.17"/>
    <n v="24119.945"/>
    <n v="24457.847999999998"/>
    <n v="23756.497250000011"/>
    <n v="-55.75"/>
    <n v="-2.2658502831804815E-3"/>
  </r>
  <r>
    <x v="978"/>
    <n v="24498.35"/>
    <n v="24792.3"/>
    <n v="24180.799999999999"/>
    <n v="24768.3"/>
    <n v="310080852"/>
    <n v="30429.73"/>
    <n v="24153.2075"/>
    <n v="24432.605"/>
    <n v="23768.256000000016"/>
    <n v="269.95000000000073"/>
    <n v="1.101910945022831E-2"/>
  </r>
  <r>
    <x v="979"/>
    <n v="24753.4"/>
    <n v="24781.25"/>
    <n v="24601.75"/>
    <n v="24668.25"/>
    <n v="187551629"/>
    <n v="18608.23"/>
    <n v="24213.670000000002"/>
    <n v="24412.033000000003"/>
    <n v="23781.822250000012"/>
    <n v="-85.150000000001455"/>
    <n v="-3.4399314841598106E-3"/>
  </r>
  <r>
    <x v="980"/>
    <n v="24584.799999999999"/>
    <n v="24624.1"/>
    <n v="24303.45"/>
    <n v="24336"/>
    <n v="264881033"/>
    <n v="26765.16"/>
    <n v="24270.447500000002"/>
    <n v="24400.396000000004"/>
    <n v="23794.076250000013"/>
    <n v="-248.79999999999927"/>
    <n v="-1.0120074192183758E-2"/>
  </r>
  <r>
    <x v="981"/>
    <n v="24297.95"/>
    <n v="24394.45"/>
    <n v="24149.85"/>
    <n v="24198.85"/>
    <n v="235346534"/>
    <n v="23315.919999999998"/>
    <n v="24314.557499999999"/>
    <n v="24386.824000000004"/>
    <n v="23804.692750000009"/>
    <n v="-99.100000000002183"/>
    <n v="-4.0785333742147873E-3"/>
  </r>
  <r>
    <x v="982"/>
    <n v="23877.15"/>
    <n v="24004.9"/>
    <n v="23870.3"/>
    <n v="23951.7"/>
    <n v="271128027"/>
    <n v="27815.23"/>
    <n v="24348.574999999997"/>
    <n v="24374.886000000006"/>
    <n v="23815.076750000007"/>
    <n v="74.549999999999272"/>
    <n v="3.1222319246643451E-3"/>
  </r>
  <r>
    <x v="983"/>
    <n v="23960.7"/>
    <n v="24065.8"/>
    <n v="23537.35"/>
    <n v="23587.5"/>
    <n v="442714411"/>
    <n v="47084.68"/>
    <n v="24378.664999999997"/>
    <n v="24353.657000000003"/>
    <n v="23823.843500000006"/>
    <n v="-373.20000000000073"/>
    <n v="-1.5575504889256186E-2"/>
  </r>
  <r>
    <x v="984"/>
    <n v="23738.2"/>
    <n v="23869.55"/>
    <n v="23647.200000000001"/>
    <n v="23753.45"/>
    <n v="189758237"/>
    <n v="18243.28"/>
    <n v="24362.677499999998"/>
    <n v="24325.768000000004"/>
    <n v="23832.02525000001"/>
    <n v="15.25"/>
    <n v="6.4242444667245201E-4"/>
  </r>
  <r>
    <x v="985"/>
    <n v="23769.1"/>
    <n v="23867.65"/>
    <n v="23685.15"/>
    <n v="23727.65"/>
    <n v="177664746"/>
    <n v="16010.71"/>
    <n v="24339.254999999997"/>
    <n v="24300.868000000002"/>
    <n v="23840.87850000001"/>
    <n v="-41.44999999999709"/>
    <n v="-1.74386072674174E-3"/>
  </r>
  <r>
    <x v="986"/>
    <n v="23775.8"/>
    <n v="23854.5"/>
    <n v="23653.599999999999"/>
    <n v="23750.2"/>
    <n v="177681783"/>
    <n v="16695.099999999999"/>
    <n v="24315.912499999999"/>
    <n v="24276.136000000002"/>
    <n v="23847.823000000008"/>
    <n v="-25.599999999998545"/>
    <n v="-1.076725073393894E-3"/>
  </r>
  <r>
    <x v="987"/>
    <n v="23801.4"/>
    <n v="23938.85"/>
    <n v="23800.6"/>
    <n v="23813.4"/>
    <n v="176821521"/>
    <n v="17164.990000000002"/>
    <n v="24289.677499999998"/>
    <n v="24248.581000000002"/>
    <n v="23854.546000000006"/>
    <n v="12"/>
    <n v="5.0417202349441626E-4"/>
  </r>
  <r>
    <x v="988"/>
    <n v="23796.9"/>
    <n v="23915.35"/>
    <n v="23599.3"/>
    <n v="23644.9"/>
    <n v="364929453"/>
    <n v="33823.949999999997"/>
    <n v="24284.640000000003"/>
    <n v="24223.701999999997"/>
    <n v="23861.831500000008"/>
    <n v="-152"/>
    <n v="-6.3873865923712745E-3"/>
  </r>
  <r>
    <x v="989"/>
    <n v="23560.6"/>
    <n v="23689.85"/>
    <n v="23460.45"/>
    <n v="23644.799999999999"/>
    <n v="193627727"/>
    <n v="18646.79"/>
    <n v="24260.33"/>
    <n v="24197.173999999995"/>
    <n v="23867.685750000011"/>
    <n v="84.200000000000728"/>
    <n v="3.5737629771737875E-3"/>
  </r>
  <r>
    <x v="990"/>
    <n v="23637.65"/>
    <n v="23822.799999999999"/>
    <n v="23562.799999999999"/>
    <n v="23742.9"/>
    <n v="154921938"/>
    <n v="14266.26"/>
    <n v="24228.767500000005"/>
    <n v="24175.072999999993"/>
    <n v="23873.442000000006"/>
    <n v="105.25"/>
    <n v="4.4526422888908155E-3"/>
  </r>
  <r>
    <x v="991"/>
    <n v="23783"/>
    <n v="24226.7"/>
    <n v="23751.55"/>
    <n v="24188.65"/>
    <n v="283200811"/>
    <n v="32237.25"/>
    <n v="24193.055000000004"/>
    <n v="24152.849999999995"/>
    <n v="23880.493250000007"/>
    <n v="405.65000000000146"/>
    <n v="1.7056300719001029E-2"/>
  </r>
  <r>
    <x v="992"/>
    <n v="24196.400000000001"/>
    <n v="24196.45"/>
    <n v="23976"/>
    <n v="24004.75"/>
    <n v="312279515"/>
    <n v="29411.99"/>
    <n v="24179.115000000005"/>
    <n v="24141.000999999997"/>
    <n v="23889.758000000009"/>
    <n v="-191.65000000000146"/>
    <n v="-7.9205997586418407E-3"/>
  </r>
  <r>
    <x v="993"/>
    <n v="24045.8"/>
    <n v="24089.95"/>
    <n v="23551.9"/>
    <n v="23616.05"/>
    <n v="278061806"/>
    <n v="25853.64"/>
    <n v="24143.932500000006"/>
    <n v="24131.653999999995"/>
    <n v="23899.79325000001"/>
    <n v="-429.75"/>
    <n v="-1.787214399188216E-2"/>
  </r>
  <r>
    <x v="994"/>
    <n v="23679.9"/>
    <n v="23795.200000000001"/>
    <n v="23637.8"/>
    <n v="23707.9"/>
    <n v="262337253"/>
    <n v="22485.65"/>
    <n v="24090.845000000008"/>
    <n v="24115.264999999999"/>
    <n v="23907.140250000008"/>
    <n v="28"/>
    <n v="1.1824374258337239E-3"/>
  </r>
  <r>
    <x v="995"/>
    <n v="23746.65"/>
    <n v="23751.85"/>
    <n v="23496.15"/>
    <n v="23688.95"/>
    <n v="266375381"/>
    <n v="24718.54"/>
    <n v="24045.290000000008"/>
    <n v="24101.434999999994"/>
    <n v="23915.563000000013"/>
    <n v="-57.700000000000728"/>
    <n v="-2.4298164162103171E-3"/>
  </r>
  <r>
    <x v="996"/>
    <n v="23674.75"/>
    <n v="23689.5"/>
    <n v="23503.05"/>
    <n v="23526.5"/>
    <n v="269239831"/>
    <n v="26793.85"/>
    <n v="23999.235000000008"/>
    <n v="24091.597999999998"/>
    <n v="23923.729250000011"/>
    <n v="-148.25"/>
    <n v="-6.2619457438832515E-3"/>
  </r>
  <r>
    <x v="997"/>
    <n v="23551.9"/>
    <n v="23596.6"/>
    <n v="23344.35"/>
    <n v="23431.5"/>
    <n v="261022434"/>
    <n v="25017.599999999999"/>
    <n v="23943.470000000008"/>
    <n v="24075.345000000001"/>
    <n v="23932.27450000001"/>
    <n v="-120.40000000000146"/>
    <n v="-5.1121140969518997E-3"/>
  </r>
  <r>
    <x v="998"/>
    <n v="23195.4"/>
    <n v="23340.95"/>
    <n v="23047.25"/>
    <n v="23085.95"/>
    <n v="316481107"/>
    <n v="26890.37"/>
    <n v="23887.610000000004"/>
    <n v="24054.638000000003"/>
    <n v="23940.23650000001"/>
    <n v="-109.45000000000073"/>
    <n v="-4.718607999862073E-3"/>
  </r>
  <r>
    <x v="999"/>
    <n v="23165.9"/>
    <n v="23264.95"/>
    <n v="23134.15"/>
    <n v="23176.05"/>
    <n v="311235510"/>
    <n v="31174.05"/>
    <n v="23803.492500000004"/>
    <n v="24029.54"/>
    <n v="23945.606500000009"/>
    <n v="10.149999999997817"/>
    <n v="4.3814399613215186E-4"/>
  </r>
  <r>
    <x v="1000"/>
    <n v="23250.45"/>
    <n v="23293.65"/>
    <n v="23146.45"/>
    <n v="23213.200000000001"/>
    <n v="228039156"/>
    <n v="21587.78"/>
    <n v="23728.8825"/>
    <n v="24008.954000000005"/>
    <n v="23951.003000000012"/>
    <n v="-37.25"/>
    <n v="-1.6021195288693337E-3"/>
  </r>
  <r>
    <x v="1001"/>
    <n v="23377.25"/>
    <n v="23391.65"/>
    <n v="23272.05"/>
    <n v="23311.8"/>
    <n v="299416081"/>
    <n v="29784.82"/>
    <n v="23672.7425"/>
    <n v="23987.131000000001"/>
    <n v="23957.045500000011"/>
    <n v="-65.450000000000728"/>
    <n v="-2.7997305072239346E-3"/>
  </r>
  <r>
    <x v="1002"/>
    <n v="23277.1"/>
    <n v="23292.1"/>
    <n v="23100.35"/>
    <n v="23203.200000000001"/>
    <n v="272945267"/>
    <n v="27040.78"/>
    <n v="23628.39"/>
    <n v="23973.460000000006"/>
    <n v="23962.986250000009"/>
    <n v="-73.899999999997817"/>
    <n v="-3.1747941109501535E-3"/>
  </r>
  <r>
    <x v="1003"/>
    <n v="23290.400000000001"/>
    <n v="23391.1"/>
    <n v="23170.65"/>
    <n v="23344.75"/>
    <n v="301455455"/>
    <n v="27333.97"/>
    <n v="23590.965"/>
    <n v="23953.258000000002"/>
    <n v="23967.367750000009"/>
    <n v="54.349999999998545"/>
    <n v="2.3335795005666946E-3"/>
  </r>
  <r>
    <x v="1004"/>
    <n v="23421.65"/>
    <n v="23426.3"/>
    <n v="22976.85"/>
    <n v="23024.65"/>
    <n v="312871897"/>
    <n v="30106.720000000001"/>
    <n v="23578.827499999999"/>
    <n v="23930.472000000002"/>
    <n v="23971.781500000012"/>
    <n v="-397"/>
    <n v="-1.6950129474225768E-2"/>
  </r>
  <r>
    <x v="1005"/>
    <n v="23099.15"/>
    <n v="23169.55"/>
    <n v="22981.3"/>
    <n v="23155.35"/>
    <n v="275951918"/>
    <n v="25462.05"/>
    <n v="23542.387500000004"/>
    <n v="23906.977999999999"/>
    <n v="23974.638250000015"/>
    <n v="56.19999999999709"/>
    <n v="2.4329899585048406E-3"/>
  </r>
  <r>
    <x v="1006"/>
    <n v="23128.3"/>
    <n v="23270.799999999999"/>
    <n v="23090.65"/>
    <n v="23205.35"/>
    <n v="275558357"/>
    <n v="27723.78"/>
    <n v="23513.772499999999"/>
    <n v="23887.120999999996"/>
    <n v="23978.241750000012"/>
    <n v="77.049999999999272"/>
    <n v="3.3314164897549443E-3"/>
  </r>
  <r>
    <x v="1007"/>
    <n v="23183.9"/>
    <n v="23347.3"/>
    <n v="23050"/>
    <n v="23092.2"/>
    <n v="264336332"/>
    <n v="24412.46"/>
    <n v="23486.53"/>
    <n v="23868.402000000002"/>
    <n v="23981.695250000012"/>
    <n v="-91.700000000000728"/>
    <n v="-3.9553310702686228E-3"/>
  </r>
  <r>
    <x v="1008"/>
    <n v="22940.15"/>
    <n v="23007.45"/>
    <n v="22786.9"/>
    <n v="22829.15"/>
    <n v="257372790"/>
    <n v="24202.41"/>
    <n v="23450.47"/>
    <n v="23852.576999999997"/>
    <n v="23984.587750000013"/>
    <n v="-111"/>
    <n v="-4.8386780382865847E-3"/>
  </r>
  <r>
    <x v="1009"/>
    <n v="22960.45"/>
    <n v="23137.95"/>
    <n v="22857.65"/>
    <n v="22957.25"/>
    <n v="361868609"/>
    <n v="33221.800000000003"/>
    <n v="23409.682500000003"/>
    <n v="23837.978999999999"/>
    <n v="23985.402000000016"/>
    <n v="-3.2000000000007276"/>
    <n v="-1.3937009074302672E-4"/>
  </r>
  <r>
    <x v="1010"/>
    <n v="23026.75"/>
    <n v="23183.35"/>
    <n v="22976.5"/>
    <n v="23163.1"/>
    <n v="251208119"/>
    <n v="22307.38"/>
    <n v="23375.305"/>
    <n v="23826.47"/>
    <n v="23986.974500000011"/>
    <n v="136.34999999999854"/>
    <n v="5.9213740540892028E-3"/>
  </r>
  <r>
    <x v="1011"/>
    <n v="23169.5"/>
    <n v="23322.05"/>
    <n v="23139.200000000001"/>
    <n v="23249.5"/>
    <n v="384687127"/>
    <n v="35252.870000000003"/>
    <n v="23346.314999999999"/>
    <n v="23820.656000000003"/>
    <n v="23989.021000000012"/>
    <n v="80"/>
    <n v="3.4528151233302403E-3"/>
  </r>
  <r>
    <x v="1012"/>
    <n v="23296.75"/>
    <n v="23546.799999999999"/>
    <n v="23277.4"/>
    <n v="23508.400000000001"/>
    <n v="326919177"/>
    <n v="28638.01"/>
    <n v="23299.357500000002"/>
    <n v="23815.276000000002"/>
    <n v="23992.671500000008"/>
    <n v="211.65000000000146"/>
    <n v="9.0849582023244217E-3"/>
  </r>
  <r>
    <x v="1013"/>
    <n v="23528.6"/>
    <n v="23632.45"/>
    <n v="23318.3"/>
    <n v="23482.15"/>
    <n v="287703637"/>
    <n v="25741.040000000001"/>
    <n v="23274.54"/>
    <n v="23818.445999999996"/>
    <n v="23998.85100000001"/>
    <n v="-46.44999999999709"/>
    <n v="-1.9741931096621599E-3"/>
  </r>
  <r>
    <x v="1014"/>
    <n v="23319.35"/>
    <n v="23381.599999999999"/>
    <n v="23222"/>
    <n v="23361.05"/>
    <n v="347241171"/>
    <n v="32019.13"/>
    <n v="23267.845000000001"/>
    <n v="23809.944"/>
    <n v="24005.522250000005"/>
    <n v="41.700000000000728"/>
    <n v="1.7882145085519421E-3"/>
  </r>
  <r>
    <x v="1015"/>
    <n v="23509.9"/>
    <n v="23762.75"/>
    <n v="23423.15"/>
    <n v="23739.25"/>
    <n v="376742506"/>
    <n v="35974.300000000003"/>
    <n v="23250.502500000002"/>
    <n v="23792.726999999999"/>
    <n v="24012.348250000006"/>
    <n v="229.34999999999854"/>
    <n v="9.7554647191182668E-3"/>
  </r>
  <r>
    <x v="1016"/>
    <n v="23801.75"/>
    <n v="23807.3"/>
    <n v="23680.45"/>
    <n v="23696.3"/>
    <n v="267014345"/>
    <n v="25806.44"/>
    <n v="23253.017500000002"/>
    <n v="23783.621999999996"/>
    <n v="24020.309500000007"/>
    <n v="-105.45000000000073"/>
    <n v="-4.4303465081349368E-3"/>
  </r>
  <r>
    <x v="1017"/>
    <n v="23761.95"/>
    <n v="23773.55"/>
    <n v="23556.25"/>
    <n v="23603.35"/>
    <n v="306978683"/>
    <n v="30885.59"/>
    <n v="23261.5075"/>
    <n v="23772.05"/>
    <n v="24027.109000000004"/>
    <n v="-158.60000000000218"/>
    <n v="-6.6745363911632745E-3"/>
  </r>
  <r>
    <x v="1018"/>
    <n v="23649.5"/>
    <n v="23694.5"/>
    <n v="23443.200000000001"/>
    <n v="23559.95"/>
    <n v="368092482"/>
    <n v="30042"/>
    <n v="23270.1"/>
    <n v="23765.834000000003"/>
    <n v="24033.285749999995"/>
    <n v="-89.549999999999272"/>
    <n v="-3.7865493985073371E-3"/>
  </r>
  <r>
    <x v="1019"/>
    <n v="23543.8"/>
    <n v="23568.6"/>
    <n v="23316.3"/>
    <n v="23381.599999999999"/>
    <n v="225529166"/>
    <n v="21254.720000000001"/>
    <n v="23293.8"/>
    <n v="23754.411"/>
    <n v="24039.073500000002"/>
    <n v="-162.20000000000073"/>
    <n v="-6.8892872008766946E-3"/>
  </r>
  <r>
    <x v="1020"/>
    <n v="23383.55"/>
    <n v="23390.05"/>
    <n v="22986.65"/>
    <n v="23071.8"/>
    <n v="267969979"/>
    <n v="27191.96"/>
    <n v="23304.077499999999"/>
    <n v="23736.522000000008"/>
    <n v="24043.129749999996"/>
    <n v="-311.75"/>
    <n v="-1.3332021870075331E-2"/>
  </r>
  <r>
    <x v="1021"/>
    <n v="23050.799999999999"/>
    <n v="23144.7"/>
    <n v="22798.35"/>
    <n v="23045.25"/>
    <n v="279656513"/>
    <n v="26989.94"/>
    <n v="23297.0075"/>
    <n v="23708.815000000006"/>
    <n v="24046.388999999996"/>
    <n v="-5.5499999999992724"/>
    <n v="-2.4077255453169836E-4"/>
  </r>
  <r>
    <x v="1022"/>
    <n v="23055.75"/>
    <n v="23235.5"/>
    <n v="22992.2"/>
    <n v="23031.4"/>
    <n v="265706855"/>
    <n v="25218.86"/>
    <n v="23283.68"/>
    <n v="23680.371000000006"/>
    <n v="24048.398249999987"/>
    <n v="-24.349999999998545"/>
    <n v="-1.056135671144879E-3"/>
  </r>
  <r>
    <x v="1023"/>
    <n v="23096.45"/>
    <n v="23133.7"/>
    <n v="22774.85"/>
    <n v="22929.25"/>
    <n v="254479643"/>
    <n v="22049.89"/>
    <n v="23275.09"/>
    <n v="23646.831000000002"/>
    <n v="24050.530999999995"/>
    <n v="-167.20000000000073"/>
    <n v="-7.2392077570362862E-3"/>
  </r>
  <r>
    <x v="1024"/>
    <n v="22809.9"/>
    <n v="22974.2"/>
    <n v="22725.45"/>
    <n v="22959.5"/>
    <n v="207393944"/>
    <n v="19809.439999999999"/>
    <n v="23254.314999999999"/>
    <n v="23611.860000000004"/>
    <n v="24051.936249999992"/>
    <n v="149.59999999999854"/>
    <n v="6.5585557148430526E-3"/>
  </r>
  <r>
    <x v="1025"/>
    <n v="22963.65"/>
    <n v="22992.5"/>
    <n v="22801.5"/>
    <n v="22945.3"/>
    <n v="210616675"/>
    <n v="19431.37"/>
    <n v="23251.057499999999"/>
    <n v="23578.670000000006"/>
    <n v="24054.354499999994"/>
    <n v="-18.350000000002183"/>
    <n v="-7.9908899499871243E-4"/>
  </r>
  <r>
    <x v="1026"/>
    <n v="22847.25"/>
    <n v="23049.95"/>
    <n v="22814.85"/>
    <n v="22932.9"/>
    <n v="206999204"/>
    <n v="19817.93"/>
    <n v="23240.555"/>
    <n v="23545.375"/>
    <n v="24056.867499999989"/>
    <n v="85.650000000001455"/>
    <n v="3.7488100318419705E-3"/>
  </r>
  <r>
    <x v="1027"/>
    <n v="22821.1"/>
    <n v="22923.85"/>
    <n v="22812.75"/>
    <n v="22913.15"/>
    <n v="240836647"/>
    <n v="21303.88"/>
    <n v="23226.932499999999"/>
    <n v="23511.196999999996"/>
    <n v="24060.019499999991"/>
    <n v="92.05000000000291"/>
    <n v="4.0335479008462745E-3"/>
  </r>
  <r>
    <x v="1028"/>
    <n v="22857.200000000001"/>
    <n v="22921"/>
    <n v="22720.3"/>
    <n v="22795.9"/>
    <n v="242753984"/>
    <n v="21994.37"/>
    <n v="23217.980000000003"/>
    <n v="23478.485999999997"/>
    <n v="24063.072749999996"/>
    <n v="-61.299999999999272"/>
    <n v="-2.6818682953292298E-3"/>
  </r>
  <r>
    <x v="1029"/>
    <n v="22609.35"/>
    <n v="22668.05"/>
    <n v="22518.799999999999"/>
    <n v="22553.35"/>
    <n v="214317552"/>
    <n v="20772.95"/>
    <n v="23216.317500000005"/>
    <n v="23439.037999999997"/>
    <n v="24067.264749999995"/>
    <n v="-56"/>
    <n v="-2.4768513911280071E-3"/>
  </r>
  <r>
    <x v="1030"/>
    <n v="22516.45"/>
    <n v="22625.3"/>
    <n v="22513.9"/>
    <n v="22547.55"/>
    <n v="250279519"/>
    <n v="24917.83"/>
    <n v="23196.122500000005"/>
    <n v="23396.739999999994"/>
    <n v="24069.755499999999"/>
    <n v="31.099999999998545"/>
    <n v="1.3812124024878941E-3"/>
  </r>
  <r>
    <x v="1031"/>
    <n v="22568.95"/>
    <n v="22613.3"/>
    <n v="22508.400000000001"/>
    <n v="22545.05"/>
    <n v="289230479"/>
    <n v="29775.64"/>
    <n v="23165.345000000001"/>
    <n v="23360.971000000001"/>
    <n v="24071.972999999994"/>
    <n v="-23.900000000001455"/>
    <n v="-1.058977045897193E-3"/>
  </r>
  <r>
    <x v="1032"/>
    <n v="22433.4"/>
    <n v="22450.35"/>
    <n v="22104.85"/>
    <n v="22124.7"/>
    <n v="551285287"/>
    <n v="52745.2"/>
    <n v="23130.122500000001"/>
    <n v="23327.895"/>
    <n v="24073.608999999993"/>
    <n v="-308.70000000000073"/>
    <n v="-1.3760731766027472E-2"/>
  </r>
  <r>
    <x v="1033"/>
    <n v="22194.55"/>
    <n v="22261.55"/>
    <n v="22004.7"/>
    <n v="22119.3"/>
    <n v="282399735"/>
    <n v="25942.05"/>
    <n v="23060.9375"/>
    <n v="23291.355000000003"/>
    <n v="24073.229749999995"/>
    <n v="-75.25"/>
    <n v="-3.3904719852396199E-3"/>
  </r>
  <r>
    <x v="1034"/>
    <n v="21974.45"/>
    <n v="22105.05"/>
    <n v="21964.6"/>
    <n v="22082.65"/>
    <n v="253260641"/>
    <n v="22979.56"/>
    <n v="22992.795000000002"/>
    <n v="23261.991000000005"/>
    <n v="24071.806999999997"/>
    <n v="108.20000000000073"/>
    <n v="4.9239002568892843E-3"/>
  </r>
  <r>
    <x v="1035"/>
    <n v="22073.05"/>
    <n v="22394.9"/>
    <n v="22067.8"/>
    <n v="22337.3"/>
    <n v="305942691"/>
    <n v="26371.61"/>
    <n v="22928.875"/>
    <n v="23228.575000000004"/>
    <n v="24069.889750000002"/>
    <n v="264.25"/>
    <n v="1.1971612441416117E-2"/>
  </r>
  <r>
    <x v="1036"/>
    <n v="22476.35"/>
    <n v="22556.45"/>
    <n v="22245.85"/>
    <n v="22544.7"/>
    <n v="372083680"/>
    <n v="30550.28"/>
    <n v="22858.7775"/>
    <n v="23200.768000000004"/>
    <n v="24069.06625"/>
    <n v="68.350000000002183"/>
    <n v="3.0409741795265773E-3"/>
  </r>
  <r>
    <x v="1037"/>
    <n v="22508.65"/>
    <n v="22633.8"/>
    <n v="22464.75"/>
    <n v="22552.5"/>
    <n v="289765795"/>
    <n v="21446.95"/>
    <n v="22801.197499999998"/>
    <n v="23176.658000000003"/>
    <n v="24069.144500000002"/>
    <n v="43.849999999998545"/>
    <n v="1.9481399373129239E-3"/>
  </r>
  <r>
    <x v="1038"/>
    <n v="22521.85"/>
    <n v="22676.75"/>
    <n v="22429.05"/>
    <n v="22460.3"/>
    <n v="293855491"/>
    <n v="22330.86"/>
    <n v="22748.654999999999"/>
    <n v="23151.440000000006"/>
    <n v="24068.918000000001"/>
    <n v="-61.549999999999272"/>
    <n v="-2.7329016044418766E-3"/>
  </r>
  <r>
    <x v="1039"/>
    <n v="22345.95"/>
    <n v="22522.1"/>
    <n v="22314.7"/>
    <n v="22497.9"/>
    <n v="347924102"/>
    <n v="29208.22"/>
    <n v="22693.672499999997"/>
    <n v="23127.748000000007"/>
    <n v="24066.381249999999"/>
    <n v="151.95000000000073"/>
    <n v="6.7998899129372761E-3"/>
  </r>
  <r>
    <x v="1040"/>
    <n v="22536.35"/>
    <n v="22577.4"/>
    <n v="22329.55"/>
    <n v="22470.5"/>
    <n v="369736725"/>
    <n v="33406.410000000003"/>
    <n v="22649.487499999999"/>
    <n v="23104.810000000005"/>
    <n v="24064.08525"/>
    <n v="-65.849999999998545"/>
    <n v="-2.9219461004110492E-3"/>
  </r>
  <r>
    <x v="1041"/>
    <n v="22541.5"/>
    <n v="22558.05"/>
    <n v="22377.35"/>
    <n v="22397.200000000001"/>
    <n v="287535243"/>
    <n v="22855.58"/>
    <n v="22619.422500000001"/>
    <n v="23079.362000000008"/>
    <n v="24061.7755"/>
    <n v="-144.29999999999927"/>
    <n v="-6.4015260741299056E-3"/>
  </r>
  <r>
    <x v="1042"/>
    <n v="22353.15"/>
    <n v="22577"/>
    <n v="22353.15"/>
    <n v="22508.75"/>
    <n v="251102239"/>
    <n v="24122.27"/>
    <n v="22587.02"/>
    <n v="23043.533000000007"/>
    <n v="24059.320749999999"/>
    <n v="155.59999999999854"/>
    <n v="6.9609876012999752E-3"/>
  </r>
  <r>
    <x v="1043"/>
    <n v="22662.25"/>
    <n v="22857.8"/>
    <n v="22599.200000000001"/>
    <n v="22834.3"/>
    <n v="272578844"/>
    <n v="26387.47"/>
    <n v="22560.887500000001"/>
    <n v="23013.613000000001"/>
    <n v="24058.340999999997"/>
    <n v="172.04999999999927"/>
    <n v="7.5919204845061403E-3"/>
  </r>
  <r>
    <x v="1044"/>
    <n v="22874.95"/>
    <n v="22940.7"/>
    <n v="22807.95"/>
    <n v="22907.599999999999"/>
    <n v="323992121"/>
    <n v="26994.95"/>
    <n v="22556.14"/>
    <n v="22997.978000000003"/>
    <n v="24060.069249999997"/>
    <n v="32.649999999997817"/>
    <n v="1.4273255242087007E-3"/>
  </r>
  <r>
    <x v="1045"/>
    <n v="23036.6"/>
    <n v="23216.7"/>
    <n v="22973.95"/>
    <n v="23190.65"/>
    <n v="313729818"/>
    <n v="27573.99"/>
    <n v="22553.544999999998"/>
    <n v="22981.972000000012"/>
    <n v="24061.953749999997"/>
    <n v="154.05000000000291"/>
    <n v="6.687184740803891E-3"/>
  </r>
  <r>
    <x v="1046"/>
    <n v="23168.25"/>
    <n v="23402.7"/>
    <n v="23132.799999999999"/>
    <n v="23350.400000000001"/>
    <n v="540966316"/>
    <n v="51005.67"/>
    <n v="22565.812500000004"/>
    <n v="22972.006000000005"/>
    <n v="24061.587499999994"/>
    <n v="182.15000000000146"/>
    <n v="7.8620525935278428E-3"/>
  </r>
  <r>
    <x v="1047"/>
    <n v="23515.4"/>
    <n v="23708.75"/>
    <n v="23433.5"/>
    <n v="23658.35"/>
    <n v="311900413"/>
    <n v="28871.35"/>
    <n v="22586.687500000004"/>
    <n v="22968.484000000008"/>
    <n v="24068.917000000001"/>
    <n v="142.94999999999709"/>
    <n v="6.0789950415471175E-3"/>
  </r>
  <r>
    <x v="1048"/>
    <n v="23751.5"/>
    <n v="23869.599999999999"/>
    <n v="23601.4"/>
    <n v="23668.65"/>
    <n v="338216746"/>
    <n v="35415.03"/>
    <n v="22623.947500000002"/>
    <n v="22973.021000000004"/>
    <n v="24074.107000000004"/>
    <n v="-82.849999999998545"/>
    <n v="-3.4882007452160303E-3"/>
  </r>
  <r>
    <x v="1049"/>
    <n v="23700.95"/>
    <n v="23736.5"/>
    <n v="23451.7"/>
    <n v="23486.85"/>
    <n v="278590831"/>
    <n v="26877.279999999999"/>
    <n v="22667.584999999999"/>
    <n v="22984.674999999999"/>
    <n v="24078.343250000002"/>
    <n v="-214.10000000000218"/>
    <n v="-9.0333931762229865E-3"/>
  </r>
  <r>
    <x v="1050"/>
    <n v="23433.95"/>
    <n v="23646.45"/>
    <n v="23412.2"/>
    <n v="23591.95"/>
    <n v="510302142"/>
    <n v="46481.84"/>
    <n v="22714.26"/>
    <n v="22990.891000000007"/>
    <n v="24079.326749999997"/>
    <n v="158"/>
    <n v="6.7423545753063398E-3"/>
  </r>
  <r>
    <x v="1051"/>
    <n v="23600.400000000001"/>
    <n v="23649.200000000001"/>
    <n v="23450.2"/>
    <n v="23519.35"/>
    <n v="387455531"/>
    <n v="29156.37"/>
    <n v="22766.48"/>
    <n v="22998.466000000004"/>
    <n v="24080.9905"/>
    <n v="-81.05000000000291"/>
    <n v="-3.4342638260369701E-3"/>
  </r>
  <r>
    <x v="1052"/>
    <n v="23341.1"/>
    <n v="23565.15"/>
    <n v="23136.400000000001"/>
    <n v="23165.7"/>
    <n v="375118343"/>
    <n v="30680.7"/>
    <n v="22815.195"/>
    <n v="23002.617000000006"/>
    <n v="24082.262999999992"/>
    <n v="-175.39999999999782"/>
    <n v="-7.5146415550251628E-3"/>
  </r>
  <r>
    <x v="1053"/>
    <n v="23192.6"/>
    <n v="23350"/>
    <n v="23158.45"/>
    <n v="23332.35"/>
    <n v="340970371"/>
    <n v="24334.3"/>
    <n v="22867.245000000003"/>
    <n v="23001.867000000006"/>
    <n v="24081.476749999998"/>
    <n v="139.75"/>
    <n v="6.0256288643791558E-3"/>
  </r>
  <r>
    <x v="1054"/>
    <n v="23150.3"/>
    <n v="23306.5"/>
    <n v="23145.8"/>
    <n v="23250.1"/>
    <n v="283196379"/>
    <n v="23501.33"/>
    <n v="22927.897499999999"/>
    <n v="23001.61900000001"/>
    <n v="24081.143999999993"/>
    <n v="99.799999999999272"/>
    <n v="4.3109592532277891E-3"/>
  </r>
  <r>
    <x v="1055"/>
    <n v="23190.400000000001"/>
    <n v="23214.7"/>
    <n v="22857.45"/>
    <n v="22904.45"/>
    <n v="466776198"/>
    <n v="33761.96"/>
    <n v="22986.269999999997"/>
    <n v="23006.128000000008"/>
    <n v="24080.06649999999"/>
    <n v="-285.95000000000073"/>
    <n v="-1.2330533324134155E-2"/>
  </r>
  <r>
    <x v="1056"/>
    <n v="21758.400000000001"/>
    <n v="22254"/>
    <n v="21743.65"/>
    <n v="22161.599999999999"/>
    <n v="647107618"/>
    <n v="49172.14"/>
    <n v="23014.627499999995"/>
    <n v="23001.110000000004"/>
    <n v="24076.799249999989"/>
    <n v="403.19999999999709"/>
    <n v="1.8530774321641161E-2"/>
  </r>
  <r>
    <x v="1057"/>
    <n v="22446.75"/>
    <n v="22697.200000000001"/>
    <n v="22270.85"/>
    <n v="22535.85"/>
    <n v="468250807"/>
    <n v="37226.82"/>
    <n v="22995.472499999996"/>
    <n v="22980.235000000008"/>
    <n v="24070.027249999988"/>
    <n v="89.099999999998545"/>
    <n v="3.9693942330180781E-3"/>
  </r>
  <r>
    <x v="1058"/>
    <n v="22460.3"/>
    <n v="22468.7"/>
    <n v="22353.25"/>
    <n v="22399.15"/>
    <n v="383822618"/>
    <n v="28996.55"/>
    <n v="22994.639999999992"/>
    <n v="22969.108000000007"/>
    <n v="24064.87149999999"/>
    <n v="-61.149999999997817"/>
    <n v="-2.7225816217948031E-3"/>
  </r>
  <r>
    <x v="1059"/>
    <n v="22695.4"/>
    <n v="22923.9"/>
    <n v="22695.4"/>
    <n v="22828.55"/>
    <n v="402162001"/>
    <n v="33683.599999999999"/>
    <n v="22991.582499999997"/>
    <n v="22960.508000000002"/>
    <n v="24059.361749999989"/>
    <n v="133.14999999999782"/>
    <n v="5.8668276390809503E-3"/>
  </r>
  <r>
    <x v="1060"/>
    <n v="23368.35"/>
    <n v="23368.35"/>
    <n v="23207"/>
    <n v="23328.55"/>
    <n v="388321931"/>
    <n v="34216.17"/>
    <n v="23008.114999999998"/>
    <n v="22957.934000000005"/>
    <n v="24055.815249999989"/>
    <n v="-39.799999999999272"/>
    <n v="-1.7031583316750765E-3"/>
  </r>
  <r>
    <x v="1061"/>
    <n v="23344.1"/>
    <n v="23452.2"/>
    <n v="23273.05"/>
    <n v="23437.200000000001"/>
    <n v="348424960"/>
    <n v="28102.36"/>
    <n v="23051.017499999994"/>
    <n v="22961.243000000002"/>
    <n v="24053.851499999986"/>
    <n v="93.100000000002183"/>
    <n v="3.9881597491444173E-3"/>
  </r>
  <r>
    <x v="1062"/>
    <n v="23401.85"/>
    <n v="23872.35"/>
    <n v="23298.55"/>
    <n v="23851.65"/>
    <n v="505333905"/>
    <n v="38450.089999999997"/>
    <n v="23103.017499999998"/>
    <n v="22964.996999999996"/>
    <n v="24051.693499999987"/>
    <n v="449.80000000000291"/>
    <n v="1.9220702636757476E-2"/>
  </r>
  <r>
    <x v="1063"/>
    <n v="23949.15"/>
    <n v="24189.55"/>
    <n v="23903.65"/>
    <n v="24125.55"/>
    <n v="406145632"/>
    <n v="33125.620000000003"/>
    <n v="23170.162499999999"/>
    <n v="22971.861999999994"/>
    <n v="24050.729249999986"/>
    <n v="176.39999999999782"/>
    <n v="7.3656058774527614E-3"/>
  </r>
  <r>
    <x v="1064"/>
    <n v="24185.4"/>
    <n v="24242.6"/>
    <n v="24072"/>
    <n v="24167.25"/>
    <n v="440940490"/>
    <n v="35479.29"/>
    <n v="23234.724999999999"/>
    <n v="22984.729999999996"/>
    <n v="24051.303999999986"/>
    <n v="-18.150000000001455"/>
    <n v="-7.5045275248709778E-4"/>
  </r>
  <r>
    <x v="1065"/>
    <n v="24357.599999999999"/>
    <n v="24359.3"/>
    <n v="24119.95"/>
    <n v="24328.95"/>
    <n v="415042544"/>
    <n v="34527.08"/>
    <n v="23297.7075"/>
    <n v="23000.853999999996"/>
    <n v="24051.430499999988"/>
    <n v="-28.649999999997817"/>
    <n v="-1.1762242585475506E-3"/>
  </r>
  <r>
    <x v="1066"/>
    <n v="24277.9"/>
    <n v="24347.85"/>
    <n v="24216.15"/>
    <n v="24246.7"/>
    <n v="358768165"/>
    <n v="33057.29"/>
    <n v="23354.622500000005"/>
    <n v="23012.647999999997"/>
    <n v="24052.455999999987"/>
    <n v="-31.200000000000728"/>
    <n v="-1.2851193884150082E-3"/>
  </r>
  <r>
    <x v="1067"/>
    <n v="24289"/>
    <n v="24365.45"/>
    <n v="23847.85"/>
    <n v="24039.35"/>
    <n v="387741866"/>
    <n v="33430.86"/>
    <n v="23399.437500000004"/>
    <n v="23023.655999999992"/>
    <n v="24052.256999999987"/>
    <n v="-249.65000000000146"/>
    <n v="-1.0278315286755381E-2"/>
  </r>
  <r>
    <x v="1068"/>
    <n v="24070.25"/>
    <n v="24355.1"/>
    <n v="24054.05"/>
    <n v="24328.5"/>
    <n v="320467976"/>
    <n v="28278.82"/>
    <n v="23418.487499999999"/>
    <n v="23032.375999999997"/>
    <n v="24050.942999999985"/>
    <n v="258.25"/>
    <n v="1.0729011954591248E-2"/>
  </r>
  <r>
    <x v="1069"/>
    <n v="24370.7"/>
    <n v="24457.65"/>
    <n v="24290.75"/>
    <n v="24335.95"/>
    <n v="357563224"/>
    <n v="30436.880000000001"/>
    <n v="23451.480000000003"/>
    <n v="23047.747000000003"/>
    <n v="24050.966249999987"/>
    <n v="-34.75"/>
    <n v="-1.4258925677145095E-3"/>
  </r>
  <r>
    <x v="1070"/>
    <n v="24342.05"/>
    <n v="24396.15"/>
    <n v="24198.75"/>
    <n v="24334.2"/>
    <n v="424452559"/>
    <n v="41073.480000000003"/>
    <n v="23493.935000000001"/>
    <n v="23066.833999999999"/>
    <n v="24051.043249999988"/>
    <n v="-7.8499999999985448"/>
    <n v="-3.2248721861957171E-4"/>
  </r>
  <r>
    <x v="1071"/>
    <n v="24311.9"/>
    <n v="24589.15"/>
    <n v="24238.5"/>
    <n v="24346.7"/>
    <n v="421112627"/>
    <n v="34043.269999999997"/>
    <n v="23531.047500000001"/>
    <n v="23092.081999999999"/>
    <n v="24050.548249999989"/>
    <n v="34.799999999999272"/>
    <n v="1.4313977928503848E-3"/>
  </r>
  <r>
    <x v="1072"/>
    <n v="24419.5"/>
    <n v="24526.400000000001"/>
    <n v="24400.65"/>
    <n v="24461.15"/>
    <n v="291471628"/>
    <n v="26918.36"/>
    <n v="23572.415000000001"/>
    <n v="23118.11099999999"/>
    <n v="24050.659499999994"/>
    <n v="41.650000000001455"/>
    <n v="1.705604127848705E-3"/>
  </r>
  <r>
    <x v="1073"/>
    <n v="24500.75"/>
    <n v="24509.65"/>
    <n v="24331.8"/>
    <n v="24379.599999999999"/>
    <n v="302354059"/>
    <n v="26481.15"/>
    <n v="23637.187500000004"/>
    <n v="23146.705999999991"/>
    <n v="24051.385499999989"/>
    <n v="-121.15000000000146"/>
    <n v="-4.9447465893901798E-3"/>
  </r>
  <r>
    <x v="1074"/>
    <n v="24233.3"/>
    <n v="24449.599999999999"/>
    <n v="24220"/>
    <n v="24414.400000000001"/>
    <n v="330137191"/>
    <n v="27648.34"/>
    <n v="23689.55"/>
    <n v="23175.712999999992"/>
    <n v="24050.772749999989"/>
    <n v="181.10000000000218"/>
    <n v="7.4731877210285928E-3"/>
  </r>
  <r>
    <x v="1075"/>
    <n v="24431.5"/>
    <n v="24447.25"/>
    <n v="24150.2"/>
    <n v="24273.8"/>
    <n v="411362230"/>
    <n v="36893.06"/>
    <n v="23747.765000000003"/>
    <n v="23204.810999999991"/>
    <n v="24049.91124999999"/>
    <n v="-157.70000000000073"/>
    <n v="-6.4547817366924142E-3"/>
  </r>
  <r>
    <x v="1076"/>
    <n v="23935.75"/>
    <n v="24164.25"/>
    <n v="23935.75"/>
    <n v="24008"/>
    <n v="335550680"/>
    <n v="28942.61"/>
    <n v="23816.232500000006"/>
    <n v="23231.380999999998"/>
    <n v="24048.21524999999"/>
    <n v="72.25"/>
    <n v="3.0184974358438738E-3"/>
  </r>
  <r>
    <x v="1077"/>
    <n v="24420.1"/>
    <n v="24944.799999999999"/>
    <n v="24378.85"/>
    <n v="24924.7"/>
    <n v="368707684"/>
    <n v="30362.27"/>
    <n v="23908.552500000002"/>
    <n v="23252.882999999994"/>
    <n v="24044.250999999993"/>
    <n v="504.60000000000218"/>
    <n v="2.0663306047067873E-2"/>
  </r>
  <r>
    <x v="1078"/>
    <n v="24864.05"/>
    <n v="24973.8"/>
    <n v="24547.5"/>
    <n v="24578.35"/>
    <n v="422977876"/>
    <n v="34576.660000000003"/>
    <n v="24027.995000000003"/>
    <n v="23293.113999999994"/>
    <n v="24046.219999999994"/>
    <n v="-285.70000000000073"/>
    <n v="-1.1490485258837588E-2"/>
  </r>
  <r>
    <x v="1079"/>
    <n v="24613.8"/>
    <n v="24767.55"/>
    <n v="24535.55"/>
    <n v="24666.9"/>
    <n v="345490805"/>
    <n v="25585.37"/>
    <n v="24136.955000000002"/>
    <n v="23328.762999999992"/>
    <n v="24046.565499999993"/>
    <n v="53.100000000002183"/>
    <n v="2.1573263778856652E-3"/>
  </r>
  <r>
    <x v="1080"/>
    <n v="24694.45"/>
    <n v="25116.25"/>
    <n v="24494.45"/>
    <n v="25062.1"/>
    <n v="500821889"/>
    <n v="44147.39"/>
    <n v="24228.872500000005"/>
    <n v="23371.033999999996"/>
    <n v="24047.504749999996"/>
    <n v="367.64999999999782"/>
    <n v="1.4887960655126873E-2"/>
  </r>
  <r>
    <x v="1081"/>
    <n v="25064.65"/>
    <n v="25070"/>
    <n v="24953.05"/>
    <n v="25019.8"/>
    <n v="432717092"/>
    <n v="43815.86"/>
    <n v="24315.550000000003"/>
    <n v="23421.324999999997"/>
    <n v="24050.747749999995"/>
    <n v="-44.850000000002183"/>
    <n v="-1.7893726822438046E-3"/>
  </r>
  <r>
    <x v="1082"/>
    <n v="25005.35"/>
    <n v="25062.95"/>
    <n v="24916.65"/>
    <n v="24945.45"/>
    <n v="255254340"/>
    <n v="21598.6"/>
    <n v="24394.68"/>
    <n v="23470.82"/>
    <n v="24053.81625"/>
    <n v="-59.899999999997817"/>
    <n v="-2.3954873657036522E-3"/>
  </r>
  <r>
    <x v="1083"/>
    <n v="24996.2"/>
    <n v="25010.35"/>
    <n v="24669.7"/>
    <n v="24683.9"/>
    <n v="414799113"/>
    <n v="31063.03"/>
    <n v="24449.370000000003"/>
    <n v="23527.235000000001"/>
    <n v="24054.369250000003"/>
    <n v="-312.29999999999927"/>
    <n v="-1.2493899072659015E-2"/>
  </r>
  <r>
    <x v="1084"/>
    <n v="24744.25"/>
    <n v="24946.2"/>
    <n v="24685.35"/>
    <n v="24813.45"/>
    <n v="332724952"/>
    <n v="23179.85"/>
    <n v="24477.287500000002"/>
    <n v="23578.526999999998"/>
    <n v="24053.608250000001"/>
    <n v="69.200000000000728"/>
    <n v="2.7966093132748308E-3"/>
  </r>
  <r>
    <x v="1085"/>
    <n v="24733.95"/>
    <n v="24737.5"/>
    <n v="24462.400000000001"/>
    <n v="24609.7"/>
    <n v="403279638"/>
    <n v="30579.52"/>
    <n v="24509.5975"/>
    <n v="23633.142999999993"/>
    <n v="24053.38900000001"/>
    <n v="-124.25"/>
    <n v="-5.0234596576769989E-3"/>
  </r>
  <r>
    <x v="1086"/>
    <n v="24639.5"/>
    <n v="24909.05"/>
    <n v="24614.05"/>
    <n v="24853.15"/>
    <n v="270470348"/>
    <n v="20200.73"/>
    <n v="24523.635000000002"/>
    <n v="23678.590999999993"/>
    <n v="24051.681750000007"/>
    <n v="213.65000000000146"/>
    <n v="8.6710363440817163E-3"/>
  </r>
  <r>
    <x v="1087"/>
    <n v="24919.35"/>
    <n v="25079.200000000001"/>
    <n v="24900.5"/>
    <n v="25001.15"/>
    <n v="302799227"/>
    <n v="20060.68"/>
    <n v="24553.9575"/>
    <n v="23724.759999999991"/>
    <n v="24050.893000000007"/>
    <n v="81.80000000000291"/>
    <n v="3.2825896341599167E-3"/>
  </r>
  <r>
    <x v="1088"/>
    <n v="24956.65"/>
    <n v="25062.9"/>
    <n v="24704.1"/>
    <n v="24826.2"/>
    <n v="525653668"/>
    <n v="33638.300000000003"/>
    <n v="24602.047500000004"/>
    <n v="23773.732999999989"/>
    <n v="24052.31025000001"/>
    <n v="-130.45000000000073"/>
    <n v="-5.2270637285052567E-3"/>
  </r>
  <r>
    <x v="1089"/>
    <n v="24832.5"/>
    <n v="24864.25"/>
    <n v="24737.05"/>
    <n v="24752.45"/>
    <n v="684425321"/>
    <n v="37143.550000000003"/>
    <n v="24626.932500000003"/>
    <n v="23821.050999999989"/>
    <n v="24056.163250000005"/>
    <n v="-80.049999999999272"/>
    <n v="-3.2235981073190081E-3"/>
  </r>
  <r>
    <x v="1090"/>
    <n v="24825.1"/>
    <n v="24892.6"/>
    <n v="24677.3"/>
    <n v="24833.599999999999"/>
    <n v="345370611"/>
    <n v="29730.05"/>
    <n v="24647.757500000003"/>
    <n v="23866.141999999989"/>
    <n v="24059.96275000001"/>
    <n v="8.5"/>
    <n v="3.4239539820584813E-4"/>
  </r>
  <r>
    <x v="1091"/>
    <n v="24812.6"/>
    <n v="24863.95"/>
    <n v="24717.4"/>
    <n v="24750.7"/>
    <n v="853890978"/>
    <n v="52247.87"/>
    <n v="24672.727500000008"/>
    <n v="23913.403999999991"/>
    <n v="24062.643250000008"/>
    <n v="-61.899999999997817"/>
    <n v="-2.4947002732481813E-3"/>
  </r>
  <r>
    <x v="1092"/>
    <n v="24669.7"/>
    <n v="24754.400000000001"/>
    <n v="24526.15"/>
    <n v="24716.6"/>
    <n v="311100908"/>
    <n v="25091.040000000001"/>
    <n v="24692.927500000005"/>
    <n v="23960.473999999991"/>
    <n v="24065.811750000008"/>
    <n v="46.899999999997817"/>
    <n v="1.90111756527229E-3"/>
  </r>
  <r>
    <x v="1093"/>
    <n v="24786.3"/>
    <n v="24845.1"/>
    <n v="24502.15"/>
    <n v="24542.5"/>
    <n v="349288937"/>
    <n v="28906.400000000001"/>
    <n v="24705.700000000004"/>
    <n v="24004.63099999999"/>
    <n v="24067.557250000009"/>
    <n v="-243.79999999999927"/>
    <n v="-9.8360788015960134E-3"/>
  </r>
  <r>
    <x v="1094"/>
    <n v="24560.45"/>
    <n v="24644.25"/>
    <n v="24530.45"/>
    <n v="24620.2"/>
    <n v="280862575"/>
    <n v="21907.07"/>
    <n v="24713.845000000001"/>
    <n v="24038.794999999995"/>
    <n v="24068.53475000001"/>
    <n v="59.75"/>
    <n v="2.4327730151524098E-3"/>
  </r>
  <r>
    <x v="1095"/>
    <n v="24691.200000000001"/>
    <n v="24899.85"/>
    <n v="24613.1"/>
    <n v="24750.9"/>
    <n v="388405978"/>
    <n v="30186.46"/>
    <n v="24724.135000000002"/>
    <n v="24073.046999999999"/>
    <n v="24070.940750000012"/>
    <n v="59.700000000000728"/>
    <n v="2.4178654743390654E-3"/>
  </r>
  <r>
    <x v="1096"/>
    <n v="24748.7"/>
    <n v="25029.5"/>
    <n v="24671.45"/>
    <n v="25003.05"/>
    <n v="335581057"/>
    <n v="30041.71"/>
    <n v="24747.99"/>
    <n v="24104.251999999997"/>
    <n v="24073.976500000012"/>
    <n v="254.34999999999854"/>
    <n v="1.0277307494939068E-2"/>
  </r>
  <r>
    <x v="1097"/>
    <n v="25160.1"/>
    <n v="25160.1"/>
    <n v="25077.15"/>
    <n v="25103.200000000001"/>
    <n v="279219989"/>
    <n v="25606.21"/>
    <n v="24797.7425"/>
    <n v="24137.304999999997"/>
    <n v="24076.286000000011"/>
    <n v="-56.899999999997817"/>
    <n v="-2.2615172435720772E-3"/>
  </r>
  <r>
    <x v="1098"/>
    <n v="25196.05"/>
    <n v="25199.3"/>
    <n v="25055.45"/>
    <n v="25104.25"/>
    <n v="307323471"/>
    <n v="28813.93"/>
    <n v="24806.667500000003"/>
    <n v="24166.201999999997"/>
    <n v="24078.938750000016"/>
    <n v="-91.799999999999272"/>
    <n v="-3.6434282357750234E-3"/>
  </r>
  <r>
    <x v="1099"/>
    <n v="25134.15"/>
    <n v="25222.400000000001"/>
    <n v="25081.3"/>
    <n v="25141.4"/>
    <n v="301245273"/>
    <n v="25871.18"/>
    <n v="24832.962500000001"/>
    <n v="24194.913999999993"/>
    <n v="24080.96575000001"/>
    <n v="7.25"/>
    <n v="2.8845216567896666E-4"/>
  </r>
  <r>
    <x v="1100"/>
    <n v="25164.45"/>
    <n v="25196.2"/>
    <n v="24825.9"/>
    <n v="24888.2"/>
    <n v="328310748"/>
    <n v="29573.27"/>
    <n v="24856.687500000004"/>
    <n v="24228.00499999999"/>
    <n v="24082.821750000014"/>
    <n v="-276.25"/>
    <n v="-1.0977788109813645E-2"/>
  </r>
  <r>
    <x v="1101"/>
    <n v="24473"/>
    <n v="24754.35"/>
    <n v="24473"/>
    <n v="24718.6"/>
    <n v="318711364"/>
    <n v="24838.560000000001"/>
    <n v="24847.9925"/>
    <n v="24253.929999999989"/>
    <n v="24083.205250000014"/>
    <n v="245.59999999999854"/>
    <n v="1.0035549380950375E-2"/>
  </r>
  <r>
    <x v="1102"/>
    <n v="24732.35"/>
    <n v="24967.1"/>
    <n v="24703.599999999999"/>
    <n v="24946.5"/>
    <n v="305813047"/>
    <n v="23857.15"/>
    <n v="24832.932500000003"/>
    <n v="24277.91499999999"/>
    <n v="24082.68250000001"/>
    <n v="214.15000000000146"/>
    <n v="8.6587000426567411E-3"/>
  </r>
  <r>
    <x v="1103"/>
    <n v="24977.85"/>
    <n v="24982.05"/>
    <n v="24813.7"/>
    <n v="24853.4"/>
    <n v="242415740"/>
    <n v="21818.05"/>
    <n v="24832.985000000004"/>
    <n v="24313.530999999992"/>
    <n v="24082.362000000008"/>
    <n v="-124.44999999999709"/>
    <n v="-4.9824144191752736E-3"/>
  </r>
  <r>
    <x v="1104"/>
    <n v="24788.35"/>
    <n v="24947.55"/>
    <n v="24750.45"/>
    <n v="24812.05"/>
    <n v="237599011"/>
    <n v="22044.05"/>
    <n v="24841.460000000003"/>
    <n v="24343.951999999994"/>
    <n v="24081.540250000009"/>
    <n v="23.700000000000728"/>
    <n v="9.560942942955352E-4"/>
  </r>
  <r>
    <x v="1105"/>
    <n v="24803.25"/>
    <n v="24863.1"/>
    <n v="24733.4"/>
    <n v="24793.25"/>
    <n v="274619935"/>
    <n v="23620.79"/>
    <n v="24841.390000000003"/>
    <n v="24375.190999999995"/>
    <n v="24080.33875000001"/>
    <n v="-10"/>
    <n v="-4.0317297128400514E-4"/>
  </r>
  <r>
    <x v="1106"/>
    <n v="24787.65"/>
    <n v="25136.2"/>
    <n v="24783.65"/>
    <n v="25112.400000000001"/>
    <n v="574654035"/>
    <n v="55782.03"/>
    <n v="24850.567500000001"/>
    <n v="24412.966999999997"/>
    <n v="24078.54525000001"/>
    <n v="324.75"/>
    <n v="1.3101282291786432E-2"/>
  </r>
  <r>
    <x v="1107"/>
    <n v="24939.75"/>
    <n v="25057"/>
    <n v="24824.85"/>
    <n v="24971.9"/>
    <n v="248534153"/>
    <n v="20797.88"/>
    <n v="24863.530000000002"/>
    <n v="24471.982999999993"/>
    <n v="24077.927750000013"/>
    <n v="32.150000000001455"/>
    <n v="1.289106747260957E-3"/>
  </r>
  <r>
    <x v="1108"/>
    <n v="25179.9"/>
    <n v="25317.7"/>
    <n v="24999.7"/>
    <n v="25044.35"/>
    <n v="450185468"/>
    <n v="35508.9"/>
    <n v="24862.067500000005"/>
    <n v="24520.703999999994"/>
    <n v="24076.393750000014"/>
    <n v="-135.55000000000291"/>
    <n v="-5.3832620463148345E-3"/>
  </r>
  <r>
    <x v="1109"/>
    <n v="25150.35"/>
    <n v="25266.799999999999"/>
    <n v="25125.05"/>
    <n v="25244.75"/>
    <n v="260582584"/>
    <n v="22985.17"/>
    <n v="24872.975000000002"/>
    <n v="24573.607999999993"/>
    <n v="24075.216250000009"/>
    <n v="94.400000000001455"/>
    <n v="3.7534268906795117E-3"/>
  </r>
  <r>
    <x v="1110"/>
    <n v="25268.95"/>
    <n v="25565.3"/>
    <n v="25259.9"/>
    <n v="25549"/>
    <n v="428891818"/>
    <n v="38689.39"/>
    <n v="24897.59"/>
    <n v="24621.931999999993"/>
    <n v="24075.446500000009"/>
    <n v="280.04999999999927"/>
    <n v="1.1082771543732496E-2"/>
  </r>
  <r>
    <x v="1111"/>
    <n v="25576.65"/>
    <n v="25654.2"/>
    <n v="25523.55"/>
    <n v="25637.8"/>
    <n v="563957748"/>
    <n v="47108.6"/>
    <n v="24933.360000000001"/>
    <n v="24666.340999999993"/>
    <n v="24077.466000000004"/>
    <n v="61.149999999997817"/>
    <n v="2.3908525940652047E-3"/>
  </r>
  <r>
    <x v="1112"/>
    <n v="25661.65"/>
    <n v="25669.35"/>
    <n v="25473.3"/>
    <n v="25517.05"/>
    <n v="270981274"/>
    <n v="24673.48"/>
    <n v="24977.715000000004"/>
    <n v="24710.352999999992"/>
    <n v="24081.394250000001"/>
    <n v="-144.60000000000218"/>
    <n v="-5.6348675942506496E-3"/>
  </r>
  <r>
    <x v="1113"/>
    <n v="25551.35"/>
    <n v="25593.4"/>
    <n v="25501.8"/>
    <n v="25541.8"/>
    <n v="260669106"/>
    <n v="23921.02"/>
    <n v="25017.737499999999"/>
    <n v="24743.660999999996"/>
    <n v="24084.297500000001"/>
    <n v="-9.5499999999992724"/>
    <n v="-3.7375715960210606E-4"/>
  </r>
  <r>
    <x v="1114"/>
    <n v="25588.3"/>
    <n v="25608.1"/>
    <n v="25378.75"/>
    <n v="25453.4"/>
    <n v="309828013"/>
    <n v="26681.66"/>
    <n v="25067.702499999999"/>
    <n v="24771.986000000001"/>
    <n v="24086.800999999999"/>
    <n v="-134.89999999999782"/>
    <n v="-5.2719406916441431E-3"/>
  </r>
  <r>
    <x v="1115"/>
    <n v="25505.1"/>
    <n v="25587.5"/>
    <n v="25384.35"/>
    <n v="25405.3"/>
    <n v="293428797"/>
    <n v="24531.7"/>
    <n v="25109.362499999999"/>
    <n v="24797.708999999999"/>
    <n v="24089.475750000001"/>
    <n v="-99.799999999999272"/>
    <n v="-3.9129429016157274E-3"/>
  </r>
  <r>
    <x v="1116"/>
    <n v="25428.85"/>
    <n v="25470.25"/>
    <n v="25331.65"/>
    <n v="25461"/>
    <n v="193511595"/>
    <n v="19101.330000000002"/>
    <n v="25142.082499999997"/>
    <n v="24819.236000000001"/>
    <n v="24089.557750000004"/>
    <n v="32.150000000001455"/>
    <n v="1.2643119920877845E-3"/>
  </r>
  <r>
    <x v="1117"/>
    <n v="25450.45"/>
    <n v="25489.8"/>
    <n v="25407.25"/>
    <n v="25461.3"/>
    <n v="196051345"/>
    <n v="16923.259999999998"/>
    <n v="25164.979999999996"/>
    <n v="24843.522000000001"/>
    <n v="24090.080250000003"/>
    <n v="10.849999999998545"/>
    <n v="4.2631859161620109E-4"/>
  </r>
  <r>
    <x v="1118"/>
    <n v="25427.85"/>
    <n v="25548.05"/>
    <n v="25424.15"/>
    <n v="25522.5"/>
    <n v="210410530"/>
    <n v="21947.32"/>
    <n v="25182.884999999998"/>
    <n v="24871.960999999999"/>
    <n v="24090.468000000008"/>
    <n v="94.650000000001455"/>
    <n v="3.7222966157186496E-3"/>
  </r>
  <r>
    <x v="1119"/>
    <n v="25514.6"/>
    <n v="25548.7"/>
    <n v="25424.35"/>
    <n v="25476.1"/>
    <n v="239081546"/>
    <n v="20549.5"/>
    <n v="25203.797499999997"/>
    <n v="24895.841"/>
    <n v="24090.987750000004"/>
    <n v="-38.5"/>
    <n v="-1.5089399794627392E-3"/>
  </r>
  <r>
    <x v="1120"/>
    <n v="25511.65"/>
    <n v="25524.05"/>
    <n v="25340.45"/>
    <n v="25355.25"/>
    <n v="219609322"/>
    <n v="21435.360000000001"/>
    <n v="25220.532499999998"/>
    <n v="24918.644000000004"/>
    <n v="24091.480500000001"/>
    <n v="-156.40000000000146"/>
    <n v="-6.1305325214167424E-3"/>
  </r>
  <r>
    <x v="1121"/>
    <n v="25255.5"/>
    <n v="25322.45"/>
    <n v="25129"/>
    <n v="25149.85"/>
    <n v="249987681"/>
    <n v="26251.65"/>
    <n v="25243.884999999998"/>
    <n v="24939.06500000001"/>
    <n v="24091.177750000003"/>
    <n v="-105.65000000000146"/>
    <n v="-4.1832472134783099E-3"/>
  </r>
  <r>
    <x v="1122"/>
    <n v="25149.5"/>
    <n v="25151.1"/>
    <n v="25001.95"/>
    <n v="25082.3"/>
    <n v="259533624"/>
    <n v="23316.33"/>
    <n v="25265.447499999998"/>
    <n v="24955.128000000012"/>
    <n v="24087.972249999995"/>
    <n v="-67.200000000000728"/>
    <n v="-2.6720213125509744E-3"/>
  </r>
  <r>
    <x v="1123"/>
    <n v="25089.5"/>
    <n v="25245.200000000001"/>
    <n v="25088.45"/>
    <n v="25195.8"/>
    <n v="241340130"/>
    <n v="23282.7"/>
    <n v="25272.237499999996"/>
    <n v="24967.55100000001"/>
    <n v="24083.688499999997"/>
    <n v="106.29999999999927"/>
    <n v="4.2368321409354225E-3"/>
  </r>
  <r>
    <x v="1124"/>
    <n v="25196.6"/>
    <n v="25255.3"/>
    <n v="25121.05"/>
    <n v="25212.05"/>
    <n v="228815928"/>
    <n v="22254.54"/>
    <n v="25289.357499999995"/>
    <n v="24983.875000000015"/>
    <n v="24079.965499999995"/>
    <n v="15.450000000000728"/>
    <n v="6.131779684560904E-4"/>
  </r>
  <r>
    <x v="1125"/>
    <n v="25230.75"/>
    <n v="25238.35"/>
    <n v="25101"/>
    <n v="25111.45"/>
    <n v="243412540"/>
    <n v="24715.35"/>
    <n v="25309.357499999991"/>
    <n v="24999.828000000012"/>
    <n v="24076.00499999999"/>
    <n v="-119.29999999999927"/>
    <n v="-4.7283572624673966E-3"/>
  </r>
  <r>
    <x v="1126"/>
    <n v="25108.55"/>
    <n v="25144.6"/>
    <n v="24918.65"/>
    <n v="24968.400000000001"/>
    <n v="316979826"/>
    <n v="26330.799999999999"/>
    <n v="25325.267499999994"/>
    <n v="25016.581000000009"/>
    <n v="24070.481999999996"/>
    <n v="-140.14999999999782"/>
    <n v="-5.5817639807953E-3"/>
  </r>
  <r>
    <x v="1127"/>
    <n v="24999"/>
    <n v="25111.4"/>
    <n v="24882.3"/>
    <n v="25090.7"/>
    <n v="305216414"/>
    <n v="26062.25"/>
    <n v="25318.067499999997"/>
    <n v="25035.789000000012"/>
    <n v="24064.429249999997"/>
    <n v="91.700000000000728"/>
    <n v="3.6681467258690638E-3"/>
  </r>
  <r>
    <x v="1128"/>
    <n v="25166.65"/>
    <n v="25182"/>
    <n v="25035.55"/>
    <n v="25060.9"/>
    <n v="483725120"/>
    <n v="31248.06"/>
    <n v="25324.0075"/>
    <n v="25039.109000000008"/>
    <n v="24060.8285"/>
    <n v="-105.75"/>
    <n v="-4.2019895377414154E-3"/>
  </r>
  <r>
    <x v="1129"/>
    <n v="25139.35"/>
    <n v="25233.5"/>
    <n v="25085.5"/>
    <n v="25219.9"/>
    <n v="271539651"/>
    <n v="23042.49"/>
    <n v="25324.834999999999"/>
    <n v="25048.760000000006"/>
    <n v="24057.148499999999"/>
    <n v="80.55000000000291"/>
    <n v="3.2041401229547669E-3"/>
  </r>
  <r>
    <x v="1130"/>
    <n v="25243.3"/>
    <n v="25246.25"/>
    <n v="25018.7"/>
    <n v="25062.1"/>
    <n v="338728860"/>
    <n v="27433.34"/>
    <n v="25323.592500000002"/>
    <n v="25059.820000000003"/>
    <n v="24056.997500000005"/>
    <n v="-181.20000000000073"/>
    <n v="-7.1781423189519883E-3"/>
  </r>
  <r>
    <x v="1131"/>
    <n v="25010.35"/>
    <n v="25010.35"/>
    <n v="24806.35"/>
    <n v="24837"/>
    <n v="278136104"/>
    <n v="25273.64"/>
    <n v="25299.247500000001"/>
    <n v="25059.82"/>
    <n v="24057.235000000001"/>
    <n v="-173.34999999999854"/>
    <n v="-6.9311305119679877E-3"/>
  </r>
  <r>
    <x v="1132"/>
    <n v="24782.45"/>
    <n v="24889.200000000001"/>
    <n v="24646.6"/>
    <n v="24680.9"/>
    <n v="262142969"/>
    <n v="24976.54"/>
    <n v="25259.207500000004"/>
    <n v="25056.164000000004"/>
    <n v="24057.441249999996"/>
    <n v="-101.54999999999927"/>
    <n v="-4.097657818335123E-3"/>
  </r>
  <r>
    <x v="1133"/>
    <n v="24609.65"/>
    <n v="24847.15"/>
    <n v="24598.6"/>
    <n v="24821.1"/>
    <n v="284657235"/>
    <n v="25954.42"/>
    <n v="25217.4"/>
    <n v="25050.873000000003"/>
    <n v="24055.78"/>
    <n v="211.44999999999709"/>
    <n v="8.5921579542982962E-3"/>
  </r>
  <r>
    <x v="1134"/>
    <n v="24890.400000000001"/>
    <n v="24902.3"/>
    <n v="24771.95"/>
    <n v="24855.05"/>
    <n v="243886726"/>
    <n v="23525.25"/>
    <n v="25181.365000000002"/>
    <n v="25053.617000000002"/>
    <n v="24054.975750000001"/>
    <n v="-35.350000000002183"/>
    <n v="-1.420226271976432E-3"/>
  </r>
  <r>
    <x v="1135"/>
    <n v="24642.25"/>
    <n v="24956.5"/>
    <n v="24635"/>
    <n v="24768.35"/>
    <n v="346303628"/>
    <n v="30477.71"/>
    <n v="25151.447500000002"/>
    <n v="25054.449000000004"/>
    <n v="24054.258750000001"/>
    <n v="126.09999999999854"/>
    <n v="5.1172275258955062E-3"/>
  </r>
  <r>
    <x v="1136"/>
    <n v="24734.9"/>
    <n v="24784.15"/>
    <n v="24535.05"/>
    <n v="24565.35"/>
    <n v="263357194"/>
    <n v="24972.45"/>
    <n v="25119.599999999999"/>
    <n v="25057.622000000007"/>
    <n v="24053.27925"/>
    <n v="-169.55000000000291"/>
    <n v="-6.8546871020300423E-3"/>
  </r>
  <r>
    <x v="1137"/>
    <n v="24596.05"/>
    <n v="24736.25"/>
    <n v="24554"/>
    <n v="24722.75"/>
    <n v="259329477"/>
    <n v="20372.68"/>
    <n v="25074.817499999997"/>
    <n v="25051.866000000009"/>
    <n v="24050.466249999994"/>
    <n v="126.70000000000073"/>
    <n v="5.1512336330427335E-3"/>
  </r>
  <r>
    <x v="1138"/>
    <n v="24720.25"/>
    <n v="24733.1"/>
    <n v="24590.3"/>
    <n v="24649.55"/>
    <n v="251849778"/>
    <n v="23815.360000000001"/>
    <n v="25037.89"/>
    <n v="25046.298000000013"/>
    <n v="24048.793249999999"/>
    <n v="-70.700000000000728"/>
    <n v="-2.8600034384765822E-3"/>
  </r>
  <r>
    <x v="1139"/>
    <n v="24641.35"/>
    <n v="24671.4"/>
    <n v="24539.200000000001"/>
    <n v="24574.2"/>
    <n v="225091071"/>
    <n v="20559.22"/>
    <n v="24994.242499999997"/>
    <n v="25042.765000000014"/>
    <n v="24047.184499999992"/>
    <n v="-67.149999999997817"/>
    <n v="-2.7250942014133894E-3"/>
  </r>
  <r>
    <x v="1140"/>
    <n v="24464.2"/>
    <n v="24634.2"/>
    <n v="24344.15"/>
    <n v="24596.15"/>
    <n v="616739190"/>
    <n v="35574.589999999997"/>
    <n v="24949.147499999999"/>
    <n v="25039.200000000008"/>
    <n v="24046.306249999994"/>
    <n v="131.95000000000073"/>
    <n v="5.3935955396048401E-3"/>
  </r>
  <r>
    <x v="1141"/>
    <n v="24544.25"/>
    <n v="24585.5"/>
    <n v="24337.5"/>
    <n v="24363.3"/>
    <n v="312630157"/>
    <n v="38135.74"/>
    <n v="24911.192499999997"/>
    <n v="25034.451000000012"/>
    <n v="24045.016749999995"/>
    <n v="-180.95000000000073"/>
    <n v="-7.3723988306833872E-3"/>
  </r>
  <r>
    <x v="1142"/>
    <n v="24371.5"/>
    <n v="24600.85"/>
    <n v="24347.45"/>
    <n v="24585.05"/>
    <n v="241145497"/>
    <n v="21081.61"/>
    <n v="24871.864999999998"/>
    <n v="25026.703000000012"/>
    <n v="24042.927749999999"/>
    <n v="213.54999999999927"/>
    <n v="8.7622838151118834E-3"/>
  </r>
  <r>
    <x v="1143"/>
    <n v="24563.35"/>
    <n v="24702.6"/>
    <n v="24465.65"/>
    <n v="24487.4"/>
    <n v="237002462"/>
    <n v="22258.29"/>
    <n v="24847.002499999995"/>
    <n v="25024.072000000007"/>
    <n v="24043.492499999997"/>
    <n v="-75.94999999999709"/>
    <n v="-3.0920049586069119E-3"/>
  </r>
  <r>
    <x v="1144"/>
    <n v="24586.2"/>
    <n v="24664.55"/>
    <n v="24535.25"/>
    <n v="24619.35"/>
    <n v="236006791"/>
    <n v="22843.14"/>
    <n v="24811.582499999997"/>
    <n v="25022.970000000005"/>
    <n v="24043.752"/>
    <n v="33.149999999997817"/>
    <n v="1.3483173487565307E-3"/>
  </r>
  <r>
    <x v="1145"/>
    <n v="24607.25"/>
    <n v="24673.65"/>
    <n v="24596.9"/>
    <n v="24631.3"/>
    <n v="270162203"/>
    <n v="22375.439999999999"/>
    <n v="24781.947499999998"/>
    <n v="25022.953000000001"/>
    <n v="24044.851749999998"/>
    <n v="24.049999999999272"/>
    <n v="9.7735423503232883E-4"/>
  </r>
  <r>
    <x v="1146"/>
    <n v="24938.2"/>
    <n v="25022"/>
    <n v="24852.85"/>
    <n v="24876.95"/>
    <n v="363071305"/>
    <n v="37637.67"/>
    <n v="24757.94"/>
    <n v="25020.561000000002"/>
    <n v="24047.104250000004"/>
    <n v="-61.25"/>
    <n v="-2.4560714085218659E-3"/>
  </r>
  <r>
    <x v="1147"/>
    <n v="24891.35"/>
    <n v="25012.65"/>
    <n v="24873.95"/>
    <n v="24980.65"/>
    <n v="252340828"/>
    <n v="24781.97"/>
    <n v="24753.3675"/>
    <n v="25018.039000000001"/>
    <n v="24049.793250000006"/>
    <n v="89.30000000000291"/>
    <n v="3.5875916734127685E-3"/>
  </r>
  <r>
    <x v="1148"/>
    <n v="24965.8"/>
    <n v="25088.7"/>
    <n v="24929.7"/>
    <n v="25050.55"/>
    <n v="287054119"/>
    <n v="25330.45"/>
    <n v="24747.865000000002"/>
    <n v="25015.588"/>
    <n v="24052.362250000006"/>
    <n v="84.75"/>
    <n v="3.3946438728180151E-3"/>
  </r>
  <r>
    <x v="1149"/>
    <n v="25142"/>
    <n v="25153.65"/>
    <n v="25054.9"/>
    <n v="25083.75"/>
    <n v="226542052"/>
    <n v="21865.07"/>
    <n v="24747.3475"/>
    <n v="25014.513999999999"/>
    <n v="24055.910750000006"/>
    <n v="-58.25"/>
    <n v="-2.3168403468300054E-3"/>
  </r>
  <r>
    <x v="1150"/>
    <n v="25064.15"/>
    <n v="25084.85"/>
    <n v="24859.15"/>
    <n v="24870.1"/>
    <n v="210165384"/>
    <n v="19655.78"/>
    <n v="24740.54"/>
    <n v="25013.361000000001"/>
    <n v="24060.302750000003"/>
    <n v="-194.05000000000291"/>
    <n v="-7.7421336849644974E-3"/>
  </r>
  <r>
    <x v="1151"/>
    <n v="24949.15"/>
    <n v="25021.55"/>
    <n v="24894.35"/>
    <n v="24967.75"/>
    <n v="213032133"/>
    <n v="19871.25"/>
    <n v="24730.94"/>
    <n v="25012.999000000003"/>
    <n v="24063.131500000003"/>
    <n v="18.599999999998545"/>
    <n v="7.4551638031750752E-4"/>
  </r>
  <r>
    <x v="1152"/>
    <n v="24899.5"/>
    <n v="24919.65"/>
    <n v="24689.599999999999"/>
    <n v="24712.05"/>
    <n v="750473927"/>
    <n v="47068.2"/>
    <n v="24737.477500000001"/>
    <n v="25017.982000000007"/>
    <n v="24067.9935"/>
    <n v="-187.45000000000073"/>
    <n v="-7.5282636197514302E-3"/>
  </r>
  <r>
    <x v="1153"/>
    <n v="24695.8"/>
    <n v="24702.65"/>
    <n v="24481.599999999999"/>
    <n v="24500.9"/>
    <n v="326601486"/>
    <n v="29371.67"/>
    <n v="24739.034999999996"/>
    <n v="25013.293000000001"/>
    <n v="24070.487250000002"/>
    <n v="-194.89999999999782"/>
    <n v="-7.8920302237626572E-3"/>
  </r>
  <r>
    <x v="1154"/>
    <n v="24466.7"/>
    <n v="24572.45"/>
    <n v="24404.7"/>
    <n v="24426.85"/>
    <n v="325543583"/>
    <n v="26796.69"/>
    <n v="24723.024999999998"/>
    <n v="25006.242999999999"/>
    <n v="24070.571499999998"/>
    <n v="-39.850000000002183"/>
    <n v="-1.6287443750077526E-3"/>
  </r>
  <r>
    <x v="1155"/>
    <n v="24432.7"/>
    <n v="24635.599999999999"/>
    <n v="24432.7"/>
    <n v="24625.05"/>
    <n v="229327424"/>
    <n v="20704.88"/>
    <n v="24701.614999999998"/>
    <n v="24998.539000000004"/>
    <n v="24071.708999999995"/>
    <n v="192.34999999999854"/>
    <n v="7.8726460849598504E-3"/>
  </r>
  <r>
    <x v="1156"/>
    <n v="24653"/>
    <n v="24756.1"/>
    <n v="24522.35"/>
    <n v="24579.599999999999"/>
    <n v="271558516"/>
    <n v="22051.8"/>
    <n v="24694.449999999997"/>
    <n v="24995.175000000003"/>
    <n v="24074.093249999998"/>
    <n v="-73.400000000001455"/>
    <n v="-2.9773252748144831E-3"/>
  </r>
  <r>
    <x v="1157"/>
    <n v="24616.5"/>
    <n v="24737.05"/>
    <n v="24533.200000000001"/>
    <n v="24715.05"/>
    <n v="340283328"/>
    <n v="23533.08"/>
    <n v="24695.162499999999"/>
    <n v="24984.519000000008"/>
    <n v="24076.284749999995"/>
    <n v="98.549999999999272"/>
    <n v="4.0034123453780704E-3"/>
  </r>
  <r>
    <x v="1158"/>
    <n v="24980.75"/>
    <n v="24980.75"/>
    <n v="24708.2"/>
    <n v="24734.3"/>
    <n v="314094160"/>
    <n v="30252.19"/>
    <n v="24694.777499999997"/>
    <n v="24979.382000000005"/>
    <n v="24080.442749999991"/>
    <n v="-246.45000000000073"/>
    <n v="-9.8655965093121991E-3"/>
  </r>
  <r>
    <x v="1159"/>
    <n v="24818.85"/>
    <n v="24832.35"/>
    <n v="24621.599999999999"/>
    <n v="24741"/>
    <n v="210071924"/>
    <n v="18530.240000000002"/>
    <n v="24699.014999999996"/>
    <n v="24973.181000000011"/>
    <n v="24086.318999999996"/>
    <n v="-77.849999999998545"/>
    <n v="-3.1367287364240707E-3"/>
  </r>
  <r>
    <x v="1160"/>
    <n v="24802.6"/>
    <n v="24885.5"/>
    <n v="24751.55"/>
    <n v="24773.15"/>
    <n v="213228202"/>
    <n v="20122.88"/>
    <n v="24707.354999999996"/>
    <n v="24963.106000000011"/>
    <n v="24092.360499999995"/>
    <n v="-29.44999999999709"/>
    <n v="-1.1873755170827692E-3"/>
  </r>
  <r>
    <x v="1161"/>
    <n v="24864.1"/>
    <n v="24891.8"/>
    <n v="24814"/>
    <n v="24868.6"/>
    <n v="226919775"/>
    <n v="22356.880000000001"/>
    <n v="24716.204999999998"/>
    <n v="24947.589000000004"/>
    <n v="24098.957249999996"/>
    <n v="4.5"/>
    <n v="1.809838280894945E-4"/>
  </r>
  <r>
    <x v="1162"/>
    <n v="24991"/>
    <n v="25035.7"/>
    <n v="24915.05"/>
    <n v="24973.1"/>
    <n v="244146466"/>
    <n v="22458.98"/>
    <n v="24741.469999999994"/>
    <n v="24932.205000000009"/>
    <n v="24105.707749999994"/>
    <n v="-17.900000000001455"/>
    <n v="-7.1625785282707598E-4"/>
  </r>
  <r>
    <x v="1163"/>
    <n v="24945.5"/>
    <n v="25037.3"/>
    <n v="24940.15"/>
    <n v="25005.5"/>
    <n v="224570983"/>
    <n v="21316.720000000001"/>
    <n v="24760.872499999994"/>
    <n v="24921.326000000012"/>
    <n v="24113.823749999996"/>
    <n v="60"/>
    <n v="2.4052434306788798E-3"/>
  </r>
  <r>
    <x v="1164"/>
    <n v="25074.45"/>
    <n v="25139.45"/>
    <n v="25038.05"/>
    <n v="25114"/>
    <n v="225739766"/>
    <n v="21335.67"/>
    <n v="24786.777499999993"/>
    <n v="24910.600000000009"/>
    <n v="24119.314999999995"/>
    <n v="39.549999999999272"/>
    <n v="1.5773027922845475E-3"/>
  </r>
  <r>
    <x v="1165"/>
    <n v="25118.9"/>
    <n v="25138.45"/>
    <n v="25048.75"/>
    <n v="25069.200000000001"/>
    <n v="185375759"/>
    <n v="17115.599999999999"/>
    <n v="24811.509999999995"/>
    <n v="24903.812000000005"/>
    <n v="24123.775499999992"/>
    <n v="-49.700000000000728"/>
    <n v="-1.9785898267838452E-3"/>
  </r>
  <r>
    <x v="1166"/>
    <n v="25073.599999999999"/>
    <n v="25261.4"/>
    <n v="25070.45"/>
    <n v="25239.1"/>
    <n v="240122320"/>
    <n v="22642.86"/>
    <n v="24833.404999999995"/>
    <n v="24897.090000000004"/>
    <n v="24128.148999999994"/>
    <n v="165.5"/>
    <n v="6.6005679280199099E-3"/>
  </r>
  <r>
    <x v="1167"/>
    <n v="25276.6"/>
    <n v="25346.5"/>
    <n v="25275.35"/>
    <n v="25330.25"/>
    <n v="268936695"/>
    <n v="23484.12"/>
    <n v="24851.512499999997"/>
    <n v="24892.652000000006"/>
    <n v="24132.96999999999"/>
    <n v="53.650000000001455"/>
    <n v="2.1225164776908865E-3"/>
  </r>
  <r>
    <x v="1168"/>
    <n v="25441.05"/>
    <n v="25448.55"/>
    <n v="25329.75"/>
    <n v="25423.599999999999"/>
    <n v="272193683"/>
    <n v="24198.11"/>
    <n v="24868.9925"/>
    <n v="24890.03100000001"/>
    <n v="24140.05049999999"/>
    <n v="-17.450000000000728"/>
    <n v="-6.8589936343039018E-4"/>
  </r>
  <r>
    <x v="1169"/>
    <n v="25410.2"/>
    <n v="25431.4"/>
    <n v="25286.3"/>
    <n v="25327.05"/>
    <n v="380362832"/>
    <n v="38805.58"/>
    <n v="24887.644999999997"/>
    <n v="24888.053000000011"/>
    <n v="24146.512999999988"/>
    <n v="-83.150000000001455"/>
    <n v="-3.2723079708149266E-3"/>
  </r>
  <r>
    <x v="1170"/>
    <n v="25238.1"/>
    <n v="25331.7"/>
    <n v="25151.05"/>
    <n v="25202.35"/>
    <n v="254509892"/>
    <n v="25277.82"/>
    <n v="24899.809999999994"/>
    <n v="24885.072000000011"/>
    <n v="24151.767999999989"/>
    <n v="-35.75"/>
    <n v="-1.4165091666963837E-3"/>
  </r>
  <r>
    <x v="1171"/>
    <n v="25209"/>
    <n v="25261.9"/>
    <n v="25084.65"/>
    <n v="25169.5"/>
    <n v="299204338"/>
    <n v="31435.17"/>
    <n v="24916.422499999993"/>
    <n v="24882.01400000001"/>
    <n v="24155.493999999992"/>
    <n v="-39.5"/>
    <n v="-1.566900710063866E-3"/>
  </r>
  <r>
    <x v="1172"/>
    <n v="25108.75"/>
    <n v="25149.85"/>
    <n v="25027.45"/>
    <n v="25056.9"/>
    <n v="244382281"/>
    <n v="22310.05"/>
    <n v="24926.509999999995"/>
    <n v="24882.407000000007"/>
    <n v="24159.004249999984"/>
    <n v="-51.849999999998545"/>
    <n v="-2.0650171752874414E-3"/>
  </r>
  <r>
    <x v="1173"/>
    <n v="25034.5"/>
    <n v="25092.7"/>
    <n v="24878.3"/>
    <n v="24890.85"/>
    <n v="342534768"/>
    <n v="32715.91"/>
    <n v="24943.752499999995"/>
    <n v="24881.899000000009"/>
    <n v="24160.746749999988"/>
    <n v="-143.65000000000146"/>
    <n v="-5.7380814476023665E-3"/>
  </r>
  <r>
    <x v="1174"/>
    <n v="24818.55"/>
    <n v="24868.6"/>
    <n v="24629.45"/>
    <n v="24654.7"/>
    <n v="291537949"/>
    <n v="29987.93"/>
    <n v="24963.249999999996"/>
    <n v="24875.800000000003"/>
    <n v="24161.811999999987"/>
    <n v="-163.84999999999854"/>
    <n v="-6.6019167114919506E-3"/>
  </r>
  <r>
    <x v="1175"/>
    <n v="24728.55"/>
    <n v="24791.3"/>
    <n v="24606.2"/>
    <n v="24634.9"/>
    <n v="394388242"/>
    <n v="40004.93"/>
    <n v="24974.642499999994"/>
    <n v="24864.653000000006"/>
    <n v="24161.990499999985"/>
    <n v="-93.649999999997817"/>
    <n v="-3.7871205549859501E-3"/>
  </r>
  <r>
    <x v="1176"/>
    <n v="24691.95"/>
    <n v="24731.8"/>
    <n v="24587.7"/>
    <n v="24611.1"/>
    <n v="304924720"/>
    <n v="29285.11"/>
    <n v="24975.135000000002"/>
    <n v="24855.122000000003"/>
    <n v="24162.114749999986"/>
    <n v="-80.850000000002183"/>
    <n v="-3.2743464975428099E-3"/>
  </r>
  <r>
    <x v="1177"/>
    <n v="24620.55"/>
    <n v="24867.95"/>
    <n v="24605.95"/>
    <n v="24836.3"/>
    <n v="308135228"/>
    <n v="29041.17"/>
    <n v="24976.71"/>
    <n v="24847.976000000002"/>
    <n v="24161.961249999986"/>
    <n v="215.75"/>
    <n v="8.7630048881929927E-3"/>
  </r>
  <r>
    <x v="1178"/>
    <n v="24759.55"/>
    <n v="24904.799999999999"/>
    <n v="24747.55"/>
    <n v="24894.25"/>
    <n v="366929642"/>
    <n v="31409.06"/>
    <n v="24982.772499999999"/>
    <n v="24842.888000000003"/>
    <n v="24163.399249999984"/>
    <n v="134.70000000000073"/>
    <n v="5.4403250462952977E-3"/>
  </r>
  <r>
    <x v="1179"/>
    <n v="24916.55"/>
    <n v="25095.95"/>
    <n v="24881.65"/>
    <n v="25077.65"/>
    <n v="271953070"/>
    <n v="25160.76"/>
    <n v="24990.77"/>
    <n v="24839.555"/>
    <n v="24164.028999999984"/>
    <n v="161.10000000000218"/>
    <n v="6.4655821130935936E-3"/>
  </r>
  <r>
    <x v="1180"/>
    <n v="25085.3"/>
    <n v="25220.9"/>
    <n v="25076.3"/>
    <n v="25108.3"/>
    <n v="286833765"/>
    <n v="26176.23"/>
    <n v="25007.602500000001"/>
    <n v="24836.71"/>
    <n v="24166.075999999983"/>
    <n v="23"/>
    <n v="9.1687163398484377E-4"/>
  </r>
  <r>
    <x v="1181"/>
    <n v="25079.75"/>
    <n v="25192.5"/>
    <n v="25008.5"/>
    <n v="25046.15"/>
    <n v="225967495"/>
    <n v="21701.19"/>
    <n v="25024.36"/>
    <n v="24837.633999999998"/>
    <n v="24169.937499999985"/>
    <n v="-33.599999999998545"/>
    <n v="-1.3397262731884706E-3"/>
  </r>
  <r>
    <x v="1182"/>
    <n v="25074.3"/>
    <n v="25199.25"/>
    <n v="25024.3"/>
    <n v="25181.8"/>
    <n v="286253252"/>
    <n v="22617.86"/>
    <n v="25033.237499999999"/>
    <n v="24841.816999999995"/>
    <n v="24174.173999999985"/>
    <n v="107.5"/>
    <n v="4.2872582684262374E-3"/>
  </r>
  <r>
    <x v="1183"/>
    <n v="25167.65"/>
    <n v="25330.75"/>
    <n v="25156.85"/>
    <n v="25285.35"/>
    <n v="232943306"/>
    <n v="21749.23"/>
    <n v="25043.672500000001"/>
    <n v="24851.834999999999"/>
    <n v="24180.324499999988"/>
    <n v="117.69999999999709"/>
    <n v="4.6766384624705561E-3"/>
  </r>
  <r>
    <x v="1184"/>
    <n v="25177.3"/>
    <n v="25267.3"/>
    <n v="25152.3"/>
    <n v="25227.35"/>
    <n v="234285202"/>
    <n v="20806.830000000002"/>
    <n v="25057.665000000001"/>
    <n v="24861.119999999999"/>
    <n v="24188.813749999987"/>
    <n v="50.049999999999272"/>
    <n v="1.9879018004313122E-3"/>
  </r>
  <r>
    <x v="1185"/>
    <n v="25277.55"/>
    <n v="25310.35"/>
    <n v="25060.55"/>
    <n v="25145.5"/>
    <n v="292129083"/>
    <n v="24151.97"/>
    <n v="25063.332499999997"/>
    <n v="24868.566000000003"/>
    <n v="24196.183249999984"/>
    <n v="-132.04999999999927"/>
    <n v="-5.2240031173906992E-3"/>
  </r>
  <r>
    <x v="1186"/>
    <n v="25181.95"/>
    <n v="25365.15"/>
    <n v="25159.35"/>
    <n v="25323.55"/>
    <n v="289930172"/>
    <n v="25202.02"/>
    <n v="25067.147499999999"/>
    <n v="24876.109"/>
    <n v="24203.272499999981"/>
    <n v="141.59999999999854"/>
    <n v="5.6230752582702506E-3"/>
  </r>
  <r>
    <x v="1187"/>
    <n v="25394.9"/>
    <n v="25625.4"/>
    <n v="25376.85"/>
    <n v="25585.3"/>
    <n v="372777021"/>
    <n v="32008.639999999999"/>
    <n v="25071.37"/>
    <n v="24891.273000000001"/>
    <n v="24211.139249999978"/>
    <n v="190.39999999999782"/>
    <n v="7.4975684094049514E-3"/>
  </r>
  <r>
    <x v="1188"/>
    <n v="25546.85"/>
    <n v="25781.5"/>
    <n v="25508.6"/>
    <n v="25709.85"/>
    <n v="422055809"/>
    <n v="35106.959999999999"/>
    <n v="25084.122499999998"/>
    <n v="24908.523999999998"/>
    <n v="24219.998749999981"/>
    <n v="163"/>
    <n v="6.3804343784067312E-3"/>
  </r>
  <r>
    <x v="1189"/>
    <n v="25824.6"/>
    <n v="25926.2"/>
    <n v="25788.5"/>
    <n v="25843.15"/>
    <n v="301133193"/>
    <n v="29637.119999999999"/>
    <n v="25098.434999999994"/>
    <n v="24929.730000000003"/>
    <n v="24230.323499999984"/>
    <n v="18.55000000000291"/>
    <n v="7.1830735035597498E-4"/>
  </r>
  <r>
    <x v="1190"/>
    <n v="25901.200000000001"/>
    <n v="25934.35"/>
    <n v="25825.8"/>
    <n v="25868.6"/>
    <n v="42477128"/>
    <n v="3831.1"/>
    <n v="25124.239999999998"/>
    <n v="24955.109000000004"/>
    <n v="24241.315249999985"/>
    <n v="-32.600000000002183"/>
    <n v="-1.2586289438328024E-3"/>
  </r>
  <r>
    <x v="1191"/>
    <n v="26057.200000000001"/>
    <n v="26104.2"/>
    <n v="25862.45"/>
    <n v="25891.4"/>
    <n v="448404894"/>
    <n v="41777.68"/>
    <n v="25157.552499999994"/>
    <n v="24980.558000000008"/>
    <n v="24251.94374999998"/>
    <n v="-165.79999999999927"/>
    <n v="-6.3629246427090889E-3"/>
  </r>
  <r>
    <x v="1192"/>
    <n v="25935.1"/>
    <n v="25944.15"/>
    <n v="25718.2"/>
    <n v="25795.15"/>
    <n v="284913477"/>
    <n v="23527.98"/>
    <n v="25193.647499999995"/>
    <n v="25011.119999999999"/>
    <n v="24260.457499999986"/>
    <n v="-139.94999999999709"/>
    <n v="-5.3961619581184223E-3"/>
  </r>
  <r>
    <x v="1193"/>
    <n v="25843.200000000001"/>
    <n v="26005.95"/>
    <n v="25827"/>
    <n v="25966.05"/>
    <n v="266337274"/>
    <n v="23989.06"/>
    <n v="25230.559999999998"/>
    <n v="25035.322"/>
    <n v="24269.409499999987"/>
    <n v="122.84999999999854"/>
    <n v="4.753668276374386E-3"/>
  </r>
  <r>
    <x v="1194"/>
    <n v="25939.95"/>
    <n v="26041.7"/>
    <n v="25810.05"/>
    <n v="25936.2"/>
    <n v="395231207"/>
    <n v="37023.32"/>
    <n v="25284.32"/>
    <n v="25064.895"/>
    <n v="24281.159499999987"/>
    <n v="-3.75"/>
    <n v="-1.4456465798893213E-4"/>
  </r>
  <r>
    <x v="1195"/>
    <n v="25982"/>
    <n v="26097.85"/>
    <n v="25960.3"/>
    <n v="26053.9"/>
    <n v="321880610"/>
    <n v="26309.32"/>
    <n v="25348.395"/>
    <n v="25091.231999999996"/>
    <n v="24292.300999999992"/>
    <n v="71.900000000001455"/>
    <n v="2.7673004387653551E-3"/>
  </r>
  <r>
    <x v="1196"/>
    <n v="25984.400000000001"/>
    <n v="26032.05"/>
    <n v="25845.25"/>
    <n v="25877.85"/>
    <n v="257373001"/>
    <n v="24180.46"/>
    <n v="25419.345000000001"/>
    <n v="25119.683999999997"/>
    <n v="24304.125749999992"/>
    <n v="-106.55000000000291"/>
    <n v="-4.100537245424289E-3"/>
  </r>
  <r>
    <x v="1197"/>
    <n v="25863.8"/>
    <n v="25953.75"/>
    <n v="25711.200000000001"/>
    <n v="25722.1"/>
    <n v="334384400"/>
    <n v="28788.400000000001"/>
    <n v="25482.682500000003"/>
    <n v="25139.702000000001"/>
    <n v="24315.882499999992"/>
    <n v="-141.70000000000073"/>
    <n v="-5.4786999590161044E-3"/>
  </r>
  <r>
    <x v="1198"/>
    <n v="25696.85"/>
    <n v="25803.1"/>
    <n v="25645.5"/>
    <n v="25763.35"/>
    <n v="275858501"/>
    <n v="23949.88"/>
    <n v="25526.9725"/>
    <n v="25154.531000000003"/>
    <n v="24327.33549999999"/>
    <n v="66.5"/>
    <n v="2.58786582791276E-3"/>
  </r>
  <r>
    <x v="1199"/>
    <n v="25744.75"/>
    <n v="25787.4"/>
    <n v="25578.400000000001"/>
    <n v="25597.65"/>
    <n v="305143084"/>
    <n v="29307.41"/>
    <n v="25570.427499999998"/>
    <n v="25168.787"/>
    <n v="24340.722499999985"/>
    <n v="-147.09999999999854"/>
    <n v="-5.7137863059458158E-3"/>
  </r>
  <r>
    <x v="1200"/>
    <n v="25593.35"/>
    <n v="25679.15"/>
    <n v="25491.55"/>
    <n v="25509.7"/>
    <n v="371852417"/>
    <n v="36129.620000000003"/>
    <n v="25596.427499999998"/>
    <n v="25179.064999999999"/>
    <n v="24352.830499999985"/>
    <n v="-83.649999999997817"/>
    <n v="-3.268427150021307E-3"/>
  </r>
  <r>
    <x v="1201"/>
    <n v="25433.8"/>
    <n v="25551.25"/>
    <n v="25318.45"/>
    <n v="25492.3"/>
    <n v="305606393"/>
    <n v="35487"/>
    <n v="25616.497500000001"/>
    <n v="25191.857000000004"/>
    <n v="24364.312999999984"/>
    <n v="58.5"/>
    <n v="2.3000888581336649E-3"/>
  </r>
  <r>
    <x v="1202"/>
    <n v="25503.5"/>
    <n v="25653.45"/>
    <n v="25503.5"/>
    <n v="25574.35"/>
    <n v="243592948"/>
    <n v="25023.65"/>
    <n v="25638.805"/>
    <n v="25202.348000000002"/>
    <n v="24375.215499999984"/>
    <n v="70.849999999998545"/>
    <n v="2.7780500715587487E-3"/>
  </r>
  <r>
    <x v="1203"/>
    <n v="25617"/>
    <n v="25715.8"/>
    <n v="25449.25"/>
    <n v="25694.95"/>
    <n v="297714069"/>
    <n v="28285.51"/>
    <n v="25658.432499999999"/>
    <n v="25219.594000000008"/>
    <n v="24387.071249999983"/>
    <n v="77.950000000000728"/>
    <n v="3.0429011984229506E-3"/>
  </r>
  <r>
    <x v="1204"/>
    <n v="25834.3"/>
    <n v="25934.55"/>
    <n v="25781.15"/>
    <n v="25875.8"/>
    <n v="343864299"/>
    <n v="30633.19"/>
    <n v="25678.912499999999"/>
    <n v="25243.475000000009"/>
    <n v="24398.822249999987"/>
    <n v="41.5"/>
    <n v="1.6063915027695738E-3"/>
  </r>
  <r>
    <x v="1205"/>
    <n v="25906.1"/>
    <n v="26010.7"/>
    <n v="25808.400000000001"/>
    <n v="25879.15"/>
    <n v="385170023"/>
    <n v="30145.74"/>
    <n v="25711.334999999999"/>
    <n v="25272.454000000009"/>
    <n v="24413.07799999998"/>
    <n v="-26.94999999999709"/>
    <n v="-1.0402955288521657E-3"/>
  </r>
  <r>
    <x v="1206"/>
    <n v="25767.9"/>
    <n v="25940.2"/>
    <n v="25740.799999999999"/>
    <n v="25910.05"/>
    <n v="518943416"/>
    <n v="33121.81"/>
    <n v="25748.017499999998"/>
    <n v="25297.536000000007"/>
    <n v="24426.696999999982"/>
    <n v="142.14999999999782"/>
    <n v="5.5165535414216059E-3"/>
  </r>
  <r>
    <x v="1207"/>
    <n v="25948.2"/>
    <n v="26024.2"/>
    <n v="25906.35"/>
    <n v="26013.45"/>
    <n v="264610565"/>
    <n v="23384.35"/>
    <n v="25777.342499999999"/>
    <n v="25324.145000000004"/>
    <n v="24440.220499999985"/>
    <n v="65.25"/>
    <n v="2.5146252919277636E-3"/>
  </r>
  <r>
    <x v="1208"/>
    <n v="26021.8"/>
    <n v="26029.85"/>
    <n v="25876.5"/>
    <n v="25910.05"/>
    <n v="280000989"/>
    <n v="26059.599999999999"/>
    <n v="25798.75"/>
    <n v="25350.113000000001"/>
    <n v="24454.826749999986"/>
    <n v="-111.75"/>
    <n v="-4.294476169980555E-3"/>
  </r>
  <r>
    <x v="1209"/>
    <n v="25918.1"/>
    <n v="26074.65"/>
    <n v="25856.2"/>
    <n v="26052.65"/>
    <n v="250110008"/>
    <n v="24496.86"/>
    <n v="25808.760000000002"/>
    <n v="25373.628000000008"/>
    <n v="24470.231249999975"/>
    <n v="134.55000000000291"/>
    <n v="5.1913527611978857E-3"/>
  </r>
  <r>
    <x v="1210"/>
    <n v="26132.1"/>
    <n v="26246.65"/>
    <n v="26063.200000000001"/>
    <n v="26192.15"/>
    <n v="240425729"/>
    <n v="25000.17"/>
    <n v="25819.235000000001"/>
    <n v="25399.861000000001"/>
    <n v="24485.708249999978"/>
    <n v="60.05000000000291"/>
    <n v="2.2979400813559919E-3"/>
  </r>
  <r>
    <x v="1211"/>
    <n v="26109.55"/>
    <n v="26179.200000000001"/>
    <n v="26052.2"/>
    <n v="26068.15"/>
    <n v="235581427"/>
    <n v="24720.07"/>
    <n v="25835.412500000002"/>
    <n v="25428.240999999995"/>
    <n v="24500.853499999983"/>
    <n v="-41.399999999997817"/>
    <n v="-1.5856267151290551E-3"/>
  </r>
  <r>
    <x v="1212"/>
    <n v="26122.799999999999"/>
    <n v="26142.799999999999"/>
    <n v="25912.15"/>
    <n v="25959.5"/>
    <n v="464655063"/>
    <n v="44895.45"/>
    <n v="25844.250000000004"/>
    <n v="25452.231999999996"/>
    <n v="24514.946749999985"/>
    <n v="-163.29999999999927"/>
    <n v="-6.2512441239070569E-3"/>
  </r>
  <r>
    <x v="1213"/>
    <n v="25998.5"/>
    <n v="26032.6"/>
    <n v="25857.5"/>
    <n v="25884.799999999999"/>
    <n v="260454909"/>
    <n v="25320.15"/>
    <n v="25852.467500000006"/>
    <n v="25471.959999999995"/>
    <n v="24527.202249999984"/>
    <n v="-113.70000000000073"/>
    <n v="-4.3733292305325588E-3"/>
  </r>
  <r>
    <x v="1214"/>
    <n v="25842.95"/>
    <n v="26215.15"/>
    <n v="25842.95"/>
    <n v="26205.3"/>
    <n v="275265169"/>
    <n v="31666.03"/>
    <n v="25848.405000000006"/>
    <n v="25489.545999999995"/>
    <n v="24539.215499999984"/>
    <n v="362.34999999999854"/>
    <n v="1.4021232096180914E-2"/>
  </r>
  <r>
    <x v="1215"/>
    <n v="26261.25"/>
    <n v="26310.45"/>
    <n v="26141.9"/>
    <n v="26215.55"/>
    <n v="240287057"/>
    <n v="25306.47"/>
    <n v="25861.860000000004"/>
    <n v="25511.371999999996"/>
    <n v="24553.436749999983"/>
    <n v="-45.700000000000728"/>
    <n v="-1.7402065781332086E-3"/>
  </r>
  <r>
    <x v="1216"/>
    <n v="26237.45"/>
    <n v="26280.75"/>
    <n v="26172.400000000001"/>
    <n v="26202.95"/>
    <n v="202511545"/>
    <n v="20525.36"/>
    <n v="25869.942500000001"/>
    <n v="25534.298999999999"/>
    <n v="24565.818249999982"/>
    <n v="-34.5"/>
    <n v="-1.3149143685838372E-3"/>
  </r>
  <r>
    <x v="1217"/>
    <n v="26325.8"/>
    <n v="26325.8"/>
    <n v="26124.2"/>
    <n v="26175.75"/>
    <n v="213828573"/>
    <n v="21734.75"/>
    <n v="25886.197500000002"/>
    <n v="25553.575999999997"/>
    <n v="24578.351499999986"/>
    <n v="-150.04999999999927"/>
    <n v="-5.6997318220148785E-3"/>
  </r>
  <r>
    <x v="1218"/>
    <n v="26087.95"/>
    <n v="26154.6"/>
    <n v="25997.85"/>
    <n v="26032.2"/>
    <n v="254803113"/>
    <n v="26298.82"/>
    <n v="25908.880000000001"/>
    <n v="25570.485999999997"/>
    <n v="24591.213499999987"/>
    <n v="-55.75"/>
    <n v="-2.1370019491757687E-3"/>
  </r>
  <r>
    <x v="1219"/>
    <n v="26004.9"/>
    <n v="26066.45"/>
    <n v="25891"/>
    <n v="25986"/>
    <n v="265660108"/>
    <n v="25320.85"/>
    <n v="25922.322500000002"/>
    <n v="25582.657999999999"/>
    <n v="24603.574749999985"/>
    <n v="-18.900000000001455"/>
    <n v="-7.2678610569552101E-4"/>
  </r>
  <r>
    <x v="1220"/>
    <n v="25981.85"/>
    <n v="26098.25"/>
    <n v="25938.95"/>
    <n v="26033.75"/>
    <n v="248099545"/>
    <n v="26377.759999999998"/>
    <n v="25941.739999999998"/>
    <n v="25595.837000000003"/>
    <n v="24616.596749999982"/>
    <n v="51.900000000001455"/>
    <n v="1.9975482885168476E-3"/>
  </r>
  <r>
    <x v="1221"/>
    <n v="25999.8"/>
    <n v="26202.6"/>
    <n v="25985.35"/>
    <n v="26186.45"/>
    <n v="249254405"/>
    <n v="27491.07"/>
    <n v="25967.942499999997"/>
    <n v="25612.465"/>
    <n v="24631.406499999986"/>
    <n v="186.65000000000146"/>
    <n v="7.1789013761644881E-3"/>
  </r>
  <r>
    <x v="1222"/>
    <n v="26159.8"/>
    <n v="26178.7"/>
    <n v="25892.25"/>
    <n v="25960.55"/>
    <n v="320729920"/>
    <n v="31677.57"/>
    <n v="26002.65"/>
    <n v="25632.804"/>
    <n v="24647.112499999981"/>
    <n v="-199.25"/>
    <n v="-7.6166484453245057E-3"/>
  </r>
  <r>
    <x v="1223"/>
    <n v="25867.1"/>
    <n v="25923.65"/>
    <n v="25728"/>
    <n v="25839.65"/>
    <n v="275978160"/>
    <n v="29894.41"/>
    <n v="26021.96"/>
    <n v="25650.877"/>
    <n v="24661.758249999984"/>
    <n v="-27.44999999999709"/>
    <n v="-1.0611935624788666E-3"/>
  </r>
  <r>
    <x v="1224"/>
    <n v="25864.05"/>
    <n v="25947.65"/>
    <n v="25734.55"/>
    <n v="25758"/>
    <n v="207944446"/>
    <n v="21975.7"/>
    <n v="26029.195"/>
    <n v="25669.852999999999"/>
    <n v="24676.310249999984"/>
    <n v="-106.04999999999927"/>
    <n v="-4.1002859180986452E-3"/>
  </r>
  <r>
    <x v="1225"/>
    <n v="25771.4"/>
    <n v="25922.799999999999"/>
    <n v="25693.25"/>
    <n v="25898.55"/>
    <n v="206099631"/>
    <n v="20145.189999999999"/>
    <n v="26023.305"/>
    <n v="25691.918999999998"/>
    <n v="24690.302749999984"/>
    <n v="127.14999999999782"/>
    <n v="4.9337637846604302E-3"/>
  </r>
  <r>
    <x v="1226"/>
    <n v="25971.200000000001"/>
    <n v="26057.599999999999"/>
    <n v="25938.45"/>
    <n v="26046.95"/>
    <n v="216344338"/>
    <n v="19484.07"/>
    <n v="26024.275000000001"/>
    <n v="25717.192000000003"/>
    <n v="24705.068999999989"/>
    <n v="75.75"/>
    <n v="2.9166923361261705E-3"/>
  </r>
  <r>
    <x v="1227"/>
    <n v="25930.05"/>
    <n v="26047.15"/>
    <n v="25904.75"/>
    <n v="26027.3"/>
    <n v="181557703"/>
    <n v="17444.03"/>
    <n v="26031.119999999999"/>
    <n v="25745.909"/>
    <n v="24720.639249999993"/>
    <n v="97.25"/>
    <n v="3.7504748351815751E-3"/>
  </r>
  <r>
    <x v="1228"/>
    <n v="25951.5"/>
    <n v="25980.75"/>
    <n v="25834.35"/>
    <n v="25860.1"/>
    <n v="264351195"/>
    <n v="23554.69"/>
    <n v="26031.8125"/>
    <n v="25769.729000000003"/>
    <n v="24736.209999999992"/>
    <n v="-91.400000000001455"/>
    <n v="-3.5219544149664357E-3"/>
  </r>
  <r>
    <x v="1229"/>
    <n v="25902.400000000001"/>
    <n v="25929.15"/>
    <n v="25770.35"/>
    <n v="25818.55"/>
    <n v="206521258"/>
    <n v="19787.57"/>
    <n v="26029.314999999999"/>
    <n v="25789.046000000002"/>
    <n v="24751.530999999988"/>
    <n v="-83.850000000002183"/>
    <n v="-3.2371517697202643E-3"/>
  </r>
  <r>
    <x v="1230"/>
    <n v="25764.7"/>
    <n v="25902.35"/>
    <n v="25726.3"/>
    <n v="25815.55"/>
    <n v="197553755"/>
    <n v="20046.07"/>
    <n v="26017.61"/>
    <n v="25803.864000000005"/>
    <n v="24767.856999999989"/>
    <n v="50.849999999998545"/>
    <n v="1.9736305875868356E-3"/>
  </r>
  <r>
    <x v="1231"/>
    <n v="25911.5"/>
    <n v="25993.35"/>
    <n v="25880.45"/>
    <n v="25966.400000000001"/>
    <n v="382927284"/>
    <n v="36600.58"/>
    <n v="25998.78"/>
    <n v="25818.009000000009"/>
    <n v="24784.196999999989"/>
    <n v="54.900000000001455"/>
    <n v="2.1187503618085197E-3"/>
  </r>
  <r>
    <x v="1232"/>
    <n v="26055.85"/>
    <n v="26180.7"/>
    <n v="26047.8"/>
    <n v="26172.400000000001"/>
    <n v="252990050"/>
    <n v="25333.26"/>
    <n v="25993.692500000001"/>
    <n v="25836.414000000004"/>
    <n v="24801.303749999992"/>
    <n v="116.55000000000291"/>
    <n v="4.4730837796503635E-3"/>
  </r>
  <r>
    <x v="1233"/>
    <n v="26205.200000000001"/>
    <n v="26233.55"/>
    <n v="26119.05"/>
    <n v="26177.15"/>
    <n v="216553840"/>
    <n v="19670.5"/>
    <n v="26004.337500000001"/>
    <n v="25856.226000000006"/>
    <n v="24821.542249999991"/>
    <n v="-28.049999999999272"/>
    <n v="-1.0703982415703475E-3"/>
  </r>
  <r>
    <x v="1234"/>
    <n v="26170.65"/>
    <n v="26236.400000000001"/>
    <n v="26123"/>
    <n v="26142.1"/>
    <n v="188846828"/>
    <n v="17474.439999999999"/>
    <n v="26018.955000000002"/>
    <n v="25874.062000000002"/>
    <n v="24841.8315"/>
    <n v="-28.55000000000291"/>
    <n v="-1.090916733057945E-3"/>
  </r>
  <r>
    <x v="1235"/>
    <n v="26121.25"/>
    <n v="26144.2"/>
    <n v="26008.6"/>
    <n v="26042.3"/>
    <n v="142243763"/>
    <n v="12263.06"/>
    <n v="26015.795000000002"/>
    <n v="25892.357000000004"/>
    <n v="24862.128749999989"/>
    <n v="-78.950000000000728"/>
    <n v="-3.0224434129301134E-3"/>
  </r>
  <r>
    <x v="1236"/>
    <n v="26063.35"/>
    <n v="26106.799999999999"/>
    <n v="25920.3"/>
    <n v="25942.1"/>
    <n v="234312888"/>
    <n v="18184.45"/>
    <n v="26007.1325"/>
    <n v="25910.293000000009"/>
    <n v="24880.65374999999"/>
    <n v="-121.25"/>
    <n v="-4.6521264534298166E-3"/>
  </r>
  <r>
    <x v="1237"/>
    <n v="25940.9"/>
    <n v="25976.75"/>
    <n v="25878"/>
    <n v="25938.85"/>
    <n v="396893959"/>
    <n v="39492.31"/>
    <n v="25994.089999999997"/>
    <n v="25922.664000000004"/>
    <n v="24897.640749999991"/>
    <n v="-2.0500000000029104"/>
    <n v="-7.9025785535695E-5"/>
  </r>
  <r>
    <x v="1238"/>
    <n v="25971.05"/>
    <n v="26187.95"/>
    <n v="25969"/>
    <n v="26129.599999999999"/>
    <n v="246314941"/>
    <n v="20703.990000000002"/>
    <n v="25982.244999999999"/>
    <n v="25929.735000000008"/>
    <n v="24914.572499999991"/>
    <n v="158.54999999999927"/>
    <n v="6.1048744659919132E-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9">
  <r>
    <x v="0"/>
    <n v="13996.1"/>
    <n v="14049.85"/>
    <n v="13991.35"/>
    <n v="14018.5"/>
    <n v="258090905"/>
    <n v="15873.75"/>
    <s v="-"/>
    <s v="-"/>
    <s v="-"/>
    <s v="-"/>
    <s v="-"/>
    <n v="8.7991906907909472E-3"/>
    <n v="14018.5"/>
    <n v="0"/>
    <n v="-0.17229752584963509"/>
  </r>
  <r>
    <x v="1"/>
    <n v="14104.35"/>
    <n v="14147.95"/>
    <n v="13953.75"/>
    <n v="14132.9"/>
    <n v="494999295"/>
    <n v="28705.09"/>
    <s v="-"/>
    <s v="-"/>
    <s v="-"/>
    <n v="114.39999999999964"/>
    <n v="8.1109728558919503E-3"/>
    <m/>
    <n v="14132.9"/>
    <n v="0"/>
    <m/>
  </r>
  <r>
    <x v="2"/>
    <n v="14075.15"/>
    <n v="14215.6"/>
    <n v="14048.15"/>
    <n v="14199.5"/>
    <n v="492475349"/>
    <n v="30872.87"/>
    <s v="-"/>
    <s v="-"/>
    <s v="-"/>
    <n v="66.600000000000364"/>
    <n v="4.7317435338167175E-3"/>
    <m/>
    <n v="14199.5"/>
    <n v="0"/>
    <m/>
  </r>
  <r>
    <x v="3"/>
    <n v="14240.95"/>
    <n v="14244.15"/>
    <n v="14039.9"/>
    <n v="14146.25"/>
    <n v="632323316"/>
    <n v="34615.550000000003"/>
    <s v="-"/>
    <s v="-"/>
    <s v="-"/>
    <n v="-53.25"/>
    <n v="-3.7392168359554664E-3"/>
    <m/>
    <n v="14199.5"/>
    <n v="-3.7501320469031096E-3"/>
    <m/>
  </r>
  <r>
    <x v="4"/>
    <n v="14253.75"/>
    <n v="14256.25"/>
    <n v="14123.1"/>
    <n v="14137.35"/>
    <n v="559173512"/>
    <n v="33446.47"/>
    <s v="-"/>
    <s v="-"/>
    <s v="-"/>
    <n v="-8.8999999999996362"/>
    <n v="-6.2439708848546077E-4"/>
    <m/>
    <n v="14199.5"/>
    <n v="-4.3769146800943792E-3"/>
    <m/>
  </r>
  <r>
    <x v="5"/>
    <n v="14258.4"/>
    <n v="14367.3"/>
    <n v="14221.65"/>
    <n v="14347.25"/>
    <n v="613472067"/>
    <n v="37615.19"/>
    <s v="-"/>
    <s v="-"/>
    <s v="-"/>
    <n v="209.89999999999964"/>
    <n v="1.4721146832744182E-2"/>
    <m/>
    <n v="14347.25"/>
    <n v="0"/>
    <m/>
  </r>
  <r>
    <x v="6"/>
    <n v="14474.05"/>
    <n v="14498.2"/>
    <n v="14383.1"/>
    <n v="14484.75"/>
    <n v="672878543"/>
    <n v="40186.21"/>
    <s v="-"/>
    <s v="-"/>
    <s v="-"/>
    <n v="137.5"/>
    <n v="9.499759915158508E-3"/>
    <m/>
    <n v="14484.75"/>
    <n v="0"/>
    <m/>
  </r>
  <r>
    <x v="7"/>
    <n v="14473.8"/>
    <n v="14590.65"/>
    <n v="14432.85"/>
    <n v="14563.45"/>
    <n v="929566952"/>
    <n v="44976.12"/>
    <s v="-"/>
    <s v="-"/>
    <s v="-"/>
    <n v="78.700000000000728"/>
    <n v="5.4374110461662267E-3"/>
    <m/>
    <n v="14563.45"/>
    <n v="0"/>
    <m/>
  </r>
  <r>
    <x v="8"/>
    <n v="14639.8"/>
    <n v="14653.35"/>
    <n v="14435.7"/>
    <n v="14564.85"/>
    <n v="873956688"/>
    <n v="44682.93"/>
    <s v="-"/>
    <s v="-"/>
    <s v="-"/>
    <n v="1.3999999999996362"/>
    <n v="9.5629721717484958E-5"/>
    <m/>
    <n v="14564.85"/>
    <n v="0"/>
    <m/>
  </r>
  <r>
    <x v="9"/>
    <n v="14550.05"/>
    <n v="14617.8"/>
    <n v="14471.5"/>
    <n v="14595.6"/>
    <n v="620194977"/>
    <n v="37534.370000000003"/>
    <s v="-"/>
    <s v="-"/>
    <s v="-"/>
    <n v="30.75"/>
    <n v="2.1133947993305867E-3"/>
    <m/>
    <n v="14595.6"/>
    <n v="0"/>
    <m/>
  </r>
  <r>
    <x v="10"/>
    <n v="14594.35"/>
    <n v="14617.45"/>
    <n v="14357.85"/>
    <n v="14433.7"/>
    <n v="789557216"/>
    <n v="39912.18"/>
    <s v="-"/>
    <s v="-"/>
    <s v="-"/>
    <n v="-161.89999999999964"/>
    <n v="-1.1093334064209755E-2"/>
    <m/>
    <n v="14595.6"/>
    <n v="-1.1092384006138767E-2"/>
    <m/>
  </r>
  <r>
    <x v="11"/>
    <n v="14453.3"/>
    <n v="14459.15"/>
    <n v="14222.8"/>
    <n v="14281.3"/>
    <n v="762043554"/>
    <n v="41716.22"/>
    <s v="-"/>
    <s v="-"/>
    <s v="-"/>
    <n v="-152.40000000000146"/>
    <n v="-1.0544304760850564E-2"/>
    <m/>
    <n v="14595.6"/>
    <n v="-2.1533886924826717E-2"/>
    <m/>
  </r>
  <r>
    <x v="12"/>
    <n v="14371.65"/>
    <n v="14546.05"/>
    <n v="14350.85"/>
    <n v="14521.15"/>
    <n v="546108304"/>
    <n v="33084.79"/>
    <s v="-"/>
    <s v="-"/>
    <s v="-"/>
    <n v="239.85000000000036"/>
    <n v="1.6689106678773862E-2"/>
    <m/>
    <n v="14595.6"/>
    <n v="-5.1008523116555793E-3"/>
    <m/>
  </r>
  <r>
    <x v="13"/>
    <n v="14538.3"/>
    <n v="14666.45"/>
    <n v="14517.55"/>
    <n v="14644.7"/>
    <n v="623069963"/>
    <n v="34639.360000000001"/>
    <s v="-"/>
    <s v="-"/>
    <s v="-"/>
    <n v="123.55000000000109"/>
    <n v="8.4982425730657021E-3"/>
    <m/>
    <n v="14644.7"/>
    <n v="0"/>
    <m/>
  </r>
  <r>
    <x v="14"/>
    <n v="14730.95"/>
    <n v="14753.55"/>
    <n v="14517.25"/>
    <n v="14590.35"/>
    <n v="704646957"/>
    <n v="41939.040000000001"/>
    <s v="-"/>
    <s v="-"/>
    <s v="-"/>
    <n v="-54.350000000000364"/>
    <n v="-3.6895108597884293E-3"/>
    <m/>
    <n v="14644.7"/>
    <n v="-3.711240243910785E-3"/>
    <m/>
  </r>
  <r>
    <x v="15"/>
    <n v="14583.4"/>
    <n v="14619.9"/>
    <n v="14357.75"/>
    <n v="14371.9"/>
    <n v="776750347"/>
    <n v="45322.54"/>
    <s v="-"/>
    <s v="-"/>
    <s v="-"/>
    <n v="-218.45000000000073"/>
    <n v="-1.4979360094353905E-2"/>
    <m/>
    <n v="14644.7"/>
    <n v="-1.8627899513134483E-2"/>
    <m/>
  </r>
  <r>
    <x v="16"/>
    <n v="14477.8"/>
    <n v="14491.1"/>
    <n v="14218.6"/>
    <n v="14238.9"/>
    <n v="618631493"/>
    <n v="42278.39"/>
    <s v="-"/>
    <s v="-"/>
    <s v="-"/>
    <n v="-133"/>
    <n v="-9.1864786086283835E-3"/>
    <m/>
    <n v="14644.7"/>
    <n v="-2.7709683366678783E-2"/>
    <m/>
  </r>
  <r>
    <x v="17"/>
    <n v="14237.95"/>
    <n v="14237.95"/>
    <n v="13929.3"/>
    <n v="13967.5"/>
    <n v="660711117"/>
    <n v="40579.24"/>
    <s v="-"/>
    <s v="-"/>
    <s v="-"/>
    <n v="-271.39999999999964"/>
    <n v="-1.9061732903964377E-2"/>
    <m/>
    <n v="14644.7"/>
    <n v="-4.6241985155039078E-2"/>
    <m/>
  </r>
  <r>
    <x v="18"/>
    <n v="13810.4"/>
    <n v="13898.25"/>
    <n v="13713.25"/>
    <n v="13817.55"/>
    <n v="637871621"/>
    <n v="39881.82"/>
    <s v="-"/>
    <s v="-"/>
    <s v="-"/>
    <n v="-149.95000000000073"/>
    <n v="-1.0857759369750386E-2"/>
    <m/>
    <n v="14644.7"/>
    <n v="-5.6481184319241873E-2"/>
    <m/>
  </r>
  <r>
    <x v="19"/>
    <n v="13946.6"/>
    <n v="13966.85"/>
    <n v="13596.75"/>
    <n v="13634.6"/>
    <n v="753206122"/>
    <n v="46918.29"/>
    <s v="-"/>
    <s v="-"/>
    <s v="-"/>
    <n v="-182.94999999999891"/>
    <n v="-1.3117892532947019E-2"/>
    <m/>
    <n v="14644.7"/>
    <n v="-6.8973758424549558E-2"/>
    <m/>
  </r>
  <r>
    <x v="20"/>
    <n v="13758.6"/>
    <n v="14336.35"/>
    <n v="13661.75"/>
    <n v="14281.2"/>
    <n v="870529495"/>
    <n v="51840.22"/>
    <n v="14284.602499999999"/>
    <s v="-"/>
    <s v="-"/>
    <n v="646.60000000000036"/>
    <n v="4.6996060645705259E-2"/>
    <m/>
    <n v="14644.7"/>
    <n v="-2.482126639671689E-2"/>
    <m/>
  </r>
  <r>
    <x v="21"/>
    <n v="14481.1"/>
    <n v="14731.7"/>
    <n v="14469.15"/>
    <n v="14647.85"/>
    <n v="914965225"/>
    <n v="58177.74"/>
    <n v="14297.737499999999"/>
    <s v="-"/>
    <s v="-"/>
    <n v="366.64999999999964"/>
    <n v="2.5319209176098475E-2"/>
    <m/>
    <n v="14647.85"/>
    <n v="0"/>
    <m/>
  </r>
  <r>
    <x v="22"/>
    <n v="14754.9"/>
    <n v="14868.85"/>
    <n v="14574.15"/>
    <n v="14789.95"/>
    <n v="869477087"/>
    <n v="49312.35"/>
    <n v="14323.484999999997"/>
    <s v="-"/>
    <s v="-"/>
    <n v="142.10000000000036"/>
    <n v="9.6306989542457328E-3"/>
    <m/>
    <n v="14789.95"/>
    <n v="0"/>
    <m/>
  </r>
  <r>
    <x v="23"/>
    <n v="14789.05"/>
    <n v="14913.7"/>
    <n v="14714.75"/>
    <n v="14895.65"/>
    <n v="884686415"/>
    <n v="47811.8"/>
    <n v="14353.007500000002"/>
    <s v="-"/>
    <s v="-"/>
    <n v="105.69999999999891"/>
    <n v="7.1471798391376674E-3"/>
    <m/>
    <n v="14895.65"/>
    <n v="0"/>
    <m/>
  </r>
  <r>
    <x v="24"/>
    <n v="14952.6"/>
    <n v="15014.65"/>
    <n v="14864.75"/>
    <n v="14924.25"/>
    <n v="935629058"/>
    <n v="54394.63"/>
    <n v="14390.477500000003"/>
    <s v="-"/>
    <s v="-"/>
    <n v="28.600000000000364"/>
    <n v="1.9127108328986506E-3"/>
    <m/>
    <n v="14924.25"/>
    <n v="0"/>
    <m/>
  </r>
  <r>
    <x v="25"/>
    <n v="15064.3"/>
    <n v="15159.9"/>
    <n v="15041.05"/>
    <n v="15115.8"/>
    <n v="671242694"/>
    <n v="40483.96"/>
    <n v="14429.8225"/>
    <s v="-"/>
    <s v="-"/>
    <n v="191.54999999999927"/>
    <n v="1.271549292034806E-2"/>
    <m/>
    <n v="15115.8"/>
    <n v="0"/>
    <m/>
  </r>
  <r>
    <x v="26"/>
    <n v="15164.15"/>
    <n v="15257.1"/>
    <n v="15064.3"/>
    <n v="15109.3"/>
    <n v="713279133"/>
    <n v="41930.720000000001"/>
    <n v="14468.25"/>
    <s v="-"/>
    <s v="-"/>
    <n v="-6.5"/>
    <n v="-4.2864255497340769E-4"/>
    <m/>
    <n v="15115.8"/>
    <n v="-4.3001362812422617E-4"/>
    <m/>
  </r>
  <r>
    <x v="27"/>
    <n v="15119.05"/>
    <n v="15168.25"/>
    <n v="14977.2"/>
    <n v="15106.5"/>
    <n v="624791133"/>
    <n v="40707.97"/>
    <n v="14499.477499999999"/>
    <s v="-"/>
    <s v="-"/>
    <n v="-2.7999999999992724"/>
    <n v="-1.8519682122879893E-4"/>
    <m/>
    <n v="15115.8"/>
    <n v="-6.1525026793152193E-4"/>
    <m/>
  </r>
  <r>
    <x v="28"/>
    <n v="15073.25"/>
    <n v="15188.5"/>
    <n v="15065.4"/>
    <n v="15173.3"/>
    <n v="500122414"/>
    <n v="30933.439999999999"/>
    <n v="14526.63"/>
    <s v="-"/>
    <s v="-"/>
    <n v="66.799999999999272"/>
    <n v="4.4316919045328165E-3"/>
    <m/>
    <n v="15173.3"/>
    <n v="0"/>
    <m/>
  </r>
  <r>
    <x v="29"/>
    <n v="15186.2"/>
    <n v="15243.5"/>
    <n v="15081"/>
    <n v="15163.3"/>
    <n v="571808807"/>
    <n v="32304.240000000002"/>
    <n v="14557.0525"/>
    <s v="-"/>
    <s v="-"/>
    <n v="-10"/>
    <n v="-6.5849257878863702E-4"/>
    <m/>
    <n v="15173.3"/>
    <n v="-6.5905241443853235E-4"/>
    <m/>
  </r>
  <r>
    <x v="30"/>
    <n v="15270.3"/>
    <n v="15340.15"/>
    <n v="15243.4"/>
    <n v="15314.7"/>
    <n v="455959720"/>
    <n v="28955.29"/>
    <n v="14585.4375"/>
    <s v="-"/>
    <s v="-"/>
    <n v="151.40000000000146"/>
    <n v="9.9146709625876021E-3"/>
    <m/>
    <n v="15314.7"/>
    <n v="0"/>
    <m/>
  </r>
  <r>
    <x v="31"/>
    <n v="15371.45"/>
    <n v="15431.75"/>
    <n v="15242.2"/>
    <n v="15313.45"/>
    <n v="648545320"/>
    <n v="36550.03"/>
    <n v="14629.487499999999"/>
    <s v="-"/>
    <s v="-"/>
    <n v="-1.25"/>
    <n v="-8.131958923849083E-5"/>
    <m/>
    <n v="15314.7"/>
    <n v="-8.1620926299597052E-5"/>
    <m/>
  </r>
  <r>
    <x v="32"/>
    <n v="15279.9"/>
    <n v="15314.3"/>
    <n v="15170.75"/>
    <n v="15208.9"/>
    <n v="504767226"/>
    <n v="34073.120000000003"/>
    <n v="14681.095000000001"/>
    <s v="-"/>
    <s v="-"/>
    <n v="-104.55000000000109"/>
    <n v="-6.8423222665070513E-3"/>
    <m/>
    <n v="15314.7"/>
    <n v="-6.9083952019954875E-3"/>
    <m/>
  </r>
  <r>
    <x v="33"/>
    <n v="15238.7"/>
    <n v="15250.75"/>
    <n v="15078.05"/>
    <n v="15118.95"/>
    <n v="770629541"/>
    <n v="37093.99"/>
    <n v="14715.482500000002"/>
    <s v="-"/>
    <s v="-"/>
    <n v="-89.949999999998909"/>
    <n v="-5.9027344852250457E-3"/>
    <m/>
    <n v="15314.7"/>
    <n v="-1.2781837058512435E-2"/>
    <m/>
  </r>
  <r>
    <x v="34"/>
    <n v="15074.8"/>
    <n v="15144.05"/>
    <n v="14898.2"/>
    <n v="14981.75"/>
    <n v="712213821"/>
    <n v="37419.339999999997"/>
    <n v="14739.195000000002"/>
    <s v="-"/>
    <s v="-"/>
    <n v="-137.20000000000073"/>
    <n v="-9.1012816090429542E-3"/>
    <m/>
    <n v="15314.7"/>
    <n v="-2.1740549929153086E-2"/>
    <m/>
  </r>
  <r>
    <x v="35"/>
    <n v="14999.05"/>
    <n v="15010.1"/>
    <n v="14635.05"/>
    <n v="14675.7"/>
    <n v="609898454"/>
    <n v="37578.07"/>
    <n v="14758.764999999999"/>
    <s v="-"/>
    <s v="-"/>
    <n v="-306.04999999999927"/>
    <n v="-2.0404625626289617E-2"/>
    <m/>
    <n v="15314.7"/>
    <n v="-4.1724617524339314E-2"/>
    <m/>
  </r>
  <r>
    <x v="36"/>
    <n v="14782.25"/>
    <n v="14854.5"/>
    <n v="14651.85"/>
    <n v="14707.8"/>
    <n v="744092809"/>
    <n v="39508.089999999997"/>
    <n v="14773.954999999998"/>
    <s v="-"/>
    <s v="-"/>
    <n v="32.099999999998545"/>
    <n v="2.1715232796088919E-3"/>
    <m/>
    <n v="15314.7"/>
    <n v="-3.9628592136966567E-2"/>
    <m/>
  </r>
  <r>
    <x v="37"/>
    <n v="14729.15"/>
    <n v="15008.8"/>
    <n v="14723.05"/>
    <n v="14982"/>
    <n v="403754669"/>
    <n v="23723.99"/>
    <n v="14797.4"/>
    <s v="-"/>
    <s v="-"/>
    <n v="274.20000000000073"/>
    <n v="1.8616145534535309E-2"/>
    <m/>
    <n v="15314.7"/>
    <n v="-2.1724225743893211E-2"/>
    <m/>
  </r>
  <r>
    <x v="38"/>
    <n v="15079.85"/>
    <n v="15176.5"/>
    <n v="15065.35"/>
    <n v="15097.35"/>
    <n v="803883875"/>
    <n v="42983.07"/>
    <n v="14848.125"/>
    <s v="-"/>
    <s v="-"/>
    <n v="115.35000000000036"/>
    <n v="7.6492803310377992E-3"/>
    <m/>
    <n v="15314.7"/>
    <n v="-1.4192246664968988E-2"/>
    <m/>
  </r>
  <r>
    <x v="39"/>
    <n v="14888.6"/>
    <n v="14919.45"/>
    <n v="14467.75"/>
    <n v="14529.15"/>
    <n v="1103644519"/>
    <n v="65012.959999999999"/>
    <n v="14912.115"/>
    <s v="-"/>
    <s v="-"/>
    <n v="-568.20000000000073"/>
    <n v="-3.8163427051569707E-2"/>
    <m/>
    <n v="15314.7"/>
    <n v="-5.1293854923700866E-2"/>
    <m/>
  </r>
  <r>
    <x v="40"/>
    <n v="14702.5"/>
    <n v="14806.8"/>
    <n v="14638.55"/>
    <n v="14761.55"/>
    <n v="507302977"/>
    <n v="30030.57"/>
    <n v="14956.842499999999"/>
    <s v="-"/>
    <s v="-"/>
    <n v="232.39999999999964"/>
    <n v="1.5806835572181578E-2"/>
    <m/>
    <n v="15314.7"/>
    <n v="-3.6118892306085115E-2"/>
    <m/>
  </r>
  <r>
    <x v="41"/>
    <n v="14865.3"/>
    <n v="14959.1"/>
    <n v="14760.8"/>
    <n v="14919.1"/>
    <n v="621723916"/>
    <n v="34647.26"/>
    <n v="14980.86"/>
    <s v="-"/>
    <s v="-"/>
    <n v="157.55000000000109"/>
    <n v="1.0598507934585989E-2"/>
    <m/>
    <n v="15314.7"/>
    <n v="-2.5831390755287398E-2"/>
    <m/>
  </r>
  <r>
    <x v="42"/>
    <n v="15064.4"/>
    <n v="15273.15"/>
    <n v="14995.8"/>
    <n v="15245.6"/>
    <n v="544205583"/>
    <n v="34567.730000000003"/>
    <n v="14994.422500000001"/>
    <s v="-"/>
    <s v="-"/>
    <n v="326.5"/>
    <n v="2.1673614614588037E-2"/>
    <m/>
    <n v="15314.7"/>
    <n v="-4.5120048058401308E-3"/>
    <m/>
  </r>
  <r>
    <x v="43"/>
    <n v="15026.75"/>
    <n v="15202.35"/>
    <n v="14980.2"/>
    <n v="15080.75"/>
    <n v="534850447"/>
    <n v="36036.019999999997"/>
    <n v="15017.204999999998"/>
    <s v="-"/>
    <s v="-"/>
    <n v="-164.85000000000036"/>
    <n v="-1.0970436055700691E-2"/>
    <m/>
    <n v="15314.7"/>
    <n v="-1.5276172566227264E-2"/>
    <m/>
  </r>
  <r>
    <x v="44"/>
    <n v="14977.95"/>
    <n v="15092.35"/>
    <n v="14862.1"/>
    <n v="14938.1"/>
    <n v="640700362"/>
    <n v="37811.599999999999"/>
    <n v="15026.459999999997"/>
    <s v="-"/>
    <s v="-"/>
    <n v="-142.64999999999964"/>
    <n v="-9.5240002804121808E-3"/>
    <m/>
    <n v="15314.7"/>
    <n v="-2.4590752675534011E-2"/>
    <m/>
  </r>
  <r>
    <x v="45"/>
    <n v="15002.45"/>
    <n v="15111.15"/>
    <n v="14919.9"/>
    <n v="14956.2"/>
    <n v="580308065"/>
    <n v="29518.07"/>
    <n v="15027.152499999997"/>
    <s v="-"/>
    <s v="-"/>
    <n v="18.100000000000364"/>
    <n v="1.2064696099637301E-3"/>
    <m/>
    <n v="15314.7"/>
    <n v="-2.3408881662716263E-2"/>
    <m/>
  </r>
  <r>
    <x v="46"/>
    <n v="15049.9"/>
    <n v="15126.85"/>
    <n v="14925.45"/>
    <n v="15098.4"/>
    <n v="675271251"/>
    <n v="38365.480000000003"/>
    <n v="15019.172499999997"/>
    <s v="-"/>
    <s v="-"/>
    <n v="142.19999999999891"/>
    <n v="9.4485677645697926E-3"/>
    <m/>
    <n v="15314.7"/>
    <n v="-1.4123685086877336E-2"/>
    <m/>
  </r>
  <r>
    <x v="47"/>
    <n v="15202.15"/>
    <n v="15218.45"/>
    <n v="15100.85"/>
    <n v="15174.8"/>
    <n v="404585756"/>
    <n v="25603.32"/>
    <n v="15018.627499999999"/>
    <s v="-"/>
    <s v="-"/>
    <n v="76.399999999999636"/>
    <n v="5.0256049308814634E-3"/>
    <m/>
    <n v="15314.7"/>
    <n v="-9.135014071447789E-3"/>
    <m/>
  </r>
  <r>
    <x v="48"/>
    <n v="15321.15"/>
    <n v="15336.3"/>
    <n v="14953.6"/>
    <n v="15030.95"/>
    <n v="493238854"/>
    <n v="32195.96"/>
    <n v="15022.0425"/>
    <s v="-"/>
    <s v="-"/>
    <n v="-143.84999999999854"/>
    <n v="-9.3889818975728678E-3"/>
    <m/>
    <n v="15314.7"/>
    <n v="-1.852795027000198E-2"/>
    <m/>
  </r>
  <r>
    <x v="49"/>
    <n v="15048.4"/>
    <n v="15048.4"/>
    <n v="14745.85"/>
    <n v="14929.5"/>
    <n v="467473367"/>
    <n v="28118"/>
    <n v="15014.924999999999"/>
    <s v="-"/>
    <s v="-"/>
    <n v="-101.45000000000073"/>
    <n v="-6.7415805002525673E-3"/>
    <m/>
    <n v="15314.7"/>
    <n v="-2.5152304648475066E-2"/>
    <m/>
  </r>
  <r>
    <x v="50"/>
    <n v="14996.1"/>
    <n v="15051.6"/>
    <n v="14890.65"/>
    <n v="14910.45"/>
    <n v="437651327"/>
    <n v="27975.07"/>
    <n v="15003.235000000001"/>
    <n v="14699.277"/>
    <s v="-"/>
    <n v="-19.049999999999272"/>
    <n v="-1.2703302858742787E-3"/>
    <m/>
    <n v="15314.7"/>
    <n v="-2.6396207565280383E-2"/>
    <m/>
  </r>
  <r>
    <x v="51"/>
    <n v="14946.55"/>
    <n v="14956.55"/>
    <n v="14696.05"/>
    <n v="14721.3"/>
    <n v="479352147"/>
    <n v="27983.5"/>
    <n v="14983.022500000001"/>
    <n v="14717.115999999998"/>
    <s v="-"/>
    <n v="-189.15000000000146"/>
    <n v="-1.2655094319424982E-2"/>
    <m/>
    <n v="15314.7"/>
    <n v="-3.8747086132931208E-2"/>
    <m/>
  </r>
  <r>
    <x v="52"/>
    <n v="14855.5"/>
    <n v="14875.2"/>
    <n v="14478.6"/>
    <n v="14557.85"/>
    <n v="542216908"/>
    <n v="31339.71"/>
    <n v="14953.415000000003"/>
    <n v="14728.883999999998"/>
    <s v="-"/>
    <n v="-163.44999999999891"/>
    <n v="-1.1002658947864353E-2"/>
    <m/>
    <n v="15314.7"/>
    <n v="-4.941983845586273E-2"/>
    <m/>
  </r>
  <r>
    <x v="53"/>
    <n v="14471.15"/>
    <n v="14788.25"/>
    <n v="14350.1"/>
    <n v="14744"/>
    <n v="919178208"/>
    <n v="49011.27"/>
    <n v="14920.862499999999"/>
    <n v="14736.051000000001"/>
    <s v="-"/>
    <n v="186.14999999999964"/>
    <n v="1.2863525013561441E-2"/>
    <m/>
    <n v="15314.7"/>
    <n v="-3.726485011133096E-2"/>
    <m/>
  </r>
  <r>
    <x v="54"/>
    <n v="14736.3"/>
    <n v="14763.9"/>
    <n v="14597.85"/>
    <n v="14736.4"/>
    <n v="458997059"/>
    <n v="27345.02"/>
    <n v="14902.115"/>
    <n v="14748.005999999999"/>
    <s v="-"/>
    <n v="-7.6000000000003638"/>
    <n v="-5.1573325733056223E-4"/>
    <m/>
    <n v="15314.7"/>
    <n v="-3.7761105343232404E-2"/>
    <m/>
  </r>
  <r>
    <x v="55"/>
    <n v="14768.55"/>
    <n v="14878.6"/>
    <n v="14707"/>
    <n v="14814.75"/>
    <n v="474150088"/>
    <n v="30322.09"/>
    <n v="14889.8475"/>
    <n v="14759.986999999999"/>
    <s v="-"/>
    <n v="78.350000000000364"/>
    <n v="5.3051924528813169E-3"/>
    <m/>
    <n v="15314.7"/>
    <n v="-3.2645105682775455E-2"/>
    <m/>
  </r>
  <r>
    <x v="56"/>
    <n v="14712.45"/>
    <n v="14752.35"/>
    <n v="14535"/>
    <n v="14549.4"/>
    <n v="456403503"/>
    <n v="27868.93"/>
    <n v="14896.800000000003"/>
    <n v="14769.337"/>
    <s v="-"/>
    <n v="-265.35000000000036"/>
    <n v="-1.8035745236177549E-2"/>
    <m/>
    <n v="15314.7"/>
    <n v="-4.9971595917647771E-2"/>
    <m/>
  </r>
  <r>
    <x v="57"/>
    <n v="14570.9"/>
    <n v="14575.6"/>
    <n v="14264.4"/>
    <n v="14324.9"/>
    <n v="606820996"/>
    <n v="35350.22"/>
    <n v="14888.880000000001"/>
    <n v="14770.63"/>
    <s v="-"/>
    <n v="-224.5"/>
    <n v="-1.5407421641765437E-2"/>
    <m/>
    <n v="15314.7"/>
    <n v="-6.4630714281050272E-2"/>
    <m/>
  </r>
  <r>
    <x v="58"/>
    <n v="14506.3"/>
    <n v="14572.9"/>
    <n v="14414.25"/>
    <n v="14507.3"/>
    <n v="481000845"/>
    <n v="29423.45"/>
    <n v="14856.025000000003"/>
    <n v="14765.858999999999"/>
    <s v="-"/>
    <n v="182.39999999999964"/>
    <n v="1.2573847224998769E-2"/>
    <m/>
    <n v="15314.7"/>
    <n v="-5.2720588715417294E-2"/>
    <m/>
  </r>
  <r>
    <x v="59"/>
    <n v="14628.5"/>
    <n v="14876.3"/>
    <n v="14617.6"/>
    <n v="14845.1"/>
    <n v="594520567"/>
    <n v="35117.93"/>
    <n v="14826.522500000001"/>
    <n v="14764.708000000001"/>
    <s v="-"/>
    <n v="337.80000000000109"/>
    <n v="2.3091909628465059E-2"/>
    <m/>
    <n v="15314.7"/>
    <n v="-3.0663349592221834E-2"/>
    <m/>
  </r>
  <r>
    <x v="60"/>
    <n v="14811.85"/>
    <n v="14813.75"/>
    <n v="14670.25"/>
    <n v="14690.7"/>
    <n v="436874691"/>
    <n v="29741.83"/>
    <n v="14842.319999999998"/>
    <n v="14769.698"/>
    <s v="-"/>
    <n v="-154.39999999999964"/>
    <n v="-1.0424086120234786E-2"/>
    <m/>
    <n v="15314.7"/>
    <n v="-4.0745166408744593E-2"/>
    <m/>
  </r>
  <r>
    <x v="61"/>
    <n v="14798.4"/>
    <n v="14883.2"/>
    <n v="14692.45"/>
    <n v="14867.35"/>
    <n v="430028476"/>
    <n v="29585.23"/>
    <n v="14838.7775"/>
    <n v="14774.838"/>
    <s v="-"/>
    <n v="176.64999999999964"/>
    <n v="1.1937101308249516E-2"/>
    <m/>
    <n v="15314.7"/>
    <n v="-2.9210497104089517E-2"/>
    <m/>
  </r>
  <r>
    <x v="62"/>
    <n v="14837.7"/>
    <n v="14849.85"/>
    <n v="14459.5"/>
    <n v="14637.8"/>
    <n v="500476690"/>
    <n v="33885.39"/>
    <n v="14836.189999999997"/>
    <n v="14786.558999999999"/>
    <s v="-"/>
    <n v="-229.55000000000109"/>
    <n v="-1.5470726595092304E-2"/>
    <m/>
    <n v="15314.7"/>
    <n v="-4.4199364009742337E-2"/>
    <m/>
  </r>
  <r>
    <x v="63"/>
    <n v="14737"/>
    <n v="14779.1"/>
    <n v="14573.9"/>
    <n v="14683.5"/>
    <n v="474211156"/>
    <n v="31885.97"/>
    <n v="14805.799999999997"/>
    <n v="14788.892"/>
    <s v="-"/>
    <n v="45.700000000000728"/>
    <n v="3.1010382031621585E-3"/>
    <m/>
    <n v="15314.7"/>
    <n v="-4.1215302944230148E-2"/>
    <m/>
  </r>
  <r>
    <x v="64"/>
    <n v="14716.45"/>
    <n v="14879.8"/>
    <n v="14649.85"/>
    <n v="14819.05"/>
    <n v="476382016"/>
    <n v="35184.959999999999"/>
    <n v="14785.937499999996"/>
    <n v="14789.668"/>
    <s v="-"/>
    <n v="135.54999999999927"/>
    <n v="9.210781132678007E-3"/>
    <m/>
    <n v="15314.7"/>
    <n v="-3.2364329696304983E-2"/>
    <m/>
  </r>
  <r>
    <x v="65"/>
    <n v="14875.65"/>
    <n v="14984.15"/>
    <n v="14821.1"/>
    <n v="14873.8"/>
    <n v="503728173"/>
    <n v="34444.559999999998"/>
    <n v="14779.985000000001"/>
    <n v="14794.242000000002"/>
    <s v="-"/>
    <n v="54.75"/>
    <n v="3.6805114398362425E-3"/>
    <m/>
    <n v="15314.7"/>
    <n v="-2.8789333124383809E-2"/>
    <m/>
  </r>
  <r>
    <x v="66"/>
    <n v="14882.65"/>
    <n v="14918.45"/>
    <n v="14785.65"/>
    <n v="14834.85"/>
    <n v="498347599"/>
    <n v="35010.36"/>
    <n v="14775.864999999996"/>
    <n v="14804.280000000002"/>
    <s v="-"/>
    <n v="-38.949999999998909"/>
    <n v="-2.6171414365048504E-3"/>
    <m/>
    <n v="15314.7"/>
    <n v="-3.1332641187878374E-2"/>
    <m/>
  </r>
  <r>
    <x v="67"/>
    <n v="14644.65"/>
    <n v="14652.5"/>
    <n v="14248.7"/>
    <n v="14310.8"/>
    <n v="638475842"/>
    <n v="43433.24"/>
    <n v="14762.687499999996"/>
    <n v="14816.199000000001"/>
    <s v="-"/>
    <n v="-524.05000000000109"/>
    <n v="-3.5784399080893099E-2"/>
    <m/>
    <n v="15314.7"/>
    <n v="-6.5551398329709465E-2"/>
    <m/>
  </r>
  <r>
    <x v="68"/>
    <n v="14364.9"/>
    <n v="14528.9"/>
    <n v="14274.9"/>
    <n v="14504.8"/>
    <n v="588666016"/>
    <n v="40846.57"/>
    <n v="14719.487499999997"/>
    <n v="14823.065000000002"/>
    <s v="-"/>
    <n v="194"/>
    <n v="1.3505141003418054E-2"/>
    <m/>
    <n v="15314.7"/>
    <n v="-5.2883830568016488E-2"/>
    <m/>
  </r>
  <r>
    <x v="69"/>
    <n v="14522.4"/>
    <n v="14597.55"/>
    <n v="14353.2"/>
    <n v="14581.45"/>
    <n v="556851211"/>
    <n v="40177.25"/>
    <n v="14693.179999999997"/>
    <n v="14836.810000000003"/>
    <s v="-"/>
    <n v="76.650000000001455"/>
    <n v="5.2780532143448366E-3"/>
    <m/>
    <n v="15314.7"/>
    <n v="-4.7878835367326844E-2"/>
    <m/>
  </r>
  <r>
    <x v="70"/>
    <n v="14599.6"/>
    <n v="14697.7"/>
    <n v="14559"/>
    <n v="14617.85"/>
    <n v="568568743"/>
    <n v="36653.65"/>
    <n v="14675.7775"/>
    <n v="14855.747000000001"/>
    <s v="-"/>
    <n v="36.399999999999636"/>
    <n v="2.4932189923011338E-3"/>
    <m/>
    <n v="15314.7"/>
    <n v="-4.5502033993483404E-2"/>
    <m/>
  </r>
  <r>
    <x v="71"/>
    <n v="14306.6"/>
    <n v="14382.3"/>
    <n v="14191.4"/>
    <n v="14359.45"/>
    <n v="503142904"/>
    <n v="34751.949999999997"/>
    <n v="14661.147499999997"/>
    <n v="14862.480000000003"/>
    <s v="-"/>
    <n v="-258.39999999999964"/>
    <n v="-1.8061593949645592E-2"/>
    <m/>
    <n v="15314.7"/>
    <n v="-6.2374711878130151E-2"/>
    <m/>
  </r>
  <r>
    <x v="72"/>
    <n v="14526.7"/>
    <n v="14526.95"/>
    <n v="14207.3"/>
    <n v="14296.4"/>
    <n v="456704716"/>
    <n v="34687.11"/>
    <n v="14643.054999999997"/>
    <n v="14856.712000000001"/>
    <s v="-"/>
    <n v="-63.050000000001091"/>
    <n v="-4.340283753364569E-3"/>
    <m/>
    <n v="15314.7"/>
    <n v="-6.6491671400680463E-2"/>
    <m/>
  </r>
  <r>
    <x v="73"/>
    <n v="14219.15"/>
    <n v="14424.75"/>
    <n v="14151.4"/>
    <n v="14406.15"/>
    <n v="516985252"/>
    <n v="37235.71"/>
    <n v="14629.982499999998"/>
    <n v="14846.841"/>
    <s v="-"/>
    <n v="109.75"/>
    <n v="7.7184641838647181E-3"/>
    <m/>
    <n v="15314.7"/>
    <n v="-5.9325354071578351E-2"/>
    <m/>
  </r>
  <r>
    <x v="74"/>
    <n v="14326.35"/>
    <n v="14461.15"/>
    <n v="14273.3"/>
    <n v="14341.35"/>
    <n v="476613608"/>
    <n v="31894.66"/>
    <n v="14613.090000000002"/>
    <n v="14837.051000000001"/>
    <s v="-"/>
    <n v="-64.799999999999272"/>
    <n v="-4.5231339454919967E-3"/>
    <m/>
    <n v="15314.7"/>
    <n v="-6.3556582890947899E-2"/>
    <m/>
  </r>
  <r>
    <x v="75"/>
    <n v="14449.45"/>
    <n v="14557.5"/>
    <n v="14421.3"/>
    <n v="14485"/>
    <n v="448533329"/>
    <n v="33156.160000000003"/>
    <n v="14593.3375"/>
    <n v="14825.393"/>
    <s v="-"/>
    <n v="143.64999999999964"/>
    <n v="9.9415548688704166E-3"/>
    <m/>
    <n v="15314.7"/>
    <n v="-5.4176706040601541E-2"/>
    <m/>
  </r>
  <r>
    <x v="76"/>
    <n v="14493.8"/>
    <n v="14667.55"/>
    <n v="14484.85"/>
    <n v="14653.05"/>
    <n v="442211685"/>
    <n v="32181.14"/>
    <n v="14576.85"/>
    <n v="14812.777000000002"/>
    <s v="-"/>
    <n v="168.04999999999927"/>
    <n v="1.1594612868950811E-2"/>
    <m/>
    <n v="15314.7"/>
    <n v="-4.320358870888763E-2"/>
    <m/>
  </r>
  <r>
    <x v="77"/>
    <n v="14710.5"/>
    <n v="14890.25"/>
    <n v="14694.95"/>
    <n v="14864.55"/>
    <n v="453990807"/>
    <n v="37650.11"/>
    <n v="14582.032499999998"/>
    <n v="14803.652000000002"/>
    <s v="-"/>
    <n v="211.5"/>
    <n v="1.4377485469562558E-2"/>
    <m/>
    <n v="15314.7"/>
    <n v="-2.9393327979000627E-2"/>
    <m/>
  </r>
  <r>
    <x v="78"/>
    <n v="14979"/>
    <n v="15044.35"/>
    <n v="14814.45"/>
    <n v="14894.9"/>
    <n v="511466673"/>
    <n v="41597.370000000003"/>
    <n v="14609.014999999999"/>
    <n v="14798.813000000002"/>
    <s v="-"/>
    <n v="30.350000000000364"/>
    <n v="2.0261699712931678E-3"/>
    <m/>
    <n v="15314.7"/>
    <n v="-2.7411571888447117E-2"/>
    <m/>
  </r>
  <r>
    <x v="79"/>
    <n v="14747.35"/>
    <n v="14855.45"/>
    <n v="14601.7"/>
    <n v="14631.1"/>
    <n v="594744498"/>
    <n v="40335.86"/>
    <n v="14628.395"/>
    <n v="14793.245000000003"/>
    <s v="-"/>
    <n v="-263.79999999999927"/>
    <n v="-1.7887959531712426E-2"/>
    <m/>
    <n v="15314.7"/>
    <n v="-4.463685217470803E-2"/>
    <m/>
  </r>
  <r>
    <x v="80"/>
    <n v="14481.05"/>
    <n v="14673.85"/>
    <n v="14416.25"/>
    <n v="14634.15"/>
    <n v="443410846"/>
    <n v="32538.97"/>
    <n v="14617.695000000002"/>
    <n v="14782.601000000001"/>
    <s v="-"/>
    <n v="3.0499999999992724"/>
    <n v="2.1062008625060148E-4"/>
    <m/>
    <n v="15314.7"/>
    <n v="-4.4437697114537045E-2"/>
    <m/>
  </r>
  <r>
    <x v="81"/>
    <n v="14687.25"/>
    <n v="14723.4"/>
    <n v="14461.5"/>
    <n v="14496.5"/>
    <n v="479657079"/>
    <n v="34024.769999999997"/>
    <n v="14614.867500000002"/>
    <n v="14768.990000000002"/>
    <s v="-"/>
    <n v="-137.64999999999964"/>
    <n v="-9.3720744182879453E-3"/>
    <m/>
    <n v="15314.7"/>
    <n v="-5.3425793518645515E-2"/>
    <m/>
  </r>
  <r>
    <x v="82"/>
    <n v="14604.15"/>
    <n v="14637.9"/>
    <n v="14506.6"/>
    <n v="14617.85"/>
    <n v="437261063"/>
    <n v="28942.47"/>
    <n v="14596.325000000001"/>
    <n v="14752.651000000002"/>
    <s v="-"/>
    <n v="121.35000000000036"/>
    <n v="8.3092819506784283E-3"/>
    <m/>
    <n v="15314.7"/>
    <n v="-4.5502033993483404E-2"/>
    <m/>
  </r>
  <r>
    <x v="83"/>
    <n v="14668.35"/>
    <n v="14743.9"/>
    <n v="14611.5"/>
    <n v="14724.8"/>
    <n v="445281496"/>
    <n v="31015.95"/>
    <n v="14595.327499999999"/>
    <n v="14740.83"/>
    <s v="-"/>
    <n v="106.94999999999891"/>
    <n v="7.2912086226466447E-3"/>
    <m/>
    <n v="15314.7"/>
    <n v="-3.8518547539292403E-2"/>
    <m/>
  </r>
  <r>
    <x v="84"/>
    <n v="14816.85"/>
    <n v="14863.05"/>
    <n v="14765.5"/>
    <n v="14823.15"/>
    <n v="483677266"/>
    <n v="33583.370000000003"/>
    <n v="14597.392499999996"/>
    <n v="14732.947"/>
    <s v="-"/>
    <n v="98.350000000000364"/>
    <n v="6.6377131441568461E-3"/>
    <m/>
    <n v="15314.7"/>
    <n v="-3.2096613058042345E-2"/>
    <m/>
  </r>
  <r>
    <x v="85"/>
    <n v="14928.25"/>
    <n v="14966.9"/>
    <n v="14892.5"/>
    <n v="14942.35"/>
    <n v="510598577"/>
    <n v="31620.639999999999"/>
    <n v="14597.597499999998"/>
    <n v="14729.775000000001"/>
    <s v="-"/>
    <n v="119.20000000000073"/>
    <n v="7.984860918058093E-3"/>
    <m/>
    <n v="15314.7"/>
    <n v="-2.431324152611547E-2"/>
    <m/>
  </r>
  <r>
    <x v="86"/>
    <n v="14789.7"/>
    <n v="14900"/>
    <n v="14771.4"/>
    <n v="14850.75"/>
    <n v="616204478"/>
    <n v="32955.82"/>
    <n v="14601.024999999998"/>
    <n v="14735.108000000002"/>
    <s v="-"/>
    <n v="-91.600000000000364"/>
    <n v="-6.1934995300783899E-3"/>
    <m/>
    <n v="15314.7"/>
    <n v="-3.0294423005347904E-2"/>
    <m/>
  </r>
  <r>
    <x v="87"/>
    <n v="14823.55"/>
    <n v="14824.05"/>
    <n v="14649.7"/>
    <n v="14696.5"/>
    <n v="620318215"/>
    <n v="32035.23"/>
    <n v="14601.819999999998"/>
    <n v="14737.967000000002"/>
    <s v="-"/>
    <n v="-154.25"/>
    <n v="-1.0405739515837974E-2"/>
    <m/>
    <n v="15314.7"/>
    <n v="-4.0366445310714538E-2"/>
    <m/>
  </r>
  <r>
    <x v="88"/>
    <n v="14749.4"/>
    <n v="14749.65"/>
    <n v="14591.9"/>
    <n v="14677.8"/>
    <n v="602738614"/>
    <n v="39176.28"/>
    <n v="14621.105"/>
    <n v="14732.257000000001"/>
    <s v="-"/>
    <n v="-18.700000000000728"/>
    <n v="-1.2678481836549777E-3"/>
    <m/>
    <n v="15314.7"/>
    <n v="-4.158749436815623E-2"/>
    <m/>
  </r>
  <r>
    <x v="89"/>
    <n v="14756.25"/>
    <n v="14938"/>
    <n v="14725.35"/>
    <n v="14923.15"/>
    <n v="534516176"/>
    <n v="35571.279999999999"/>
    <n v="14629.755000000001"/>
    <n v="14723.866000000004"/>
    <s v="-"/>
    <n v="245.35000000000036"/>
    <n v="1.6626853028377832E-2"/>
    <m/>
    <n v="15314.7"/>
    <n v="-2.5566938954076912E-2"/>
    <m/>
  </r>
  <r>
    <x v="90"/>
    <n v="15067.2"/>
    <n v="15137.25"/>
    <n v="15043.7"/>
    <n v="15108.1"/>
    <n v="571923125"/>
    <n v="35634.730000000003"/>
    <n v="14646.84"/>
    <n v="14731.746000000003"/>
    <s v="-"/>
    <n v="184.95000000000073"/>
    <n v="1.2275007964319894E-2"/>
    <m/>
    <n v="15314.7"/>
    <n v="-1.3490306698792698E-2"/>
    <m/>
  </r>
  <r>
    <x v="91"/>
    <n v="15058.6"/>
    <n v="15133.4"/>
    <n v="15008.85"/>
    <n v="15030.15"/>
    <n v="563293717"/>
    <n v="31100.21"/>
    <n v="14671.352499999999"/>
    <n v="14738.677000000001"/>
    <s v="-"/>
    <n v="-77.950000000000728"/>
    <n v="-5.1764440253410492E-3"/>
    <m/>
    <n v="15314.7"/>
    <n v="-1.8580187662833869E-2"/>
    <m/>
  </r>
  <r>
    <x v="92"/>
    <n v="15042.6"/>
    <n v="15069.8"/>
    <n v="14884.9"/>
    <n v="14906.05"/>
    <n v="467455658"/>
    <n v="28002.53"/>
    <n v="14704.887500000001"/>
    <n v="14740.898000000001"/>
    <s v="-"/>
    <n v="-124.10000000000036"/>
    <n v="-8.2499036070892238E-3"/>
    <m/>
    <n v="15314.7"/>
    <n v="-2.6683513225854938E-2"/>
    <m/>
  </r>
  <r>
    <x v="93"/>
    <n v="14987.8"/>
    <n v="15190"/>
    <n v="14985.85"/>
    <n v="15175.3"/>
    <n v="557730470"/>
    <n v="31921.759999999998"/>
    <n v="14735.369999999999"/>
    <n v="14734.107"/>
    <s v="-"/>
    <n v="269.25"/>
    <n v="1.7964611217123262E-2"/>
    <m/>
    <n v="15314.7"/>
    <n v="-9.102365700927928E-3"/>
    <m/>
  </r>
  <r>
    <x v="94"/>
    <n v="15211.35"/>
    <n v="15256.25"/>
    <n v="15145.45"/>
    <n v="15197.7"/>
    <n v="566722866"/>
    <n v="32061.040000000001"/>
    <n v="14773.827499999996"/>
    <n v="14735.998000000003"/>
    <s v="-"/>
    <n v="22.400000000001455"/>
    <n v="1.4725846160926843E-3"/>
    <m/>
    <n v="15314.7"/>
    <n v="-7.6397187016395973E-3"/>
    <m/>
  </r>
  <r>
    <x v="95"/>
    <n v="15291.75"/>
    <n v="15293.85"/>
    <n v="15163.4"/>
    <n v="15208.45"/>
    <n v="417323446"/>
    <n v="26871.99"/>
    <n v="14816.644999999999"/>
    <n v="14741.190000000002"/>
    <s v="-"/>
    <n v="10.75"/>
    <n v="7.0299344417741594E-4"/>
    <m/>
    <n v="15314.7"/>
    <n v="-6.9377787354633069E-3"/>
    <m/>
  </r>
  <r>
    <x v="96"/>
    <n v="15257.05"/>
    <n v="15319.9"/>
    <n v="15194.95"/>
    <n v="15301.45"/>
    <n v="377682051"/>
    <n v="26187.83"/>
    <n v="14852.817500000001"/>
    <n v="14746.235000000001"/>
    <s v="-"/>
    <n v="93"/>
    <n v="6.0955427163180307E-3"/>
    <m/>
    <n v="15314.7"/>
    <n v="-8.6518181877537348E-4"/>
    <m/>
  </r>
  <r>
    <x v="97"/>
    <n v="15323.95"/>
    <n v="15384.55"/>
    <n v="15272.5"/>
    <n v="15337.85"/>
    <n v="682374351"/>
    <n v="48219.93"/>
    <n v="14885.237499999999"/>
    <n v="14750.296"/>
    <s v="-"/>
    <n v="36.399999999999636"/>
    <n v="2.3753666646001608E-3"/>
    <m/>
    <n v="15337.85"/>
    <n v="0"/>
    <m/>
  </r>
  <r>
    <x v="98"/>
    <n v="15421.2"/>
    <n v="15469.65"/>
    <n v="15394.75"/>
    <n v="15435.65"/>
    <n v="455582440"/>
    <n v="32992.080000000002"/>
    <n v="14908.902499999997"/>
    <n v="14753.556999999999"/>
    <s v="-"/>
    <n v="97.799999999999272"/>
    <n v="6.3419189168157641E-3"/>
    <m/>
    <n v="15435.65"/>
    <n v="0"/>
    <m/>
  </r>
  <r>
    <x v="99"/>
    <n v="15437.75"/>
    <n v="15606.35"/>
    <n v="15374"/>
    <n v="15582.8"/>
    <n v="435999456"/>
    <n v="32739.29"/>
    <n v="14935.939999999999"/>
    <n v="14761.650999999998"/>
    <s v="-"/>
    <n v="147.14999999999964"/>
    <n v="9.5318294440575619E-3"/>
    <m/>
    <n v="15582.8"/>
    <n v="0"/>
    <m/>
  </r>
  <r>
    <x v="100"/>
    <n v="15629.65"/>
    <n v="15660.75"/>
    <n v="15528.3"/>
    <n v="15574.85"/>
    <n v="409562322"/>
    <n v="27964.09"/>
    <n v="14983.525"/>
    <n v="14774.717000000002"/>
    <s v="-"/>
    <n v="-7.9499999999989086"/>
    <n v="-5.086486261687823E-4"/>
    <m/>
    <n v="15582.8"/>
    <n v="-5.1017788844098799E-4"/>
    <m/>
  </r>
  <r>
    <x v="101"/>
    <n v="15520.35"/>
    <n v="15597.45"/>
    <n v="15459.85"/>
    <n v="15576.2"/>
    <n v="428641666"/>
    <n v="28781.87"/>
    <n v="15030.560000000001"/>
    <n v="14788.004999999999"/>
    <s v="-"/>
    <n v="1.3500000000003638"/>
    <n v="8.6982574490933762E-5"/>
    <m/>
    <n v="15582.8"/>
    <n v="-4.2354390738497116E-4"/>
    <m/>
  </r>
  <r>
    <x v="102"/>
    <n v="15655.55"/>
    <n v="15705.1"/>
    <n v="15611"/>
    <n v="15690.35"/>
    <n v="410240584"/>
    <n v="27519.48"/>
    <n v="15084.544999999998"/>
    <n v="14805.102999999997"/>
    <s v="-"/>
    <n v="114.14999999999964"/>
    <n v="7.2913439642810149E-3"/>
    <m/>
    <n v="15690.35"/>
    <n v="0"/>
    <m/>
  </r>
  <r>
    <x v="103"/>
    <n v="15712.5"/>
    <n v="15733.6"/>
    <n v="15622.35"/>
    <n v="15670.25"/>
    <n v="414162241"/>
    <n v="25363.03"/>
    <n v="15138.169999999998"/>
    <n v="14827.752999999999"/>
    <s v="-"/>
    <n v="-20.100000000000364"/>
    <n v="-1.2792362768496652E-3"/>
    <m/>
    <n v="15690.35"/>
    <n v="-1.2810421692314167E-3"/>
    <m/>
  </r>
  <r>
    <x v="104"/>
    <n v="15725.1"/>
    <n v="15773.45"/>
    <n v="15678.1"/>
    <n v="15751.65"/>
    <n v="393970049"/>
    <n v="25411.48"/>
    <n v="15185.442499999999"/>
    <n v="14846.277999999998"/>
    <s v="-"/>
    <n v="81.399999999999636"/>
    <n v="5.1764376697127287E-3"/>
    <m/>
    <n v="15751.65"/>
    <n v="0"/>
    <m/>
  </r>
  <r>
    <x v="105"/>
    <n v="15773.9"/>
    <n v="15778.8"/>
    <n v="15680"/>
    <n v="15740.1"/>
    <n v="378164658"/>
    <n v="24172.13"/>
    <n v="15231.867500000002"/>
    <n v="14866.582999999999"/>
    <s v="-"/>
    <n v="-11.549999999999272"/>
    <n v="-7.3222221517819138E-4"/>
    <m/>
    <n v="15751.65"/>
    <n v="-7.3325651598399322E-4"/>
    <m/>
  </r>
  <r>
    <x v="106"/>
    <n v="15766.3"/>
    <n v="15800.45"/>
    <n v="15566.9"/>
    <n v="15635.35"/>
    <n v="457855735"/>
    <n v="26926.49"/>
    <n v="15271.755000000001"/>
    <n v="14885.089999999998"/>
    <s v="-"/>
    <n v="-104.75"/>
    <n v="-6.6439177232451496E-3"/>
    <m/>
    <n v="15751.65"/>
    <n v="-7.3833534899517828E-3"/>
    <m/>
  </r>
  <r>
    <x v="107"/>
    <n v="15692.1"/>
    <n v="15751.25"/>
    <n v="15648.5"/>
    <n v="15737.75"/>
    <n v="298297041"/>
    <n v="23032.9"/>
    <n v="15310.985000000001"/>
    <n v="14906.808999999997"/>
    <s v="-"/>
    <n v="102.39999999999964"/>
    <n v="6.52557656400352E-3"/>
    <m/>
    <n v="15751.65"/>
    <n v="-8.8244723568642325E-4"/>
    <m/>
  </r>
  <r>
    <x v="108"/>
    <n v="15796.45"/>
    <n v="15835.55"/>
    <n v="15749.8"/>
    <n v="15799.35"/>
    <n v="363011297"/>
    <n v="24591.69"/>
    <n v="15363.047499999997"/>
    <n v="14935.065999999997"/>
    <s v="-"/>
    <n v="61.600000000000364"/>
    <n v="3.8996103554912883E-3"/>
    <m/>
    <n v="15799.35"/>
    <n v="0"/>
    <m/>
  </r>
  <r>
    <x v="109"/>
    <n v="15791.4"/>
    <n v="15823.05"/>
    <n v="15606.5"/>
    <n v="15811.85"/>
    <n v="392862037"/>
    <n v="28001.5"/>
    <n v="15419.124999999996"/>
    <n v="14960.906999999996"/>
    <s v="-"/>
    <n v="12.5"/>
    <n v="7.9157009511506265E-4"/>
    <m/>
    <n v="15811.85"/>
    <n v="0"/>
    <m/>
  </r>
  <r>
    <x v="110"/>
    <n v="15866.95"/>
    <n v="15901.6"/>
    <n v="15842.4"/>
    <n v="15869.25"/>
    <n v="323262818"/>
    <n v="22181.26"/>
    <n v="15463.559999999998"/>
    <n v="14980.241999999997"/>
    <s v="-"/>
    <n v="57.399999999999636"/>
    <n v="3.6175824591367358E-3"/>
    <m/>
    <n v="15869.25"/>
    <n v="0"/>
    <m/>
  </r>
  <r>
    <x v="111"/>
    <n v="15847.5"/>
    <n v="15880.85"/>
    <n v="15742.6"/>
    <n v="15767.55"/>
    <n v="340191175"/>
    <n v="22505.95"/>
    <n v="15501.617499999998"/>
    <n v="15003.812999999998"/>
    <s v="-"/>
    <n v="-101.70000000000073"/>
    <n v="-6.4174159962139595E-3"/>
    <m/>
    <n v="15869.25"/>
    <n v="-6.4086204452006301E-3"/>
    <m/>
  </r>
  <r>
    <x v="112"/>
    <n v="15648.3"/>
    <n v="15769.35"/>
    <n v="15616.75"/>
    <n v="15691.4"/>
    <n v="357649243"/>
    <n v="26048.47"/>
    <n v="15538.487499999999"/>
    <n v="15021.816999999999"/>
    <s v="-"/>
    <n v="-76.149999999999636"/>
    <n v="-4.8663433088578078E-3"/>
    <m/>
    <n v="15869.25"/>
    <n v="-1.1207208910314015E-2"/>
    <m/>
  </r>
  <r>
    <x v="113"/>
    <n v="15756.5"/>
    <n v="15761.5"/>
    <n v="15450.9"/>
    <n v="15683.35"/>
    <n v="640821642"/>
    <n v="42024.55"/>
    <n v="15577.755000000001"/>
    <n v="15042.888999999999"/>
    <s v="-"/>
    <n v="-8.0499999999992724"/>
    <n v="-5.1090026338331939E-4"/>
    <m/>
    <n v="15869.25"/>
    <n v="-1.1714479260204413E-2"/>
    <m/>
  </r>
  <r>
    <x v="114"/>
    <n v="15525.85"/>
    <n v="15765.15"/>
    <n v="15505.65"/>
    <n v="15746.5"/>
    <n v="351530072"/>
    <n v="22525.89"/>
    <n v="15603.157500000001"/>
    <n v="15062.885999999997"/>
    <s v="-"/>
    <n v="63.149999999999636"/>
    <n v="4.0674101578979339E-3"/>
    <m/>
    <n v="15869.25"/>
    <n v="-7.7350851489516037E-3"/>
    <m/>
  </r>
  <r>
    <x v="115"/>
    <n v="15840.5"/>
    <n v="15895.75"/>
    <n v="15752.1"/>
    <n v="15772.75"/>
    <n v="322237561"/>
    <n v="24440.47"/>
    <n v="15630.5975"/>
    <n v="15081.434999999998"/>
    <s v="-"/>
    <n v="26.25"/>
    <n v="1.6571446608377261E-3"/>
    <m/>
    <n v="15869.25"/>
    <n v="-6.0809427036564445E-3"/>
    <m/>
  </r>
  <r>
    <x v="116"/>
    <n v="15862.8"/>
    <n v="15862.95"/>
    <n v="15673.95"/>
    <n v="15686.95"/>
    <n v="287536735"/>
    <n v="23222.94"/>
    <n v="15658.8125"/>
    <n v="15099.413999999997"/>
    <s v="-"/>
    <n v="-85.799999999999272"/>
    <n v="-5.4088811559118996E-3"/>
    <m/>
    <n v="15869.25"/>
    <n v="-1.1487625439135396E-2"/>
    <m/>
  </r>
  <r>
    <x v="117"/>
    <n v="15737.3"/>
    <n v="15821.4"/>
    <n v="15702.7"/>
    <n v="15790.45"/>
    <n v="316662241"/>
    <n v="29623.58"/>
    <n v="15678.0875"/>
    <n v="15116.455999999998"/>
    <s v="-"/>
    <n v="103.5"/>
    <n v="6.5767317138263875E-3"/>
    <m/>
    <n v="15869.25"/>
    <n v="-4.9655780834002572E-3"/>
    <m/>
  </r>
  <r>
    <x v="118"/>
    <n v="15839.35"/>
    <n v="15870.8"/>
    <n v="15772.3"/>
    <n v="15860.35"/>
    <n v="314614380"/>
    <n v="26933.22"/>
    <n v="15700.717500000002"/>
    <n v="15146.048999999997"/>
    <s v="-"/>
    <n v="69.899999999999636"/>
    <n v="4.4130598793510863E-3"/>
    <m/>
    <n v="15869.25"/>
    <n v="-5.6083305764287328E-4"/>
    <m/>
  </r>
  <r>
    <x v="119"/>
    <n v="15915.35"/>
    <n v="15915.65"/>
    <n v="15792.15"/>
    <n v="15814.7"/>
    <n v="255099272"/>
    <n v="18713.41"/>
    <n v="15721.952500000003"/>
    <n v="15173.159999999998"/>
    <s v="-"/>
    <n v="-45.649999999999636"/>
    <n v="-2.8683001002176916E-3"/>
    <m/>
    <n v="15869.25"/>
    <n v="-3.4374655386990582E-3"/>
    <m/>
  </r>
  <r>
    <x v="120"/>
    <n v="15807.5"/>
    <n v="15835.9"/>
    <n v="15724.05"/>
    <n v="15748.45"/>
    <n v="360334724"/>
    <n v="24392.13"/>
    <n v="15733.547500000001"/>
    <n v="15197.824999999995"/>
    <s v="-"/>
    <n v="-66.25"/>
    <n v="-4.1910485529021036E-3"/>
    <m/>
    <n v="15869.25"/>
    <n v="-7.6122059958724231E-3"/>
    <m/>
  </r>
  <r>
    <x v="121"/>
    <n v="15776.9"/>
    <n v="15839.1"/>
    <n v="15708.75"/>
    <n v="15721.5"/>
    <n v="262386323"/>
    <n v="20379.759999999998"/>
    <n v="15742.227499999999"/>
    <n v="15220.436999999994"/>
    <s v="-"/>
    <n v="-26.950000000000728"/>
    <n v="-1.7081936248566404E-3"/>
    <m/>
    <n v="15869.25"/>
    <n v="-9.3104589063754961E-3"/>
    <m/>
  </r>
  <r>
    <x v="122"/>
    <n v="15755.05"/>
    <n v="15755.55"/>
    <n v="15667.05"/>
    <n v="15680"/>
    <n v="224921644"/>
    <n v="17359.97"/>
    <n v="15749.492500000002"/>
    <n v="15247.677999999996"/>
    <s v="-"/>
    <n v="-41.5"/>
    <n v="-2.6340760581527829E-3"/>
    <m/>
    <n v="15869.25"/>
    <n v="-1.1925579343699311E-2"/>
    <m/>
  </r>
  <r>
    <x v="123"/>
    <n v="15705.85"/>
    <n v="15738.35"/>
    <n v="15635.95"/>
    <n v="15722.2"/>
    <n v="254808999"/>
    <n v="18015.419999999998"/>
    <n v="15748.975000000002"/>
    <n v="15275.349999999993"/>
    <s v="-"/>
    <n v="42.200000000000728"/>
    <n v="2.6868969205742273E-3"/>
    <m/>
    <n v="15869.25"/>
    <n v="-9.2663484411675823E-3"/>
    <m/>
  </r>
  <r>
    <x v="124"/>
    <n v="15793.4"/>
    <n v="15845.95"/>
    <n v="15762.05"/>
    <n v="15834.35"/>
    <n v="207032153"/>
    <n v="14976.54"/>
    <n v="15751.572500000004"/>
    <n v="15301.670999999995"/>
    <s v="-"/>
    <n v="112.14999999999964"/>
    <n v="7.1010675345397215E-3"/>
    <m/>
    <n v="15869.25"/>
    <n v="-2.1992217653638013E-3"/>
    <m/>
  </r>
  <r>
    <x v="125"/>
    <n v="15813.75"/>
    <n v="15914.2"/>
    <n v="15801"/>
    <n v="15818.25"/>
    <n v="391410742"/>
    <n v="24456.05"/>
    <n v="15755.7075"/>
    <n v="15331.530999999994"/>
    <s v="-"/>
    <n v="-16.100000000000364"/>
    <n v="-1.0181013358628007E-3"/>
    <m/>
    <n v="15869.25"/>
    <n v="-3.2137624651448204E-3"/>
    <m/>
  </r>
  <r>
    <x v="126"/>
    <n v="15819.6"/>
    <n v="15893.55"/>
    <n v="15779.7"/>
    <n v="15879.65"/>
    <n v="329308646"/>
    <n v="22259.96"/>
    <n v="15759.615"/>
    <n v="15358.195999999994"/>
    <s v="-"/>
    <n v="61.399999999999636"/>
    <n v="3.8812612202583905E-3"/>
    <m/>
    <n v="15879.65"/>
    <n v="0"/>
    <m/>
  </r>
  <r>
    <x v="127"/>
    <n v="15855.4"/>
    <n v="15885.75"/>
    <n v="15682.9"/>
    <n v="15727.9"/>
    <n v="307928495"/>
    <n v="19597.95"/>
    <n v="15771.830000000002"/>
    <n v="15382.727999999994"/>
    <s v="-"/>
    <n v="-151.75"/>
    <n v="-9.5708717534720034E-3"/>
    <m/>
    <n v="15879.65"/>
    <n v="-9.5562559628203925E-3"/>
    <m/>
  </r>
  <r>
    <x v="128"/>
    <n v="15688.25"/>
    <n v="15730.85"/>
    <n v="15632.75"/>
    <n v="15689.8"/>
    <n v="243249366"/>
    <n v="19976.86"/>
    <n v="15771.337500000005"/>
    <n v="15399.99499999999"/>
    <s v="-"/>
    <n v="-38.100000000000364"/>
    <n v="-2.4285691520724343E-3"/>
    <m/>
    <n v="15879.65"/>
    <n v="-1.1955553176549838E-2"/>
    <m/>
  </r>
  <r>
    <x v="129"/>
    <n v="15766.8"/>
    <n v="15789.2"/>
    <n v="15644.75"/>
    <n v="15692.6"/>
    <n v="216272488"/>
    <n v="18482.89"/>
    <n v="15765.860000000004"/>
    <n v="15415.892999999993"/>
    <s v="-"/>
    <n v="2.8000000000010914"/>
    <n v="1.7758835020429583E-4"/>
    <m/>
    <n v="15879.65"/>
    <n v="-1.1779226872128734E-2"/>
    <m/>
  </r>
  <r>
    <x v="130"/>
    <n v="15794"/>
    <n v="15820.8"/>
    <n v="15744.6"/>
    <n v="15812.35"/>
    <n v="246676549"/>
    <n v="18205.97"/>
    <n v="15759.897500000001"/>
    <n v="15437.122999999994"/>
    <s v="-"/>
    <n v="119.75"/>
    <n v="7.5819931619602382E-3"/>
    <m/>
    <n v="15879.65"/>
    <n v="-4.2381286741206559E-3"/>
    <m/>
  </r>
  <r>
    <x v="131"/>
    <n v="15808.7"/>
    <n v="15877.35"/>
    <n v="15764.2"/>
    <n v="15853.95"/>
    <n v="239924352"/>
    <n v="18372.84"/>
    <n v="15757.0525"/>
    <n v="15460.686999999993"/>
    <s v="-"/>
    <n v="41.600000000000364"/>
    <n v="2.6314624225901159E-3"/>
    <m/>
    <n v="15879.65"/>
    <n v="-1.6184235798647473E-3"/>
    <m/>
  </r>
  <r>
    <x v="132"/>
    <n v="15872.15"/>
    <n v="15952.35"/>
    <n v="15855"/>
    <n v="15924.2"/>
    <n v="284851049"/>
    <n v="20961.37"/>
    <n v="15761.372499999998"/>
    <n v="15487.835999999992"/>
    <s v="-"/>
    <n v="70.25"/>
    <n v="4.4259914378329338E-3"/>
    <m/>
    <n v="15924.2"/>
    <n v="0"/>
    <m/>
  </r>
  <r>
    <x v="133"/>
    <n v="15958.35"/>
    <n v="15962.25"/>
    <n v="15882.6"/>
    <n v="15923.4"/>
    <n v="276298105"/>
    <n v="18758.13"/>
    <n v="15773.012500000001"/>
    <n v="15513.962999999994"/>
    <s v="-"/>
    <n v="-0.80000000000109139"/>
    <n v="-5.0130495947331105E-5"/>
    <m/>
    <n v="15924.2"/>
    <n v="-5.023800253711741E-5"/>
    <m/>
  </r>
  <r>
    <x v="134"/>
    <n v="15754.5"/>
    <n v="15836.9"/>
    <n v="15707.5"/>
    <n v="15752.4"/>
    <n v="242131813"/>
    <n v="18088.78"/>
    <n v="15785.015000000003"/>
    <n v="15537.934999999996"/>
    <s v="-"/>
    <n v="-171"/>
    <n v="-1.0854041702370752E-2"/>
    <m/>
    <n v="15924.2"/>
    <n v="-1.0788611044824981E-2"/>
    <m/>
  </r>
  <r>
    <x v="135"/>
    <n v="15703.95"/>
    <n v="15728.45"/>
    <n v="15578.55"/>
    <n v="15632.1"/>
    <n v="274284165"/>
    <n v="21329.55"/>
    <n v="15785.310000000003"/>
    <n v="15556.519999999995"/>
    <s v="-"/>
    <n v="-120.29999999999927"/>
    <n v="-7.6604930606630345E-3"/>
    <m/>
    <n v="15924.2"/>
    <n v="-1.8343150676329079E-2"/>
    <m/>
  </r>
  <r>
    <x v="136"/>
    <n v="15736.6"/>
    <n v="15834.8"/>
    <n v="15726.4"/>
    <n v="15824.05"/>
    <n v="265250867"/>
    <n v="23988.39"/>
    <n v="15778.2775"/>
    <n v="15570.314999999995"/>
    <s v="-"/>
    <n v="191.94999999999891"/>
    <n v="1.2197679295400462E-2"/>
    <m/>
    <n v="15924.2"/>
    <n v="-6.2891699426032011E-3"/>
    <m/>
  </r>
  <r>
    <x v="137"/>
    <n v="15856.8"/>
    <n v="15899.8"/>
    <n v="15768.4"/>
    <n v="15856.05"/>
    <n v="294098244"/>
    <n v="20685.82"/>
    <n v="15785.132500000002"/>
    <n v="15589.780999999999"/>
    <s v="-"/>
    <n v="32"/>
    <n v="2.0180616517834621E-3"/>
    <m/>
    <n v="15924.2"/>
    <n v="-4.2796498411223904E-3"/>
    <m/>
  </r>
  <r>
    <x v="138"/>
    <n v="15849.3"/>
    <n v="15893.35"/>
    <n v="15797"/>
    <n v="15824.45"/>
    <n v="267076679"/>
    <n v="19487.18"/>
    <n v="15788.4125"/>
    <n v="15612.971999999998"/>
    <s v="-"/>
    <n v="-31.599999999998545"/>
    <n v="-1.9937789050619614E-3"/>
    <m/>
    <n v="15924.2"/>
    <n v="-6.2640509413345313E-3"/>
    <m/>
  </r>
  <r>
    <x v="139"/>
    <n v="15860.5"/>
    <n v="15881.55"/>
    <n v="15701"/>
    <n v="15746.45"/>
    <n v="311012065"/>
    <n v="26117.34"/>
    <n v="15786.617499999998"/>
    <n v="15635.904999999997"/>
    <s v="-"/>
    <n v="-78"/>
    <n v="-4.917877746603197E-3"/>
    <m/>
    <n v="15924.2"/>
    <n v="-1.1162256188693931E-2"/>
    <m/>
  </r>
  <r>
    <x v="140"/>
    <n v="15761.55"/>
    <n v="15767.5"/>
    <n v="15513.45"/>
    <n v="15709.4"/>
    <n v="318601589"/>
    <n v="26090.48"/>
    <n v="15783.205000000002"/>
    <n v="15652.370999999999"/>
    <s v="-"/>
    <n v="-37.050000000001091"/>
    <n v="-2.3506571371471139E-3"/>
    <m/>
    <n v="15924.2"/>
    <n v="-1.3488903681189712E-2"/>
    <m/>
  </r>
  <r>
    <x v="141"/>
    <n v="15762.7"/>
    <n v="15817.35"/>
    <n v="15737.8"/>
    <n v="15778.45"/>
    <n v="401584915"/>
    <n v="29460.54"/>
    <n v="15781.252500000002"/>
    <n v="15664.396999999999"/>
    <s v="-"/>
    <n v="69.050000000001091"/>
    <n v="4.3805946950713449E-3"/>
    <m/>
    <n v="15924.2"/>
    <n v="-9.1527360872131203E-3"/>
    <m/>
  </r>
  <r>
    <x v="142"/>
    <n v="15800.6"/>
    <n v="15862.8"/>
    <n v="15744.85"/>
    <n v="15763.05"/>
    <n v="400021237"/>
    <n v="30539.63"/>
    <n v="15784.100000000002"/>
    <n v="15679.362999999998"/>
    <s v="-"/>
    <n v="-15.400000000001455"/>
    <n v="-9.7464653241025371E-4"/>
    <m/>
    <n v="15924.2"/>
    <n v="-1.0119817636050854E-2"/>
    <m/>
  </r>
  <r>
    <x v="143"/>
    <n v="15874.9"/>
    <n v="15892.9"/>
    <n v="15834.65"/>
    <n v="15885.15"/>
    <n v="244847433"/>
    <n v="20766.990000000002"/>
    <n v="15788.252500000002"/>
    <n v="15696.503000000001"/>
    <s v="-"/>
    <n v="122.10000000000036"/>
    <n v="7.691387032359282E-3"/>
    <m/>
    <n v="15924.2"/>
    <n v="-2.4522424988383529E-3"/>
    <m/>
  </r>
  <r>
    <x v="144"/>
    <n v="15951.55"/>
    <n v="16146.9"/>
    <n v="15914.35"/>
    <n v="16130.75"/>
    <n v="341289658"/>
    <n v="26373.24"/>
    <n v="15796.400000000003"/>
    <n v="15710.7"/>
    <s v="-"/>
    <n v="245.60000000000036"/>
    <n v="1.5396622898715195E-2"/>
    <m/>
    <n v="16130.75"/>
    <n v="0"/>
    <m/>
  </r>
  <r>
    <x v="145"/>
    <n v="16195.25"/>
    <n v="16290.2"/>
    <n v="16176.15"/>
    <n v="16258.8"/>
    <n v="427337644"/>
    <n v="32434.78"/>
    <n v="15811.220000000001"/>
    <n v="15729.361000000001"/>
    <s v="-"/>
    <n v="128.04999999999927"/>
    <n v="7.9066392923850676E-3"/>
    <m/>
    <n v="16258.8"/>
    <n v="0"/>
    <m/>
  </r>
  <r>
    <x v="146"/>
    <n v="16288.95"/>
    <n v="16349.45"/>
    <n v="16210.3"/>
    <n v="16294.6"/>
    <n v="418174517"/>
    <n v="31386.78"/>
    <n v="15833.247500000001"/>
    <n v="15750.368"/>
    <s v="-"/>
    <n v="35.800000000001091"/>
    <n v="2.1978089441002085E-3"/>
    <m/>
    <n v="16294.6"/>
    <n v="0"/>
    <m/>
  </r>
  <r>
    <x v="147"/>
    <n v="16304.4"/>
    <n v="16336.75"/>
    <n v="16223.3"/>
    <n v="16238.2"/>
    <n v="320087281"/>
    <n v="24716.17"/>
    <n v="15853.994999999999"/>
    <n v="15770.231000000002"/>
    <s v="-"/>
    <n v="-56.399999999999636"/>
    <n v="-3.4591889305954E-3"/>
    <m/>
    <n v="16294.6"/>
    <n v="-3.4612693775851744E-3"/>
    <m/>
  </r>
  <r>
    <x v="148"/>
    <n v="16281.35"/>
    <n v="16320.75"/>
    <n v="16179.05"/>
    <n v="16258.25"/>
    <n v="240452917"/>
    <n v="18302.03"/>
    <n v="15879.509999999998"/>
    <n v="15788.238000000001"/>
    <s v="-"/>
    <n v="20.049999999999272"/>
    <n v="1.2314703633297774E-3"/>
    <m/>
    <n v="16294.6"/>
    <n v="-2.2308003878586113E-3"/>
    <m/>
  </r>
  <r>
    <x v="149"/>
    <n v="16274.8"/>
    <n v="16359.25"/>
    <n v="16202.25"/>
    <n v="16280.1"/>
    <n v="287989486"/>
    <n v="22600.38"/>
    <n v="15907.932500000001"/>
    <n v="15804.690000000002"/>
    <s v="-"/>
    <n v="21.850000000000364"/>
    <n v="1.3425664217072016E-3"/>
    <m/>
    <n v="16294.6"/>
    <n v="-8.8986535416646362E-4"/>
    <m/>
  </r>
  <r>
    <x v="150"/>
    <n v="16327.3"/>
    <n v="16338.75"/>
    <n v="16162.55"/>
    <n v="16282.25"/>
    <n v="277895886"/>
    <n v="20306.59"/>
    <n v="15937.307499999999"/>
    <n v="15818.636"/>
    <s v="-"/>
    <n v="2.1499999999996362"/>
    <n v="1.3168129451897353E-4"/>
    <m/>
    <n v="16294.6"/>
    <n v="-7.5791980165207384E-4"/>
    <m/>
  </r>
  <r>
    <x v="151"/>
    <n v="16303.65"/>
    <n v="16375.5"/>
    <n v="16286.9"/>
    <n v="16364.4"/>
    <n v="280181324"/>
    <n v="18548.87"/>
    <n v="15960.8025"/>
    <n v="15832.784"/>
    <s v="-"/>
    <n v="82.149999999999636"/>
    <n v="5.0387489917901596E-3"/>
    <m/>
    <n v="16364.4"/>
    <n v="0"/>
    <m/>
  </r>
  <r>
    <x v="152"/>
    <n v="16385.7"/>
    <n v="16543.599999999999"/>
    <n v="16376.3"/>
    <n v="16529.099999999999"/>
    <n v="321866286"/>
    <n v="27163.08"/>
    <n v="15986.325000000001"/>
    <n v="15848.548000000003"/>
    <s v="-"/>
    <n v="164.69999999999891"/>
    <n v="1.0051447298559042E-2"/>
    <m/>
    <n v="16529.099999999999"/>
    <n v="0"/>
    <m/>
  </r>
  <r>
    <x v="153"/>
    <n v="16518.400000000001"/>
    <n v="16589.400000000001"/>
    <n v="16480.75"/>
    <n v="16563.05"/>
    <n v="254049330"/>
    <n v="21456.2"/>
    <n v="16016.569999999998"/>
    <n v="15865.323"/>
    <s v="-"/>
    <n v="33.950000000000728"/>
    <n v="2.0552838047268938E-3"/>
    <m/>
    <n v="16563.05"/>
    <n v="0"/>
    <m/>
  </r>
  <r>
    <x v="154"/>
    <n v="16545.25"/>
    <n v="16628.55"/>
    <n v="16495.400000000001"/>
    <n v="16614.599999999999"/>
    <n v="297388470"/>
    <n v="25696.44"/>
    <n v="16048.5525"/>
    <n v="15883.179000000002"/>
    <s v="-"/>
    <n v="51.549999999999272"/>
    <n v="3.1156978589020577E-3"/>
    <m/>
    <n v="16614.599999999999"/>
    <n v="0"/>
    <m/>
  </r>
  <r>
    <x v="155"/>
    <n v="16691.95"/>
    <n v="16701.849999999999"/>
    <n v="16535.849999999999"/>
    <n v="16568.849999999999"/>
    <n v="251796822"/>
    <n v="22721.54"/>
    <n v="16091.662499999997"/>
    <n v="15900.438"/>
    <s v="-"/>
    <n v="-45.75"/>
    <n v="-2.740842142469873E-3"/>
    <m/>
    <n v="16614.599999999999"/>
    <n v="-2.7536022534397908E-3"/>
    <m/>
  </r>
  <r>
    <x v="156"/>
    <n v="16382.5"/>
    <n v="16509.55"/>
    <n v="16376.05"/>
    <n v="16450.5"/>
    <n v="350819323"/>
    <n v="30118.23"/>
    <n v="16138.499999999996"/>
    <n v="15917.013000000001"/>
    <s v="-"/>
    <n v="-118.34999999999854"/>
    <n v="-7.2241721348999567E-3"/>
    <m/>
    <n v="16614.599999999999"/>
    <n v="-9.8768552959443978E-3"/>
    <m/>
  </r>
  <r>
    <x v="157"/>
    <n v="16592.25"/>
    <n v="16592.5"/>
    <n v="16395.7"/>
    <n v="16496.45"/>
    <n v="275597782"/>
    <n v="24355.77"/>
    <n v="16169.822499999998"/>
    <n v="15933.316000000001"/>
    <s v="-"/>
    <n v="45.950000000000728"/>
    <n v="2.7693652156880908E-3"/>
    <m/>
    <n v="16614.599999999999"/>
    <n v="-7.1112154370250868E-3"/>
    <m/>
  </r>
  <r>
    <x v="158"/>
    <n v="16561.400000000001"/>
    <n v="16647.099999999999"/>
    <n v="16495.3"/>
    <n v="16624.599999999999"/>
    <n v="275362819"/>
    <n v="24992.32"/>
    <n v="16201.842499999999"/>
    <n v="15948.490000000002"/>
    <s v="-"/>
    <n v="128.14999999999782"/>
    <n v="7.737872402091478E-3"/>
    <m/>
    <n v="16624.599999999999"/>
    <n v="0"/>
    <m/>
  </r>
  <r>
    <x v="159"/>
    <n v="16654"/>
    <n v="16712.45"/>
    <n v="16617.5"/>
    <n v="16634.650000000001"/>
    <n v="265920141"/>
    <n v="22210.6"/>
    <n v="16241.85"/>
    <n v="15964.995000000001"/>
    <s v="-"/>
    <n v="10.05000000000291"/>
    <n v="6.0345862855787856E-4"/>
    <m/>
    <n v="16634.650000000001"/>
    <n v="0"/>
    <m/>
  </r>
  <r>
    <x v="160"/>
    <n v="16627.95"/>
    <n v="16683.7"/>
    <n v="16603.400000000001"/>
    <n v="16636.900000000001"/>
    <n v="253530997"/>
    <n v="22320.21"/>
    <n v="16286.26"/>
    <n v="15981.450999999999"/>
    <s v="-"/>
    <n v="2.25"/>
    <n v="1.3531433520067116E-4"/>
    <m/>
    <n v="16636.900000000001"/>
    <n v="0"/>
    <m/>
  </r>
  <r>
    <x v="161"/>
    <n v="16642.55"/>
    <n v="16722.05"/>
    <n v="16565.599999999999"/>
    <n v="16705.2"/>
    <n v="217405743"/>
    <n v="20499.849999999999"/>
    <n v="16332.635"/>
    <n v="15996.804000000002"/>
    <s v="-"/>
    <n v="68.299999999999272"/>
    <n v="4.1039383988631115E-3"/>
    <m/>
    <n v="16705.2"/>
    <n v="0"/>
    <m/>
  </r>
  <r>
    <x v="162"/>
    <n v="16775.849999999999"/>
    <n v="16951.5"/>
    <n v="16764.849999999999"/>
    <n v="16931.05"/>
    <n v="283483108"/>
    <n v="23615.87"/>
    <n v="16378.972500000003"/>
    <n v="16015.556999999997"/>
    <s v="-"/>
    <n v="225.84999999999854"/>
    <n v="1.3462805163374647E-2"/>
    <m/>
    <n v="16931.05"/>
    <n v="0"/>
    <m/>
  </r>
  <r>
    <x v="163"/>
    <n v="16947.5"/>
    <n v="17153.5"/>
    <n v="16915.849999999999"/>
    <n v="17132.2"/>
    <n v="464390247"/>
    <n v="40147.89"/>
    <n v="16437.372500000005"/>
    <n v="16040.35"/>
    <s v="-"/>
    <n v="201.15000000000146"/>
    <n v="1.1869007228204836E-2"/>
    <m/>
    <n v="17132.2"/>
    <n v="0"/>
    <m/>
  </r>
  <r>
    <x v="164"/>
    <n v="17185.599999999999"/>
    <n v="17225.75"/>
    <n v="17055.05"/>
    <n v="17076.25"/>
    <n v="301894634"/>
    <n v="27691.93"/>
    <n v="16499.725000000002"/>
    <n v="16069.326999999999"/>
    <s v="-"/>
    <n v="-55.950000000000728"/>
    <n v="-3.2556326226608747E-3"/>
    <m/>
    <n v="17132.2"/>
    <n v="-3.2657802267076486E-3"/>
    <m/>
  </r>
  <r>
    <x v="165"/>
    <n v="17095.400000000001"/>
    <n v="17245.5"/>
    <n v="17059.7"/>
    <n v="17234.150000000001"/>
    <n v="242377518"/>
    <n v="22620.36"/>
    <n v="16547.000000000004"/>
    <n v="16095.921999999999"/>
    <s v="-"/>
    <n v="157.90000000000146"/>
    <n v="9.2364027750155859E-3"/>
    <m/>
    <n v="17234.150000000001"/>
    <n v="0"/>
    <m/>
  </r>
  <r>
    <x v="166"/>
    <n v="17262.45"/>
    <n v="17340.099999999999"/>
    <n v="17212.2"/>
    <n v="17323.599999999999"/>
    <n v="261373795"/>
    <n v="23579.17"/>
    <n v="16595.767500000002"/>
    <n v="16125.15"/>
    <s v="-"/>
    <n v="89.44999999999709"/>
    <n v="5.1817673621066002E-3"/>
    <m/>
    <n v="17323.599999999999"/>
    <n v="0"/>
    <m/>
  </r>
  <r>
    <x v="167"/>
    <n v="17399.349999999999"/>
    <n v="17429.55"/>
    <n v="17345.55"/>
    <n v="17377.8"/>
    <n v="228045532"/>
    <n v="21270.62"/>
    <n v="16647.217500000002"/>
    <n v="16157.883"/>
    <s v="-"/>
    <n v="54.200000000000728"/>
    <n v="3.1150588958783363E-3"/>
    <m/>
    <n v="17377.8"/>
    <n v="0"/>
    <m/>
  </r>
  <r>
    <x v="168"/>
    <n v="17401.55"/>
    <n v="17436.5"/>
    <n v="17287"/>
    <n v="17362.099999999999"/>
    <n v="243417811"/>
    <n v="19848.939999999999"/>
    <n v="16704.197500000002"/>
    <n v="16189.63"/>
    <s v="-"/>
    <n v="-15.700000000000728"/>
    <n v="-9.0221848053769513E-4"/>
    <m/>
    <n v="17377.8"/>
    <n v="-9.0345153011317514E-4"/>
    <m/>
  </r>
  <r>
    <x v="169"/>
    <n v="17375.75"/>
    <n v="17383.400000000001"/>
    <n v="17254.2"/>
    <n v="17353.5"/>
    <n v="252652423"/>
    <n v="22696.35"/>
    <n v="16759.39"/>
    <n v="16219.664999999997"/>
    <s v="-"/>
    <n v="-8.5999999999985448"/>
    <n v="-4.9494266434534019E-4"/>
    <m/>
    <n v="17377.8"/>
    <n v="-1.3983358077547248E-3"/>
    <m/>
  </r>
  <r>
    <x v="170"/>
    <n v="17312.849999999999"/>
    <n v="17379.650000000001"/>
    <n v="17302.7"/>
    <n v="17369.25"/>
    <n v="241509352"/>
    <n v="17719.78"/>
    <n v="16813.059999999998"/>
    <n v="16250.441000000001"/>
    <s v="-"/>
    <n v="15.75"/>
    <n v="9.0972890078756536E-4"/>
    <m/>
    <n v="17377.8"/>
    <n v="-4.9200704346918922E-4"/>
    <m/>
  </r>
  <r>
    <x v="171"/>
    <n v="17363.55"/>
    <n v="17378.349999999999"/>
    <n v="17269.150000000001"/>
    <n v="17355.3"/>
    <n v="241053924"/>
    <n v="18498.63"/>
    <n v="16867.409999999996"/>
    <n v="16282.857"/>
    <s v="-"/>
    <n v="-13.950000000000728"/>
    <n v="-8.0340713736538481E-4"/>
    <m/>
    <n v="17377.8"/>
    <n v="-1.2947553775506382E-3"/>
    <m/>
  </r>
  <r>
    <x v="172"/>
    <n v="17420.349999999999"/>
    <n v="17438.55"/>
    <n v="17367.05"/>
    <n v="17380"/>
    <n v="230354386"/>
    <n v="18702.82"/>
    <n v="16916.954999999998"/>
    <n v="16315.533000000001"/>
    <s v="-"/>
    <n v="24.700000000000728"/>
    <n v="1.4178819598917778E-3"/>
    <m/>
    <n v="17380"/>
    <n v="0"/>
    <m/>
  </r>
  <r>
    <x v="173"/>
    <n v="17387.650000000001"/>
    <n v="17532.7"/>
    <n v="17386.900000000001"/>
    <n v="17519.45"/>
    <n v="388191629"/>
    <n v="24256.799999999999"/>
    <n v="16959.499999999996"/>
    <n v="16349.533000000001"/>
    <s v="-"/>
    <n v="139.45000000000073"/>
    <n v="8.0200602151527505E-3"/>
    <m/>
    <n v="17519.45"/>
    <n v="0"/>
    <m/>
  </r>
  <r>
    <x v="174"/>
    <n v="17539.2"/>
    <n v="17644.599999999999"/>
    <n v="17510.45"/>
    <n v="17629.5"/>
    <n v="503310763"/>
    <n v="30189.77"/>
    <n v="17007.32"/>
    <n v="16385.477999999999"/>
    <s v="-"/>
    <n v="110.04999999999927"/>
    <n v="6.2745165115854354E-3"/>
    <m/>
    <n v="17629.5"/>
    <n v="0"/>
    <m/>
  </r>
  <r>
    <x v="175"/>
    <n v="17709.650000000001"/>
    <n v="17792.95"/>
    <n v="17537.650000000001"/>
    <n v="17585.150000000001"/>
    <n v="508285916"/>
    <n v="43345.58"/>
    <n v="17058.064999999999"/>
    <n v="16421.380999999998"/>
    <s v="-"/>
    <n v="-44.349999999998545"/>
    <n v="-2.5042843873254719E-3"/>
    <m/>
    <n v="17629.5"/>
    <n v="-2.5156697580758225E-3"/>
    <m/>
  </r>
  <r>
    <x v="176"/>
    <n v="17443.849999999999"/>
    <n v="17622.75"/>
    <n v="17361.8"/>
    <n v="17396.900000000001"/>
    <n v="339102046"/>
    <n v="25304.27"/>
    <n v="17108.88"/>
    <n v="16456.718999999997"/>
    <s v="-"/>
    <n v="-188.25"/>
    <n v="-1.0791769018880581E-2"/>
    <m/>
    <n v="17629.5"/>
    <n v="-1.3193794492186273E-2"/>
    <m/>
  </r>
  <r>
    <x v="177"/>
    <n v="17450.5"/>
    <n v="17578.349999999999"/>
    <n v="17326.099999999999"/>
    <n v="17562"/>
    <n v="363578479"/>
    <n v="26520.99"/>
    <n v="17156.200000000004"/>
    <n v="16487.063999999998"/>
    <s v="-"/>
    <n v="165.09999999999854"/>
    <n v="9.4610469614050344E-3"/>
    <m/>
    <n v="17629.5"/>
    <n v="-3.8288096656172721E-3"/>
    <m/>
  </r>
  <r>
    <x v="178"/>
    <n v="17580.900000000001"/>
    <n v="17610.45"/>
    <n v="17524"/>
    <n v="17546.650000000001"/>
    <n v="295191136"/>
    <n v="21772.23"/>
    <n v="17209.477500000001"/>
    <n v="16523.745999999999"/>
    <s v="-"/>
    <n v="-15.349999999998545"/>
    <n v="-8.7310661001419401E-4"/>
    <m/>
    <n v="17629.5"/>
    <n v="-4.6995093451316361E-3"/>
    <m/>
  </r>
  <r>
    <x v="179"/>
    <n v="17670.849999999999"/>
    <n v="17843.900000000001"/>
    <n v="17646.55"/>
    <n v="17822.95"/>
    <n v="320514486"/>
    <n v="25005.360000000001"/>
    <n v="17255.580000000005"/>
    <n v="16560.883000000002"/>
    <s v="-"/>
    <n v="276.29999999999927"/>
    <n v="1.5635920173619224E-2"/>
    <m/>
    <n v="17822.95"/>
    <n v="0"/>
    <m/>
  </r>
  <r>
    <x v="180"/>
    <n v="17897.45"/>
    <n v="17947.650000000001"/>
    <n v="17819.400000000001"/>
    <n v="17853.2"/>
    <n v="360130853"/>
    <n v="30787.59"/>
    <n v="17314.995000000003"/>
    <n v="16603.490000000002"/>
    <s v="-"/>
    <n v="30.25"/>
    <n v="1.6901849146107406E-3"/>
    <m/>
    <n v="17853.2"/>
    <n v="0"/>
    <m/>
  </r>
  <r>
    <x v="181"/>
    <n v="17932.2"/>
    <n v="17943.5"/>
    <n v="17802.900000000001"/>
    <n v="17855.099999999999"/>
    <n v="295714657"/>
    <n v="24244.98"/>
    <n v="17375.810000000005"/>
    <n v="16644.307000000001"/>
    <s v="-"/>
    <n v="1.8999999999978172"/>
    <n v="1.0595465140907514E-4"/>
    <m/>
    <n v="17855.099999999999"/>
    <n v="0"/>
    <m/>
  </r>
  <r>
    <x v="182"/>
    <n v="17906.45"/>
    <n v="17912.849999999999"/>
    <n v="17576.099999999999"/>
    <n v="17748.599999999999"/>
    <n v="397997281"/>
    <n v="27055.360000000001"/>
    <n v="17433.305"/>
    <n v="16684.329999999998"/>
    <s v="-"/>
    <n v="-106.5"/>
    <n v="-5.9475775488720545E-3"/>
    <m/>
    <n v="17855.099999999999"/>
    <n v="-5.9646823596619658E-3"/>
    <m/>
  </r>
  <r>
    <x v="183"/>
    <n v="17657.95"/>
    <n v="17781.75"/>
    <n v="17608.150000000001"/>
    <n v="17711.3"/>
    <n v="562237732"/>
    <n v="30621.279999999999"/>
    <n v="17474.182499999999"/>
    <n v="16720.817999999999"/>
    <s v="-"/>
    <n v="-37.299999999999272"/>
    <n v="-2.1123629866433686E-3"/>
    <m/>
    <n v="17855.099999999999"/>
    <n v="-8.0537213457219092E-3"/>
    <m/>
  </r>
  <r>
    <x v="184"/>
    <n v="17718.900000000001"/>
    <n v="17742.150000000001"/>
    <n v="17585.349999999999"/>
    <n v="17618.150000000001"/>
    <n v="378592721"/>
    <n v="27167.19"/>
    <n v="17503.137499999997"/>
    <n v="16756.576000000001"/>
    <s v="-"/>
    <n v="-93.149999999997817"/>
    <n v="-5.2570983526064154E-3"/>
    <m/>
    <n v="17855.099999999999"/>
    <n v="-1.3270718170158458E-2"/>
    <m/>
  </r>
  <r>
    <x v="185"/>
    <n v="17531.900000000001"/>
    <n v="17557.150000000001"/>
    <n v="17452.900000000001"/>
    <n v="17532.05"/>
    <n v="305763919"/>
    <n v="20911.61"/>
    <n v="17530.232499999998"/>
    <n v="16793.891"/>
    <s v="-"/>
    <n v="-86.100000000002183"/>
    <n v="-4.911047861327191E-3"/>
    <m/>
    <n v="17855.099999999999"/>
    <n v="-1.8092869824307911E-2"/>
    <m/>
  </r>
  <r>
    <x v="186"/>
    <n v="17615.55"/>
    <n v="17750.900000000001"/>
    <n v="17581.349999999999"/>
    <n v="17691.25"/>
    <n v="295761839"/>
    <n v="21343.51"/>
    <n v="17545.127499999995"/>
    <n v="16831.89"/>
    <s v="-"/>
    <n v="159.20000000000073"/>
    <n v="9.0374697355461928E-3"/>
    <m/>
    <n v="17855.099999999999"/>
    <n v="-9.1766498087380022E-3"/>
    <m/>
  </r>
  <r>
    <x v="187"/>
    <n v="17661.349999999999"/>
    <n v="17833.45"/>
    <n v="17640.900000000001"/>
    <n v="17822.3"/>
    <n v="427000191"/>
    <n v="23066.799999999999"/>
    <n v="17563.509999999998"/>
    <n v="16869.234"/>
    <s v="-"/>
    <n v="131.04999999999927"/>
    <n v="7.4201575757232192E-3"/>
    <m/>
    <n v="17855.099999999999"/>
    <n v="-1.837010153961538E-3"/>
    <m/>
  </r>
  <r>
    <x v="188"/>
    <n v="17861.5"/>
    <n v="17884.599999999999"/>
    <n v="17613.150000000001"/>
    <n v="17646"/>
    <n v="395833550"/>
    <n v="24504.3"/>
    <n v="17585.735000000001"/>
    <n v="16908.559000000001"/>
    <s v="-"/>
    <n v="-176.29999999999927"/>
    <n v="-9.870391624443595E-3"/>
    <m/>
    <n v="17855.099999999999"/>
    <n v="-1.1710939731505166E-2"/>
    <m/>
  </r>
  <r>
    <x v="189"/>
    <n v="17810.55"/>
    <n v="17857.55"/>
    <n v="17763.8"/>
    <n v="17790.349999999999"/>
    <n v="419890959"/>
    <n v="27371.98"/>
    <n v="17599.93"/>
    <n v="16944.990000000002"/>
    <s v="-"/>
    <n v="144.34999999999854"/>
    <n v="8.1047469056260788E-3"/>
    <m/>
    <n v="17855.099999999999"/>
    <n v="-3.6264148618602166E-3"/>
    <m/>
  </r>
  <r>
    <x v="190"/>
    <n v="17886.849999999999"/>
    <n v="17941.849999999999"/>
    <n v="17840.349999999999"/>
    <n v="17895.2"/>
    <n v="324066351"/>
    <n v="22778.68"/>
    <n v="17621.772499999999"/>
    <n v="16985.868000000002"/>
    <s v="-"/>
    <n v="104.85000000000218"/>
    <n v="5.861848229285883E-3"/>
    <m/>
    <n v="17895.2"/>
    <n v="0"/>
    <m/>
  </r>
  <r>
    <x v="191"/>
    <n v="17867.55"/>
    <n v="18041.95"/>
    <n v="17839.099999999999"/>
    <n v="17945.95"/>
    <n v="375756457"/>
    <n v="29000.2"/>
    <n v="17648.07"/>
    <n v="17029.583999999999"/>
    <s v="-"/>
    <n v="50.75"/>
    <n v="2.8403446471396473E-3"/>
    <m/>
    <n v="17945.95"/>
    <n v="0"/>
    <m/>
  </r>
  <r>
    <x v="192"/>
    <n v="17915.8"/>
    <n v="18008.650000000001"/>
    <n v="17864.95"/>
    <n v="17991.95"/>
    <n v="355568313"/>
    <n v="26491.42"/>
    <n v="17677.602500000001"/>
    <n v="17072.933999999997"/>
    <s v="-"/>
    <n v="46"/>
    <n v="2.5675660590093663E-3"/>
    <m/>
    <n v="17991.95"/>
    <n v="0"/>
    <m/>
  </r>
  <r>
    <x v="193"/>
    <n v="18097.849999999999"/>
    <n v="18197.8"/>
    <n v="18050.75"/>
    <n v="18161.75"/>
    <n v="506679748"/>
    <n v="34503"/>
    <n v="17708.2"/>
    <n v="17117.511999999999"/>
    <s v="-"/>
    <n v="169.79999999999927"/>
    <n v="9.3823299452697028E-3"/>
    <m/>
    <n v="18161.75"/>
    <n v="0"/>
    <m/>
  </r>
  <r>
    <x v="194"/>
    <n v="18272.849999999999"/>
    <n v="18350.75"/>
    <n v="18248.7"/>
    <n v="18338.55"/>
    <n v="538714440"/>
    <n v="38903.160000000003"/>
    <n v="17740.314999999999"/>
    <n v="17163.043999999998"/>
    <s v="-"/>
    <n v="176.79999999999927"/>
    <n v="9.6755569054635306E-3"/>
    <m/>
    <n v="18338.55"/>
    <n v="0"/>
    <m/>
  </r>
  <r>
    <x v="195"/>
    <n v="18500.099999999999"/>
    <n v="18543.150000000001"/>
    <n v="18445.3"/>
    <n v="18477.05"/>
    <n v="469883515"/>
    <n v="36800.839999999997"/>
    <n v="17775.767499999998"/>
    <n v="17207.2"/>
    <s v="-"/>
    <n v="138.5"/>
    <n v="7.4864460192107076E-3"/>
    <m/>
    <n v="18477.05"/>
    <n v="0"/>
    <m/>
  </r>
  <r>
    <x v="196"/>
    <n v="18602.349999999999"/>
    <n v="18604.45"/>
    <n v="18377.7"/>
    <n v="18418.75"/>
    <n v="368230309"/>
    <n v="30505.86"/>
    <n v="17820.362499999996"/>
    <n v="17251.564999999999"/>
    <s v="-"/>
    <n v="-58.299999999999272"/>
    <n v="-3.1340126381881471E-3"/>
    <m/>
    <n v="18477.05"/>
    <n v="-3.1552655862272516E-3"/>
    <m/>
  </r>
  <r>
    <x v="197"/>
    <n v="18439.900000000001"/>
    <n v="18458.3"/>
    <n v="18209.349999999999"/>
    <n v="18266.599999999999"/>
    <n v="371276478"/>
    <n v="28968.42"/>
    <n v="17871.454999999998"/>
    <n v="17294.047999999999"/>
    <s v="-"/>
    <n v="-152.15000000000146"/>
    <n v="-8.2511293445192996E-3"/>
    <m/>
    <n v="18477.05"/>
    <n v="-1.1389805190763713E-2"/>
    <m/>
  </r>
  <r>
    <x v="198"/>
    <n v="18382.7"/>
    <n v="18384.2"/>
    <n v="18048"/>
    <n v="18178.099999999999"/>
    <n v="365902008"/>
    <n v="30839.79"/>
    <n v="17906.684999999998"/>
    <n v="17334.615999999998"/>
    <s v="-"/>
    <n v="-88.5"/>
    <n v="-4.8143091058440819E-3"/>
    <m/>
    <n v="18477.05"/>
    <n v="-1.6179530823372867E-2"/>
    <m/>
  </r>
  <r>
    <x v="199"/>
    <n v="18230.7"/>
    <n v="18314.25"/>
    <n v="18034.349999999999"/>
    <n v="18114.900000000001"/>
    <n v="324748084"/>
    <n v="26938.880000000001"/>
    <n v="17938.2575"/>
    <n v="17373.012999999999"/>
    <s v="-"/>
    <n v="-63.19999999999709"/>
    <n v="-3.4666798312734609E-3"/>
    <m/>
    <n v="18477.05"/>
    <n v="-1.959999025818504E-2"/>
    <m/>
  </r>
  <r>
    <x v="200"/>
    <n v="18229.5"/>
    <n v="18241.400000000001"/>
    <n v="17968.5"/>
    <n v="18125.400000000001"/>
    <n v="418703647"/>
    <n v="34572.339999999997"/>
    <n v="17952.855000000003"/>
    <n v="17409.709000000003"/>
    <n v="15675.584750000004"/>
    <n v="10.5"/>
    <n v="5.7598946762116353E-4"/>
    <m/>
    <n v="18477.05"/>
    <n v="-1.9031717725502606E-2"/>
    <m/>
  </r>
  <r>
    <x v="201"/>
    <n v="18154.5"/>
    <n v="18310.45"/>
    <n v="18099.3"/>
    <n v="18268.400000000001"/>
    <n v="341377869"/>
    <n v="29764.61"/>
    <n v="17966.465000000004"/>
    <n v="17446.572"/>
    <n v="15696.119250000003"/>
    <n v="143"/>
    <n v="7.8768349445041182E-3"/>
    <m/>
    <n v="18477.05"/>
    <n v="-1.1292387042303731E-2"/>
    <m/>
  </r>
  <r>
    <x v="202"/>
    <n v="18295.849999999999"/>
    <n v="18342.05"/>
    <n v="18167.900000000001"/>
    <n v="18210.95"/>
    <n v="335248487"/>
    <n v="30823.75"/>
    <n v="17987.13"/>
    <n v="17484.652000000006"/>
    <n v="15716.796750000003"/>
    <n v="-57.450000000000728"/>
    <n v="-3.140056351577037E-3"/>
    <m/>
    <n v="18477.05"/>
    <n v="-1.4401649613980494E-2"/>
    <m/>
  </r>
  <r>
    <x v="203"/>
    <n v="18187.650000000001"/>
    <n v="18190.7"/>
    <n v="17799.45"/>
    <n v="17857.25"/>
    <n v="374205784"/>
    <n v="30222.34"/>
    <n v="18010.247500000005"/>
    <n v="17518.289000000001"/>
    <n v="15736.854000000003"/>
    <n v="-353.70000000000073"/>
    <n v="-1.9447262290620323E-2"/>
    <m/>
    <n v="18477.05"/>
    <n v="-3.3544315786340317E-2"/>
    <m/>
  </r>
  <r>
    <x v="204"/>
    <n v="17833.05"/>
    <n v="17915.849999999999"/>
    <n v="17613.099999999999"/>
    <n v="17671.650000000001"/>
    <n v="336466864"/>
    <n v="28136"/>
    <n v="18017.545000000006"/>
    <n v="17544.172999999999"/>
    <n v="15755.409000000003"/>
    <n v="-185.59999999999854"/>
    <n v="-1.0407641990573601E-2"/>
    <m/>
    <n v="18477.05"/>
    <n v="-4.3589209316422184E-2"/>
    <m/>
  </r>
  <r>
    <x v="205"/>
    <n v="17783.150000000001"/>
    <n v="17954.099999999999"/>
    <n v="17697.099999999999"/>
    <n v="17929.650000000001"/>
    <n v="281190130"/>
    <n v="24354.38"/>
    <n v="18020.220000000005"/>
    <n v="17565.314000000002"/>
    <n v="15773.080500000004"/>
    <n v="258"/>
    <n v="1.4508115828747999E-2"/>
    <m/>
    <n v="18477.05"/>
    <n v="-2.9625941370510889E-2"/>
    <m/>
  </r>
  <r>
    <x v="206"/>
    <n v="17970.900000000001"/>
    <n v="18012.25"/>
    <n v="17847.599999999999"/>
    <n v="17888.95"/>
    <n v="296441997"/>
    <n v="23371.51"/>
    <n v="18040.100000000002"/>
    <n v="17592.53"/>
    <n v="15790.992500000002"/>
    <n v="-40.700000000000728"/>
    <n v="-2.2647724933086669E-3"/>
    <m/>
    <n v="18477.05"/>
    <n v="-3.1828673949575226E-2"/>
    <m/>
  </r>
  <r>
    <x v="207"/>
    <n v="17947.95"/>
    <n v="17988.75"/>
    <n v="17757.95"/>
    <n v="17829.2"/>
    <n v="330995982"/>
    <n v="26186.85"/>
    <n v="18049.985000000004"/>
    <n v="17621.298999999999"/>
    <n v="15808.013500000003"/>
    <n v="-59.75"/>
    <n v="-3.3290710081095611E-3"/>
    <m/>
    <n v="18477.05"/>
    <n v="-3.5062415266506219E-2"/>
    <m/>
  </r>
  <r>
    <x v="208"/>
    <n v="17935.05"/>
    <n v="17947.55"/>
    <n v="17900.599999999999"/>
    <n v="17916.8"/>
    <n v="48520856"/>
    <n v="3637.06"/>
    <n v="18050.330000000002"/>
    <n v="17647.953999999998"/>
    <n v="15824.342250000005"/>
    <n v="87.599999999998545"/>
    <n v="4.8842908160277526E-3"/>
    <m/>
    <n v="18477.05"/>
    <n v="-3.0321398708127112E-2"/>
    <m/>
  </r>
  <r>
    <x v="209"/>
    <n v="18040.2"/>
    <n v="18087.8"/>
    <n v="17836.099999999999"/>
    <n v="18068.55"/>
    <n v="338919483"/>
    <n v="30908.23"/>
    <n v="18063.870000000003"/>
    <n v="17673.797999999999"/>
    <n v="15841.102000000004"/>
    <n v="151.75"/>
    <n v="8.4117692708506556E-3"/>
    <m/>
    <n v="18477.05"/>
    <n v="-2.2108507581026227E-2"/>
    <m/>
  </r>
  <r>
    <x v="210"/>
    <n v="18084.349999999999"/>
    <n v="18112.599999999999"/>
    <n v="17983.05"/>
    <n v="18044.25"/>
    <n v="270197527"/>
    <n v="23686.09"/>
    <n v="18077.780000000002"/>
    <n v="17702.476000000002"/>
    <n v="15858.466750000003"/>
    <n v="-24.299999999999272"/>
    <n v="-1.3437032572361891E-3"/>
    <m/>
    <n v="18477.05"/>
    <n v="-2.3423652585234045E-2"/>
    <m/>
  </r>
  <r>
    <x v="211"/>
    <n v="17973.45"/>
    <n v="18061.25"/>
    <n v="17915"/>
    <n v="18017.2"/>
    <n v="261446523"/>
    <n v="22281.11"/>
    <n v="18085.232500000002"/>
    <n v="17730.623"/>
    <n v="15876.519500000002"/>
    <n v="-27.049999999999272"/>
    <n v="-1.5049976493104703E-3"/>
    <m/>
    <n v="18477.05"/>
    <n v="-2.4887630871811117E-2"/>
    <m/>
  </r>
  <r>
    <x v="212"/>
    <n v="17967.45"/>
    <n v="17971.349999999999"/>
    <n v="17798.2"/>
    <n v="17873.599999999999"/>
    <n v="232121151"/>
    <n v="20074.78"/>
    <n v="18088.794999999998"/>
    <n v="17756.862999999998"/>
    <n v="15895.199000000004"/>
    <n v="-143.60000000000218"/>
    <n v="-7.9922303944077854E-3"/>
    <m/>
    <n v="18477.05"/>
    <n v="-3.2659434271163468E-2"/>
    <m/>
  </r>
  <r>
    <x v="213"/>
    <n v="17977.599999999999"/>
    <n v="18123"/>
    <n v="17905.900000000001"/>
    <n v="18102.75"/>
    <n v="249111898"/>
    <n v="22164.33"/>
    <n v="18082.877499999999"/>
    <n v="17775.714"/>
    <n v="15911.961250000004"/>
    <n v="229.15000000000146"/>
    <n v="1.2746417764329025E-2"/>
    <m/>
    <n v="18477.05"/>
    <n v="-2.0257562760289116E-2"/>
    <m/>
  </r>
  <r>
    <x v="214"/>
    <n v="18140.95"/>
    <n v="18210.150000000001"/>
    <n v="18071.3"/>
    <n v="18109.45"/>
    <n v="280428633"/>
    <n v="19099.599999999999"/>
    <n v="18079.927499999998"/>
    <n v="17795.125"/>
    <n v="15929.251500000004"/>
    <n v="6.7000000000007276"/>
    <n v="3.6933016187138643E-4"/>
    <m/>
    <n v="18477.05"/>
    <n v="-1.9894950763244101E-2"/>
    <m/>
  </r>
  <r>
    <x v="215"/>
    <n v="18127.05"/>
    <n v="18132.650000000001"/>
    <n v="17958.8"/>
    <n v="17999.2"/>
    <n v="267431829"/>
    <n v="24101.67"/>
    <n v="18068.4725"/>
    <n v="17815.789000000001"/>
    <n v="15946.847000000003"/>
    <n v="-110.25"/>
    <n v="-6.0820707175188466E-3"/>
    <m/>
    <n v="18477.05"/>
    <n v="-2.5861812356409608E-2"/>
    <m/>
  </r>
  <r>
    <x v="216"/>
    <n v="17939.349999999999"/>
    <n v="18022.650000000001"/>
    <n v="17879.25"/>
    <n v="17898.650000000001"/>
    <n v="295715938"/>
    <n v="22950.84"/>
    <n v="18044.579999999998"/>
    <n v="17831.089999999997"/>
    <n v="15964.983500000006"/>
    <n v="-100.54999999999927"/>
    <n v="-5.6049968365631574E-3"/>
    <m/>
    <n v="18477.05"/>
    <n v="-3.1303698371763722E-2"/>
    <m/>
  </r>
  <r>
    <x v="217"/>
    <n v="17890.55"/>
    <n v="17945.599999999999"/>
    <n v="17688.5"/>
    <n v="17764.8"/>
    <n v="278425148"/>
    <n v="22625.360000000001"/>
    <n v="18018.575000000001"/>
    <n v="17842.590999999997"/>
    <n v="15983.282250000006"/>
    <n v="-133.85000000000218"/>
    <n v="-7.4816034163288549E-3"/>
    <m/>
    <n v="18477.05"/>
    <n v="-3.8547820133625232E-2"/>
    <m/>
  </r>
  <r>
    <x v="218"/>
    <n v="17796.25"/>
    <n v="17805.25"/>
    <n v="17280.45"/>
    <n v="17416.55"/>
    <n v="356400425"/>
    <n v="29570.57"/>
    <n v="17993.485000000001"/>
    <n v="17850.330999999998"/>
    <n v="16002.268750000005"/>
    <n v="-348.25"/>
    <n v="-1.9568729367141956E-2"/>
    <m/>
    <n v="18477.05"/>
    <n v="-5.7395525800925995E-2"/>
    <m/>
  </r>
  <r>
    <x v="219"/>
    <n v="17281.75"/>
    <n v="17553.7"/>
    <n v="17216.099999999999"/>
    <n v="17503.349999999999"/>
    <n v="308843255"/>
    <n v="26240.41"/>
    <n v="17955.407500000001"/>
    <n v="17851.419999999998"/>
    <n v="16020.263750000006"/>
    <n v="86.799999999999272"/>
    <n v="5.0226394896349773E-3"/>
    <m/>
    <n v="18477.05"/>
    <n v="-5.2697806197417929E-2"/>
    <m/>
  </r>
  <r>
    <x v="220"/>
    <n v="17550.05"/>
    <n v="17600.599999999999"/>
    <n v="17354"/>
    <n v="17415.05"/>
    <n v="298052158"/>
    <n v="23766.93"/>
    <n v="17924.829999999998"/>
    <n v="17854.416999999998"/>
    <n v="16039.607500000006"/>
    <n v="-88.299999999999272"/>
    <n v="-5.031324697080594E-3"/>
    <m/>
    <n v="18477.05"/>
    <n v="-5.7476707591309184E-2"/>
    <m/>
  </r>
  <r>
    <x v="221"/>
    <n v="17417.3"/>
    <n v="17564.349999999999"/>
    <n v="17351.7"/>
    <n v="17536.25"/>
    <n v="255947032"/>
    <n v="21953.33"/>
    <n v="17889.312499999996"/>
    <n v="17855.332999999999"/>
    <n v="16055.276750000003"/>
    <n v="121.20000000000073"/>
    <n v="6.9585986346908379E-3"/>
    <m/>
    <n v="18477.05"/>
    <n v="-5.091721892834622E-2"/>
    <m/>
  </r>
  <r>
    <x v="222"/>
    <n v="17338.75"/>
    <n v="17355.400000000001"/>
    <n v="16985.7"/>
    <n v="17026.45"/>
    <n v="356330009"/>
    <n v="28485.53"/>
    <n v="17852.704999999998"/>
    <n v="17858.952000000001"/>
    <n v="16069.718750000002"/>
    <n v="-509.79999999999927"/>
    <n v="-2.9402350227092453E-2"/>
    <m/>
    <n v="18477.05"/>
    <n v="-7.8508203419918154E-2"/>
    <m/>
  </r>
  <r>
    <x v="223"/>
    <n v="17055.8"/>
    <n v="17160.7"/>
    <n v="16782.400000000001"/>
    <n v="17053.95"/>
    <n v="348888750"/>
    <n v="27428.2"/>
    <n v="17793.48"/>
    <n v="17851.880999999998"/>
    <n v="16080.901250000004"/>
    <n v="27.5"/>
    <n v="1.6123547414955617E-3"/>
    <m/>
    <n v="18477.05"/>
    <n v="-7.7019870596226059E-2"/>
    <m/>
  </r>
  <r>
    <x v="224"/>
    <n v="17051.150000000001"/>
    <n v="17324.650000000001"/>
    <n v="16931.400000000001"/>
    <n v="16983.2"/>
    <n v="497999836"/>
    <n v="41494.9"/>
    <n v="17753.314999999999"/>
    <n v="17842.571"/>
    <n v="16091.692750000006"/>
    <n v="-70.75"/>
    <n v="-4.1492802538245221E-3"/>
    <m/>
    <n v="18477.05"/>
    <n v="-8.0848945042633846E-2"/>
    <m/>
  </r>
  <r>
    <x v="225"/>
    <n v="17104.400000000001"/>
    <n v="17213.05"/>
    <n v="17064.25"/>
    <n v="17166.900000000001"/>
    <n v="295542125"/>
    <n v="24098.73"/>
    <n v="17718.892500000002"/>
    <n v="17829.644999999997"/>
    <n v="16101.987500000005"/>
    <n v="183.70000000000073"/>
    <n v="1.0739926568602273E-2"/>
    <m/>
    <n v="18477.05"/>
    <n v="-7.0906881780370634E-2"/>
    <m/>
  </r>
  <r>
    <x v="226"/>
    <n v="17183.2"/>
    <n v="17420.349999999999"/>
    <n v="17149.3"/>
    <n v="17401.650000000001"/>
    <n v="279867500"/>
    <n v="22473.64"/>
    <n v="17680.755000000001"/>
    <n v="17821.28"/>
    <n v="16112.243000000006"/>
    <n v="234.75"/>
    <n v="1.3661599702034545E-2"/>
    <m/>
    <n v="18477.05"/>
    <n v="-5.8201931585399103E-2"/>
    <m/>
  </r>
  <r>
    <x v="227"/>
    <n v="17424.900000000001"/>
    <n v="17489.8"/>
    <n v="17180.8"/>
    <n v="17196.7"/>
    <n v="292526485"/>
    <n v="23100.57"/>
    <n v="17656.390000000007"/>
    <n v="17821.375"/>
    <n v="16123.704750000003"/>
    <n v="-204.95000000000073"/>
    <n v="-1.1761903942059967E-2"/>
    <m/>
    <n v="18477.05"/>
    <n v="-6.9294070211424419E-2"/>
    <m/>
  </r>
  <r>
    <x v="228"/>
    <n v="17209.05"/>
    <n v="17216.75"/>
    <n v="16891.7"/>
    <n v="16912.25"/>
    <n v="231716681"/>
    <n v="17912.150000000001"/>
    <n v="17624.765000000003"/>
    <n v="17814.069"/>
    <n v="16134.155750000004"/>
    <n v="-284.45000000000073"/>
    <n v="-1.652909370360367E-2"/>
    <m/>
    <n v="18477.05"/>
    <n v="-8.4688843727759533E-2"/>
    <m/>
  </r>
  <r>
    <x v="229"/>
    <n v="17044.099999999999"/>
    <n v="17251.650000000001"/>
    <n v="16987.75"/>
    <n v="17176.7"/>
    <n v="254144221"/>
    <n v="21693.69"/>
    <n v="17574.537500000002"/>
    <n v="17801.381000000001"/>
    <n v="16142.850500000006"/>
    <n v="264.45000000000073"/>
    <n v="1.5515632975633841E-2"/>
    <m/>
    <n v="18477.05"/>
    <n v="-7.0376494083200458E-2"/>
    <m/>
  </r>
  <r>
    <x v="230"/>
    <n v="17315.25"/>
    <n v="17484.599999999999"/>
    <n v="17308.95"/>
    <n v="17469.75"/>
    <n v="257791948"/>
    <n v="21665.95"/>
    <n v="17529.945"/>
    <n v="17788.455999999998"/>
    <n v="16152.917500000005"/>
    <n v="293.04999999999927"/>
    <n v="1.6924387461919363E-2"/>
    <m/>
    <n v="18477.05"/>
    <n v="-5.4516278302001675E-2"/>
    <m/>
  </r>
  <r>
    <x v="231"/>
    <n v="17524.400000000001"/>
    <n v="17543.25"/>
    <n v="17379.599999999999"/>
    <n v="17516.849999999999"/>
    <n v="237170272"/>
    <n v="18984.75"/>
    <n v="17501.220000000005"/>
    <n v="17780.787"/>
    <n v="16163.692750000004"/>
    <n v="47.099999999998545"/>
    <n v="2.6876811759602918E-3"/>
    <m/>
    <n v="18477.05"/>
    <n v="-5.1967170083969116E-2"/>
    <m/>
  </r>
  <r>
    <x v="232"/>
    <n v="17476.05"/>
    <n v="17534.349999999999"/>
    <n v="17405.25"/>
    <n v="17511.3"/>
    <n v="204467484"/>
    <n v="16399.53"/>
    <n v="17476.202500000003"/>
    <n v="17774.021999999997"/>
    <n v="16174.709750000005"/>
    <n v="-5.5499999999992724"/>
    <n v="-3.175774846146167E-4"/>
    <m/>
    <n v="18477.05"/>
    <n v="-5.2267542708386849E-2"/>
    <m/>
  </r>
  <r>
    <x v="233"/>
    <n v="17619.099999999999"/>
    <n v="17639.5"/>
    <n v="17355.95"/>
    <n v="17368.25"/>
    <n v="256560534"/>
    <n v="20592.03"/>
    <n v="17458.087500000001"/>
    <n v="17769.276000000002"/>
    <n v="16186.221750000002"/>
    <n v="-143.04999999999927"/>
    <n v="-8.1190299163975046E-3"/>
    <m/>
    <n v="18477.05"/>
    <n v="-6.0009579451265171E-2"/>
    <m/>
  </r>
  <r>
    <x v="234"/>
    <n v="17283.2"/>
    <n v="17376.2"/>
    <n v="17225.8"/>
    <n v="17324.900000000001"/>
    <n v="270965586"/>
    <n v="20459.79"/>
    <n v="17421.362499999999"/>
    <n v="17762.415000000001"/>
    <n v="16197.468250000004"/>
    <n v="-43.349999999998545"/>
    <n v="-2.5082160710978604E-3"/>
    <m/>
    <n v="18477.05"/>
    <n v="-6.2355733193339757E-2"/>
    <m/>
  </r>
  <r>
    <x v="235"/>
    <n v="17323.650000000001"/>
    <n v="17351.2"/>
    <n v="17192.2"/>
    <n v="17221.400000000001"/>
    <n v="214972109"/>
    <n v="17046.419999999998"/>
    <n v="17382.135000000002"/>
    <n v="17756.55"/>
    <n v="16209.184000000007"/>
    <n v="-103.5"/>
    <n v="-5.974491518819648E-3"/>
    <m/>
    <n v="18477.05"/>
    <n v="-6.7957276729780913E-2"/>
    <m/>
  </r>
  <r>
    <x v="236"/>
    <n v="17373"/>
    <n v="17379.349999999999"/>
    <n v="17184.95"/>
    <n v="17248.400000000001"/>
    <n v="219496063"/>
    <n v="18493.54"/>
    <n v="17343.245000000003"/>
    <n v="17750.337000000003"/>
    <n v="16221.912500000004"/>
    <n v="27"/>
    <n v="1.5541357278535659E-3"/>
    <m/>
    <n v="18477.05"/>
    <n v="-6.6496004502883177E-2"/>
    <m/>
  </r>
  <r>
    <x v="237"/>
    <n v="17276"/>
    <n v="17298.150000000001"/>
    <n v="16966.45"/>
    <n v="16985.2"/>
    <n v="354591366"/>
    <n v="31326.91"/>
    <n v="17310.732500000006"/>
    <n v="17741.480000000003"/>
    <n v="16234.615500000005"/>
    <n v="-263.20000000000073"/>
    <n v="-1.5235008103727757E-2"/>
    <m/>
    <n v="18477.05"/>
    <n v="-8.0740702655456298E-2"/>
    <m/>
  </r>
  <r>
    <x v="238"/>
    <n v="16824.25"/>
    <n v="16840.099999999999"/>
    <n v="16410.2"/>
    <n v="16614.2"/>
    <n v="330614079"/>
    <n v="25123.59"/>
    <n v="17271.752500000006"/>
    <n v="17724.738000000001"/>
    <n v="16244.631500000007"/>
    <n v="-371"/>
    <n v="-2.2051503038768443E-2"/>
    <m/>
    <n v="18477.05"/>
    <n v="-0.10081966547690235"/>
    <m/>
  </r>
  <r>
    <x v="239"/>
    <n v="16773.150000000001"/>
    <n v="16936.400000000001"/>
    <n v="16688.25"/>
    <n v="16770.849999999999"/>
    <n v="241030834"/>
    <n v="19783.04"/>
    <n v="17231.635000000002"/>
    <n v="17704.101999999999"/>
    <n v="16252.215750000005"/>
    <n v="156.64999999999782"/>
    <n v="9.3393310141504614E-3"/>
    <m/>
    <n v="18477.05"/>
    <n v="-9.2341580501216436E-2"/>
    <m/>
  </r>
  <r>
    <x v="240"/>
    <n v="16865.55"/>
    <n v="16971"/>
    <n v="16819.5"/>
    <n v="16955.45"/>
    <n v="207946105"/>
    <n v="17443.939999999999"/>
    <n v="17195.010000000002"/>
    <n v="17683.711999999996"/>
    <n v="16263.424250000004"/>
    <n v="184.60000000000218"/>
    <n v="1.0945388676918463E-2"/>
    <m/>
    <n v="18477.05"/>
    <n v="-8.2350808164723177E-2"/>
    <m/>
  </r>
  <r>
    <x v="241"/>
    <n v="17066.8"/>
    <n v="17118.650000000001"/>
    <n v="17015.55"/>
    <n v="17072.599999999999"/>
    <n v="196965302"/>
    <n v="15755.89"/>
    <n v="17172.03"/>
    <n v="17664.916999999994"/>
    <n v="16274.393750000005"/>
    <n v="117.14999999999782"/>
    <n v="6.8642041859046697E-3"/>
    <m/>
    <n v="18477.05"/>
    <n v="-7.6010510335794979E-2"/>
    <m/>
  </r>
  <r>
    <x v="242"/>
    <n v="17149.5"/>
    <n v="17155.599999999999"/>
    <n v="16909.599999999999"/>
    <n v="17003.75"/>
    <n v="182564833"/>
    <n v="15435.01"/>
    <n v="17148.847499999996"/>
    <n v="17647.449999999993"/>
    <n v="16285.161250000005"/>
    <n v="-68.849999999998545"/>
    <n v="-4.0146943059563567E-3"/>
    <m/>
    <n v="18477.05"/>
    <n v="-7.9736754514384001E-2"/>
    <m/>
  </r>
  <r>
    <x v="243"/>
    <n v="16937.75"/>
    <n v="17112.05"/>
    <n v="16833.2"/>
    <n v="17086.25"/>
    <n v="144777457"/>
    <n v="12567.03"/>
    <n v="17147.712499999998"/>
    <n v="17627.685999999994"/>
    <n v="16293.952000000005"/>
    <n v="82.5"/>
    <n v="4.87077681510236E-3"/>
    <m/>
    <n v="18477.05"/>
    <n v="-7.5271756043307714E-2"/>
    <m/>
  </r>
  <r>
    <x v="244"/>
    <n v="17177.599999999999"/>
    <n v="17250.25"/>
    <n v="17161.150000000001"/>
    <n v="17233.25"/>
    <n v="176026100"/>
    <n v="14553.76"/>
    <n v="17149.327499999999"/>
    <n v="17606.175999999996"/>
    <n v="16303.979500000007"/>
    <n v="147"/>
    <n v="8.5576564828614022E-3"/>
    <m/>
    <n v="18477.05"/>
    <n v="-6.7315940585753631E-2"/>
    <m/>
  </r>
  <r>
    <x v="245"/>
    <n v="17220.099999999999"/>
    <n v="17285.95"/>
    <n v="17176.650000000001"/>
    <n v="17213.599999999999"/>
    <n v="161679423"/>
    <n v="14320.79"/>
    <n v="17161.829999999998"/>
    <n v="17584.069999999996"/>
    <n v="16315.455250000006"/>
    <n v="-19.650000000001455"/>
    <n v="-1.1411083559329769E-3"/>
    <m/>
    <n v="18477.05"/>
    <n v="-6.8379422039773652E-2"/>
    <m/>
  </r>
  <r>
    <x v="246"/>
    <n v="17201.45"/>
    <n v="17264.05"/>
    <n v="17146.349999999999"/>
    <n v="17203.95"/>
    <n v="320831676"/>
    <n v="21929.19"/>
    <n v="17164.165000000001"/>
    <n v="17558.800999999996"/>
    <n v="16326.742250000005"/>
    <n v="-9.6499999999978172"/>
    <n v="-5.6099921808904581E-4"/>
    <m/>
    <n v="18477.05"/>
    <n v="-6.8901691557905487E-2"/>
    <m/>
  </r>
  <r>
    <x v="247"/>
    <n v="17244.5"/>
    <n v="17400.8"/>
    <n v="17238.5"/>
    <n v="17354.05"/>
    <n v="167025720"/>
    <n v="14588.54"/>
    <n v="17154.280000000002"/>
    <n v="17534.504999999994"/>
    <n v="16337.270000000004"/>
    <n v="150.09999999999854"/>
    <n v="8.7042245353590158E-3"/>
    <m/>
    <n v="18477.05"/>
    <n v="-6.0778100400226243E-2"/>
    <m/>
  </r>
  <r>
    <x v="248"/>
    <n v="17387.150000000001"/>
    <n v="17646.650000000001"/>
    <n v="17383.3"/>
    <n v="17625.7"/>
    <n v="200456430"/>
    <n v="16181.36"/>
    <n v="17162.147499999999"/>
    <n v="17516.253999999997"/>
    <n v="16348.166250000002"/>
    <n v="271.65000000000146"/>
    <n v="1.5623607089143501E-2"/>
    <m/>
    <n v="18477.05"/>
    <n v="-4.6076078161827683E-2"/>
    <m/>
  </r>
  <r>
    <x v="249"/>
    <n v="17681.400000000001"/>
    <n v="17827.599999999999"/>
    <n v="17593.55"/>
    <n v="17805.25"/>
    <n v="247437472"/>
    <n v="18604.16"/>
    <n v="17197.82"/>
    <n v="17505.205999999998"/>
    <n v="16361.140000000003"/>
    <n v="179.54999999999927"/>
    <n v="1.0154738878143091E-2"/>
    <m/>
    <n v="18477.05"/>
    <n v="-3.6358617852958131E-2"/>
    <m/>
  </r>
  <r>
    <x v="250"/>
    <n v="17820.099999999999"/>
    <n v="17944.7"/>
    <n v="17748.849999999999"/>
    <n v="17925.25"/>
    <n v="251460038"/>
    <n v="23737.31"/>
    <n v="17229.247500000001"/>
    <n v="17499.012999999999"/>
    <n v="16375.518750000005"/>
    <n v="120"/>
    <n v="6.7339689451798813E-3"/>
    <m/>
    <n v="18477.05"/>
    <n v="-2.9864074622301673E-2"/>
    <m/>
  </r>
  <r>
    <x v="251"/>
    <n v="17768.5"/>
    <n v="17797.95"/>
    <n v="17655.55"/>
    <n v="17745.900000000001"/>
    <n v="236454824"/>
    <n v="22643.82"/>
    <n v="17252.022499999999"/>
    <n v="17495.009999999998"/>
    <n v="16390.592750000003"/>
    <n v="-179.34999999999854"/>
    <n v="-1.0093705152376314E-2"/>
    <m/>
    <n v="18477.05"/>
    <n v="-3.9570710692453548E-2"/>
    <m/>
  </r>
  <r>
    <x v="252"/>
    <n v="17797.599999999999"/>
    <n v="17905"/>
    <n v="17704.55"/>
    <n v="17812.7"/>
    <n v="239338015"/>
    <n v="21447.89"/>
    <n v="17263.475000000002"/>
    <n v="17484.560000000001"/>
    <n v="16405.715750000003"/>
    <n v="66.799999999999272"/>
    <n v="3.7533150537150672E-3"/>
    <m/>
    <n v="18477.05"/>
    <n v="-3.5955414960721521E-2"/>
    <m/>
  </r>
  <r>
    <x v="253"/>
    <n v="17913.3"/>
    <n v="18017.45"/>
    <n v="17879.150000000001"/>
    <n v="18003.3"/>
    <n v="232418075"/>
    <n v="20853.64"/>
    <n v="17278.545000000006"/>
    <n v="17476.594999999998"/>
    <n v="16421.990000000005"/>
    <n v="190.59999999999854"/>
    <n v="1.0640138891214826E-2"/>
    <m/>
    <n v="18477.05"/>
    <n v="-2.5639915462695617E-2"/>
    <m/>
  </r>
  <r>
    <x v="254"/>
    <n v="17997.75"/>
    <n v="18081.25"/>
    <n v="17964.400000000001"/>
    <n v="18055.75"/>
    <n v="220238796"/>
    <n v="20781.46"/>
    <n v="17310.297500000004"/>
    <n v="17479.516"/>
    <n v="16438.286500000006"/>
    <n v="52.450000000000728"/>
    <n v="2.9142531705352464E-3"/>
    <m/>
    <n v="18477.05"/>
    <n v="-2.2801258858962892E-2"/>
    <m/>
  </r>
  <r>
    <x v="255"/>
    <n v="18170.400000000001"/>
    <n v="18227.95"/>
    <n v="18128.8"/>
    <n v="18212.349999999999"/>
    <n v="244974287"/>
    <n v="22298.69"/>
    <n v="17346.840000000004"/>
    <n v="17487.197999999997"/>
    <n v="16454.883250000003"/>
    <n v="156.59999999999854"/>
    <n v="8.618412362963861E-3"/>
    <m/>
    <n v="18477.05"/>
    <n v="-1.432587994295631E-2"/>
    <m/>
  </r>
  <r>
    <x v="256"/>
    <n v="18257"/>
    <n v="18272.25"/>
    <n v="18163.8"/>
    <n v="18257.8"/>
    <n v="303700545"/>
    <n v="28670.93"/>
    <n v="17396.387500000001"/>
    <n v="17492.851999999999"/>
    <n v="16471.871250000004"/>
    <n v="45.450000000000728"/>
    <n v="2.4894560990305487E-3"/>
    <m/>
    <n v="18477.05"/>
    <n v="-1.1866071694345171E-2"/>
    <m/>
  </r>
  <r>
    <x v="257"/>
    <n v="18185"/>
    <n v="18286.95"/>
    <n v="18119.650000000001"/>
    <n v="18255.75"/>
    <n v="229451608"/>
    <n v="21024.51"/>
    <n v="17446.857499999998"/>
    <n v="17500.228999999999"/>
    <n v="16490.413250000005"/>
    <n v="-2.0499999999992724"/>
    <n v="-1.1273027220232458E-4"/>
    <m/>
    <n v="18477.05"/>
    <n v="-1.1977020141202166E-2"/>
    <m/>
  </r>
  <r>
    <x v="258"/>
    <n v="18235.650000000001"/>
    <n v="18321.55"/>
    <n v="18228.75"/>
    <n v="18308.099999999999"/>
    <n v="266702919"/>
    <n v="23859.38"/>
    <n v="17510.385000000002"/>
    <n v="17508.759999999998"/>
    <n v="16510.067500000005"/>
    <n v="52.349999999998545"/>
    <n v="2.8707504256770965E-3"/>
    <m/>
    <n v="18477.05"/>
    <n v="-9.1437756568283346E-3"/>
    <m/>
  </r>
  <r>
    <x v="259"/>
    <n v="18337.2"/>
    <n v="18350.95"/>
    <n v="18085.900000000001"/>
    <n v="18113.05"/>
    <n v="227507319"/>
    <n v="20852.669999999998"/>
    <n v="17595.079999999994"/>
    <n v="17516.585999999999"/>
    <n v="16529.071500000005"/>
    <n v="-195.04999999999927"/>
    <n v="-1.0636847501254241E-2"/>
    <m/>
    <n v="18477.05"/>
    <n v="-1.970011446632447E-2"/>
    <m/>
  </r>
  <r>
    <x v="260"/>
    <n v="18129.2"/>
    <n v="18129.2"/>
    <n v="17884.900000000001"/>
    <n v="17938.400000000001"/>
    <n v="276662654"/>
    <n v="25310.19"/>
    <n v="17662.189999999995"/>
    <n v="17517.476000000002"/>
    <n v="16545.411250000005"/>
    <n v="-174.64999999999782"/>
    <n v="-9.6336297244223584E-3"/>
    <m/>
    <n v="18477.05"/>
    <n v="-2.9152380926608878E-2"/>
    <m/>
  </r>
  <r>
    <x v="261"/>
    <n v="17921"/>
    <n v="17943.7"/>
    <n v="17648.45"/>
    <n v="17757"/>
    <n v="258094246"/>
    <n v="25863.29"/>
    <n v="17711.337500000001"/>
    <n v="17515.359000000004"/>
    <n v="16561.649750000004"/>
    <n v="-181.40000000000146"/>
    <n v="-1.0122203002064699E-2"/>
    <m/>
    <n v="18477.05"/>
    <n v="-3.896996544361786E-2"/>
    <m/>
  </r>
  <r>
    <x v="262"/>
    <n v="17613.7"/>
    <n v="17707.599999999999"/>
    <n v="17485.849999999999"/>
    <n v="17617.150000000001"/>
    <n v="277645373"/>
    <n v="25941.64"/>
    <n v="17745.557499999999"/>
    <n v="17510.155000000002"/>
    <n v="16576.098000000002"/>
    <n v="-139.84999999999854"/>
    <n v="-7.9398422818600604E-3"/>
    <m/>
    <n v="18477.05"/>
    <n v="-4.6538814367011905E-2"/>
    <m/>
  </r>
  <r>
    <x v="263"/>
    <n v="17575.150000000001"/>
    <n v="17599.400000000001"/>
    <n v="16997.849999999999"/>
    <n v="17149.099999999999"/>
    <n v="323847388"/>
    <n v="28387.73"/>
    <n v="17776.227500000001"/>
    <n v="17505.026000000002"/>
    <n v="16590.994750000002"/>
    <n v="-468.05000000000291"/>
    <n v="-2.6631351652759885E-2"/>
    <m/>
    <n v="18477.05"/>
    <n v="-7.1870239026251559E-2"/>
    <m/>
  </r>
  <r>
    <x v="264"/>
    <n v="17001.55"/>
    <n v="17309.150000000001"/>
    <n v="16836.8"/>
    <n v="17277.95"/>
    <n v="326515896"/>
    <n v="31344.46"/>
    <n v="17779.370000000003"/>
    <n v="17485.953000000001"/>
    <n v="16603.322750000003"/>
    <n v="128.85000000000218"/>
    <n v="7.5787207636952032E-3"/>
    <m/>
    <n v="18477.05"/>
    <n v="-6.4896723232334086E-2"/>
    <m/>
  </r>
  <r>
    <x v="265"/>
    <n v="17062"/>
    <n v="17182.5"/>
    <n v="16866.75"/>
    <n v="17110.150000000001"/>
    <n v="395596577"/>
    <n v="36296.639999999999"/>
    <n v="17781.605000000003"/>
    <n v="17469.323"/>
    <n v="16615.617250000003"/>
    <n v="-167.79999999999927"/>
    <n v="-9.8347204313679101E-3"/>
    <m/>
    <n v="18477.05"/>
    <n v="-7.397825951653525E-2"/>
    <m/>
  </r>
  <r>
    <x v="266"/>
    <n v="17208.3"/>
    <n v="17373.5"/>
    <n v="17077.099999999999"/>
    <n v="17101.95"/>
    <n v="355284285"/>
    <n v="29799.89"/>
    <n v="17776.432500000003"/>
    <n v="17451.542000000001"/>
    <n v="16626.799000000003"/>
    <n v="-8.2000000000007276"/>
    <n v="-4.7651424022133088E-4"/>
    <m/>
    <n v="18477.05"/>
    <n v="-7.4422053303963454E-2"/>
    <m/>
  </r>
  <r>
    <x v="267"/>
    <n v="17301.05"/>
    <n v="17410"/>
    <n v="17264.150000000001"/>
    <n v="17339.849999999999"/>
    <n v="321660346"/>
    <n v="25474.13"/>
    <n v="17771.3325"/>
    <n v="17435.608"/>
    <n v="16638.134500000004"/>
    <n v="237.89999999999782"/>
    <n v="1.3750610512078621E-2"/>
    <m/>
    <n v="18477.05"/>
    <n v="-6.1546621349187314E-2"/>
    <m/>
  </r>
  <r>
    <x v="268"/>
    <n v="17529.45"/>
    <n v="17622.400000000001"/>
    <n v="17244.55"/>
    <n v="17576.849999999999"/>
    <n v="386391485"/>
    <n v="30033.66"/>
    <n v="17770.622500000001"/>
    <n v="17427.109"/>
    <n v="16653.279750000005"/>
    <n v="237"/>
    <n v="1.3520104738026577E-2"/>
    <m/>
    <n v="18477.05"/>
    <n v="-4.8719898468640888E-2"/>
    <m/>
  </r>
  <r>
    <x v="269"/>
    <n v="17706.2"/>
    <n v="17794.599999999999"/>
    <n v="17674.8"/>
    <n v="17780"/>
    <n v="271205907"/>
    <n v="23611.59"/>
    <n v="17768.18"/>
    <n v="17430.314999999999"/>
    <n v="16668.640000000003"/>
    <n v="203.15000000000146"/>
    <n v="1.1473382205103379E-2"/>
    <m/>
    <n v="18477.05"/>
    <n v="-3.7725177991075332E-2"/>
    <m/>
  </r>
  <r>
    <x v="270"/>
    <n v="17767.75"/>
    <n v="17781.150000000001"/>
    <n v="17511.150000000001"/>
    <n v="17560.2"/>
    <n v="226614989"/>
    <n v="20373.060000000001"/>
    <n v="17766.9175"/>
    <n v="17435.848000000002"/>
    <n v="16684.632750000004"/>
    <n v="-219.79999999999927"/>
    <n v="-1.2370727863685569E-2"/>
    <m/>
    <n v="18477.05"/>
    <n v="-4.9621016341894308E-2"/>
    <m/>
  </r>
  <r>
    <x v="271"/>
    <n v="17590.2"/>
    <n v="17617.8"/>
    <n v="17462.55"/>
    <n v="17516.3"/>
    <n v="261434170"/>
    <n v="20651.849999999999"/>
    <n v="17748.665000000001"/>
    <n v="17438.750999999997"/>
    <n v="16699.34450000001"/>
    <n v="-43.900000000001455"/>
    <n v="-2.4957078373185897E-3"/>
    <m/>
    <n v="18477.05"/>
    <n v="-5.1996936740442923E-2"/>
    <m/>
  </r>
  <r>
    <x v="272"/>
    <n v="17456.3"/>
    <n v="17536.75"/>
    <n v="17119.400000000001"/>
    <n v="17213.599999999999"/>
    <n v="265037933"/>
    <n v="21925.11"/>
    <n v="17737.184999999998"/>
    <n v="17438.351999999999"/>
    <n v="16715.128750000007"/>
    <n v="-302.70000000000073"/>
    <n v="-1.7340444424076163E-2"/>
    <m/>
    <n v="18477.05"/>
    <n v="-6.8379422039773652E-2"/>
    <m/>
  </r>
  <r>
    <x v="273"/>
    <n v="17279.849999999999"/>
    <n v="17306.45"/>
    <n v="17043.650000000001"/>
    <n v="17266.75"/>
    <n v="268526210"/>
    <n v="23846.16"/>
    <n v="17707.23"/>
    <n v="17442.094999999998"/>
    <n v="16729.714750000006"/>
    <n v="53.150000000001455"/>
    <n v="3.0758368851582312E-3"/>
    <m/>
    <n v="18477.05"/>
    <n v="-6.5502880600528779E-2"/>
    <m/>
  </r>
  <r>
    <x v="274"/>
    <n v="17370.099999999999"/>
    <n v="17477.150000000001"/>
    <n v="17339"/>
    <n v="17463.8"/>
    <n v="236350514"/>
    <n v="19327.669999999998"/>
    <n v="17670.4025"/>
    <n v="17446.350999999999"/>
    <n v="16744.017750000006"/>
    <n v="197.04999999999927"/>
    <n v="1.1344206423682033E-2"/>
    <m/>
    <n v="18477.05"/>
    <n v="-5.4838299403855095E-2"/>
    <m/>
  </r>
  <r>
    <x v="275"/>
    <n v="17554.099999999999"/>
    <n v="17639.45"/>
    <n v="17427.150000000001"/>
    <n v="17605.849999999999"/>
    <n v="273606440"/>
    <n v="22210.93"/>
    <n v="17640.805"/>
    <n v="17455.963"/>
    <n v="16759.630000000005"/>
    <n v="142.04999999999927"/>
    <n v="8.0921266256885442E-3"/>
    <m/>
    <n v="18477.05"/>
    <n v="-4.7150383854565603E-2"/>
    <m/>
  </r>
  <r>
    <x v="276"/>
    <n v="17451"/>
    <n v="17454.75"/>
    <n v="17303"/>
    <n v="17374.75"/>
    <n v="253141660"/>
    <n v="23230.82"/>
    <n v="17610.48"/>
    <n v="17464.741999999998"/>
    <n v="16775.234250000009"/>
    <n v="-231.09999999999854"/>
    <n v="-1.3242794109220019E-2"/>
    <m/>
    <n v="18477.05"/>
    <n v="-5.9657791692937945E-2"/>
    <m/>
  </r>
  <r>
    <x v="277"/>
    <n v="17076.150000000001"/>
    <n v="17099.5"/>
    <n v="16809.650000000001"/>
    <n v="16842.8"/>
    <n v="305510740"/>
    <n v="24976.16"/>
    <n v="17566.327499999999"/>
    <n v="17464.203999999998"/>
    <n v="16788.842750000007"/>
    <n v="-531.95000000000073"/>
    <n v="-3.1151635468182271E-2"/>
    <m/>
    <n v="18477.05"/>
    <n v="-8.844756062250192E-2"/>
    <m/>
  </r>
  <r>
    <x v="278"/>
    <n v="16933.25"/>
    <n v="17375"/>
    <n v="16839.25"/>
    <n v="17352.45"/>
    <n v="298658142"/>
    <n v="24765.67"/>
    <n v="17495.68"/>
    <n v="17457.126"/>
    <n v="16798.734000000004"/>
    <n v="509.65000000000146"/>
    <n v="3.0097589062938388E-2"/>
    <m/>
    <n v="18477.05"/>
    <n v="-6.0864694309968215E-2"/>
    <m/>
  </r>
  <r>
    <x v="279"/>
    <n v="17408.45"/>
    <n v="17490.599999999999"/>
    <n v="17257.7"/>
    <n v="17322.2"/>
    <n v="244549223"/>
    <n v="21128.38"/>
    <n v="17447.897499999999"/>
    <n v="17465.93"/>
    <n v="16811.021750000004"/>
    <n v="-30.25"/>
    <n v="-1.7376618825915E-3"/>
    <m/>
    <n v="18477.05"/>
    <n v="-6.2501860416029564E-2"/>
    <m/>
  </r>
  <r>
    <x v="280"/>
    <n v="17396.55"/>
    <n v="17442.900000000001"/>
    <n v="17235.849999999999"/>
    <n v="17304.599999999999"/>
    <n v="232136131"/>
    <n v="19381.259999999998"/>
    <n v="17408.355"/>
    <n v="17468.839999999997"/>
    <n v="16824.477250000007"/>
    <n v="-17.600000000002183"/>
    <n v="-1.0116948475417358E-3"/>
    <m/>
    <n v="18477.05"/>
    <n v="-6.345439342319259E-2"/>
    <m/>
  </r>
  <r>
    <x v="281"/>
    <n v="17236.05"/>
    <n v="17380.8"/>
    <n v="17219.2"/>
    <n v="17276.3"/>
    <n v="189620888"/>
    <n v="16126.96"/>
    <n v="17376.665000000001"/>
    <n v="17465.536999999997"/>
    <n v="16837.829500000003"/>
    <n v="-28.299999999999272"/>
    <n v="-1.6419075136124154E-3"/>
    <m/>
    <n v="18477.05"/>
    <n v="-6.4986023201755727E-2"/>
    <m/>
  </r>
  <r>
    <x v="282"/>
    <n v="17192.25"/>
    <n v="17351.05"/>
    <n v="17070.7"/>
    <n v="17206.650000000001"/>
    <n v="215183301"/>
    <n v="18725.57"/>
    <n v="17352.629999999997"/>
    <n v="17460.725999999995"/>
    <n v="16851.728500000005"/>
    <n v="-69.649999999997817"/>
    <n v="-4.0512440198343918E-3"/>
    <m/>
    <n v="18477.05"/>
    <n v="-6.875556433521568E-2"/>
    <m/>
  </r>
  <r>
    <x v="283"/>
    <n v="16847.95"/>
    <n v="17148.55"/>
    <n v="16843.8"/>
    <n v="17092.2"/>
    <n v="300131995"/>
    <n v="24040.84"/>
    <n v="17332.105"/>
    <n v="17454.632999999998"/>
    <n v="16864.672500000008"/>
    <n v="-114.45000000000073"/>
    <n v="-6.7931113280844686E-3"/>
    <m/>
    <n v="18477.05"/>
    <n v="-7.4949734941454293E-2"/>
    <m/>
  </r>
  <r>
    <x v="284"/>
    <n v="17194.5"/>
    <n v="17220.7"/>
    <n v="17027.849999999999"/>
    <n v="17063.25"/>
    <n v="200229631"/>
    <n v="17662.47"/>
    <n v="17329.260000000002"/>
    <n v="17449.111999999997"/>
    <n v="16876.509500000007"/>
    <n v="-28.950000000000728"/>
    <n v="-1.6836779202652433E-3"/>
    <m/>
    <n v="18477.05"/>
    <n v="-7.6516543495850242E-2"/>
    <m/>
  </r>
  <r>
    <x v="285"/>
    <n v="16548.900000000001"/>
    <n v="16705.25"/>
    <n v="16203.25"/>
    <n v="16247.95"/>
    <n v="457967874"/>
    <n v="36650.83"/>
    <n v="17318.525000000001"/>
    <n v="17443.878999999997"/>
    <n v="16887.710000000006"/>
    <n v="-815.29999999999927"/>
    <n v="-4.9266114364096662E-2"/>
    <m/>
    <n v="18477.05"/>
    <n v="-0.12064155262880161"/>
    <m/>
  </r>
  <r>
    <x v="286"/>
    <n v="16515.650000000001"/>
    <n v="16748.8"/>
    <n v="16478.3"/>
    <n v="16658.400000000001"/>
    <n v="329780732"/>
    <n v="25743.77"/>
    <n v="17275.415000000001"/>
    <n v="17424.409999999996"/>
    <n v="16894.238000000005"/>
    <n v="410.45000000000073"/>
    <n v="2.4852185654212863E-2"/>
    <m/>
    <n v="18477.05"/>
    <n v="-9.8427508720277168E-2"/>
    <m/>
  </r>
  <r>
    <x v="287"/>
    <n v="16481.599999999999"/>
    <n v="16815.900000000001"/>
    <n v="16356.3"/>
    <n v="16793.900000000001"/>
    <n v="404214666"/>
    <n v="33831.57"/>
    <n v="17253.237500000003"/>
    <n v="17412.609999999997"/>
    <n v="16903.276250000006"/>
    <n v="135.5"/>
    <n v="8.2212891952237657E-3"/>
    <m/>
    <n v="18477.05"/>
    <n v="-9.1094086988994349E-2"/>
    <m/>
  </r>
  <r>
    <x v="288"/>
    <n v="16593.099999999999"/>
    <n v="16678.5"/>
    <n v="16478.650000000001"/>
    <n v="16605.95"/>
    <n v="517723542"/>
    <n v="39407.440000000002"/>
    <n v="17225.940000000002"/>
    <n v="17408.784"/>
    <n v="16913.763250000004"/>
    <n v="-187.95000000000073"/>
    <n v="-1.1326997366375225E-2"/>
    <m/>
    <n v="18477.05"/>
    <n v="-0.10126616532401"/>
    <m/>
  </r>
  <r>
    <x v="289"/>
    <n v="16723.2"/>
    <n v="16768.95"/>
    <n v="16442.95"/>
    <n v="16498.05"/>
    <n v="442068263"/>
    <n v="31413"/>
    <n v="17177.395000000004"/>
    <n v="17408.618999999995"/>
    <n v="16923.404000000006"/>
    <n v="-107.90000000000146"/>
    <n v="-6.4521144278607834E-3"/>
    <m/>
    <n v="18477.05"/>
    <n v="-0.10710584211224194"/>
    <m/>
  </r>
  <r>
    <x v="290"/>
    <n v="16339.45"/>
    <n v="16456"/>
    <n v="16133.8"/>
    <n v="16245.35"/>
    <n v="456143040"/>
    <n v="34821.1"/>
    <n v="17113.297500000004"/>
    <n v="17403.162999999997"/>
    <n v="16931.278500000004"/>
    <n v="-252.69999999999891"/>
    <n v="-1.5465636848241458E-2"/>
    <m/>
    <n v="18477.05"/>
    <n v="-0.12078226773213252"/>
    <m/>
  </r>
  <r>
    <x v="291"/>
    <n v="15867.95"/>
    <n v="15944.6"/>
    <n v="15711.45"/>
    <n v="15863.15"/>
    <n v="585403660"/>
    <n v="38038.75"/>
    <n v="17047.555"/>
    <n v="17388.960999999999"/>
    <n v="16936.964750000003"/>
    <n v="-382.20000000000073"/>
    <n v="-2.4086287138540309E-2"/>
    <m/>
    <n v="18477.05"/>
    <n v="-0.14146738792177316"/>
    <m/>
  </r>
  <r>
    <x v="292"/>
    <n v="15747.75"/>
    <n v="16028.75"/>
    <n v="15671.45"/>
    <n v="16013.45"/>
    <n v="543600673"/>
    <n v="38704.400000000001"/>
    <n v="16964.897499999999"/>
    <n v="17364.772000000001"/>
    <n v="16941.129750000004"/>
    <n v="150.30000000000109"/>
    <n v="9.5442206029433471E-3"/>
    <m/>
    <n v="18477.05"/>
    <n v="-0.13333297252537601"/>
    <m/>
  </r>
  <r>
    <x v="293"/>
    <n v="16078"/>
    <n v="16418.05"/>
    <n v="15990"/>
    <n v="16345.35"/>
    <n v="462231428"/>
    <n v="35329.339999999997"/>
    <n v="16904.89"/>
    <n v="17344.966"/>
    <n v="16946.666750000004"/>
    <n v="331.89999999999964"/>
    <n v="2.0643114815275507E-2"/>
    <m/>
    <n v="18477.05"/>
    <n v="-0.11537014837325221"/>
    <m/>
  </r>
  <r>
    <x v="294"/>
    <n v="16757.099999999999"/>
    <n v="16757.3"/>
    <n v="16447.900000000001"/>
    <n v="16594.900000000001"/>
    <n v="486445481"/>
    <n v="35513.730000000003"/>
    <n v="16858.82"/>
    <n v="17330.147999999997"/>
    <n v="16952.517000000007"/>
    <n v="249.55000000000109"/>
    <n v="1.4892194950200281E-2"/>
    <m/>
    <n v="18477.05"/>
    <n v="-0.10186420451316625"/>
    <m/>
  </r>
  <r>
    <x v="295"/>
    <n v="16528.8"/>
    <n v="16694.400000000001"/>
    <n v="16470.900000000001"/>
    <n v="16630.45"/>
    <n v="343717045"/>
    <n v="24720.34"/>
    <n v="16815.375000000004"/>
    <n v="17317.380999999998"/>
    <n v="16959.503000000008"/>
    <n v="35.549999999999272"/>
    <n v="2.1507913460141856E-3"/>
    <m/>
    <n v="18477.05"/>
    <n v="-9.9940196081084287E-2"/>
    <m/>
  </r>
  <r>
    <x v="296"/>
    <n v="16633.7"/>
    <n v="16887.95"/>
    <n v="16606.5"/>
    <n v="16871.3"/>
    <n v="314669685"/>
    <n v="23824.02"/>
    <n v="16766.605000000003"/>
    <n v="17305.717999999997"/>
    <n v="16966.613000000008"/>
    <n v="240.84999999999854"/>
    <n v="1.4479640729362591E-2"/>
    <m/>
    <n v="18477.05"/>
    <n v="-8.6905106605221105E-2"/>
    <m/>
  </r>
  <r>
    <x v="297"/>
    <n v="16900.650000000001"/>
    <n v="16927.75"/>
    <n v="16555"/>
    <n v="16663"/>
    <n v="381631902"/>
    <n v="29731.09"/>
    <n v="16741.432500000003"/>
    <n v="17299.064999999995"/>
    <n v="16974.462250000008"/>
    <n v="-208.29999999999927"/>
    <n v="-1.2324969749684139E-2"/>
    <m/>
    <n v="18477.05"/>
    <n v="-9.8178551229768818E-2"/>
    <m/>
  </r>
  <r>
    <x v="298"/>
    <n v="16876.650000000001"/>
    <n v="16987.900000000001"/>
    <n v="16837.849999999999"/>
    <n v="16975.349999999999"/>
    <n v="259973396"/>
    <n v="21361.32"/>
    <n v="16732.442500000001"/>
    <n v="17285.243999999995"/>
    <n v="16981.088000000007"/>
    <n v="312.34999999999854"/>
    <n v="1.8507819976120766E-2"/>
    <m/>
    <n v="18477.05"/>
    <n v="-8.1273796412306143E-2"/>
    <m/>
  </r>
  <r>
    <x v="299"/>
    <n v="17202.900000000001"/>
    <n v="17344.599999999999"/>
    <n v="17175.75"/>
    <n v="17287.05"/>
    <n v="448335248"/>
    <n v="35367.279999999999"/>
    <n v="16713.587500000001"/>
    <n v="17272.236999999994"/>
    <n v="16988.786500000006"/>
    <n v="311.70000000000073"/>
    <n v="1.8119038069162798E-2"/>
    <m/>
    <n v="18477.05"/>
    <n v="-6.4404220370676057E-2"/>
    <m/>
  </r>
  <r>
    <x v="300"/>
    <n v="17329.5"/>
    <n v="17353.349999999999"/>
    <n v="17096.400000000001"/>
    <n v="17117.599999999999"/>
    <n v="285451208"/>
    <n v="22886.39"/>
    <n v="16711.829999999998"/>
    <n v="17261.873"/>
    <n v="16997.307750000007"/>
    <n v="-169.45000000000073"/>
    <n v="-9.7781240081941615E-3"/>
    <m/>
    <n v="18477.05"/>
    <n v="-7.3575056624298862E-2"/>
    <m/>
  </r>
  <r>
    <x v="301"/>
    <n v="17120.400000000001"/>
    <n v="17334.400000000001"/>
    <n v="17006.3"/>
    <n v="17315.5"/>
    <n v="338263468"/>
    <n v="27347.599999999999"/>
    <n v="16702.48"/>
    <n v="17245.719999999998"/>
    <n v="17005.021500000006"/>
    <n v="197.90000000000146"/>
    <n v="1.155930936193088E-2"/>
    <m/>
    <n v="18477.05"/>
    <n v="-6.2864472413074579E-2"/>
    <m/>
  </r>
  <r>
    <x v="302"/>
    <n v="17405.05"/>
    <n v="17442.400000000001"/>
    <n v="17199.599999999999"/>
    <n v="17245.650000000001"/>
    <n v="292120348"/>
    <n v="24705.279999999999"/>
    <n v="16704.439999999999"/>
    <n v="17237.111999999997"/>
    <n v="17013.718000000004"/>
    <n v="-69.849999999998545"/>
    <n v="-4.0132030646277111E-3"/>
    <m/>
    <n v="18477.05"/>
    <n v="-6.6644837785252431E-2"/>
    <m/>
  </r>
  <r>
    <x v="303"/>
    <n v="17094.95"/>
    <n v="17291.75"/>
    <n v="17091.150000000001"/>
    <n v="17222.75"/>
    <n v="290280124"/>
    <n v="25011.72"/>
    <n v="16706.39"/>
    <n v="17225.770999999997"/>
    <n v="17021.494500000004"/>
    <n v="-22.900000000001455"/>
    <n v="-1.3395768925911719E-3"/>
    <m/>
    <n v="18477.05"/>
    <n v="-6.7884213118436065E-2"/>
    <m/>
  </r>
  <r>
    <x v="304"/>
    <n v="17289"/>
    <n v="17294.900000000001"/>
    <n v="17076.55"/>
    <n v="17153"/>
    <n v="237115741"/>
    <n v="20031.39"/>
    <n v="16712.917500000003"/>
    <n v="17210.159999999996"/>
    <n v="17029.257000000005"/>
    <n v="-69.75"/>
    <n v="-4.034357105674128E-3"/>
    <m/>
    <n v="18477.05"/>
    <n v="-7.1659166371255134E-2"/>
    <m/>
  </r>
  <r>
    <x v="305"/>
    <n v="17181.849999999999"/>
    <n v="17235.099999999999"/>
    <n v="17003.900000000001"/>
    <n v="17222"/>
    <n v="253240837"/>
    <n v="19976.259999999998"/>
    <n v="16717.405000000002"/>
    <n v="17192.105"/>
    <n v="17036.263750000002"/>
    <n v="69"/>
    <n v="4.0158655790849072E-3"/>
    <m/>
    <n v="18477.05"/>
    <n v="-6.792480401362766E-2"/>
    <m/>
  </r>
  <r>
    <x v="306"/>
    <n v="17297.2"/>
    <n v="17343.650000000001"/>
    <n v="17235.7"/>
    <n v="17325.3"/>
    <n v="235149625"/>
    <n v="20305.78"/>
    <n v="16766.107500000002"/>
    <n v="17172.297999999999"/>
    <n v="17043.673250000003"/>
    <n v="103.29999999999927"/>
    <n v="5.9720648428646991E-3"/>
    <m/>
    <n v="18477.05"/>
    <n v="-6.2334084715904292E-2"/>
    <m/>
  </r>
  <r>
    <x v="307"/>
    <n v="17468.150000000001"/>
    <n v="17522.5"/>
    <n v="17387.2"/>
    <n v="17498.25"/>
    <n v="505031841"/>
    <n v="28907.47"/>
    <n v="16799.452499999999"/>
    <n v="17153.648000000001"/>
    <n v="17052.123"/>
    <n v="172.95000000000073"/>
    <n v="9.9008767385212922E-3"/>
    <m/>
    <n v="18477.05"/>
    <n v="-5.297382428472075E-2"/>
    <m/>
  </r>
  <r>
    <x v="308"/>
    <n v="17519.2"/>
    <n v="17559.8"/>
    <n v="17435.2"/>
    <n v="17464.75"/>
    <n v="281111679"/>
    <n v="24032.07"/>
    <n v="16834.669999999998"/>
    <n v="17138.498000000003"/>
    <n v="17060.925500000001"/>
    <n v="-33.5"/>
    <n v="-1.9121877711311018E-3"/>
    <m/>
    <n v="18477.05"/>
    <n v="-5.4786884269945602E-2"/>
    <m/>
  </r>
  <r>
    <x v="309"/>
    <n v="17436.900000000001"/>
    <n v="17703.7"/>
    <n v="17422.7"/>
    <n v="17670.45"/>
    <n v="291773447"/>
    <n v="21132.13"/>
    <n v="16877.61"/>
    <n v="17121.631000000005"/>
    <n v="17069.252500000002"/>
    <n v="205.70000000000073"/>
    <n v="1.1796821682753282E-2"/>
    <m/>
    <n v="18477.05"/>
    <n v="-4.3654154748728802E-2"/>
    <m/>
  </r>
  <r>
    <x v="310"/>
    <n v="17809.099999999999"/>
    <n v="18114.650000000001"/>
    <n v="17791.400000000001"/>
    <n v="18053.400000000001"/>
    <n v="345526502"/>
    <n v="38623.94"/>
    <n v="16936.23"/>
    <n v="17112.779000000002"/>
    <n v="17078.545500000004"/>
    <n v="382.95000000000073"/>
    <n v="2.1503051810591256E-2"/>
    <m/>
    <n v="18477.05"/>
    <n v="-2.2928443663896458E-2"/>
    <m/>
  </r>
  <r>
    <x v="311"/>
    <n v="18080.599999999999"/>
    <n v="18095.45"/>
    <n v="17921.55"/>
    <n v="17957.400000000001"/>
    <n v="283453612"/>
    <n v="25096.7"/>
    <n v="17026.6325"/>
    <n v="17115.079000000002"/>
    <n v="17089.466250000001"/>
    <n v="-96"/>
    <n v="-5.309558311117994E-3"/>
    <m/>
    <n v="18477.05"/>
    <n v="-2.8124078248421558E-2"/>
    <m/>
  </r>
  <r>
    <x v="312"/>
    <n v="17842.75"/>
    <n v="17901"/>
    <n v="17779.849999999999"/>
    <n v="17807.650000000001"/>
    <n v="328824420"/>
    <n v="24252.48"/>
    <n v="17131.345000000005"/>
    <n v="17119.087000000003"/>
    <n v="17100.415500000003"/>
    <n v="-149.75"/>
    <n v="-8.3927645682420025E-3"/>
    <m/>
    <n v="18477.05"/>
    <n v="-3.6228726988344895E-2"/>
    <m/>
  </r>
  <r>
    <x v="313"/>
    <n v="17723.3"/>
    <n v="17787.5"/>
    <n v="17623.7"/>
    <n v="17639.55"/>
    <n v="308840215"/>
    <n v="26236.91"/>
    <n v="17221.055"/>
    <n v="17122.897000000004"/>
    <n v="17110.996750000002"/>
    <n v="-168.10000000000218"/>
    <n v="-9.4846896458335751E-3"/>
    <m/>
    <n v="18477.05"/>
    <n v="-4.5326499630622852E-2"/>
    <m/>
  </r>
  <r>
    <x v="314"/>
    <n v="17698.150000000001"/>
    <n v="17842.75"/>
    <n v="17600.55"/>
    <n v="17784.349999999999"/>
    <n v="274447433"/>
    <n v="25608.1"/>
    <n v="17285.765000000003"/>
    <n v="17132.706000000002"/>
    <n v="17120.777750000001"/>
    <n v="144.79999999999927"/>
    <n v="8.1816461042537921E-3"/>
    <m/>
    <n v="18477.05"/>
    <n v="-3.7489750798964216E-2"/>
    <m/>
  </r>
  <r>
    <x v="315"/>
    <n v="17740.900000000001"/>
    <n v="17779.05"/>
    <n v="17650.95"/>
    <n v="17674.95"/>
    <n v="251701846"/>
    <n v="21001.58"/>
    <n v="17345.237499999999"/>
    <n v="17142.834000000003"/>
    <n v="17130.967000000001"/>
    <n v="-109.39999999999782"/>
    <n v="-6.1665417199802605E-3"/>
    <m/>
    <n v="18477.05"/>
    <n v="-4.3410609377579124E-2"/>
    <m/>
  </r>
  <r>
    <x v="316"/>
    <n v="17584.849999999999"/>
    <n v="17595.3"/>
    <n v="17442.349999999999"/>
    <n v="17530.3"/>
    <n v="266029060"/>
    <n v="23958.77"/>
    <n v="17397.462500000001"/>
    <n v="17154.130000000005"/>
    <n v="17140.477999999999"/>
    <n v="-144.65000000000146"/>
    <n v="-8.2258307577261942E-3"/>
    <m/>
    <n v="18477.05"/>
    <n v="-5.123924003019964E-2"/>
    <m/>
  </r>
  <r>
    <x v="317"/>
    <n v="17599.900000000001"/>
    <n v="17663.650000000001"/>
    <n v="17457.400000000001"/>
    <n v="17475.650000000001"/>
    <n v="245061941"/>
    <n v="20229.830000000002"/>
    <n v="17430.412499999999"/>
    <n v="17162.697000000004"/>
    <n v="17149.694750000002"/>
    <n v="-54.649999999997817"/>
    <n v="-3.1051312791548708E-3"/>
    <m/>
    <n v="18477.05"/>
    <n v="-5.4196963259827591E-2"/>
    <m/>
  </r>
  <r>
    <x v="318"/>
    <n v="17183.45"/>
    <n v="17237.75"/>
    <n v="17067.849999999999"/>
    <n v="17173.650000000001"/>
    <n v="376130248"/>
    <n v="30154.62"/>
    <n v="17471.044999999998"/>
    <n v="17165.413000000004"/>
    <n v="17158.120749999998"/>
    <n v="-302"/>
    <n v="-1.757505041187887E-2"/>
    <m/>
    <n v="18477.05"/>
    <n v="-7.0541563723646283E-2"/>
    <m/>
  </r>
  <r>
    <x v="319"/>
    <n v="17258.95"/>
    <n v="17275.650000000001"/>
    <n v="16824.7"/>
    <n v="16958.650000000001"/>
    <n v="401399563"/>
    <n v="35467.129999999997"/>
    <n v="17480.96"/>
    <n v="17157.349000000002"/>
    <n v="17164.687249999995"/>
    <n v="-215"/>
    <n v="-1.2457304760718352E-2"/>
    <m/>
    <n v="18477.05"/>
    <n v="-8.2177620345239011E-2"/>
    <m/>
  </r>
  <r>
    <x v="320"/>
    <n v="17045.25"/>
    <n v="17186.900000000001"/>
    <n v="16978.95"/>
    <n v="17136.55"/>
    <n v="286069736"/>
    <n v="25972.15"/>
    <n v="17464.54"/>
    <n v="17140.922000000006"/>
    <n v="17170.406999999996"/>
    <n v="177.89999999999782"/>
    <n v="1.0436925243102789E-2"/>
    <m/>
    <n v="18477.05"/>
    <n v="-7.2549460005790989E-2"/>
    <m/>
  </r>
  <r>
    <x v="321"/>
    <n v="17234.599999999999"/>
    <n v="17414.7"/>
    <n v="17215.5"/>
    <n v="17392.599999999999"/>
    <n v="285200022"/>
    <n v="24999.9"/>
    <n v="17465.487500000003"/>
    <n v="17132.449000000004"/>
    <n v="17177.347499999996"/>
    <n v="256.04999999999927"/>
    <n v="1.4856741670824927E-2"/>
    <m/>
    <n v="18477.05"/>
    <n v="-5.8691728387377906E-2"/>
    <m/>
  </r>
  <r>
    <x v="322"/>
    <n v="17242.75"/>
    <n v="17315.3"/>
    <n v="17149.2"/>
    <n v="17171.95"/>
    <n v="262739740"/>
    <n v="23371.7"/>
    <n v="17469.342500000002"/>
    <n v="17129.975000000002"/>
    <n v="17185.702999999994"/>
    <n v="-220.64999999999782"/>
    <n v="-1.2796682663728107E-2"/>
    <m/>
    <n v="18477.05"/>
    <n v="-7.0633569752747261E-2"/>
    <m/>
  </r>
  <r>
    <x v="323"/>
    <n v="17009.05"/>
    <n v="17054.3"/>
    <n v="16888.7"/>
    <n v="16953.95"/>
    <n v="275685925"/>
    <n v="22699.65"/>
    <n v="17465.657500000001"/>
    <n v="17129.142000000003"/>
    <n v="17193.162749999996"/>
    <n v="-218"/>
    <n v="-1.2816706400416249E-2"/>
    <m/>
    <n v="18477.05"/>
    <n v="-8.2431989955106366E-2"/>
    <m/>
  </r>
  <r>
    <x v="324"/>
    <n v="17121.3"/>
    <n v="17223.849999999999"/>
    <n v="17064.45"/>
    <n v="17200.8"/>
    <n v="261065753"/>
    <n v="22079.919999999998"/>
    <n v="17452.217499999999"/>
    <n v="17122.886000000002"/>
    <n v="17199.321499999998"/>
    <n v="246.84999999999854"/>
    <n v="1.4417713608195555E-2"/>
    <m/>
    <n v="18477.05"/>
    <n v="-6.9072173317710317E-2"/>
    <m/>
  </r>
  <r>
    <x v="325"/>
    <n v="17073.349999999999"/>
    <n v="17110.7"/>
    <n v="16958.45"/>
    <n v="17038.400000000001"/>
    <n v="265140480"/>
    <n v="25373.8"/>
    <n v="17454.607499999998"/>
    <n v="17117.626000000004"/>
    <n v="17206.153749999994"/>
    <n v="-162.39999999999782"/>
    <n v="-9.5119001250485603E-3"/>
    <m/>
    <n v="18477.05"/>
    <n v="-7.7861455156531867E-2"/>
    <m/>
  </r>
  <r>
    <x v="326"/>
    <n v="17189.5"/>
    <n v="17322.5"/>
    <n v="17071.05"/>
    <n v="17245.05"/>
    <n v="312914417"/>
    <n v="28488.87"/>
    <n v="17445.427499999998"/>
    <n v="17106.277000000002"/>
    <n v="17212.254499999995"/>
    <n v="206.64999999999782"/>
    <n v="1.2021873818319196E-2"/>
    <m/>
    <n v="18477.05"/>
    <n v="-6.6677310501405795E-2"/>
    <m/>
  </r>
  <r>
    <x v="327"/>
    <n v="17329.25"/>
    <n v="17377.650000000001"/>
    <n v="17053.25"/>
    <n v="17102.55"/>
    <n v="336243642"/>
    <n v="29582.86"/>
    <n v="17441.415000000001"/>
    <n v="17103.683000000005"/>
    <n v="17219.081499999993"/>
    <n v="-142.5"/>
    <n v="-8.2230910166337257E-3"/>
    <m/>
    <n v="18477.05"/>
    <n v="-7.4389580587810311E-2"/>
    <m/>
  </r>
  <r>
    <x v="328"/>
    <n v="16924.45"/>
    <n v="17092.25"/>
    <n v="16917.25"/>
    <n v="17069.099999999999"/>
    <n v="278155513"/>
    <n v="21222.639999999999"/>
    <n v="17421.629999999997"/>
    <n v="17108.878000000004"/>
    <n v="17225.954749999994"/>
    <n v="-33.450000000000728"/>
    <n v="-1.9764305487032503E-3"/>
    <m/>
    <n v="18477.05"/>
    <n v="-7.6199934513355827E-2"/>
    <m/>
  </r>
  <r>
    <x v="329"/>
    <n v="17096.599999999999"/>
    <n v="17132.849999999999"/>
    <n v="16623.95"/>
    <n v="16677.599999999999"/>
    <n v="310632799"/>
    <n v="27405.52"/>
    <n v="17401.847499999996"/>
    <n v="17103.211000000003"/>
    <n v="17232.851249999996"/>
    <n v="-391.5"/>
    <n v="-2.2899289917293498E-2"/>
    <m/>
    <n v="18477.05"/>
    <n v="-9.7388381803372281E-2"/>
    <m/>
  </r>
  <r>
    <x v="330"/>
    <n v="16854.75"/>
    <n v="16945.7"/>
    <n v="16651.849999999999"/>
    <n v="16682.650000000001"/>
    <n v="265793403"/>
    <n v="21792.91"/>
    <n v="17352.204999999994"/>
    <n v="17090.319000000003"/>
    <n v="17237.776249999995"/>
    <n v="5.0500000000029104"/>
    <n v="2.9961880182161765E-4"/>
    <m/>
    <n v="18477.05"/>
    <n v="-9.7115069775748686E-2"/>
    <m/>
  </r>
  <r>
    <x v="331"/>
    <n v="16415.55"/>
    <n v="16484.2"/>
    <n v="16340.9"/>
    <n v="16411.25"/>
    <n v="300527719"/>
    <n v="25472.95"/>
    <n v="17283.6675"/>
    <n v="17077.880000000005"/>
    <n v="17242.127749999992"/>
    <n v="-271.40000000000146"/>
    <n v="-1.6533104282220303E-2"/>
    <m/>
    <n v="18477.05"/>
    <n v="-0.11180356171575001"/>
    <m/>
  </r>
  <r>
    <x v="332"/>
    <n v="16227.7"/>
    <n v="16403.7"/>
    <n v="16142.1"/>
    <n v="16301.85"/>
    <n v="288402950"/>
    <n v="23274.74"/>
    <n v="17206.359999999997"/>
    <n v="17060.579000000005"/>
    <n v="17244.914249999994"/>
    <n v="-109.39999999999964"/>
    <n v="-6.7415591858365409E-3"/>
    <m/>
    <n v="18477.05"/>
    <n v="-0.11772442029436514"/>
    <m/>
  </r>
  <r>
    <x v="333"/>
    <n v="16248.9"/>
    <n v="16404.55"/>
    <n v="16197.3"/>
    <n v="16240.05"/>
    <n v="283061200"/>
    <n v="22685.27"/>
    <n v="17131.069999999996"/>
    <n v="17042.483000000004"/>
    <n v="17246.802499999994"/>
    <n v="-61.800000000001091"/>
    <n v="-3.8033343795580679E-3"/>
    <m/>
    <n v="18477.05"/>
    <n v="-0.12106911005815324"/>
    <m/>
  </r>
  <r>
    <x v="334"/>
    <n v="16270.05"/>
    <n v="16318.75"/>
    <n v="15992.6"/>
    <n v="16167.1"/>
    <n v="284294438"/>
    <n v="22994.38"/>
    <n v="17061.094999999998"/>
    <n v="17025.440000000006"/>
    <n v="17248.385749999994"/>
    <n v="-72.949999999998909"/>
    <n v="-4.4836985749889466E-3"/>
    <m/>
    <n v="18477.05"/>
    <n v="-0.12501725113045636"/>
    <m/>
  </r>
  <r>
    <x v="335"/>
    <n v="16021.1"/>
    <n v="16041.95"/>
    <n v="15735.75"/>
    <n v="15808"/>
    <n v="314921678"/>
    <n v="25352.34"/>
    <n v="16980.232499999998"/>
    <n v="17007.517000000003"/>
    <n v="17250.459249999993"/>
    <n v="-359.10000000000036"/>
    <n v="-2.2414191285242607E-2"/>
    <m/>
    <n v="18477.05"/>
    <n v="-0.14445217174819569"/>
    <m/>
  </r>
  <r>
    <x v="336"/>
    <n v="15977"/>
    <n v="16083.6"/>
    <n v="15740.85"/>
    <n v="15782.15"/>
    <n v="369135540"/>
    <n v="27454.12"/>
    <n v="16886.884999999995"/>
    <n v="16998.718000000004"/>
    <n v="17251.338749999995"/>
    <n v="-25.850000000000364"/>
    <n v="-1.617950804281177E-3"/>
    <m/>
    <n v="18477.05"/>
    <n v="-0.14585120460246626"/>
    <m/>
  </r>
  <r>
    <x v="337"/>
    <n v="15845.1"/>
    <n v="15977.95"/>
    <n v="15739.65"/>
    <n v="15842.3"/>
    <n v="217646558"/>
    <n v="17852.189999999999"/>
    <n v="16799.477499999997"/>
    <n v="16981.193000000003"/>
    <n v="17251.129249999994"/>
    <n v="60.149999999999636"/>
    <n v="3.7961262472309821E-3"/>
    <m/>
    <n v="18477.05"/>
    <n v="-0.1425958148080998"/>
    <m/>
  </r>
  <r>
    <x v="338"/>
    <n v="15912.6"/>
    <n v="16284.25"/>
    <n v="15900.8"/>
    <n v="16259.3"/>
    <n v="295687774"/>
    <n v="22782.99"/>
    <n v="16717.810000000001"/>
    <n v="16962.161000000004"/>
    <n v="17251.060499999992"/>
    <n v="417"/>
    <n v="2.6205648354134459E-2"/>
    <m/>
    <n v="18477.05"/>
    <n v="-0.1200272770815688"/>
    <m/>
  </r>
  <r>
    <x v="339"/>
    <n v="16318.15"/>
    <n v="16399.8"/>
    <n v="16211.2"/>
    <n v="16240.3"/>
    <n v="290441105"/>
    <n v="23889.84"/>
    <n v="16672.092499999999"/>
    <n v="16955.228000000006"/>
    <n v="17253.234749999992"/>
    <n v="-19"/>
    <n v="-1.1643476742155207E-3"/>
    <m/>
    <n v="18477.05"/>
    <n v="-0.121055579759756"/>
    <m/>
  </r>
  <r>
    <x v="340"/>
    <n v="15917.4"/>
    <n v="15984.75"/>
    <n v="15775.2"/>
    <n v="15809.4"/>
    <n v="313876082"/>
    <n v="24340.84"/>
    <n v="16636.174999999999"/>
    <n v="16950.073000000004"/>
    <n v="17255.703999999991"/>
    <n v="-430.89999999999964"/>
    <n v="-2.7071004058451736E-2"/>
    <m/>
    <n v="18477.05"/>
    <n v="-0.1443764020771714"/>
    <m/>
  </r>
  <r>
    <x v="341"/>
    <n v="16043.8"/>
    <n v="16283.05"/>
    <n v="16003.85"/>
    <n v="16266.15"/>
    <n v="252402013"/>
    <n v="22806.69"/>
    <n v="16569.817500000001"/>
    <n v="16941.354000000007"/>
    <n v="17256.203999999991"/>
    <n v="456.75"/>
    <n v="2.846894127326444E-2"/>
    <m/>
    <n v="18477.05"/>
    <n v="-0.11965654690548544"/>
    <m/>
  </r>
  <r>
    <x v="342"/>
    <n v="16290.95"/>
    <n v="16414.7"/>
    <n v="16185.75"/>
    <n v="16214.7"/>
    <n v="293829853"/>
    <n v="25110.85"/>
    <n v="16513.495000000003"/>
    <n v="16949.414000000008"/>
    <n v="17258.642499999994"/>
    <n v="-51.449999999998909"/>
    <n v="-3.1581951942642331E-3"/>
    <m/>
    <n v="18477.05"/>
    <n v="-0.12244108231562933"/>
    <m/>
  </r>
  <r>
    <x v="343"/>
    <n v="16225.55"/>
    <n v="16262.8"/>
    <n v="16078.6"/>
    <n v="16125.15"/>
    <n v="249778296"/>
    <n v="21895.75"/>
    <n v="16465.6325"/>
    <n v="16953.439000000006"/>
    <n v="17260.900749999993"/>
    <n v="-89.550000000001091"/>
    <n v="-5.5190733133854385E-3"/>
    <m/>
    <n v="18477.05"/>
    <n v="-0.12728763520150677"/>
    <m/>
  </r>
  <r>
    <x v="344"/>
    <n v="16196.35"/>
    <n v="16223.35"/>
    <n v="16006.95"/>
    <n v="16025.8"/>
    <n v="243342347"/>
    <n v="21400.14"/>
    <n v="16424.192500000001"/>
    <n v="16949.035000000007"/>
    <n v="17262.100749999994"/>
    <n v="-99.350000000000364"/>
    <n v="-6.1340981146987047E-3"/>
    <m/>
    <n v="18477.05"/>
    <n v="-0.13266457578455437"/>
    <m/>
  </r>
  <r>
    <x v="345"/>
    <n v="16105"/>
    <n v="16204.45"/>
    <n v="15903.7"/>
    <n v="16170.15"/>
    <n v="314305739"/>
    <n v="27721.21"/>
    <n v="16365.442500000001"/>
    <n v="16937.653000000006"/>
    <n v="17261.57599999999"/>
    <n v="144.35000000000036"/>
    <n v="8.9630549518783208E-3"/>
    <m/>
    <n v="18477.05"/>
    <n v="-0.12485218149001054"/>
    <m/>
  </r>
  <r>
    <x v="346"/>
    <n v="16296.6"/>
    <n v="16370.6"/>
    <n v="16221.95"/>
    <n v="16352.45"/>
    <n v="274064956"/>
    <n v="21341.98"/>
    <n v="16322.029999999999"/>
    <n v="16928.447000000007"/>
    <n v="17261.132749999993"/>
    <n v="182.30000000000109"/>
    <n v="1.1186382435600131E-2"/>
    <m/>
    <n v="18477.05"/>
    <n v="-0.11498588789877162"/>
    <m/>
  </r>
  <r>
    <x v="347"/>
    <n v="16527.900000000001"/>
    <n v="16695.5"/>
    <n v="16506.150000000001"/>
    <n v="16661.400000000001"/>
    <n v="251400757"/>
    <n v="21216.5"/>
    <n v="16277.4"/>
    <n v="16918.070000000003"/>
    <n v="17261.421999999991"/>
    <n v="308.95000000000073"/>
    <n v="1.8692634877994222E-2"/>
    <m/>
    <n v="18477.05"/>
    <n v="-9.826514513951079E-2"/>
    <m/>
  </r>
  <r>
    <x v="348"/>
    <n v="16578.45"/>
    <n v="16690.75"/>
    <n v="16521.900000000001"/>
    <n v="16584.55"/>
    <n v="651613610"/>
    <n v="52929.35"/>
    <n v="16255.342500000002"/>
    <n v="16918.038000000004"/>
    <n v="17263.53799999999"/>
    <n v="-76.850000000002183"/>
    <n v="-4.6355358914737009E-3"/>
    <m/>
    <n v="18477.05"/>
    <n v="-0.10242435886681045"/>
    <m/>
  </r>
  <r>
    <x v="349"/>
    <n v="16594.400000000001"/>
    <n v="16649.2"/>
    <n v="16438.849999999999"/>
    <n v="16522.75"/>
    <n v="249619038"/>
    <n v="19350.330000000002"/>
    <n v="16231.115"/>
    <n v="16910.222000000005"/>
    <n v="17265.169499999989"/>
    <n v="-61.799999999999272"/>
    <n v="-3.7241479053174123E-3"/>
    <m/>
    <n v="18477.05"/>
    <n v="-0.10576904863059844"/>
    <m/>
  </r>
  <r>
    <x v="350"/>
    <n v="16481.650000000001"/>
    <n v="16646.400000000001"/>
    <n v="16443.05"/>
    <n v="16628"/>
    <n v="235958283"/>
    <n v="20055.84"/>
    <n v="16223.372499999998"/>
    <n v="16894.936000000005"/>
    <n v="17266.38274999999"/>
    <n v="105.25"/>
    <n v="6.3858897622507448E-3"/>
    <m/>
    <n v="18477.05"/>
    <n v="-0.10007279300537686"/>
    <m/>
  </r>
  <r>
    <x v="351"/>
    <n v="16761.650000000001"/>
    <n v="16793.849999999999"/>
    <n v="16567.900000000001"/>
    <n v="16584.3"/>
    <n v="245514871"/>
    <n v="22249.29"/>
    <n v="16220.64"/>
    <n v="16885.144000000008"/>
    <n v="17268.111499999988"/>
    <n v="-43.700000000000728"/>
    <n v="-2.6071418983215091E-3"/>
    <m/>
    <n v="18477.05"/>
    <n v="-0.10243788916520769"/>
    <m/>
  </r>
  <r>
    <x v="352"/>
    <n v="16530.7"/>
    <n v="16610.95"/>
    <n v="16444.55"/>
    <n v="16569.55"/>
    <n v="233589132"/>
    <n v="17999.41"/>
    <n v="16229.2925"/>
    <n v="16870.520000000008"/>
    <n v="17269.210999999988"/>
    <n v="-14.75"/>
    <n v="-8.9227921382639566E-4"/>
    <m/>
    <n v="18477.05"/>
    <n v="-0.10323617677064245"/>
    <m/>
  </r>
  <r>
    <x v="353"/>
    <n v="16469.599999999999"/>
    <n v="16487.25"/>
    <n v="16347.1"/>
    <n v="16416.349999999999"/>
    <n v="233814633"/>
    <n v="17921.95"/>
    <n v="16242.677499999996"/>
    <n v="16856.998000000007"/>
    <n v="17269.413249999987"/>
    <n v="-153.20000000000073"/>
    <n v="-9.3019866906300548E-3"/>
    <m/>
    <n v="18477.05"/>
    <n v="-0.11152754362844719"/>
    <m/>
  </r>
  <r>
    <x v="354"/>
    <n v="16474.95"/>
    <n v="16514.3"/>
    <n v="16293.35"/>
    <n v="16356.25"/>
    <n v="243481044"/>
    <n v="18336.150000000001"/>
    <n v="16251.492499999997"/>
    <n v="16840.870000000006"/>
    <n v="17268.679749999988"/>
    <n v="-60.099999999998545"/>
    <n v="-3.6479625127844723E-3"/>
    <m/>
    <n v="18477.05"/>
    <n v="-0.1147802273631342"/>
    <m/>
  </r>
  <r>
    <x v="355"/>
    <n v="16263.85"/>
    <n v="16492.8"/>
    <n v="16243.85"/>
    <n v="16478.099999999999"/>
    <n v="204954394"/>
    <n v="16721.68"/>
    <n v="16260.949999999997"/>
    <n v="16824.935000000005"/>
    <n v="17267.387999999988"/>
    <n v="121.84999999999854"/>
    <n v="7.4920759844685327E-3"/>
    <m/>
    <n v="18477.05"/>
    <n v="-0.10818555992433865"/>
    <m/>
  </r>
  <r>
    <x v="356"/>
    <n v="16283.95"/>
    <n v="16324.7"/>
    <n v="16172.6"/>
    <n v="16201.8"/>
    <n v="189680523"/>
    <n v="18388.03"/>
    <n v="16294.454999999996"/>
    <n v="16810.057000000004"/>
    <n v="17266.934249999988"/>
    <n v="-276.29999999999927"/>
    <n v="-1.6967627633344445E-2"/>
    <m/>
    <n v="18477.05"/>
    <n v="-0.12313924571292501"/>
    <m/>
  </r>
  <r>
    <x v="357"/>
    <n v="15877.55"/>
    <n v="15886.15"/>
    <n v="15684"/>
    <n v="15774.4"/>
    <n v="225534385"/>
    <n v="20002.64"/>
    <n v="16315.437499999996"/>
    <n v="16787.587000000003"/>
    <n v="17265.690749999991"/>
    <n v="-427.39999999999964"/>
    <n v="-2.6918510727410694E-2"/>
    <m/>
    <n v="18477.05"/>
    <n v="-0.14627064385277955"/>
    <m/>
  </r>
  <r>
    <x v="358"/>
    <n v="15674.25"/>
    <n v="15858"/>
    <n v="15659.45"/>
    <n v="15732.1"/>
    <n v="225425862"/>
    <n v="19825.41"/>
    <n v="16312.042499999996"/>
    <n v="16753.110000000004"/>
    <n v="17262.080499999989"/>
    <n v="-42.299999999999272"/>
    <n v="-2.6986937174027E-3"/>
    <m/>
    <n v="18477.05"/>
    <n v="-0.14855997034158586"/>
    <m/>
  </r>
  <r>
    <x v="359"/>
    <n v="15729.25"/>
    <n v="15783.65"/>
    <n v="15678.9"/>
    <n v="15692.15"/>
    <n v="183011236"/>
    <n v="16063.24"/>
    <n v="16285.682499999999"/>
    <n v="16718.457000000002"/>
    <n v="17257.617999999988"/>
    <n v="-39.950000000000728"/>
    <n v="-2.5398540934882929E-3"/>
    <m/>
    <n v="18477.05"/>
    <n v="-0.1507221120254586"/>
    <m/>
  </r>
  <r>
    <x v="360"/>
    <n v="15832.25"/>
    <n v="15863.15"/>
    <n v="15335.1"/>
    <n v="15360.6"/>
    <n v="264735957"/>
    <n v="21383.06"/>
    <n v="16258.275"/>
    <n v="16678.891"/>
    <n v="17252.90549999999"/>
    <n v="-331.54999999999927"/>
    <n v="-2.0941432834878131E-2"/>
    <m/>
    <n v="18477.05"/>
    <n v="-0.16866599375982627"/>
    <m/>
  </r>
  <r>
    <x v="361"/>
    <n v="15272.65"/>
    <n v="15400.4"/>
    <n v="15183.4"/>
    <n v="15293.5"/>
    <n v="342629997"/>
    <n v="29074"/>
    <n v="16235.834999999997"/>
    <n v="16625.035000000003"/>
    <n v="17246.523999999987"/>
    <n v="-67.100000000000364"/>
    <n v="-4.3934746098418E-3"/>
    <m/>
    <n v="18477.05"/>
    <n v="-0.17229752584963509"/>
    <m/>
  </r>
  <r>
    <x v="362"/>
    <n v="15334.5"/>
    <n v="15382.5"/>
    <n v="15191.1"/>
    <n v="15350.15"/>
    <n v="260022438"/>
    <n v="18531.78"/>
    <n v="16187.202499999999"/>
    <n v="16571.757000000001"/>
    <n v="17239.465499999988"/>
    <n v="56.649999999999636"/>
    <n v="3.6942841305552601E-3"/>
    <m/>
    <n v="18477.05"/>
    <n v="-0.16923156023282937"/>
    <m/>
  </r>
  <r>
    <x v="363"/>
    <n v="15455.95"/>
    <n v="15707.25"/>
    <n v="15419.85"/>
    <n v="15638.8"/>
    <n v="262794687"/>
    <n v="18934.27"/>
    <n v="16143.975"/>
    <n v="16522.607000000004"/>
    <n v="17231.560999999991"/>
    <n v="288.64999999999964"/>
    <n v="1.8675655653647923E-2"/>
    <m/>
    <n v="18477.05"/>
    <n v="-0.15360947770342126"/>
    <m/>
  </r>
  <r>
    <x v="364"/>
    <n v="15545.65"/>
    <n v="15565.4"/>
    <n v="15385.95"/>
    <n v="15413.3"/>
    <n v="220889589"/>
    <n v="16817.07"/>
    <n v="16119.657499999998"/>
    <n v="16482.592000000004"/>
    <n v="17224.093999999986"/>
    <n v="-225.5"/>
    <n v="-1.4505665572041054E-2"/>
    <m/>
    <n v="18477.05"/>
    <n v="-0.16581380685769642"/>
    <m/>
  </r>
  <r>
    <x v="365"/>
    <n v="15451.55"/>
    <n v="15628.45"/>
    <n v="15367.5"/>
    <n v="15556.65"/>
    <n v="259171810"/>
    <n v="21722.06"/>
    <n v="16089.032500000001"/>
    <n v="16435.171000000006"/>
    <n v="17215.779249999985"/>
    <n v="143.35000000000036"/>
    <n v="9.2773864110720517E-3"/>
    <m/>
    <n v="18477.05"/>
    <n v="-0.15805553375674142"/>
    <m/>
  </r>
  <r>
    <x v="366"/>
    <n v="15657.4"/>
    <n v="15749.25"/>
    <n v="15619.45"/>
    <n v="15699.25"/>
    <n v="219599372"/>
    <n v="18259.72"/>
    <n v="16058.357500000002"/>
    <n v="16392.805000000004"/>
    <n v="17207.391749999984"/>
    <n v="142.60000000000036"/>
    <n v="9.1075146576060119E-3"/>
    <m/>
    <n v="18477.05"/>
    <n v="-0.15033785155097812"/>
    <m/>
  </r>
  <r>
    <x v="367"/>
    <n v="15926.2"/>
    <n v="15927.45"/>
    <n v="15815.5"/>
    <n v="15832.05"/>
    <n v="210932505"/>
    <n v="17770.419999999998"/>
    <n v="16025.6975"/>
    <n v="16356.184000000007"/>
    <n v="17199.269999999982"/>
    <n v="132.79999999999927"/>
    <n v="8.3384611520638495E-3"/>
    <m/>
    <n v="18477.05"/>
    <n v="-0.143150557042385"/>
    <m/>
  </r>
  <r>
    <x v="368"/>
    <n v="15757.45"/>
    <n v="15892.1"/>
    <n v="15710.15"/>
    <n v="15850.2"/>
    <n v="251865155"/>
    <n v="18419.75"/>
    <n v="15984.23"/>
    <n v="16323.312000000007"/>
    <n v="17191.541249999984"/>
    <n v="18.150000000001455"/>
    <n v="1.1518361156152457E-3"/>
    <m/>
    <n v="18477.05"/>
    <n v="-0.14216825737874816"/>
    <m/>
  </r>
  <r>
    <x v="369"/>
    <n v="15701.7"/>
    <n v="15861.6"/>
    <n v="15687.8"/>
    <n v="15799.1"/>
    <n v="444949551"/>
    <n v="22528.57"/>
    <n v="15947.512500000001"/>
    <n v="16296.843000000008"/>
    <n v="17183.981749999984"/>
    <n v="-51.100000000000364"/>
    <n v="-3.2544246801302001E-3"/>
    <m/>
    <n v="18477.05"/>
    <n v="-0.14493385037113604"/>
    <m/>
  </r>
  <r>
    <x v="370"/>
    <n v="15774.5"/>
    <n v="15890"/>
    <n v="15728.85"/>
    <n v="15780.25"/>
    <n v="306027777"/>
    <n v="23970.65"/>
    <n v="15911.329999999998"/>
    <n v="16273.652000000007"/>
    <n v="17176.209749999984"/>
    <n v="-18.850000000000364"/>
    <n v="-1.1949665599543797E-3"/>
    <m/>
    <n v="18477.05"/>
    <n v="-0.14595403487028502"/>
    <m/>
  </r>
  <r>
    <x v="371"/>
    <n v="15703.7"/>
    <n v="15793.95"/>
    <n v="15511.05"/>
    <n v="15752.05"/>
    <n v="364090131"/>
    <n v="25891.94"/>
    <n v="15868.942499999999"/>
    <n v="16246.526000000005"/>
    <n v="17168.264749999984"/>
    <n v="-28.200000000000728"/>
    <n v="-1.7957551405083341E-3"/>
    <m/>
    <n v="18477.05"/>
    <n v="-0.14748025252948926"/>
    <m/>
  </r>
  <r>
    <x v="372"/>
    <n v="15710.5"/>
    <n v="15852.35"/>
    <n v="15661.8"/>
    <n v="15835.35"/>
    <n v="304328467"/>
    <n v="19875.22"/>
    <n v="15827.329999999996"/>
    <n v="16213.715000000004"/>
    <n v="17160.248499999983"/>
    <n v="83.300000000001091"/>
    <n v="5.3021864358232451E-3"/>
    <m/>
    <n v="18477.05"/>
    <n v="-0.14297195710354194"/>
    <m/>
  </r>
  <r>
    <x v="373"/>
    <n v="15909.15"/>
    <n v="16025.75"/>
    <n v="15785.45"/>
    <n v="15810.85"/>
    <n v="254164463"/>
    <n v="19129.599999999999"/>
    <n v="15790.619999999995"/>
    <n v="16186.983000000006"/>
    <n v="17152.525249999984"/>
    <n v="-24.5"/>
    <n v="-1.5399942800212456E-3"/>
    <m/>
    <n v="18477.05"/>
    <n v="-0.14429792634646754"/>
    <m/>
  </r>
  <r>
    <x v="374"/>
    <n v="15818.2"/>
    <n v="16011.35"/>
    <n v="15800.9"/>
    <n v="15989.8"/>
    <n v="288375300"/>
    <n v="22836.77"/>
    <n v="15760.344999999996"/>
    <n v="16164.121000000003"/>
    <n v="17143.982249999983"/>
    <n v="178.94999999999891"/>
    <n v="1.1312918031128631E-2"/>
    <m/>
    <n v="18477.05"/>
    <n v="-0.13461293875375124"/>
    <m/>
  </r>
  <r>
    <x v="375"/>
    <n v="16113.75"/>
    <n v="16150.5"/>
    <n v="16045.95"/>
    <n v="16132.9"/>
    <n v="264615218"/>
    <n v="21465.33"/>
    <n v="15742.022499999995"/>
    <n v="16139.901000000003"/>
    <n v="17135.783749999984"/>
    <n v="143.10000000000036"/>
    <n v="8.8806143821270871E-3"/>
    <m/>
    <n v="18477.05"/>
    <n v="-0.12686819595119347"/>
    <m/>
  </r>
  <r>
    <x v="376"/>
    <n v="16273.65"/>
    <n v="16275.5"/>
    <n v="16157.9"/>
    <n v="16220.6"/>
    <n v="281102369"/>
    <n v="20990.69"/>
    <n v="15724.762499999997"/>
    <n v="16121.791000000003"/>
    <n v="17128.522499999981"/>
    <n v="87.700000000000728"/>
    <n v="5.3890798929558358E-3"/>
    <m/>
    <n v="18477.05"/>
    <n v="-0.12212176727345536"/>
    <m/>
  </r>
  <r>
    <x v="377"/>
    <n v="16136.15"/>
    <n v="16248.55"/>
    <n v="16115.5"/>
    <n v="16216"/>
    <n v="255915072"/>
    <n v="20240.689999999999"/>
    <n v="15725.702499999999"/>
    <n v="16101.302000000001"/>
    <n v="17122.640999999985"/>
    <n v="-4.6000000000003638"/>
    <n v="-2.8507419675699369E-4"/>
    <m/>
    <n v="18477.05"/>
    <n v="-0.12237072476396393"/>
    <m/>
  </r>
  <r>
    <x v="378"/>
    <n v="16126.2"/>
    <n v="16158.75"/>
    <n v="16031.15"/>
    <n v="16058.3"/>
    <n v="208648707"/>
    <n v="16042.52"/>
    <n v="15747.782500000001"/>
    <n v="16083.571000000004"/>
    <n v="17115.910999999986"/>
    <n v="-157.70000000000073"/>
    <n v="-9.779117212982644E-3"/>
    <m/>
    <n v="18477.05"/>
    <n v="-0.13090563699291824"/>
    <m/>
  </r>
  <r>
    <x v="379"/>
    <n v="16128.2"/>
    <n v="16140"/>
    <n v="15950.15"/>
    <n v="15966.65"/>
    <n v="233264100"/>
    <n v="19649.66"/>
    <n v="15764.092499999999"/>
    <n v="16063.355000000003"/>
    <n v="17108.469249999984"/>
    <n v="-91.649999999999636"/>
    <n v="-5.6825932218102226E-3"/>
    <m/>
    <n v="18477.05"/>
    <n v="-0.13586584438533211"/>
    <m/>
  </r>
  <r>
    <x v="380"/>
    <n v="16018.85"/>
    <n v="16070.85"/>
    <n v="15858.2"/>
    <n v="15938.65"/>
    <n v="228603433"/>
    <n v="18858.830000000002"/>
    <n v="15777.817499999999"/>
    <n v="16049.136"/>
    <n v="17099.187749999983"/>
    <n v="-28"/>
    <n v="-1.7479407073541483E-3"/>
    <m/>
    <n v="18477.05"/>
    <n v="-0.13738123780581857"/>
    <m/>
  </r>
  <r>
    <x v="381"/>
    <n v="16010.8"/>
    <n v="16066.95"/>
    <n v="15927.3"/>
    <n v="16049.2"/>
    <n v="205768079"/>
    <n v="17031.43"/>
    <n v="15806.720000000001"/>
    <n v="16034.256000000003"/>
    <n v="17089.614999999983"/>
    <n v="110.55000000000109"/>
    <n v="6.9047143178355298E-3"/>
    <m/>
    <n v="18477.05"/>
    <n v="-0.13139813985457627"/>
    <m/>
  </r>
  <r>
    <x v="382"/>
    <n v="16151.4"/>
    <n v="16287.95"/>
    <n v="16142.2"/>
    <n v="16278.5"/>
    <n v="227744850"/>
    <n v="19420.93"/>
    <n v="15844.505000000001"/>
    <n v="16027.014999999999"/>
    <n v="17080.585499999983"/>
    <n v="229.29999999999927"/>
    <n v="1.4196911722822744E-2"/>
    <m/>
    <n v="18477.05"/>
    <n v="-0.11898815016466369"/>
    <m/>
  </r>
  <r>
    <x v="383"/>
    <n v="16187.05"/>
    <n v="16359.5"/>
    <n v="16187.05"/>
    <n v="16340.55"/>
    <n v="222630928"/>
    <n v="18068.59"/>
    <n v="15890.922500000001"/>
    <n v="16026.547999999999"/>
    <n v="17073.234999999982"/>
    <n v="62.049999999999272"/>
    <n v="3.8333111962957594E-3"/>
    <m/>
    <n v="18477.05"/>
    <n v="-0.11562993010247846"/>
    <m/>
  </r>
  <r>
    <x v="384"/>
    <n v="16562.8"/>
    <n v="16588"/>
    <n v="16490.95"/>
    <n v="16520.849999999999"/>
    <n v="284359582"/>
    <n v="22061.81"/>
    <n v="15926.01"/>
    <n v="16028.558000000001"/>
    <n v="17066.381249999984"/>
    <n v="180.29999999999927"/>
    <n v="1.0885840558359654E-2"/>
    <m/>
    <n v="18477.05"/>
    <n v="-0.10587187889841732"/>
    <m/>
  </r>
  <r>
    <x v="385"/>
    <n v="16523.55"/>
    <n v="16626.95"/>
    <n v="16483.900000000001"/>
    <n v="16605.25"/>
    <n v="243625339"/>
    <n v="20603.169999999998"/>
    <n v="15981.387499999997"/>
    <n v="16035.633"/>
    <n v="17060.894749999981"/>
    <n v="84.400000000001455"/>
    <n v="5.1078612041602113E-3"/>
    <m/>
    <n v="18477.05"/>
    <n v="-0.10130405015952215"/>
    <m/>
  </r>
  <r>
    <x v="386"/>
    <n v="16661.25"/>
    <n v="16752.25"/>
    <n v="16610.900000000001"/>
    <n v="16719.45"/>
    <n v="190906776"/>
    <n v="18600.11"/>
    <n v="16033.817499999999"/>
    <n v="16051.578000000001"/>
    <n v="17056.260749999983"/>
    <n v="114.20000000000073"/>
    <n v="6.8542276239778365E-3"/>
    <m/>
    <n v="18477.05"/>
    <n v="-9.5123409851680774E-2"/>
    <m/>
  </r>
  <r>
    <x v="387"/>
    <n v="16662.55"/>
    <n v="16706.05"/>
    <n v="16564.25"/>
    <n v="16631"/>
    <n v="211392171"/>
    <n v="19384.43"/>
    <n v="16084.827499999999"/>
    <n v="16070.324000000001"/>
    <n v="17051.401749999983"/>
    <n v="-88.450000000000728"/>
    <n v="-5.3083111528547987E-3"/>
    <m/>
    <n v="18477.05"/>
    <n v="-9.9910429424610481E-2"/>
    <m/>
  </r>
  <r>
    <x v="388"/>
    <n v="16632.900000000001"/>
    <n v="16636.099999999999"/>
    <n v="16463.3"/>
    <n v="16483.849999999999"/>
    <n v="208208122"/>
    <n v="20087.54"/>
    <n v="16124.775"/>
    <n v="16086.098"/>
    <n v="17045.445249999986"/>
    <n v="-147.15000000000146"/>
    <n v="-8.8469238677561599E-3"/>
    <m/>
    <n v="18477.05"/>
    <n v="-0.10787436306120302"/>
    <m/>
  </r>
  <r>
    <x v="389"/>
    <n v="16475.349999999999"/>
    <n v="16653.45"/>
    <n v="16438.75"/>
    <n v="16641.8"/>
    <n v="185210970"/>
    <n v="17608.03"/>
    <n v="16156.457499999999"/>
    <n v="16090.589"/>
    <n v="17039.634499999986"/>
    <n v="157.95000000000073"/>
    <n v="9.5870497440115523E-3"/>
    <m/>
    <n v="18477.05"/>
    <n v="-9.9325920533851475E-2"/>
    <m/>
  </r>
  <r>
    <x v="390"/>
    <n v="16774.849999999999"/>
    <n v="16947.650000000001"/>
    <n v="16746.25"/>
    <n v="16929.599999999999"/>
    <n v="376256315"/>
    <n v="26674.28"/>
    <n v="16198.592499999999"/>
    <n v="16098.619000000001"/>
    <n v="17033.891749999984"/>
    <n v="287.79999999999927"/>
    <n v="1.7156636273945775E-2"/>
    <m/>
    <n v="18477.05"/>
    <n v="-8.3749841018993854E-2"/>
    <m/>
  </r>
  <r>
    <x v="391"/>
    <n v="17079.5"/>
    <n v="17172.8"/>
    <n v="17018.150000000001"/>
    <n v="17158.25"/>
    <n v="436059722"/>
    <n v="28241.29"/>
    <n v="16256.059999999998"/>
    <n v="16121.023000000001"/>
    <n v="17029.063749999983"/>
    <n v="228.65000000000146"/>
    <n v="1.3387394244562279E-2"/>
    <m/>
    <n v="18477.05"/>
    <n v="-7.1375030104913861E-2"/>
    <m/>
  </r>
  <r>
    <x v="392"/>
    <n v="17243.2"/>
    <n v="17356.25"/>
    <n v="17154.8"/>
    <n v="17340.05"/>
    <n v="381532671"/>
    <n v="23221.040000000001"/>
    <n v="16326.369999999999"/>
    <n v="16138.865"/>
    <n v="17025.125249999983"/>
    <n v="181.79999999999927"/>
    <n v="1.0543286628931942E-2"/>
    <m/>
    <n v="18477.05"/>
    <n v="-6.1535797110469526E-2"/>
    <m/>
  </r>
  <r>
    <x v="393"/>
    <n v="17310.150000000001"/>
    <n v="17390.150000000001"/>
    <n v="17215.849999999999"/>
    <n v="17345.45"/>
    <n v="333639093"/>
    <n v="22576.94"/>
    <n v="16401.605"/>
    <n v="16161.371999999999"/>
    <n v="17021.865749999983"/>
    <n v="5.4000000000014552"/>
    <n v="3.1195570229035883E-4"/>
    <m/>
    <n v="18477.05"/>
    <n v="-6.1243542665089912E-2"/>
    <m/>
  </r>
  <r>
    <x v="394"/>
    <n v="17349.25"/>
    <n v="17407.5"/>
    <n v="17225.849999999999"/>
    <n v="17388.150000000001"/>
    <n v="285414666"/>
    <n v="20842.13"/>
    <n v="16478.334999999999"/>
    <n v="16185.777999999998"/>
    <n v="17017.784249999982"/>
    <n v="42.700000000000728"/>
    <n v="2.4612014928599639E-3"/>
    <m/>
    <n v="18477.05"/>
    <n v="-5.8932567698847915E-2"/>
    <m/>
  </r>
  <r>
    <x v="395"/>
    <n v="17463.099999999999"/>
    <n v="17490.7"/>
    <n v="17161.25"/>
    <n v="17382"/>
    <n v="324981426"/>
    <n v="21848.21"/>
    <n v="16548.252500000002"/>
    <n v="16213.025"/>
    <n v="17013.032249999986"/>
    <n v="-6.1500000000014552"/>
    <n v="-3.5217114945235698E-4"/>
    <m/>
    <n v="18477.05"/>
    <n v="-5.9265413039419124E-2"/>
    <m/>
  </r>
  <r>
    <x v="396"/>
    <n v="17423.650000000001"/>
    <n v="17474.400000000001"/>
    <n v="17348.75"/>
    <n v="17397.5"/>
    <n v="355310802"/>
    <n v="20013.14"/>
    <n v="16610.7075"/>
    <n v="16237.261999999999"/>
    <n v="17007.556999999983"/>
    <n v="15.5"/>
    <n v="8.8959546363706794E-4"/>
    <m/>
    <n v="18477.05"/>
    <n v="-5.8426534538792652E-2"/>
    <m/>
  </r>
  <r>
    <x v="397"/>
    <n v="17401.5"/>
    <n v="17548.8"/>
    <n v="17359.75"/>
    <n v="17525.099999999999"/>
    <n v="256994113"/>
    <n v="18475.21"/>
    <n v="16669.552500000002"/>
    <n v="16258.162999999999"/>
    <n v="17002.450749999985"/>
    <n v="127.59999999999854"/>
    <n v="7.3327012039191191E-3"/>
    <m/>
    <n v="18477.05"/>
    <n v="-5.1520670236861466E-2"/>
    <m/>
  </r>
  <r>
    <x v="398"/>
    <n v="17566.099999999999"/>
    <n v="17566.099999999999"/>
    <n v="17442.8"/>
    <n v="17534.75"/>
    <n v="312716544"/>
    <n v="21952.35"/>
    <n v="16735.0075"/>
    <n v="16275.436999999998"/>
    <n v="16998.743249999985"/>
    <n v="9.6500000000014552"/>
    <n v="5.4935358446106173E-4"/>
    <m/>
    <n v="18477.05"/>
    <n v="-5.0998400718729409E-2"/>
    <m/>
  </r>
  <r>
    <x v="399"/>
    <n v="17711.650000000001"/>
    <n v="17719.3"/>
    <n v="17631.95"/>
    <n v="17659"/>
    <n v="311247237"/>
    <n v="20476.53"/>
    <n v="16808.829999999998"/>
    <n v="16294.440999999999"/>
    <n v="16995.526499999985"/>
    <n v="124.25"/>
    <n v="7.0151566906527622E-3"/>
    <m/>
    <n v="18477.05"/>
    <n v="-4.4273842415320619E-2"/>
    <m/>
  </r>
  <r>
    <x v="400"/>
    <n v="17659.650000000001"/>
    <n v="17724.650000000001"/>
    <n v="17597.849999999999"/>
    <n v="17698.150000000001"/>
    <n v="303872483"/>
    <n v="18422.47"/>
    <n v="16893.447499999998"/>
    <n v="16317.165999999999"/>
    <n v="16993.246999999985"/>
    <n v="39.150000000001455"/>
    <n v="2.2169182288438024E-3"/>
    <m/>
    <n v="18477.05"/>
    <n v="-4.2154997686318807E-2"/>
    <m/>
  </r>
  <r>
    <x v="401"/>
    <n v="17797.2"/>
    <n v="17839.099999999999"/>
    <n v="17764.05"/>
    <n v="17825.25"/>
    <n v="278042725"/>
    <n v="18495.27"/>
    <n v="16981.422499999997"/>
    <n v="16338.569"/>
    <n v="16991.110749999985"/>
    <n v="127.09999999999854"/>
    <n v="7.141572831681306E-3"/>
    <m/>
    <n v="18477.05"/>
    <n v="-3.527619398118198E-2"/>
    <m/>
  </r>
  <r>
    <x v="402"/>
    <n v="17868.150000000001"/>
    <n v="17965.95"/>
    <n v="17833.349999999999"/>
    <n v="17944.25"/>
    <n v="262768582"/>
    <n v="21209.54"/>
    <n v="17070.224999999999"/>
    <n v="16363.387999999999"/>
    <n v="16988.894999999986"/>
    <n v="119"/>
    <n v="6.6598948408201179E-3"/>
    <m/>
    <n v="18477.05"/>
    <n v="-2.8835771944114463E-2"/>
    <m/>
  </r>
  <r>
    <x v="403"/>
    <n v="17898.650000000001"/>
    <n v="17968.45"/>
    <n v="17852.05"/>
    <n v="17956.5"/>
    <n v="263914197"/>
    <n v="18441.68"/>
    <n v="17153.512500000001"/>
    <n v="16390.881999999998"/>
    <n v="16987.561499999985"/>
    <n v="12.25"/>
    <n v="6.8440915935000679E-4"/>
    <m/>
    <n v="18477.05"/>
    <n v="-2.8172787322651605E-2"/>
    <m/>
  </r>
  <r>
    <x v="404"/>
    <n v="17966.55"/>
    <n v="17992.2"/>
    <n v="17710.75"/>
    <n v="17758.45"/>
    <n v="295627263"/>
    <n v="21531.99"/>
    <n v="17234.310000000001"/>
    <n v="16421.684999999998"/>
    <n v="16988.057749999985"/>
    <n v="-198.04999999999927"/>
    <n v="-1.1023262674247381E-2"/>
    <m/>
    <n v="18477.05"/>
    <n v="-3.8891489712914007E-2"/>
    <m/>
  </r>
  <r>
    <x v="405"/>
    <n v="17682.900000000001"/>
    <n v="17690.05"/>
    <n v="17467.349999999999"/>
    <n v="17490.7"/>
    <n v="287559133"/>
    <n v="19605.439999999999"/>
    <n v="17296.189999999999"/>
    <n v="16449.728999999996"/>
    <n v="16988.491749999986"/>
    <n v="-267.75"/>
    <n v="-1.5141747111616305E-2"/>
    <m/>
    <n v="18477.05"/>
    <n v="-5.3382439296316142E-2"/>
    <m/>
  </r>
  <r>
    <x v="406"/>
    <n v="17357.349999999999"/>
    <n v="17625.55"/>
    <n v="17345.2"/>
    <n v="17577.5"/>
    <n v="285616338"/>
    <n v="20365.8"/>
    <n v="17340.462500000001"/>
    <n v="16469.981"/>
    <n v="16986.296999999988"/>
    <n v="86.799999999999272"/>
    <n v="5.0007633653754331E-3"/>
    <m/>
    <n v="18477.05"/>
    <n v="-4.8684719692808076E-2"/>
    <m/>
  </r>
  <r>
    <x v="407"/>
    <n v="17525.45"/>
    <n v="17623.650000000001"/>
    <n v="17499.25"/>
    <n v="17604.95"/>
    <n v="261953239"/>
    <n v="17819.88"/>
    <n v="17383.365000000002"/>
    <n v="16497.494999999999"/>
    <n v="16984.73974999999"/>
    <n v="27.450000000000728"/>
    <n v="1.5662935901788956E-3"/>
    <m/>
    <n v="18477.05"/>
    <n v="-4.7199092928795428E-2"/>
    <m/>
  </r>
  <r>
    <x v="408"/>
    <n v="17679"/>
    <n v="17726.5"/>
    <n v="17487.45"/>
    <n v="17522.45"/>
    <n v="230181848"/>
    <n v="17566.7"/>
    <n v="17432.062500000004"/>
    <n v="16534.106"/>
    <n v="16983.61849999999"/>
    <n v="-82.5"/>
    <n v="-4.6665535380960464E-3"/>
    <m/>
    <n v="18477.05"/>
    <n v="-5.1664091399871603E-2"/>
    <m/>
  </r>
  <r>
    <x v="409"/>
    <n v="17619.3"/>
    <n v="17685.849999999999"/>
    <n v="17519.349999999999"/>
    <n v="17558.900000000001"/>
    <n v="266636238"/>
    <n v="17500.8"/>
    <n v="17483.9925"/>
    <n v="16569.912999999997"/>
    <n v="16981.646749999993"/>
    <n v="36.450000000000728"/>
    <n v="2.0687541502784294E-3"/>
    <m/>
    <n v="18477.05"/>
    <n v="-4.9691373893559709E-2"/>
    <m/>
  </r>
  <r>
    <x v="410"/>
    <n v="17188.650000000001"/>
    <n v="17380.150000000001"/>
    <n v="17166.2"/>
    <n v="17312.900000000001"/>
    <n v="244854637"/>
    <n v="19351.5"/>
    <n v="17529.847500000003"/>
    <n v="16607.247999999996"/>
    <n v="16979.098499999993"/>
    <n v="-246"/>
    <n v="-1.4311769685228333E-2"/>
    <m/>
    <n v="18477.05"/>
    <n v="-6.3005187516405381E-2"/>
    <m/>
  </r>
  <r>
    <x v="411"/>
    <n v="17414.95"/>
    <n v="17777.650000000001"/>
    <n v="17401.5"/>
    <n v="17759.3"/>
    <n v="324687477"/>
    <n v="26284.26"/>
    <n v="17549.012500000004"/>
    <n v="16646.293999999998"/>
    <n v="16975.441749999991"/>
    <n v="446.39999999999782"/>
    <n v="2.5633148530429188E-2"/>
    <m/>
    <n v="18477.05"/>
    <n v="-3.8845486698363629E-2"/>
    <m/>
  </r>
  <r>
    <x v="412"/>
    <n v="17485.7"/>
    <n v="17695.599999999999"/>
    <n v="17468.45"/>
    <n v="17542.8"/>
    <n v="308526598"/>
    <n v="26813.95"/>
    <n v="17579.065000000006"/>
    <n v="16695.609999999997"/>
    <n v="16974.152249999988"/>
    <n v="-216.5"/>
    <n v="-1.2381546063354626E-2"/>
    <m/>
    <n v="18477.05"/>
    <n v="-5.0562725110339546E-2"/>
    <m/>
  </r>
  <r>
    <x v="413"/>
    <n v="17598.400000000001"/>
    <n v="17643.849999999999"/>
    <n v="17476.45"/>
    <n v="17539.45"/>
    <n v="256268616"/>
    <n v="19548.88"/>
    <n v="17589.202500000003"/>
    <n v="16739.463"/>
    <n v="16972.49824999999"/>
    <n v="-3.3499999999985448"/>
    <n v="-1.9035821438304304E-4"/>
    <m/>
    <n v="18477.05"/>
    <n v="-5.0744031108862053E-2"/>
    <m/>
  </r>
  <r>
    <x v="414"/>
    <n v="17546.45"/>
    <n v="17683.150000000001"/>
    <n v="17540.349999999999"/>
    <n v="17665.8"/>
    <n v="230309013"/>
    <n v="17011.259999999998"/>
    <n v="17598.902500000004"/>
    <n v="16777.475999999995"/>
    <n v="16969.681749999989"/>
    <n v="126.34999999999854"/>
    <n v="7.2008867890655109E-3"/>
    <m/>
    <n v="18477.05"/>
    <n v="-4.3905818298916821E-2"/>
    <m/>
  </r>
  <r>
    <x v="415"/>
    <n v="17695.7"/>
    <n v="17764.650000000001"/>
    <n v="17587.650000000001"/>
    <n v="17655.599999999999"/>
    <n v="251204527"/>
    <n v="17521.09"/>
    <n v="17612.785000000003"/>
    <n v="16822.525999999998"/>
    <n v="16967.463499999991"/>
    <n v="-10.200000000000728"/>
    <n v="-5.7641121854465924E-4"/>
    <m/>
    <n v="18477.05"/>
    <n v="-4.4457854473522573E-2"/>
    <m/>
  </r>
  <r>
    <x v="416"/>
    <n v="17519.400000000001"/>
    <n v="17650.75"/>
    <n v="17484.3"/>
    <n v="17624.400000000001"/>
    <n v="354137885"/>
    <n v="25419.5"/>
    <n v="17626.465"/>
    <n v="16864.504999999997"/>
    <n v="16965.74549999999"/>
    <n v="-31.19999999999709"/>
    <n v="-1.7808829069487018E-3"/>
    <m/>
    <n v="18477.05"/>
    <n v="-4.6146435713493084E-2"/>
    <m/>
  </r>
  <r>
    <x v="417"/>
    <n v="17748.150000000001"/>
    <n v="17807.650000000001"/>
    <n v="17691.95"/>
    <n v="17798.75"/>
    <n v="279845682"/>
    <n v="19925.25"/>
    <n v="17637.810000000001"/>
    <n v="16903.007999999998"/>
    <n v="16964.37424999999"/>
    <n v="174.34999999999854"/>
    <n v="9.8235590751711323E-3"/>
    <m/>
    <n v="18477.05"/>
    <n v="-3.6710405611285357E-2"/>
    <m/>
  </r>
  <r>
    <x v="418"/>
    <n v="17923.349999999999"/>
    <n v="17925.95"/>
    <n v="17786"/>
    <n v="17833.349999999999"/>
    <n v="270299618"/>
    <n v="20564.060000000001"/>
    <n v="17651.4925"/>
    <n v="16942.342000000001"/>
    <n v="16964.543999999991"/>
    <n v="34.599999999998545"/>
    <n v="1.9304426906799536E-3"/>
    <m/>
    <n v="18477.05"/>
    <n v="-3.4837812313112781E-2"/>
    <m/>
  </r>
  <r>
    <x v="419"/>
    <n v="17890.849999999999"/>
    <n v="17980.55"/>
    <n v="17889.150000000001"/>
    <n v="17936.349999999999"/>
    <n v="228242025"/>
    <n v="17648.169999999998"/>
    <n v="17666.422499999997"/>
    <n v="16982.004999999997"/>
    <n v="16966.627999999993"/>
    <n v="103"/>
    <n v="5.7571328360586562E-3"/>
    <m/>
    <n v="18477.05"/>
    <n v="-2.9263329373466096E-2"/>
    <m/>
  </r>
  <r>
    <x v="420"/>
    <n v="18044.45"/>
    <n v="18088.3"/>
    <n v="18015.45"/>
    <n v="18070.05"/>
    <n v="259922741"/>
    <n v="21039.08"/>
    <n v="17680.289999999997"/>
    <n v="17024.749999999996"/>
    <n v="16968.792999999991"/>
    <n v="133.70000000000073"/>
    <n v="7.4094804773767401E-3"/>
    <m/>
    <n v="18477.05"/>
    <n v="-2.2027325790643038E-2"/>
    <m/>
  </r>
  <r>
    <x v="421"/>
    <n v="17771.150000000001"/>
    <n v="18091.55"/>
    <n v="17771.150000000001"/>
    <n v="18003.75"/>
    <n v="365866933"/>
    <n v="26611.96"/>
    <n v="17698.884999999995"/>
    <n v="17070.545999999998"/>
    <n v="16972.067999999988"/>
    <n v="-66.299999999999272"/>
    <n v="-3.7307658761531622E-3"/>
    <m/>
    <n v="18477.05"/>
    <n v="-2.5615560925580594E-2"/>
    <m/>
  </r>
  <r>
    <x v="422"/>
    <n v="18046.349999999999"/>
    <n v="18096.150000000001"/>
    <n v="17861.5"/>
    <n v="17877.400000000001"/>
    <n v="289637528"/>
    <n v="22007.78"/>
    <n v="17707.809999999994"/>
    <n v="17115.580000000002"/>
    <n v="16974.40549999999"/>
    <n v="-126.34999999999854"/>
    <n v="-7.0014157987625504E-3"/>
    <m/>
    <n v="18477.05"/>
    <n v="-3.2453773735525826E-2"/>
    <m/>
  </r>
  <r>
    <x v="423"/>
    <n v="17796.8"/>
    <n v="17820.05"/>
    <n v="17497.25"/>
    <n v="17530.849999999999"/>
    <n v="468464263"/>
    <n v="36013.89"/>
    <n v="17704.467499999995"/>
    <n v="17156.421000000002"/>
    <n v="16978.660249999994"/>
    <n v="-346.55000000000291"/>
    <n v="-1.9472601816056985E-2"/>
    <m/>
    <n v="18477.05"/>
    <n v="-5.1209473373725833E-2"/>
    <m/>
  </r>
  <r>
    <x v="424"/>
    <n v="17540.650000000001"/>
    <n v="17667.2"/>
    <n v="17429.7"/>
    <n v="17622.25"/>
    <n v="258329581"/>
    <n v="19548.990000000002"/>
    <n v="17683.184999999998"/>
    <n v="17190.821"/>
    <n v="16981.04474999999"/>
    <n v="91.400000000001455"/>
    <n v="5.210753307317656E-3"/>
    <m/>
    <n v="18477.05"/>
    <n v="-4.6262796279709084E-2"/>
    <m/>
  </r>
  <r>
    <x v="425"/>
    <n v="17770.400000000001"/>
    <n v="17919.3"/>
    <n v="17744.400000000001"/>
    <n v="17816.25"/>
    <n v="263100874"/>
    <n v="20456.689999999999"/>
    <n v="17676.375"/>
    <n v="17223.47"/>
    <n v="16984.239999999991"/>
    <n v="194"/>
    <n v="1.0917030567685589E-2"/>
    <m/>
    <n v="18477.05"/>
    <n v="-3.5763284723481226E-2"/>
    <m/>
  </r>
  <r>
    <x v="426"/>
    <n v="17766.349999999999"/>
    <n v="17838.7"/>
    <n v="17663.599999999999"/>
    <n v="17718.349999999999"/>
    <n v="245532498"/>
    <n v="19816.78"/>
    <n v="17692.6525"/>
    <n v="17257.137000000002"/>
    <n v="16987.486749999993"/>
    <n v="-97.900000000001455"/>
    <n v="-5.5104171650339805E-3"/>
    <m/>
    <n v="18477.05"/>
    <n v="-4.1061749575825202E-2"/>
    <m/>
  </r>
  <r>
    <x v="427"/>
    <n v="17609.650000000001"/>
    <n v="17722.75"/>
    <n v="17532.45"/>
    <n v="17629.8"/>
    <n v="284094023"/>
    <n v="21303.96"/>
    <n v="17699.695"/>
    <n v="17287.092000000001"/>
    <n v="16989.070249999993"/>
    <n v="-88.549999999999272"/>
    <n v="-5.0284929001995649E-3"/>
    <m/>
    <n v="18477.05"/>
    <n v="-4.5854181268113692E-2"/>
    <m/>
  </r>
  <r>
    <x v="428"/>
    <n v="17593.849999999999"/>
    <n v="17642.150000000001"/>
    <n v="17291.650000000001"/>
    <n v="17327.349999999999"/>
    <n v="390754862"/>
    <n v="23750.53"/>
    <n v="17700.937499999996"/>
    <n v="17315.368000000006"/>
    <n v="16991.235749999993"/>
    <n v="-302.45000000000073"/>
    <n v="-1.7190666056605051E-2"/>
    <m/>
    <n v="18477.05"/>
    <n v="-6.2223136269047297E-2"/>
    <m/>
  </r>
  <r>
    <x v="429"/>
    <n v="17156.3"/>
    <n v="17196.400000000001"/>
    <n v="16978.3"/>
    <n v="17016.3"/>
    <n v="492002942"/>
    <n v="27533.01"/>
    <n v="17691.182499999995"/>
    <n v="17340.749000000003"/>
    <n v="16993.311249999992"/>
    <n v="-311.04999999999927"/>
    <n v="-1.8130366104579618E-2"/>
    <m/>
    <n v="18477.05"/>
    <n v="-7.9057533534844571E-2"/>
    <m/>
  </r>
  <r>
    <x v="430"/>
    <n v="17110.900000000001"/>
    <n v="17176.45"/>
    <n v="16942.349999999999"/>
    <n v="17007.400000000001"/>
    <n v="359895458"/>
    <n v="22712.799999999999"/>
    <n v="17664.052499999998"/>
    <n v="17361.742000000006"/>
    <n v="16992.509249999992"/>
    <n v="-8.8999999999978172"/>
    <n v="-5.20136287395626E-4"/>
    <m/>
    <n v="18477.05"/>
    <n v="-7.9539212157784811E-2"/>
    <m/>
  </r>
  <r>
    <x v="431"/>
    <n v="16870.55"/>
    <n v="17037.599999999999"/>
    <n v="16820.400000000001"/>
    <n v="16858.599999999999"/>
    <n v="323922457"/>
    <n v="21400.93"/>
    <n v="17648.777499999997"/>
    <n v="17383.117000000006"/>
    <n v="16990.197499999995"/>
    <n v="-148.80000000000291"/>
    <n v="-8.8201036717832498E-3"/>
    <m/>
    <n v="18477.05"/>
    <n v="-8.7592445763798876E-2"/>
    <m/>
  </r>
  <r>
    <x v="432"/>
    <n v="16993.599999999999"/>
    <n v="17026.05"/>
    <n v="16788.599999999999"/>
    <n v="16818.099999999999"/>
    <n v="340034380"/>
    <n v="24758.63"/>
    <n v="17603.742499999997"/>
    <n v="17399.305000000004"/>
    <n v="16986.906249999996"/>
    <n v="-40.5"/>
    <n v="-2.3832501647679128E-3"/>
    <m/>
    <n v="18477.05"/>
    <n v="-8.9784354104145425E-2"/>
    <m/>
  </r>
  <r>
    <x v="433"/>
    <n v="16798.05"/>
    <n v="17187.099999999999"/>
    <n v="16747.7"/>
    <n v="17094.349999999999"/>
    <n v="380204763"/>
    <n v="26205.63"/>
    <n v="17567.5075"/>
    <n v="17410.097000000002"/>
    <n v="16983.440249999996"/>
    <n v="276.25"/>
    <n v="1.6445361217522273E-2"/>
    <m/>
    <n v="18477.05"/>
    <n v="-7.4833374375238515E-2"/>
    <m/>
  </r>
  <r>
    <x v="434"/>
    <n v="17102.099999999999"/>
    <n v="17114.650000000001"/>
    <n v="16855.55"/>
    <n v="16887.349999999999"/>
    <n v="285850587"/>
    <n v="21860.54"/>
    <n v="17545.252499999995"/>
    <n v="17425.173000000003"/>
    <n v="16982.070749999995"/>
    <n v="-207"/>
    <n v="-1.210377672917361E-2"/>
    <m/>
    <n v="18477.05"/>
    <n v="-8.6036461448120827E-2"/>
    <m/>
  </r>
  <r>
    <x v="435"/>
    <n v="17147.45"/>
    <n v="17287.3"/>
    <n v="17117.3"/>
    <n v="17274.3"/>
    <n v="231601639"/>
    <n v="18480.43"/>
    <n v="17506.329999999998"/>
    <n v="17432.503000000001"/>
    <n v="16979.882999999994"/>
    <n v="386.95000000000073"/>
    <n v="2.2566037515782272E-2"/>
    <m/>
    <n v="18477.05"/>
    <n v="-6.5094265588933276E-2"/>
    <m/>
  </r>
  <r>
    <x v="436"/>
    <n v="17379.25"/>
    <n v="17428.8"/>
    <n v="17315.650000000001"/>
    <n v="17331.8"/>
    <n v="268239320"/>
    <n v="20404.46"/>
    <n v="17487.264999999996"/>
    <n v="17445.884000000002"/>
    <n v="16980.147499999995"/>
    <n v="57.5"/>
    <n v="3.3085432340290862E-3"/>
    <m/>
    <n v="18477.05"/>
    <n v="-6.1982296957577065E-2"/>
    <m/>
  </r>
  <r>
    <x v="437"/>
    <n v="17287.2"/>
    <n v="17337.349999999999"/>
    <n v="17216.95"/>
    <n v="17314.650000000001"/>
    <n v="216273136"/>
    <n v="17043.259999999998"/>
    <n v="17472.634999999995"/>
    <n v="17458.131000000005"/>
    <n v="16980.564499999993"/>
    <n v="-17.149999999997817"/>
    <n v="-9.9206349206336581E-4"/>
    <m/>
    <n v="18477.05"/>
    <n v="-6.2910475427624957E-2"/>
    <m/>
  </r>
  <r>
    <x v="438"/>
    <n v="17094.349999999999"/>
    <n v="17280.150000000001"/>
    <n v="17064.7"/>
    <n v="17241"/>
    <n v="234005512"/>
    <n v="16220.67"/>
    <n v="17448.429999999997"/>
    <n v="17471.804000000004"/>
    <n v="16982.211749999995"/>
    <n v="-73.650000000001455"/>
    <n v="-4.3084410931097973E-3"/>
    <m/>
    <n v="18477.05"/>
    <n v="-6.689650133544045E-2"/>
    <m/>
  </r>
  <r>
    <x v="439"/>
    <n v="17256.05"/>
    <n v="17261.8"/>
    <n v="16950.3"/>
    <n v="16983.55"/>
    <n v="282617982"/>
    <n v="22178.37"/>
    <n v="17418.812499999996"/>
    <n v="17486.947000000004"/>
    <n v="16985.345749999993"/>
    <n v="-257.45000000000073"/>
    <n v="-1.4919405078218987E-2"/>
    <m/>
    <n v="18477.05"/>
    <n v="-8.0830002624877939E-2"/>
    <m/>
  </r>
  <r>
    <x v="440"/>
    <n v="17025.55"/>
    <n v="17142.349999999999"/>
    <n v="16960.05"/>
    <n v="17123.599999999999"/>
    <n v="256037322"/>
    <n v="18098.41"/>
    <n v="17371.172500000001"/>
    <n v="17493.782000000003"/>
    <n v="16986.409249999993"/>
    <n v="140.04999999999927"/>
    <n v="8.2258722919376637E-3"/>
    <m/>
    <n v="18477.05"/>
    <n v="-7.3250329462765995E-2"/>
    <m/>
  </r>
  <r>
    <x v="441"/>
    <n v="17087.349999999999"/>
    <n v="17112.349999999999"/>
    <n v="16956.95"/>
    <n v="17014.349999999999"/>
    <n v="266438674"/>
    <n v="18189.64"/>
    <n v="17323.849999999999"/>
    <n v="17497.662"/>
    <n v="16987.249999999996"/>
    <n v="-109.25"/>
    <n v="-6.3936186711222049E-3"/>
    <m/>
    <n v="18477.05"/>
    <n v="-7.9163069862342783E-2"/>
    <m/>
  </r>
  <r>
    <x v="442"/>
    <n v="17322.3"/>
    <n v="17348.55"/>
    <n v="17169.75"/>
    <n v="17185.7"/>
    <n v="226997138"/>
    <n v="17813.47"/>
    <n v="17274.379999999997"/>
    <n v="17494.784000000003"/>
    <n v="16986.958749999998"/>
    <n v="171.35000000000218"/>
    <n v="9.8918734810043811E-3"/>
    <m/>
    <n v="18477.05"/>
    <n v="-6.9889403340901213E-2"/>
    <m/>
  </r>
  <r>
    <x v="443"/>
    <n v="17144.8"/>
    <n v="17328.55"/>
    <n v="17098.55"/>
    <n v="17311.8"/>
    <n v="212223419"/>
    <n v="16887.830000000002"/>
    <n v="17239.794999999998"/>
    <n v="17491.697"/>
    <n v="16987.868499999997"/>
    <n v="126.09999999999854"/>
    <n v="7.3549997666930234E-3"/>
    <m/>
    <n v="18477.05"/>
    <n v="-6.3064720829353216E-2"/>
    <m/>
  </r>
  <r>
    <x v="444"/>
    <n v="17438.75"/>
    <n v="17527.8"/>
    <n v="17434.05"/>
    <n v="17486.95"/>
    <n v="239493630"/>
    <n v="18224.95"/>
    <n v="17228.842499999999"/>
    <n v="17491.024000000001"/>
    <n v="16988.996249999997"/>
    <n v="175.15000000000146"/>
    <n v="1.0043724464196199E-2"/>
    <m/>
    <n v="18477.05"/>
    <n v="-5.3585393772274226E-2"/>
    <m/>
  </r>
  <r>
    <x v="445"/>
    <n v="17568.150000000001"/>
    <n v="17607.599999999999"/>
    <n v="17472.849999999999"/>
    <n v="17512.25"/>
    <n v="210480869"/>
    <n v="17200.79"/>
    <n v="17222.077499999999"/>
    <n v="17493"/>
    <n v="16990.264749999998"/>
    <n v="25.299999999999272"/>
    <n v="1.4401061010976836E-3"/>
    <m/>
    <n v="18477.05"/>
    <n v="-5.2216127574477467E-2"/>
    <m/>
  </r>
  <r>
    <x v="446"/>
    <n v="17423.099999999999"/>
    <n v="17584.150000000001"/>
    <n v="17421"/>
    <n v="17563.95"/>
    <n v="249604832"/>
    <n v="18345.599999999999"/>
    <n v="17206.877499999999"/>
    <n v="17495.605"/>
    <n v="16991.757999999998"/>
    <n v="51.700000000000728"/>
    <n v="2.9673249880905654E-3"/>
    <m/>
    <n v="18477.05"/>
    <n v="-4.9418061865936336E-2"/>
    <m/>
  </r>
  <r>
    <x v="447"/>
    <n v="17622.849999999999"/>
    <n v="17670.150000000001"/>
    <n v="17520.75"/>
    <n v="17576.3"/>
    <n v="277702680"/>
    <n v="23547.38"/>
    <n v="17199.157500000001"/>
    <n v="17498.933999999997"/>
    <n v="16993.557999999997"/>
    <n v="12.349999999998545"/>
    <n v="7.0079470687196149E-4"/>
    <m/>
    <n v="18477.05"/>
    <n v="-4.8749665125114694E-2"/>
    <m/>
  </r>
  <r>
    <x v="448"/>
    <n v="17736.349999999999"/>
    <n v="17777.55"/>
    <n v="17707.400000000001"/>
    <n v="17730.75"/>
    <n v="45029477"/>
    <n v="3772.49"/>
    <n v="17196.482500000002"/>
    <n v="17499.957999999999"/>
    <n v="16994.669249999999"/>
    <n v="154.45000000000073"/>
    <n v="8.7081051061802875E-3"/>
    <m/>
    <n v="18477.05"/>
    <n v="-4.0390646775323891E-2"/>
    <m/>
  </r>
  <r>
    <x v="449"/>
    <n v="17808.3"/>
    <n v="17811.5"/>
    <n v="17637"/>
    <n v="17656.349999999999"/>
    <n v="251358203"/>
    <n v="20338.32"/>
    <n v="17216.6525"/>
    <n v="17503.877999999997"/>
    <n v="16995.194499999998"/>
    <n v="-74.400000000001455"/>
    <n v="-4.1778271929382065E-3"/>
    <m/>
    <n v="18477.05"/>
    <n v="-4.4417263578330979E-2"/>
    <m/>
  </r>
  <r>
    <x v="450"/>
    <n v="17771.400000000001"/>
    <n v="17783.900000000001"/>
    <n v="17654.5"/>
    <n v="17736.95"/>
    <n v="324649088"/>
    <n v="24166.3"/>
    <n v="17248.654999999999"/>
    <n v="17503.824999999997"/>
    <n v="16994.45"/>
    <n v="80.600000000002183"/>
    <n v="4.5353770665227371E-3"/>
    <m/>
    <n v="18477.05"/>
    <n v="-4.0055095375073346E-2"/>
    <m/>
  </r>
  <r>
    <x v="451"/>
    <n v="17756.400000000001"/>
    <n v="17838.900000000001"/>
    <n v="17723.7"/>
    <n v="17786.8"/>
    <n v="250030113"/>
    <n v="19099.59"/>
    <n v="17285.1325"/>
    <n v="17504.600999999995"/>
    <n v="16993.508500000004"/>
    <n v="49.849999999998545"/>
    <n v="2.8074384447297055E-3"/>
    <m/>
    <n v="18477.05"/>
    <n v="-3.7357153874671534E-2"/>
    <m/>
  </r>
  <r>
    <x v="452"/>
    <n v="17910.2"/>
    <n v="18022.8"/>
    <n v="17899.900000000001"/>
    <n v="18012.2"/>
    <n v="227174539"/>
    <n v="19846.47"/>
    <n v="17331.5425"/>
    <n v="17503.831999999999"/>
    <n v="16993.713"/>
    <n v="225.40000000000146"/>
    <n v="1.2585007425936139E-2"/>
    <m/>
    <n v="18477.05"/>
    <n v="-2.5158236839755155E-2"/>
    <m/>
  </r>
  <r>
    <x v="453"/>
    <n v="18130.7"/>
    <n v="18175.8"/>
    <n v="18060.150000000001"/>
    <n v="18145.400000000001"/>
    <n v="349924808"/>
    <n v="26796.59"/>
    <n v="17391.247500000001"/>
    <n v="17505.190999999995"/>
    <n v="16994.710500000001"/>
    <n v="133.20000000000073"/>
    <n v="7.3466551208723726E-3"/>
    <m/>
    <n v="18477.05"/>
    <n v="-1.7949293853726567E-2"/>
    <m/>
  </r>
  <r>
    <x v="454"/>
    <n v="18177.900000000001"/>
    <n v="18178.75"/>
    <n v="18048.650000000001"/>
    <n v="18082.849999999999"/>
    <n v="270878019"/>
    <n v="20072.62"/>
    <n v="17443.800000000003"/>
    <n v="17508.968999999997"/>
    <n v="16995.421000000002"/>
    <n v="-62.55000000000291"/>
    <n v="-3.440991533675667E-3"/>
    <m/>
    <n v="18477.05"/>
    <n v="-2.1334574512706372E-2"/>
    <m/>
  </r>
  <r>
    <x v="455"/>
    <n v="17968.349999999999"/>
    <n v="18106.3"/>
    <n v="17959.2"/>
    <n v="18052.7"/>
    <n v="212968291"/>
    <n v="16037.78"/>
    <n v="17503.575000000001"/>
    <n v="17515.456999999999"/>
    <n v="16995.556500000002"/>
    <n v="-30.149999999997817"/>
    <n v="-1.6779503961130444E-3"/>
    <m/>
    <n v="18477.05"/>
    <n v="-2.2966328499408606E-2"/>
    <m/>
  </r>
  <r>
    <x v="456"/>
    <n v="18053.400000000001"/>
    <n v="18135.099999999999"/>
    <n v="18017.150000000001"/>
    <n v="18117.150000000001"/>
    <n v="267941526"/>
    <n v="21062.54"/>
    <n v="17542.495000000003"/>
    <n v="17526.696999999996"/>
    <n v="16994.758250000003"/>
    <n v="64.450000000000728"/>
    <n v="3.5699646603964195E-3"/>
    <m/>
    <n v="18477.05"/>
    <n v="-1.9478217572610257E-2"/>
    <m/>
  </r>
  <r>
    <x v="457"/>
    <n v="18211.75"/>
    <n v="18255.5"/>
    <n v="18064.75"/>
    <n v="18202.8"/>
    <n v="314758398"/>
    <n v="25124.84"/>
    <n v="17581.762500000004"/>
    <n v="17537.489999999994"/>
    <n v="16994.055000000004"/>
    <n v="85.649999999997817"/>
    <n v="4.7030076736171876E-3"/>
    <m/>
    <n v="18477.05"/>
    <n v="-1.4842737341729362E-2"/>
    <m/>
  </r>
  <r>
    <x v="458"/>
    <n v="18288.25"/>
    <n v="18296.400000000001"/>
    <n v="18117.5"/>
    <n v="18157"/>
    <n v="307155149"/>
    <n v="23344.58"/>
    <n v="17626.170000000002"/>
    <n v="17549.446999999996"/>
    <n v="16993.790250000005"/>
    <n v="-45.799999999999272"/>
    <n v="-2.5043402184462302E-3"/>
    <m/>
    <n v="18477.05"/>
    <n v="-1.7321488008096519E-2"/>
    <m/>
  </r>
  <r>
    <x v="459"/>
    <n v="18044.349999999999"/>
    <n v="18103.099999999999"/>
    <n v="17969.400000000001"/>
    <n v="18028.2"/>
    <n v="256451785"/>
    <n v="19848.060000000001"/>
    <n v="17671.97"/>
    <n v="17562.137999999992"/>
    <n v="16993.034750000006"/>
    <n v="-128.79999999999927"/>
    <n v="-7.1379683945389707E-3"/>
    <m/>
    <n v="18477.05"/>
    <n v="-2.4292297742334323E-2"/>
    <m/>
  </r>
  <r>
    <x v="460"/>
    <n v="18272.349999999999"/>
    <n v="18362.3"/>
    <n v="18259.349999999999"/>
    <n v="18349.7"/>
    <n v="378469072"/>
    <n v="30732.11"/>
    <n v="17724.202500000003"/>
    <n v="17571.523999999994"/>
    <n v="16992.610500000006"/>
    <n v="321.5"/>
    <n v="1.7594890640776913E-2"/>
    <m/>
    <n v="18477.05"/>
    <n v="-6.8923340035340619E-3"/>
    <m/>
  </r>
  <r>
    <x v="461"/>
    <n v="18376.400000000001"/>
    <n v="18399.45"/>
    <n v="18311.400000000001"/>
    <n v="18329.150000000001"/>
    <n v="301401961"/>
    <n v="21697.66"/>
    <n v="17785.5075"/>
    <n v="17592.259999999995"/>
    <n v="16994.667000000005"/>
    <n v="-20.549999999999272"/>
    <n v="-1.1182821444896318E-3"/>
    <m/>
    <n v="18477.05"/>
    <n v="-8.0045245317839075E-3"/>
    <m/>
  </r>
  <r>
    <x v="462"/>
    <n v="18362.75"/>
    <n v="18427.95"/>
    <n v="18282"/>
    <n v="18403.400000000001"/>
    <n v="250926391"/>
    <n v="17836.189999999999"/>
    <n v="17851.247500000005"/>
    <n v="17603.656999999992"/>
    <n v="16997.527750000005"/>
    <n v="74.25"/>
    <n v="4.0435120011980772E-3"/>
    <m/>
    <n v="18477.05"/>
    <n v="-3.9860259078152716E-3"/>
    <m/>
  </r>
  <r>
    <x v="463"/>
    <n v="18398.25"/>
    <n v="18442.150000000001"/>
    <n v="18344.150000000001"/>
    <n v="18409.650000000001"/>
    <n v="219268992"/>
    <n v="19732.87"/>
    <n v="17912.132500000003"/>
    <n v="17620.868999999995"/>
    <n v="17001.459000000003"/>
    <n v="6.25"/>
    <n v="3.3970622205916322E-4"/>
    <m/>
    <n v="18477.05"/>
    <n v="-3.6477684478852801E-3"/>
    <m/>
  </r>
  <r>
    <x v="464"/>
    <n v="18358.7"/>
    <n v="18417.599999999999"/>
    <n v="18312.95"/>
    <n v="18343.900000000001"/>
    <n v="200512910"/>
    <n v="16410.36"/>
    <n v="17967.025000000005"/>
    <n v="17638.272999999997"/>
    <n v="17007.761750000005"/>
    <n v="-65.75"/>
    <n v="-3.5814082696487221E-3"/>
    <m/>
    <n v="18477.05"/>
    <n v="-7.20623692634903E-3"/>
    <m/>
  </r>
  <r>
    <x v="465"/>
    <n v="18382.95"/>
    <n v="18394.599999999999"/>
    <n v="18209.8"/>
    <n v="18307.650000000001"/>
    <n v="198794846"/>
    <n v="16553.689999999999"/>
    <n v="18009.872500000005"/>
    <n v="17651.834999999999"/>
    <n v="17013.091500000002"/>
    <n v="-36.25"/>
    <n v="-1.9719359515202946E-3"/>
    <m/>
    <n v="18477.05"/>
    <n v="-9.1681301939431359E-3"/>
    <m/>
  </r>
  <r>
    <x v="466"/>
    <n v="18246.400000000001"/>
    <n v="18262.3"/>
    <n v="18133.349999999999"/>
    <n v="18159.95"/>
    <n v="213794598"/>
    <n v="15037.5"/>
    <n v="18049.642500000009"/>
    <n v="17664.876"/>
    <n v="17019.079000000005"/>
    <n v="-147.70000000000073"/>
    <n v="-8.0947474570326593E-3"/>
    <m/>
    <n v="18477.05"/>
    <n v="-1.7161830487009477E-2"/>
    <m/>
  </r>
  <r>
    <x v="467"/>
    <n v="18179.150000000001"/>
    <n v="18261.849999999999"/>
    <n v="18137.7"/>
    <n v="18244.2"/>
    <n v="177681099"/>
    <n v="14750.98"/>
    <n v="18079.442500000008"/>
    <n v="17675.586999999996"/>
    <n v="17024.369000000006"/>
    <n v="84.25"/>
    <n v="4.6344301026175587E-3"/>
    <m/>
    <n v="18477.05"/>
    <n v="-1.2602119927152766E-2"/>
    <m/>
  </r>
  <r>
    <x v="468"/>
    <n v="18325.2"/>
    <n v="18325.400000000001"/>
    <n v="18246"/>
    <n v="18267.25"/>
    <n v="178791087"/>
    <n v="15674.45"/>
    <n v="18112.837500000005"/>
    <n v="17684.495999999996"/>
    <n v="17028.890750000006"/>
    <n v="23.049999999999272"/>
    <n v="1.2578307467312373E-3"/>
    <m/>
    <n v="18477.05"/>
    <n v="-1.1354626414930902E-2"/>
    <m/>
  </r>
  <r>
    <x v="469"/>
    <n v="18326.099999999999"/>
    <n v="18529.7"/>
    <n v="18294.25"/>
    <n v="18484.099999999999"/>
    <n v="204044559"/>
    <n v="18218.349999999999"/>
    <n v="18139.662500000006"/>
    <n v="17693.173999999995"/>
    <n v="17032.342750000007"/>
    <n v="216.84999999999854"/>
    <n v="1.1832850415527502E-2"/>
    <m/>
    <n v="18484.099999999999"/>
    <n v="0"/>
    <m/>
  </r>
  <r>
    <x v="470"/>
    <n v="18528.45"/>
    <n v="18534.900000000001"/>
    <n v="18445.099999999999"/>
    <n v="18512.75"/>
    <n v="205876043"/>
    <n v="17112.8"/>
    <n v="18181.050000000003"/>
    <n v="17704.128999999997"/>
    <n v="17035.863250000006"/>
    <n v="28.650000000001455"/>
    <n v="1.5462707350048955E-3"/>
    <m/>
    <n v="18512.75"/>
    <n v="0"/>
    <m/>
  </r>
  <r>
    <x v="471"/>
    <n v="18430.55"/>
    <n v="18614.25"/>
    <n v="18365.599999999999"/>
    <n v="18562.75"/>
    <n v="206468884"/>
    <n v="19006.919999999998"/>
    <n v="18219.840000000004"/>
    <n v="17712.982999999997"/>
    <n v="17040.626000000004"/>
    <n v="50"/>
    <n v="2.7128870272455246E-3"/>
    <m/>
    <n v="18562.75"/>
    <n v="0"/>
    <m/>
  </r>
  <r>
    <x v="472"/>
    <n v="18552.45"/>
    <n v="18678.099999999999"/>
    <n v="18552.150000000001"/>
    <n v="18618.05"/>
    <n v="195255179"/>
    <n v="16568.169999999998"/>
    <n v="18258.637500000001"/>
    <n v="17724.162999999997"/>
    <n v="17045.858250000005"/>
    <n v="55.299999999999272"/>
    <n v="2.9807383930423891E-3"/>
    <m/>
    <n v="18618.05"/>
    <n v="0"/>
    <m/>
  </r>
  <r>
    <x v="473"/>
    <n v="18625.7"/>
    <n v="18816.05"/>
    <n v="18616.55"/>
    <n v="18758.349999999999"/>
    <n v="345636288"/>
    <n v="32757.21"/>
    <n v="18288.93"/>
    <n v="17738.975999999999"/>
    <n v="17052.880500000007"/>
    <n v="140.29999999999927"/>
    <n v="7.5326028015054074E-3"/>
    <m/>
    <n v="18758.349999999999"/>
    <n v="0"/>
    <m/>
  </r>
  <r>
    <x v="474"/>
    <n v="18871.95"/>
    <n v="18887.599999999999"/>
    <n v="18778.2"/>
    <n v="18812.5"/>
    <n v="324955829"/>
    <n v="22216.65"/>
    <n v="18319.577499999996"/>
    <n v="17763.525999999998"/>
    <n v="17060.338500000005"/>
    <n v="54.150000000001455"/>
    <n v="2.8693378267747346E-3"/>
    <m/>
    <n v="18812.5"/>
    <n v="0"/>
    <m/>
  </r>
  <r>
    <x v="475"/>
    <n v="18752.400000000001"/>
    <n v="18781.95"/>
    <n v="18639.2"/>
    <n v="18696.099999999999"/>
    <n v="254401004"/>
    <n v="20233.759999999998"/>
    <n v="18356.059999999998"/>
    <n v="17787.330999999998"/>
    <n v="17067.082000000006"/>
    <n v="-116.40000000000146"/>
    <n v="-6.207205477698932E-3"/>
    <m/>
    <n v="18812.5"/>
    <n v="-6.18737541528247E-3"/>
    <m/>
  </r>
  <r>
    <x v="476"/>
    <n v="18719.55"/>
    <n v="18728.599999999999"/>
    <n v="18591.349999999999"/>
    <n v="18701.05"/>
    <n v="288393766"/>
    <n v="19471.830000000002"/>
    <n v="18388.229999999996"/>
    <n v="17804.928"/>
    <n v="17072.533250000008"/>
    <n v="4.9500000000007276"/>
    <n v="2.6442943339988022E-4"/>
    <m/>
    <n v="18812.5"/>
    <n v="-5.9242524916943706E-3"/>
    <m/>
  </r>
  <r>
    <x v="477"/>
    <n v="18600.650000000001"/>
    <n v="18654.900000000001"/>
    <n v="18577.900000000001"/>
    <n v="18642.75"/>
    <n v="217777090"/>
    <n v="17772.27"/>
    <n v="18417.424999999996"/>
    <n v="17824.581999999999"/>
    <n v="17079.164750000007"/>
    <n v="-58.299999999999272"/>
    <n v="-3.1342990701937442E-3"/>
    <m/>
    <n v="18812.5"/>
    <n v="-9.023255813953468E-3"/>
    <m/>
  </r>
  <r>
    <x v="478"/>
    <n v="18638.849999999999"/>
    <n v="18668.3"/>
    <n v="18528.400000000001"/>
    <n v="18560.5"/>
    <n v="200501720"/>
    <n v="17496.8"/>
    <n v="18439.422499999997"/>
    <n v="17844.841"/>
    <n v="17088.164500000003"/>
    <n v="-82.25"/>
    <n v="-4.4128258985935299E-3"/>
    <m/>
    <n v="18812.5"/>
    <n v="-1.3395348837209275E-2"/>
    <m/>
  </r>
  <r>
    <x v="479"/>
    <n v="18570.849999999999"/>
    <n v="18625"/>
    <n v="18536.95"/>
    <n v="18609.349999999999"/>
    <n v="202811256"/>
    <n v="19277.650000000001"/>
    <n v="18459.597499999996"/>
    <n v="17869.504000000001"/>
    <n v="17094.204750000004"/>
    <n v="48.849999999998545"/>
    <n v="2.6304665645352017E-3"/>
    <m/>
    <n v="18812.5"/>
    <n v="-1.079867109634558E-2"/>
    <m/>
  </r>
  <r>
    <x v="480"/>
    <n v="18662.400000000001"/>
    <n v="18664.7"/>
    <n v="18410.099999999999"/>
    <n v="18496.599999999999"/>
    <n v="215839572"/>
    <n v="20317.78"/>
    <n v="18488.654999999995"/>
    <n v="17901.365000000002"/>
    <n v="17100.640500000005"/>
    <n v="-112.75"/>
    <n v="-6.0415594993141284E-3"/>
    <m/>
    <n v="18812.5"/>
    <n v="-1.6792026578073216E-2"/>
    <m/>
  </r>
  <r>
    <x v="481"/>
    <n v="18402.150000000001"/>
    <n v="18521.55"/>
    <n v="18345.7"/>
    <n v="18497.150000000001"/>
    <n v="193883468"/>
    <n v="16688.2"/>
    <n v="18495.999999999996"/>
    <n v="17931.148999999998"/>
    <n v="17106.600500000004"/>
    <n v="0.55000000000291038"/>
    <n v="2.9887812022122977E-5"/>
    <m/>
    <n v="18812.5"/>
    <n v="-1.676279069767439E-2"/>
    <m/>
  </r>
  <r>
    <x v="482"/>
    <n v="18524.400000000001"/>
    <n v="18617.25"/>
    <n v="18490.2"/>
    <n v="18608"/>
    <n v="187585567"/>
    <n v="16536.169999999998"/>
    <n v="18504.400000000001"/>
    <n v="17963.919999999998"/>
    <n v="17112.704750000004"/>
    <n v="110.84999999999854"/>
    <n v="5.9839994817645122E-3"/>
    <m/>
    <n v="18812.5"/>
    <n v="-1.0870431893687749E-2"/>
    <m/>
  </r>
  <r>
    <x v="483"/>
    <n v="18671.25"/>
    <n v="18696.099999999999"/>
    <n v="18632.900000000001"/>
    <n v="18660.3"/>
    <n v="208030337"/>
    <n v="16626"/>
    <n v="18514.629999999997"/>
    <n v="17999.718000000001"/>
    <n v="17119.711500000005"/>
    <n v="52.299999999999272"/>
    <n v="2.801097944701039E-3"/>
    <m/>
    <n v="18812.5"/>
    <n v="-8.0903654485050547E-3"/>
    <m/>
  </r>
  <r>
    <x v="484"/>
    <n v="18614.400000000001"/>
    <n v="18652.900000000001"/>
    <n v="18387.7"/>
    <n v="18414.900000000001"/>
    <n v="183127544"/>
    <n v="15618.55"/>
    <n v="18527.162499999999"/>
    <n v="18031.037"/>
    <n v="17127.552000000003"/>
    <n v="-245.39999999999782"/>
    <n v="-1.3183341928829174E-2"/>
    <m/>
    <n v="18812.5"/>
    <n v="-2.1134883720930198E-2"/>
    <m/>
  </r>
  <r>
    <x v="485"/>
    <n v="18319.099999999999"/>
    <n v="18440.95"/>
    <n v="18255.150000000001"/>
    <n v="18269"/>
    <n v="277650193"/>
    <n v="23292.95"/>
    <n v="18530.712500000001"/>
    <n v="18061.588000000003"/>
    <n v="17134.310250000002"/>
    <n v="-145.90000000000146"/>
    <n v="-7.9643650616024516E-3"/>
    <m/>
    <n v="18812.5"/>
    <n v="-2.8890365448504984E-2"/>
    <m/>
  </r>
  <r>
    <x v="486"/>
    <n v="18288.099999999999"/>
    <n v="18431.650000000001"/>
    <n v="18244.55"/>
    <n v="18420.45"/>
    <n v="154847475"/>
    <n v="14455.23"/>
    <n v="18528.780000000002"/>
    <n v="18081.482000000004"/>
    <n v="17144.415500000003"/>
    <n v="151.45000000000073"/>
    <n v="8.2813414187368154E-3"/>
    <m/>
    <n v="18812.5"/>
    <n v="-2.083986710963448E-2"/>
    <m/>
  </r>
  <r>
    <x v="487"/>
    <n v="18340.3"/>
    <n v="18404.900000000001"/>
    <n v="18202.650000000001"/>
    <n v="18385.3"/>
    <n v="169041783"/>
    <n v="15038.56"/>
    <n v="18541.805"/>
    <n v="18103.255000000001"/>
    <n v="17153.225750000005"/>
    <n v="-35.150000000001455"/>
    <n v="-1.9165444403854601E-3"/>
    <m/>
    <n v="18812.5"/>
    <n v="-2.2708305647840543E-2"/>
    <m/>
  </r>
  <r>
    <x v="488"/>
    <n v="18435.150000000001"/>
    <n v="18473.349999999999"/>
    <n v="18162.75"/>
    <n v="18199.099999999999"/>
    <n v="187594274"/>
    <n v="17223.439999999999"/>
    <n v="18548.86"/>
    <n v="18124.668000000005"/>
    <n v="17161.182750000004"/>
    <n v="-186.20000000000073"/>
    <n v="-1.0100270407346873E-2"/>
    <m/>
    <n v="18812.5"/>
    <n v="-3.2605980066445217E-2"/>
    <m/>
  </r>
  <r>
    <x v="489"/>
    <n v="18288.8"/>
    <n v="18318.75"/>
    <n v="18068.599999999999"/>
    <n v="18127.349999999999"/>
    <n v="195699650"/>
    <n v="16725.23"/>
    <n v="18545.452499999999"/>
    <n v="18143.830000000005"/>
    <n v="17169.148500000003"/>
    <n v="-71.75"/>
    <n v="-3.9231660907221907E-3"/>
    <m/>
    <n v="18812.5"/>
    <n v="-3.6419933554817319E-2"/>
    <m/>
  </r>
  <r>
    <x v="490"/>
    <n v="17977.650000000001"/>
    <n v="18050.45"/>
    <n v="17779.5"/>
    <n v="17806.8"/>
    <n v="221454773"/>
    <n v="18486.939999999999"/>
    <n v="18527.614999999998"/>
    <n v="18166.706000000006"/>
    <n v="17177.295000000006"/>
    <n v="-320.54999999999927"/>
    <n v="-1.783047283710603E-2"/>
    <m/>
    <n v="18812.5"/>
    <n v="-5.3459136212624658E-2"/>
    <m/>
  </r>
  <r>
    <x v="491"/>
    <n v="17830.400000000001"/>
    <n v="18084.099999999999"/>
    <n v="17774.25"/>
    <n v="18014.599999999999"/>
    <n v="176652342"/>
    <n v="13708.21"/>
    <n v="18492.317499999997"/>
    <n v="18180.370000000006"/>
    <n v="17185.102250000004"/>
    <n v="207.79999999999927"/>
    <n v="1.1654253409906635E-2"/>
    <m/>
    <n v="18812.5"/>
    <n v="-4.2413289036544954E-2"/>
    <m/>
  </r>
  <r>
    <x v="492"/>
    <n v="18089.8"/>
    <n v="18149.25"/>
    <n v="17967.45"/>
    <n v="18132.3"/>
    <n v="214257094"/>
    <n v="13000.64"/>
    <n v="18464.909999999996"/>
    <n v="18200.375000000004"/>
    <n v="17195.859500000006"/>
    <n v="117.70000000000073"/>
    <n v="6.5064290373581099E-3"/>
    <m/>
    <n v="18812.5"/>
    <n v="-3.6156810631229219E-2"/>
    <m/>
  </r>
  <r>
    <x v="493"/>
    <n v="18084.75"/>
    <n v="18173.099999999999"/>
    <n v="18068.349999999999"/>
    <n v="18122.5"/>
    <n v="193873167"/>
    <n v="13997.59"/>
    <n v="18440.622499999994"/>
    <n v="18219.307000000004"/>
    <n v="17206.453750000001"/>
    <n v="-9.7999999999992724"/>
    <n v="-5.4189303142146135E-4"/>
    <m/>
    <n v="18812.5"/>
    <n v="-3.6677740863787389E-2"/>
    <m/>
  </r>
  <r>
    <x v="494"/>
    <n v="18045.7"/>
    <n v="18229.7"/>
    <n v="17992.8"/>
    <n v="18191"/>
    <n v="281052828"/>
    <n v="18466.05"/>
    <n v="18408.829999999994"/>
    <n v="18235.521000000004"/>
    <n v="17215.339500000002"/>
    <n v="68.5"/>
    <n v="3.7959181411638229E-3"/>
    <m/>
    <n v="18812.5"/>
    <n v="-3.3036544850498339E-2"/>
    <m/>
  </r>
  <r>
    <x v="495"/>
    <n v="18259.099999999999"/>
    <n v="18265.25"/>
    <n v="18080.3"/>
    <n v="18105.3"/>
    <n v="192005563"/>
    <n v="14475.22"/>
    <n v="18377.754999999997"/>
    <n v="18249.602000000003"/>
    <n v="17223.320000000003"/>
    <n v="-85.700000000000728"/>
    <n v="-4.6935500654468583E-3"/>
    <m/>
    <n v="18812.5"/>
    <n v="-3.7592026578073146E-2"/>
    <m/>
  </r>
  <r>
    <x v="496"/>
    <n v="18131.7"/>
    <n v="18215.150000000001"/>
    <n v="18086.5"/>
    <n v="18197.45"/>
    <n v="256073979"/>
    <n v="11793.06"/>
    <n v="18348.214999999997"/>
    <n v="18261.463000000003"/>
    <n v="17230.694250000004"/>
    <n v="92.150000000001455"/>
    <n v="5.0822592476161338E-3"/>
    <m/>
    <n v="18812.5"/>
    <n v="-3.2693687707641139E-2"/>
    <m/>
  </r>
  <r>
    <x v="497"/>
    <n v="18163.2"/>
    <n v="18251.95"/>
    <n v="18149.8"/>
    <n v="18232.55"/>
    <n v="208699772"/>
    <n v="13680.91"/>
    <n v="18323.035"/>
    <n v="18274.133000000005"/>
    <n v="17237.325000000001"/>
    <n v="35.099999999998545"/>
    <n v="1.9324788583508711E-3"/>
    <m/>
    <n v="18812.5"/>
    <n v="-3.0827906976744202E-2"/>
    <m/>
  </r>
  <r>
    <x v="498"/>
    <n v="18230.650000000001"/>
    <n v="18243"/>
    <n v="18020.599999999999"/>
    <n v="18042.95"/>
    <n v="235162202"/>
    <n v="16687.71"/>
    <n v="18302.525000000001"/>
    <n v="18287.258000000002"/>
    <n v="17245.172750000005"/>
    <n v="-189.59999999999854"/>
    <n v="-1.0400068017322395E-2"/>
    <m/>
    <n v="18812.5"/>
    <n v="-4.0906312292358749E-2"/>
    <m/>
  </r>
  <r>
    <x v="499"/>
    <n v="18101.95"/>
    <n v="18120.3"/>
    <n v="17892.599999999999"/>
    <n v="17992.150000000001"/>
    <n v="269949738"/>
    <n v="22108.53"/>
    <n v="18276.647499999999"/>
    <n v="18293.502"/>
    <n v="17250.510750000001"/>
    <n v="-50.799999999999272"/>
    <n v="-2.8063274951040783E-3"/>
    <m/>
    <n v="18812.5"/>
    <n v="-4.3606644518272342E-2"/>
    <m/>
  </r>
  <r>
    <x v="500"/>
    <n v="18008.05"/>
    <n v="18047.400000000001"/>
    <n v="17795.55"/>
    <n v="17859.45"/>
    <n v="238220578"/>
    <n v="17495.25"/>
    <n v="18245.787499999999"/>
    <n v="18300.218000000004"/>
    <n v="17254.036250000001"/>
    <n v="-132.70000000000073"/>
    <n v="-7.3689266744595182E-3"/>
    <m/>
    <n v="18812.5"/>
    <n v="-5.0660465116279085E-2"/>
    <m/>
  </r>
  <r>
    <x v="501"/>
    <n v="17952.55"/>
    <n v="18141.400000000001"/>
    <n v="17936.150000000001"/>
    <n v="18101.2"/>
    <n v="257237669"/>
    <n v="19916.16"/>
    <n v="18213.93"/>
    <n v="18302.668000000001"/>
    <n v="17257.745500000005"/>
    <n v="241.75"/>
    <n v="1.3466053568991592E-2"/>
    <m/>
    <n v="18812.5"/>
    <n v="-3.7809966777408555E-2"/>
    <m/>
  </r>
  <r>
    <x v="502"/>
    <n v="18121.3"/>
    <n v="18127.599999999999"/>
    <n v="17856"/>
    <n v="17914.150000000001"/>
    <n v="283277918"/>
    <n v="20570.3"/>
    <n v="18194.1325"/>
    <n v="18308.955999999998"/>
    <n v="17261.674000000003"/>
    <n v="-187.04999999999927"/>
    <n v="-1.0322107133594129E-2"/>
    <m/>
    <n v="18812.5"/>
    <n v="-4.7752823920265697E-2"/>
    <m/>
  </r>
  <r>
    <x v="503"/>
    <n v="17924.25"/>
    <n v="17976.349999999999"/>
    <n v="17824.349999999999"/>
    <n v="17895.7"/>
    <n v="259853294"/>
    <n v="20204.330000000002"/>
    <n v="18159.440000000002"/>
    <n v="18306.994999999999"/>
    <n v="17265.016500000005"/>
    <n v="-18.450000000000728"/>
    <n v="-1.0293317712038567E-3"/>
    <m/>
    <n v="18812.5"/>
    <n v="-4.8733554817275704E-2"/>
    <m/>
  </r>
  <r>
    <x v="504"/>
    <n v="17920.849999999999"/>
    <n v="17945.8"/>
    <n v="17761.650000000001"/>
    <n v="17858.2"/>
    <n v="227769060"/>
    <n v="19762.43"/>
    <n v="18121.210000000003"/>
    <n v="18302.000999999997"/>
    <n v="17268.381250000006"/>
    <n v="-37.5"/>
    <n v="-2.0925346732995368E-3"/>
    <m/>
    <n v="18812.5"/>
    <n v="-5.0726910299003336E-2"/>
    <m/>
  </r>
  <r>
    <x v="505"/>
    <n v="17867.5"/>
    <n v="17999.349999999999"/>
    <n v="17774.25"/>
    <n v="17956.599999999999"/>
    <n v="256700729"/>
    <n v="21341.7"/>
    <n v="18093.375000000004"/>
    <n v="18297.507999999994"/>
    <n v="17271.907250000007"/>
    <n v="98.399999999997817"/>
    <n v="5.5072058206239163E-3"/>
    <m/>
    <n v="18812.5"/>
    <n v="-4.5496345514950298E-2"/>
    <m/>
  </r>
  <r>
    <x v="506"/>
    <n v="18033.150000000001"/>
    <n v="18049.650000000001"/>
    <n v="17853.650000000001"/>
    <n v="17894.849999999999"/>
    <n v="206195816"/>
    <n v="16728.37"/>
    <n v="18077.755000000001"/>
    <n v="18295.585999999996"/>
    <n v="17275.58025000001"/>
    <n v="-61.75"/>
    <n v="-3.4242492298905071E-3"/>
    <m/>
    <n v="18812.5"/>
    <n v="-4.8778737541528283E-2"/>
    <m/>
  </r>
  <r>
    <x v="507"/>
    <n v="17922.8"/>
    <n v="18072.05"/>
    <n v="17886.95"/>
    <n v="18053.3"/>
    <n v="219055125"/>
    <n v="17461.09"/>
    <n v="18051.474999999999"/>
    <n v="18291.139999999996"/>
    <n v="17278.428000000007"/>
    <n v="158.45000000000073"/>
    <n v="8.840694534336193E-3"/>
    <m/>
    <n v="18812.5"/>
    <n v="-4.0356146179402086E-2"/>
    <m/>
  </r>
  <r>
    <x v="508"/>
    <n v="18074.3"/>
    <n v="18183.75"/>
    <n v="18032.45"/>
    <n v="18165.349999999999"/>
    <n v="255840928"/>
    <n v="20500.07"/>
    <n v="18034.875"/>
    <n v="18288.149999999998"/>
    <n v="17281.203250000006"/>
    <n v="112.04999999999927"/>
    <n v="6.1994102122903388E-3"/>
    <m/>
    <n v="18812.5"/>
    <n v="-3.4400000000000097E-2"/>
    <m/>
  </r>
  <r>
    <x v="509"/>
    <n v="18119.8"/>
    <n v="18155.2"/>
    <n v="18063.75"/>
    <n v="18107.849999999999"/>
    <n v="237833991"/>
    <n v="18413.13"/>
    <n v="18033.187499999996"/>
    <n v="18288.316999999995"/>
    <n v="17284.706250000007"/>
    <n v="-57.5"/>
    <n v="-3.1733242088764777E-3"/>
    <m/>
    <n v="18812.5"/>
    <n v="-3.7456478405315741E-2"/>
    <m/>
  </r>
  <r>
    <x v="510"/>
    <n v="18115.599999999999"/>
    <n v="18145.45"/>
    <n v="18016.2"/>
    <n v="18027.650000000001"/>
    <n v="237225269"/>
    <n v="19519.96"/>
    <n v="18032.212499999998"/>
    <n v="18289.909999999996"/>
    <n v="17286.893250000008"/>
    <n v="-80.19999999999709"/>
    <n v="-4.427123584093107E-3"/>
    <m/>
    <n v="18812.5"/>
    <n v="-4.1719601328903622E-2"/>
    <m/>
  </r>
  <r>
    <x v="511"/>
    <n v="18118.45"/>
    <n v="18162.599999999999"/>
    <n v="18063.45"/>
    <n v="18118.55"/>
    <n v="202460434"/>
    <n v="17060.12"/>
    <n v="18043.254999999997"/>
    <n v="18283.468999999997"/>
    <n v="17286.764500000005"/>
    <n v="90.899999999997817"/>
    <n v="5.016985448534384E-3"/>
    <m/>
    <n v="18812.5"/>
    <n v="-3.6887707641196088E-2"/>
    <m/>
  </r>
  <r>
    <x v="512"/>
    <n v="18183.95"/>
    <n v="18201.25"/>
    <n v="18078.650000000001"/>
    <n v="18118.3"/>
    <n v="216910302"/>
    <n v="19705.91"/>
    <n v="18048.452499999999"/>
    <n v="18279.256999999998"/>
    <n v="17287.570250000008"/>
    <n v="-0.25"/>
    <n v="-1.3748388001506823E-5"/>
    <m/>
    <n v="18812.5"/>
    <n v="-3.6900996677740938E-2"/>
    <m/>
  </r>
  <r>
    <x v="513"/>
    <n v="18093.349999999999"/>
    <n v="18100.599999999999"/>
    <n v="17846.150000000001"/>
    <n v="17891.95"/>
    <n v="257227052"/>
    <n v="20890.560000000001"/>
    <n v="18047.752499999999"/>
    <n v="18273.554999999997"/>
    <n v="17289.123500000009"/>
    <n v="-226.34999999999854"/>
    <n v="-1.2510121121848556E-2"/>
    <m/>
    <n v="18812.5"/>
    <n v="-4.8932890365448456E-2"/>
    <m/>
  </r>
  <r>
    <x v="514"/>
    <n v="17877.2"/>
    <n v="17884.75"/>
    <n v="17493.55"/>
    <n v="17604.349999999999"/>
    <n v="476342611"/>
    <n v="40104.83"/>
    <n v="18036.224999999999"/>
    <n v="18263.200999999997"/>
    <n v="17290.385500000008"/>
    <n v="-287.60000000000218"/>
    <n v="-1.6087530485758516E-2"/>
    <m/>
    <n v="18812.5"/>
    <n v="-6.4220598006644591E-2"/>
    <m/>
  </r>
  <r>
    <x v="515"/>
    <n v="17541.95"/>
    <n v="17709.150000000001"/>
    <n v="17405.55"/>
    <n v="17648.95"/>
    <n v="432434028"/>
    <n v="38159.879999999997"/>
    <n v="18006.892499999998"/>
    <n v="18248.409999999996"/>
    <n v="17289.48550000001"/>
    <n v="44.600000000002183"/>
    <n v="2.5424767485942089E-3"/>
    <m/>
    <n v="18812.5"/>
    <n v="-6.1849833887043126E-2"/>
    <m/>
  </r>
  <r>
    <x v="516"/>
    <n v="17731.45"/>
    <n v="17735.7"/>
    <n v="17537.55"/>
    <n v="17662.150000000001"/>
    <n v="398338541"/>
    <n v="35023.699999999997"/>
    <n v="17984.075000000001"/>
    <n v="18235.235999999997"/>
    <n v="17289.355500000009"/>
    <n v="13.200000000000728"/>
    <n v="7.4443996401877611E-4"/>
    <m/>
    <n v="18812.5"/>
    <n v="-6.1148172757474972E-2"/>
    <m/>
  </r>
  <r>
    <x v="517"/>
    <n v="17811.599999999999"/>
    <n v="17972.2"/>
    <n v="17353.400000000001"/>
    <n v="17616.3"/>
    <n v="512870802"/>
    <n v="38486.19"/>
    <n v="17957.310000000001"/>
    <n v="18225.279999999995"/>
    <n v="17290.014750000009"/>
    <n v="-45.850000000002183"/>
    <n v="-2.5741651508007246E-3"/>
    <m/>
    <n v="18812.5"/>
    <n v="-6.3585382059800688E-2"/>
    <m/>
  </r>
  <r>
    <x v="518"/>
    <n v="17517.099999999999"/>
    <n v="17653.900000000001"/>
    <n v="17445.95"/>
    <n v="17610.400000000001"/>
    <n v="490113567"/>
    <n v="37639.96"/>
    <n v="17926.497500000001"/>
    <n v="18212.721999999994"/>
    <n v="17290.718000000008"/>
    <n v="-5.8999999999978172"/>
    <n v="-3.3681374200054905E-4"/>
    <m/>
    <n v="18812.5"/>
    <n v="-6.3899003322259063E-2"/>
    <m/>
  </r>
  <r>
    <x v="519"/>
    <n v="17721.75"/>
    <n v="17870.3"/>
    <n v="17584.2"/>
    <n v="17854.05"/>
    <n v="424123037"/>
    <n v="34503.67"/>
    <n v="17904.870000000003"/>
    <n v="18199.584999999995"/>
    <n v="17292.901750000008"/>
    <n v="243.64999999999782"/>
    <n v="1.3748642205199701E-2"/>
    <m/>
    <n v="18812.5"/>
    <n v="-5.0947508305647871E-2"/>
    <m/>
  </r>
  <r>
    <x v="520"/>
    <n v="17818.55"/>
    <n v="17823.7"/>
    <n v="17698.349999999999"/>
    <n v="17764.599999999999"/>
    <n v="282544790"/>
    <n v="21864.880000000001"/>
    <n v="17897.965"/>
    <n v="18186.983999999997"/>
    <n v="17297.378750000011"/>
    <n v="-89.450000000000728"/>
    <n v="-5.0200493306133626E-3"/>
    <m/>
    <n v="18812.5"/>
    <n v="-5.5702325581395429E-2"/>
    <m/>
  </r>
  <r>
    <x v="521"/>
    <n v="17790.099999999999"/>
    <n v="17811.150000000001"/>
    <n v="17652.55"/>
    <n v="17721.5"/>
    <n v="354395693"/>
    <n v="23611.08"/>
    <n v="17893.2225"/>
    <n v="18172.020999999997"/>
    <n v="17300.519000000008"/>
    <n v="-43.099999999998545"/>
    <n v="-2.4226957689950338E-3"/>
    <m/>
    <n v="18812.5"/>
    <n v="-5.7993355481727571E-2"/>
    <m/>
  </r>
  <r>
    <x v="522"/>
    <n v="17750.3"/>
    <n v="17898.7"/>
    <n v="17744.150000000001"/>
    <n v="17871.7"/>
    <n v="290994265"/>
    <n v="23733.4"/>
    <n v="17874.237499999999"/>
    <n v="18155.195999999996"/>
    <n v="17302.16350000001"/>
    <n v="150.20000000000073"/>
    <n v="8.461828814160929E-3"/>
    <m/>
    <n v="18812.5"/>
    <n v="-5.0009302325581317E-2"/>
    <m/>
  </r>
  <r>
    <x v="523"/>
    <n v="17885.5"/>
    <n v="17916.900000000001"/>
    <n v="17779.8"/>
    <n v="17893.45"/>
    <n v="260854055"/>
    <n v="21529.97"/>
    <n v="17872.114999999998"/>
    <n v="18140.268999999997"/>
    <n v="17305.662250000008"/>
    <n v="21.75"/>
    <n v="1.2160688826144083E-3"/>
    <m/>
    <n v="18812.5"/>
    <n v="-4.8853156146179355E-2"/>
    <m/>
  </r>
  <r>
    <x v="524"/>
    <n v="17847.55"/>
    <n v="17876.95"/>
    <n v="17801"/>
    <n v="17856.5"/>
    <n v="231991834"/>
    <n v="17063.990000000002"/>
    <n v="17872.002499999999"/>
    <n v="18122.970999999998"/>
    <n v="17310.359750000011"/>
    <n v="-36.950000000000728"/>
    <n v="-2.0703121716986773E-3"/>
    <m/>
    <n v="18812.5"/>
    <n v="-5.0817275747508273E-2"/>
    <m/>
  </r>
  <r>
    <x v="525"/>
    <n v="17859.099999999999"/>
    <n v="17880.7"/>
    <n v="17719.75"/>
    <n v="17770.900000000001"/>
    <n v="231276483"/>
    <n v="17406.310000000001"/>
    <n v="17871.917500000003"/>
    <n v="18103.850999999999"/>
    <n v="17313.638250000007"/>
    <n v="-85.599999999998545"/>
    <n v="-4.793074679015099E-3"/>
    <m/>
    <n v="18812.5"/>
    <n v="-5.536744186046505E-2"/>
    <m/>
  </r>
  <r>
    <x v="526"/>
    <n v="17840.349999999999"/>
    <n v="17954.55"/>
    <n v="17800.05"/>
    <n v="17929.849999999999"/>
    <n v="244512944"/>
    <n v="20579.8"/>
    <n v="17862.6325"/>
    <n v="18085.346999999998"/>
    <n v="17317.300750000006"/>
    <n v="158.94999999999709"/>
    <n v="8.9095785676848883E-3"/>
    <m/>
    <n v="18812.5"/>
    <n v="-4.6918272425249263E-2"/>
    <m/>
  </r>
  <r>
    <x v="527"/>
    <n v="17896.599999999999"/>
    <n v="18034.099999999999"/>
    <n v="17853.8"/>
    <n v="18015.849999999999"/>
    <n v="229273800"/>
    <n v="21457.34"/>
    <n v="17864.3825"/>
    <n v="18069.923000000003"/>
    <n v="17320.724750000005"/>
    <n v="86"/>
    <n v="4.8053820278712162E-3"/>
    <m/>
    <n v="18812.5"/>
    <n v="-4.2346843853820704E-2"/>
    <m/>
  </r>
  <r>
    <x v="528"/>
    <n v="18094.75"/>
    <n v="18134.75"/>
    <n v="18000.650000000001"/>
    <n v="18035.849999999999"/>
    <n v="230246175"/>
    <n v="18891.55"/>
    <n v="17862.509999999998"/>
    <n v="18057.385000000002"/>
    <n v="17325.291250000006"/>
    <n v="20"/>
    <n v="1.1052929717183162E-3"/>
    <m/>
    <n v="18812.5"/>
    <n v="-4.1283720930232581E-2"/>
    <m/>
  </r>
  <r>
    <x v="529"/>
    <n v="17974.849999999999"/>
    <n v="18034.25"/>
    <n v="17884.599999999999"/>
    <n v="17944.2"/>
    <n v="208053929"/>
    <n v="16998.330000000002"/>
    <n v="17856.034999999996"/>
    <n v="18046.892"/>
    <n v="17330.125000000007"/>
    <n v="-91.649999999997817"/>
    <n v="-5.0987908104934299E-3"/>
    <m/>
    <n v="18812.5"/>
    <n v="-4.6155481727574665E-2"/>
    <m/>
  </r>
  <r>
    <x v="530"/>
    <n v="17965.55"/>
    <n v="18004.349999999999"/>
    <n v="17818.400000000001"/>
    <n v="17844.599999999999"/>
    <n v="174563233"/>
    <n v="14729.07"/>
    <n v="17847.852500000001"/>
    <n v="18033.589"/>
    <n v="17336.458000000006"/>
    <n v="-99.600000000002183"/>
    <n v="-5.5439438258223202E-3"/>
    <m/>
    <n v="18812.5"/>
    <n v="-5.1449833887043273E-2"/>
    <m/>
  </r>
  <r>
    <x v="531"/>
    <n v="17905.8"/>
    <n v="17924.900000000001"/>
    <n v="17800.3"/>
    <n v="17826.7"/>
    <n v="198248205"/>
    <n v="15593.09"/>
    <n v="17838.699999999997"/>
    <n v="18020.548999999999"/>
    <n v="17342.26775000001"/>
    <n v="-17.899999999997817"/>
    <n v="-9.9967608260998213E-4"/>
    <m/>
    <n v="18812.5"/>
    <n v="-5.2401328903654454E-2"/>
    <m/>
  </r>
  <r>
    <x v="532"/>
    <n v="17755.349999999999"/>
    <n v="17772.5"/>
    <n v="17529.45"/>
    <n v="17554.3"/>
    <n v="204021979"/>
    <n v="17162.09"/>
    <n v="17824.107499999998"/>
    <n v="18007.139999999996"/>
    <n v="17349.345000000008"/>
    <n v="-272.40000000000146"/>
    <n v="-1.5341854708580877E-2"/>
    <m/>
    <n v="18812.5"/>
    <n v="-6.6881063122923634E-2"/>
    <m/>
  </r>
  <r>
    <x v="533"/>
    <n v="17574.650000000001"/>
    <n v="17620.05"/>
    <n v="17455.400000000001"/>
    <n v="17511.25"/>
    <n v="240807918"/>
    <n v="19313.68"/>
    <n v="17795.907499999998"/>
    <n v="17986.065999999995"/>
    <n v="17355.607250000008"/>
    <n v="-43.049999999999272"/>
    <n v="-2.4495509156654198E-3"/>
    <m/>
    <n v="18812.5"/>
    <n v="-6.9169435215946873E-2"/>
    <m/>
  </r>
  <r>
    <x v="534"/>
    <n v="17591.349999999999"/>
    <n v="17599.75"/>
    <n v="17421.8"/>
    <n v="17465.8"/>
    <n v="209406363"/>
    <n v="16100.18"/>
    <n v="17776.872500000001"/>
    <n v="17963.084999999995"/>
    <n v="17361.963250000008"/>
    <n v="-45.450000000000728"/>
    <n v="-2.583656171925448E-3"/>
    <m/>
    <n v="18812.5"/>
    <n v="-7.1585382059800695E-2"/>
    <m/>
  </r>
  <r>
    <x v="535"/>
    <n v="17428.599999999999"/>
    <n v="17451.599999999999"/>
    <n v="17299"/>
    <n v="17392.7"/>
    <n v="246448847"/>
    <n v="16638.41"/>
    <n v="17769.945"/>
    <n v="17944.102999999999"/>
    <n v="17368.456750000008"/>
    <n v="-73.099999999998545"/>
    <n v="-4.1942554192533283E-3"/>
    <m/>
    <n v="18812.5"/>
    <n v="-7.5471096345514965E-2"/>
    <m/>
  </r>
  <r>
    <x v="536"/>
    <n v="17383.25"/>
    <n v="17440.45"/>
    <n v="17255.2"/>
    <n v="17303.95"/>
    <n v="420881259"/>
    <n v="32959.769999999997"/>
    <n v="17757.1325"/>
    <n v="17926.576999999997"/>
    <n v="17376.380250000009"/>
    <n v="-88.75"/>
    <n v="-5.1054894798153398E-3"/>
    <m/>
    <n v="18812.5"/>
    <n v="-8.0188704318936876E-2"/>
    <m/>
  </r>
  <r>
    <x v="537"/>
    <n v="17360.099999999999"/>
    <n v="17467.75"/>
    <n v="17345.25"/>
    <n v="17450.900000000001"/>
    <n v="272881409"/>
    <n v="19784.53"/>
    <n v="17739.2225"/>
    <n v="17904.246999999996"/>
    <n v="17383.989250000006"/>
    <n v="146.95000000000073"/>
    <n v="8.4648129907086214E-3"/>
    <m/>
    <n v="18812.5"/>
    <n v="-7.2377408637873675E-2"/>
    <m/>
  </r>
  <r>
    <x v="538"/>
    <n v="17421.5"/>
    <n v="17445.8"/>
    <n v="17306"/>
    <n v="17321.900000000001"/>
    <n v="310669094"/>
    <n v="22068.68"/>
    <n v="17730.952500000003"/>
    <n v="17885.558999999997"/>
    <n v="17392.032250000007"/>
    <n v="-129"/>
    <n v="-7.4046436873977557E-3"/>
    <m/>
    <n v="18812.5"/>
    <n v="-7.923455149501657E-2"/>
    <m/>
  </r>
  <r>
    <x v="539"/>
    <n v="17451.25"/>
    <n v="17644.75"/>
    <n v="17427.7"/>
    <n v="17594.349999999999"/>
    <n v="356169518"/>
    <n v="24143.96"/>
    <n v="17716.527500000004"/>
    <n v="17868.014999999996"/>
    <n v="17397.345250000006"/>
    <n v="272.44999999999709"/>
    <n v="1.5612062173196595E-2"/>
    <m/>
    <n v="18812.5"/>
    <n v="-6.4752159468438597E-2"/>
    <m/>
  </r>
  <r>
    <x v="540"/>
    <n v="17680.349999999999"/>
    <n v="17799.95"/>
    <n v="17671.95"/>
    <n v="17711.45"/>
    <n v="362801096"/>
    <n v="26959.41"/>
    <n v="17703.542500000003"/>
    <n v="17857.354999999996"/>
    <n v="17404.115500000007"/>
    <n v="117.10000000000218"/>
    <n v="6.6231720525895803E-3"/>
    <m/>
    <n v="18812.5"/>
    <n v="-5.852757475083048E-2"/>
    <m/>
  </r>
  <r>
    <x v="541"/>
    <n v="17665.75"/>
    <n v="17766.5"/>
    <n v="17602.25"/>
    <n v="17754.400000000001"/>
    <n v="267041402"/>
    <n v="23155.56"/>
    <n v="17700.885000000002"/>
    <n v="17855.447999999993"/>
    <n v="17413.62575000001"/>
    <n v="42.950000000000728"/>
    <n v="2.4312582256626933E-3"/>
    <m/>
    <n v="18812.5"/>
    <n v="-5.6244518272425159E-2"/>
    <m/>
  </r>
  <r>
    <x v="542"/>
    <n v="17772.05"/>
    <n v="17772.349999999999"/>
    <n v="17573.599999999999"/>
    <n v="17589.599999999999"/>
    <n v="262352056"/>
    <n v="21964.17"/>
    <n v="17702.530000000006"/>
    <n v="17850.243999999995"/>
    <n v="17421.06700000001"/>
    <n v="-164.80000000000291"/>
    <n v="-9.2729876407056534E-3"/>
    <m/>
    <n v="18812.5"/>
    <n v="-6.500465116279075E-2"/>
    <m/>
  </r>
  <r>
    <x v="543"/>
    <n v="17443.8"/>
    <n v="17451.5"/>
    <n v="17324.349999999999"/>
    <n v="17412.900000000001"/>
    <n v="235927570"/>
    <n v="19794.73"/>
    <n v="17688.424999999999"/>
    <n v="17839.389999999996"/>
    <n v="17427.941500000004"/>
    <n v="-176.69999999999709"/>
    <n v="-1.0129673580297704E-2"/>
    <m/>
    <n v="18812.5"/>
    <n v="-7.4397342192691007E-2"/>
    <m/>
  </r>
  <r>
    <x v="544"/>
    <n v="17421.900000000001"/>
    <n v="17529.900000000001"/>
    <n v="17113.45"/>
    <n v="17154.3"/>
    <n v="254914657"/>
    <n v="22860.67"/>
    <n v="17664.397499999999"/>
    <n v="17825.197999999997"/>
    <n v="17434.380250000006"/>
    <n v="-258.60000000000218"/>
    <n v="-1.4843386771821798E-2"/>
    <m/>
    <n v="18812.5"/>
    <n v="-8.8143521594684415E-2"/>
    <m/>
  </r>
  <r>
    <x v="545"/>
    <n v="17160.55"/>
    <n v="17224.650000000001"/>
    <n v="16987.099999999999"/>
    <n v="17043.3"/>
    <n v="290604200"/>
    <n v="26057.599999999999"/>
    <n v="17629.287499999999"/>
    <n v="17804.463999999996"/>
    <n v="17440.022750000004"/>
    <n v="-111"/>
    <n v="-6.468324150449724E-3"/>
    <m/>
    <n v="18812.5"/>
    <n v="-9.40438538205981E-2"/>
    <m/>
  </r>
  <r>
    <x v="546"/>
    <n v="17166.45"/>
    <n v="17211.349999999999"/>
    <n v="16938.900000000001"/>
    <n v="16972.150000000001"/>
    <n v="248188970"/>
    <n v="22659.09"/>
    <n v="17592.907500000001"/>
    <n v="17783.223999999998"/>
    <n v="17444.388500000005"/>
    <n v="-71.149999999997817"/>
    <n v="-4.1447125060800468E-3"/>
    <m/>
    <n v="18812.5"/>
    <n v="-9.7825913621262361E-2"/>
    <m/>
  </r>
  <r>
    <x v="547"/>
    <n v="16994.650000000001"/>
    <n v="17062.45"/>
    <n v="16850.150000000001"/>
    <n v="16985.599999999999"/>
    <n v="349820607"/>
    <n v="24198.71"/>
    <n v="17545.022499999999"/>
    <n v="17758.718000000001"/>
    <n v="17447.487000000001"/>
    <n v="13.44999999999709"/>
    <n v="7.9142553685995819E-4"/>
    <m/>
    <n v="18812.5"/>
    <n v="-9.7110963455149579E-2"/>
    <m/>
  </r>
  <r>
    <x v="548"/>
    <n v="17111.8"/>
    <n v="17145.8"/>
    <n v="16958.150000000001"/>
    <n v="17100.05"/>
    <n v="408121255"/>
    <n v="30478.42"/>
    <n v="17493.510000000002"/>
    <n v="17733.778999999999"/>
    <n v="17449.108000000004"/>
    <n v="114.45000000000073"/>
    <n v="6.6883670917145324E-3"/>
    <m/>
    <n v="18812.5"/>
    <n v="-9.1027242524917007E-2"/>
    <m/>
  </r>
  <r>
    <x v="549"/>
    <n v="17066.599999999999"/>
    <n v="17066.599999999999"/>
    <n v="16828.349999999999"/>
    <n v="16988.400000000001"/>
    <n v="241777405"/>
    <n v="21454.09"/>
    <n v="17446.719999999998"/>
    <n v="17714.921000000002"/>
    <n v="17451.685500000003"/>
    <n v="-111.64999999999782"/>
    <n v="-6.5420177422566787E-3"/>
    <m/>
    <n v="18812.5"/>
    <n v="-9.6962126245847102E-2"/>
    <m/>
  </r>
  <r>
    <x v="550"/>
    <n v="17060.400000000001"/>
    <n v="17127.7"/>
    <n v="17016"/>
    <n v="17107.5"/>
    <n v="246737873"/>
    <n v="22039.11"/>
    <n v="17398.93"/>
    <n v="17694.846000000001"/>
    <n v="17454.013750000002"/>
    <n v="119.09999999999854"/>
    <n v="6.9810789899415332E-3"/>
    <m/>
    <n v="18812.5"/>
    <n v="-9.0631229235880406E-2"/>
    <m/>
  </r>
  <r>
    <x v="551"/>
    <n v="17177.45"/>
    <n v="17207.25"/>
    <n v="17107.849999999999"/>
    <n v="17151.900000000001"/>
    <n v="185700457"/>
    <n v="15712"/>
    <n v="17362.075000000001"/>
    <n v="17679.807000000001"/>
    <n v="17456.411250000001"/>
    <n v="44.400000000001455"/>
    <n v="2.5847841210424978E-3"/>
    <m/>
    <n v="18812.5"/>
    <n v="-8.8271096345514888E-2"/>
    <m/>
  </r>
  <r>
    <x v="552"/>
    <n v="17097.400000000001"/>
    <n v="17205.400000000001"/>
    <n v="17045.3"/>
    <n v="17076.900000000001"/>
    <n v="219171517"/>
    <n v="19676.97"/>
    <n v="17328.334999999999"/>
    <n v="17660.821000000004"/>
    <n v="17459.249250000004"/>
    <n v="-75"/>
    <n v="-4.3866318855498489E-3"/>
    <m/>
    <n v="18812.5"/>
    <n v="-9.2257807308970041E-2"/>
    <m/>
  </r>
  <r>
    <x v="553"/>
    <n v="17076.2"/>
    <n v="17109.45"/>
    <n v="16917.349999999999"/>
    <n v="16945.05"/>
    <n v="228038299"/>
    <n v="19019.88"/>
    <n v="17304.465000000004"/>
    <n v="17644.076000000005"/>
    <n v="17461.786000000004"/>
    <n v="-131.85000000000218"/>
    <n v="-7.7212728827257921E-3"/>
    <m/>
    <n v="18812.5"/>
    <n v="-9.9266445182724317E-2"/>
    <m/>
  </r>
  <r>
    <x v="554"/>
    <n v="16984.3"/>
    <n v="17091"/>
    <n v="16918.55"/>
    <n v="16985.7"/>
    <n v="218418670"/>
    <n v="18466.560000000001"/>
    <n v="17276.155000000002"/>
    <n v="17625.063000000002"/>
    <n v="17464.429499999998"/>
    <n v="40.650000000001455"/>
    <n v="2.3933868337229947E-3"/>
    <m/>
    <n v="18812.5"/>
    <n v="-9.710564784053155E-2"/>
    <m/>
  </r>
  <r>
    <x v="555"/>
    <n v="17031.75"/>
    <n v="17061.75"/>
    <n v="16913.75"/>
    <n v="16951.7"/>
    <n v="238840919"/>
    <n v="20942.5"/>
    <n v="17252.150000000001"/>
    <n v="17607.613000000001"/>
    <n v="17467.576750000004"/>
    <n v="-34"/>
    <n v="-1.9962716690886139E-3"/>
    <m/>
    <n v="18812.5"/>
    <n v="-9.891295681063117E-2"/>
    <m/>
  </r>
  <r>
    <x v="556"/>
    <n v="16977.3"/>
    <n v="17126.150000000001"/>
    <n v="16940.599999999999"/>
    <n v="17080.7"/>
    <n v="345911087"/>
    <n v="27261.74"/>
    <n v="17230.099999999999"/>
    <n v="17587.514999999999"/>
    <n v="17469.944750000006"/>
    <n v="129"/>
    <n v="7.5983813680620595E-3"/>
    <m/>
    <n v="18812.5"/>
    <n v="-9.2055813953488386E-2"/>
    <m/>
  </r>
  <r>
    <x v="557"/>
    <n v="17210.349999999999"/>
    <n v="17381.599999999999"/>
    <n v="17204.650000000001"/>
    <n v="17359.75"/>
    <n v="263889033"/>
    <n v="24970.98"/>
    <n v="17218.9375"/>
    <n v="17571.232000000004"/>
    <n v="17474.339250000005"/>
    <n v="279.04999999999927"/>
    <n v="1.621408048064097E-2"/>
    <m/>
    <n v="18812.5"/>
    <n v="-7.7222591362126281E-2"/>
    <m/>
  </r>
  <r>
    <x v="558"/>
    <n v="17427.95"/>
    <n v="17428.05"/>
    <n v="17312.75"/>
    <n v="17398.05"/>
    <n v="230170687"/>
    <n v="20359.580000000002"/>
    <n v="17214.38"/>
    <n v="17557.361000000001"/>
    <n v="17482.266000000003"/>
    <n v="38.299999999999272"/>
    <n v="2.1976193413453258E-3"/>
    <m/>
    <n v="18812.5"/>
    <n v="-7.5186710963455194E-2"/>
    <m/>
  </r>
  <r>
    <x v="559"/>
    <n v="17422.3"/>
    <n v="17570.55"/>
    <n v="17402.7"/>
    <n v="17557.05"/>
    <n v="248345193"/>
    <n v="23911.75"/>
    <n v="17218.1875"/>
    <n v="17542.015000000003"/>
    <n v="17490.59575"/>
    <n v="159"/>
    <n v="9.1262347680845825E-3"/>
    <m/>
    <n v="18812.5"/>
    <n v="-6.6734883720930283E-2"/>
    <m/>
  </r>
  <r>
    <x v="560"/>
    <n v="17533.849999999999"/>
    <n v="17638.7"/>
    <n v="17502.849999999999"/>
    <n v="17599.150000000001"/>
    <n v="242708337"/>
    <n v="23543.21"/>
    <n v="17216.322499999998"/>
    <n v="17530.999000000003"/>
    <n v="17499.920250000003"/>
    <n v="42.100000000002183"/>
    <n v="2.4010699304489423E-3"/>
    <m/>
    <n v="18812.5"/>
    <n v="-6.4497009966777319E-2"/>
    <m/>
  </r>
  <r>
    <x v="561"/>
    <n v="17634.900000000001"/>
    <n v="17694.099999999999"/>
    <n v="17597.95"/>
    <n v="17624.05"/>
    <n v="254819382"/>
    <n v="21092.06"/>
    <n v="17210.707499999997"/>
    <n v="17522.429000000004"/>
    <n v="17511.113000000001"/>
    <n v="24.899999999997817"/>
    <n v="1.4119728492930392E-3"/>
    <m/>
    <n v="18812.5"/>
    <n v="-6.3173421926910334E-2"/>
    <m/>
  </r>
  <r>
    <x v="562"/>
    <n v="17704.8"/>
    <n v="17748.75"/>
    <n v="17655.150000000001"/>
    <n v="17722.3"/>
    <n v="304263454"/>
    <n v="25841.64"/>
    <n v="17204.189999999999"/>
    <n v="17512.539000000004"/>
    <n v="17522.765750000002"/>
    <n v="98.25"/>
    <n v="5.5493425511725638E-3"/>
    <m/>
    <n v="18812.5"/>
    <n v="-5.7950830564784117E-2"/>
    <m/>
  </r>
  <r>
    <x v="563"/>
    <n v="17759.55"/>
    <n v="17825.75"/>
    <n v="17717.25"/>
    <n v="17812.400000000001"/>
    <n v="232816318"/>
    <n v="22851.93"/>
    <n v="17210.825000000001"/>
    <n v="17504.61900000001"/>
    <n v="17534.626500000002"/>
    <n v="90.100000000002183"/>
    <n v="5.0733267453286924E-3"/>
    <m/>
    <n v="18812.5"/>
    <n v="-5.3161461794019815E-2"/>
    <m/>
  </r>
  <r>
    <x v="564"/>
    <n v="17807.3"/>
    <n v="17842.150000000001"/>
    <n v="17729.650000000001"/>
    <n v="17828"/>
    <n v="285764798"/>
    <n v="26460.2"/>
    <n v="17230.800000000003"/>
    <n v="17503.028000000006"/>
    <n v="17545.494500000001"/>
    <n v="15.599999999998545"/>
    <n v="8.7604521741075541E-4"/>
    <m/>
    <n v="18812.5"/>
    <n v="-5.23322259136213E-2"/>
    <m/>
  </r>
  <r>
    <x v="565"/>
    <n v="17863"/>
    <n v="17863"/>
    <n v="17574.05"/>
    <n v="17706.849999999999"/>
    <n v="357401212"/>
    <n v="35118.57"/>
    <n v="17264.485000000001"/>
    <n v="17507.501000000007"/>
    <n v="17557.567999999999"/>
    <n v="-121.15000000000146"/>
    <n v="-6.7821754464536445E-3"/>
    <m/>
    <n v="18812.5"/>
    <n v="-5.8772093023255922E-2"/>
    <m/>
  </r>
  <r>
    <x v="566"/>
    <n v="17766.599999999999"/>
    <n v="17766.599999999999"/>
    <n v="17610.2"/>
    <n v="17660.150000000001"/>
    <n v="258856690"/>
    <n v="23032.99"/>
    <n v="17297.662499999999"/>
    <n v="17508.659000000007"/>
    <n v="17568.319"/>
    <n v="-46.69999999999709"/>
    <n v="-2.6285276867829012E-3"/>
    <m/>
    <n v="18812.5"/>
    <n v="-6.1254485049833773E-2"/>
    <m/>
  </r>
  <r>
    <x v="567"/>
    <n v="17653.349999999999"/>
    <n v="17666.150000000001"/>
    <n v="17579.849999999999"/>
    <n v="17618.75"/>
    <n v="281463379"/>
    <n v="21562.080000000002"/>
    <n v="17332.0625"/>
    <n v="17508.619000000006"/>
    <n v="17578.123499999998"/>
    <n v="-41.400000000001455"/>
    <n v="-2.3451639490522456E-3"/>
    <m/>
    <n v="18812.5"/>
    <n v="-6.345514950166109E-2"/>
    <m/>
  </r>
  <r>
    <x v="568"/>
    <n v="17638.599999999999"/>
    <n v="17684.45"/>
    <n v="17584.349999999999"/>
    <n v="17624.45"/>
    <n v="215103396"/>
    <n v="19457.45"/>
    <n v="17363.719999999998"/>
    <n v="17508.668000000009"/>
    <n v="17587.057000000001"/>
    <n v="5.7000000000007276"/>
    <n v="3.2315489891492115E-4"/>
    <m/>
    <n v="18812.5"/>
    <n v="-6.3152159468438551E-2"/>
    <m/>
  </r>
  <r>
    <x v="569"/>
    <n v="17639.75"/>
    <n v="17663.2"/>
    <n v="17553.95"/>
    <n v="17624.05"/>
    <n v="230156645"/>
    <n v="19091.439999999999"/>
    <n v="17389.939999999999"/>
    <n v="17508.949000000008"/>
    <n v="17595.928250000001"/>
    <n v="-0.40000000000145519"/>
    <n v="-2.2676058334242558E-5"/>
    <m/>
    <n v="18812.5"/>
    <n v="-6.3173421926910334E-2"/>
    <m/>
  </r>
  <r>
    <x v="570"/>
    <n v="17707.55"/>
    <n v="17754.5"/>
    <n v="17612.5"/>
    <n v="17743.400000000001"/>
    <n v="255740393"/>
    <n v="23142.94"/>
    <n v="17421.722499999996"/>
    <n v="17504.349000000006"/>
    <n v="17605.053"/>
    <n v="119.35000000000218"/>
    <n v="6.7400628545452191E-3"/>
    <m/>
    <n v="18812.5"/>
    <n v="-5.6829235880398565E-2"/>
    <m/>
  </r>
  <r>
    <x v="571"/>
    <n v="17761.55"/>
    <n v="17807.45"/>
    <n v="17716.849999999999"/>
    <n v="17769.25"/>
    <n v="297445999"/>
    <n v="28819.53"/>
    <n v="17453.517499999998"/>
    <n v="17503.925000000007"/>
    <n v="17614.868750000001"/>
    <n v="25.849999999998545"/>
    <n v="1.4553909990962807E-3"/>
    <m/>
    <n v="18812.5"/>
    <n v="-5.5455149501661083E-2"/>
    <m/>
  </r>
  <r>
    <x v="572"/>
    <n v="17767.3"/>
    <n v="17827.75"/>
    <n v="17711.2"/>
    <n v="17813.599999999999"/>
    <n v="233008677"/>
    <n v="21295.14"/>
    <n v="17484.384999999998"/>
    <n v="17504.880000000005"/>
    <n v="17624.954749999997"/>
    <n v="44.349999999998545"/>
    <n v="2.4961586735181228E-3"/>
    <m/>
    <n v="18812.5"/>
    <n v="-5.309767441860469E-2"/>
    <m/>
  </r>
  <r>
    <x v="573"/>
    <n v="17813.099999999999"/>
    <n v="17931.599999999999"/>
    <n v="17797.900000000001"/>
    <n v="17915.05"/>
    <n v="241434660"/>
    <n v="24454.15"/>
    <n v="17521.219999999998"/>
    <n v="17503.718000000004"/>
    <n v="17634.846000000001"/>
    <n v="101.45000000000073"/>
    <n v="5.6952467566005211E-3"/>
    <m/>
    <n v="18812.5"/>
    <n v="-4.7704983388704325E-2"/>
    <m/>
  </r>
  <r>
    <x v="574"/>
    <n v="17950.400000000001"/>
    <n v="18089.150000000001"/>
    <n v="17885.3"/>
    <n v="18065"/>
    <n v="290263674"/>
    <n v="27026.12"/>
    <n v="17569.719999999998"/>
    <n v="17504.150000000005"/>
    <n v="17645.366999999998"/>
    <n v="149.95000000000073"/>
    <n v="8.3535742936090961E-3"/>
    <m/>
    <n v="18812.5"/>
    <n v="-3.9734219269103033E-2"/>
    <m/>
  </r>
  <r>
    <x v="575"/>
    <n v="18124.8"/>
    <n v="18180.25"/>
    <n v="18101.75"/>
    <n v="18147.650000000001"/>
    <n v="265216308"/>
    <n v="23615.47"/>
    <n v="17623.685000000001"/>
    <n v="17508.320000000003"/>
    <n v="17655.743000000002"/>
    <n v="82.650000000001455"/>
    <n v="4.5600503177966904E-3"/>
    <m/>
    <n v="18812.5"/>
    <n v="-3.5340863787375332E-2"/>
    <m/>
  </r>
  <r>
    <x v="576"/>
    <n v="18113.8"/>
    <n v="18116.349999999999"/>
    <n v="18042.400000000001"/>
    <n v="18089.849999999999"/>
    <n v="226171254"/>
    <n v="19079.79"/>
    <n v="17683.482500000002"/>
    <n v="17515.855000000007"/>
    <n v="17665.816749999998"/>
    <n v="-57.80000000000291"/>
    <n v="-3.1909372964260903E-3"/>
    <m/>
    <n v="18812.5"/>
    <n v="-3.8413289036544951E-2"/>
    <m/>
  </r>
  <r>
    <x v="577"/>
    <n v="18081"/>
    <n v="18267.45"/>
    <n v="18066.7"/>
    <n v="18255.8"/>
    <n v="226643581"/>
    <n v="21889.48"/>
    <n v="17733.939999999999"/>
    <n v="17519.055000000008"/>
    <n v="17675.163"/>
    <n v="165.95000000000073"/>
    <n v="9.1781428018362227E-3"/>
    <m/>
    <n v="18812.5"/>
    <n v="-2.9592026578073138E-2"/>
    <m/>
  </r>
  <r>
    <x v="578"/>
    <n v="18117.3"/>
    <n v="18216.95"/>
    <n v="18055.45"/>
    <n v="18069"/>
    <n v="239702311"/>
    <n v="26152.880000000001"/>
    <n v="17778.7425"/>
    <n v="17523.854000000007"/>
    <n v="17685.362000000001"/>
    <n v="-186.79999999999927"/>
    <n v="-1.0310587118389565E-2"/>
    <m/>
    <n v="18812.5"/>
    <n v="-3.952159468438543E-2"/>
    <m/>
  </r>
  <r>
    <x v="579"/>
    <n v="18120.599999999999"/>
    <n v="18286.95"/>
    <n v="18100.3"/>
    <n v="18264.400000000001"/>
    <n v="228399379"/>
    <n v="22687.94"/>
    <n v="17812.29"/>
    <n v="17524.517000000007"/>
    <n v="17695.415499999999"/>
    <n v="195.40000000000146"/>
    <n v="1.0783307396002421E-2"/>
    <m/>
    <n v="18812.5"/>
    <n v="-2.9134883720930205E-2"/>
    <m/>
  </r>
  <r>
    <x v="580"/>
    <n v="18303.400000000001"/>
    <n v="18344.2"/>
    <n v="18229.650000000001"/>
    <n v="18265.95"/>
    <n v="245368649"/>
    <n v="23478.06"/>
    <n v="17847.657499999998"/>
    <n v="17530.921000000006"/>
    <n v="17706.90425"/>
    <n v="1.5499999999992724"/>
    <n v="8.4683719964556982E-5"/>
    <m/>
    <n v="18812.5"/>
    <n v="-2.9052491694352089E-2"/>
    <m/>
  </r>
  <r>
    <x v="581"/>
    <n v="18313.599999999999"/>
    <n v="18326.75"/>
    <n v="18211.95"/>
    <n v="18315.099999999999"/>
    <n v="220450874"/>
    <n v="21416.41"/>
    <n v="17880.997500000001"/>
    <n v="17539.348000000005"/>
    <n v="17718.54075"/>
    <n v="49.149999999997817"/>
    <n v="2.6837978333040923E-3"/>
    <m/>
    <n v="18812.5"/>
    <n v="-2.643986710963464E-2"/>
    <m/>
  </r>
  <r>
    <x v="582"/>
    <n v="18357.8"/>
    <n v="18389.7"/>
    <n v="18270.400000000001"/>
    <n v="18297"/>
    <n v="248932544"/>
    <n v="26440.1"/>
    <n v="17915.549999999996"/>
    <n v="17549.116000000002"/>
    <n v="17729.87025"/>
    <n v="-18.099999999998545"/>
    <n v="-9.8595692294275701E-4"/>
    <m/>
    <n v="18812.5"/>
    <n v="-2.7401993355481769E-2"/>
    <m/>
  </r>
  <r>
    <x v="583"/>
    <n v="18273.75"/>
    <n v="18342.75"/>
    <n v="18194.55"/>
    <n v="18314.8"/>
    <n v="241702589"/>
    <n v="22046.04"/>
    <n v="17944.285"/>
    <n v="17563.97"/>
    <n v="17739.962749999999"/>
    <n v="17.799999999999272"/>
    <n v="9.7407483411994099E-4"/>
    <m/>
    <n v="18812.5"/>
    <n v="-2.6455813953488394E-2"/>
    <m/>
  </r>
  <r>
    <x v="584"/>
    <n v="18339.3"/>
    <n v="18458.900000000001"/>
    <n v="18287.900000000001"/>
    <n v="18398.849999999999"/>
    <n v="216088535"/>
    <n v="19329.75"/>
    <n v="17969.404999999999"/>
    <n v="17580.041000000005"/>
    <n v="17749.833999999995"/>
    <n v="84.049999999999272"/>
    <n v="4.5830538788284875E-3"/>
    <m/>
    <n v="18812.5"/>
    <n v="-2.1988039867109732E-2"/>
    <m/>
  </r>
  <r>
    <x v="585"/>
    <n v="18432.349999999999"/>
    <n v="18432.349999999999"/>
    <n v="18264.349999999999"/>
    <n v="18286.5"/>
    <n v="219490491"/>
    <n v="21063.78"/>
    <n v="17997.947499999998"/>
    <n v="17598.702000000001"/>
    <n v="17759.223999999998"/>
    <n v="-112.34999999999854"/>
    <n v="-6.0952618629745289E-3"/>
    <m/>
    <n v="18812.5"/>
    <n v="-2.7960132890365474E-2"/>
    <m/>
  </r>
  <r>
    <x v="586"/>
    <n v="18300.45"/>
    <n v="18309"/>
    <n v="18115.349999999999"/>
    <n v="18181.75"/>
    <n v="229898510"/>
    <n v="20903.12"/>
    <n v="18026.929999999997"/>
    <n v="17616.578000000001"/>
    <n v="17767.630249999998"/>
    <n v="-104.75"/>
    <n v="-5.7239029641347611E-3"/>
    <m/>
    <n v="18812.5"/>
    <n v="-3.3528239202657795E-2"/>
    <m/>
  </r>
  <r>
    <x v="587"/>
    <n v="18287.5"/>
    <n v="18297.2"/>
    <n v="18104.849999999999"/>
    <n v="18129.95"/>
    <n v="272103515"/>
    <n v="24172.44"/>
    <n v="18053.009999999998"/>
    <n v="17634.134000000002"/>
    <n v="17774.941749999994"/>
    <n v="-51.799999999999272"/>
    <n v="-2.8325358851674243E-3"/>
    <m/>
    <n v="18812.5"/>
    <n v="-3.6281727574750788E-2"/>
    <m/>
  </r>
  <r>
    <x v="588"/>
    <n v="18186.150000000001"/>
    <n v="18218.099999999999"/>
    <n v="18060.400000000001"/>
    <n v="18203.400000000001"/>
    <n v="260898407"/>
    <n v="22105.67"/>
    <n v="18078.57"/>
    <n v="17647.715000000004"/>
    <n v="17782.436499999996"/>
    <n v="73.450000000000728"/>
    <n v="4.0387877588165012E-3"/>
    <m/>
    <n v="18812.5"/>
    <n v="-3.2377408637873639E-2"/>
    <m/>
  </r>
  <r>
    <x v="589"/>
    <n v="18201.099999999999"/>
    <n v="18335.25"/>
    <n v="18178.849999999999"/>
    <n v="18314.400000000001"/>
    <n v="262560942"/>
    <n v="25147.58"/>
    <n v="18107.517500000002"/>
    <n v="17665.345000000001"/>
    <n v="17791.034249999993"/>
    <n v="111"/>
    <n v="6.0985325062770934E-3"/>
    <m/>
    <n v="18812.5"/>
    <n v="-2.6477076411960065E-2"/>
    <m/>
  </r>
  <r>
    <x v="590"/>
    <n v="18362.900000000001"/>
    <n v="18419.75"/>
    <n v="18324.2"/>
    <n v="18348"/>
    <n v="270354216"/>
    <n v="28648.15"/>
    <n v="18142.035000000003"/>
    <n v="17679.745999999999"/>
    <n v="17799.397249999995"/>
    <n v="33.599999999998545"/>
    <n v="1.8297763425166255E-3"/>
    <m/>
    <n v="18812.5"/>
    <n v="-2.4691029900332229E-2"/>
    <m/>
  </r>
  <r>
    <x v="591"/>
    <n v="18294.8"/>
    <n v="18392.599999999999"/>
    <n v="18262.95"/>
    <n v="18285.400000000001"/>
    <n v="232621507"/>
    <n v="24273.17"/>
    <n v="18172.265000000007"/>
    <n v="17692.477000000003"/>
    <n v="17806.489249999995"/>
    <n v="-62.599999999998545"/>
    <n v="-3.4217373242669256E-3"/>
    <m/>
    <n v="18812.5"/>
    <n v="-2.8018604651162682E-2"/>
    <m/>
  </r>
  <r>
    <x v="592"/>
    <n v="18268.900000000001"/>
    <n v="18338.099999999999"/>
    <n v="18202.400000000001"/>
    <n v="18321.150000000001"/>
    <n v="235915651"/>
    <n v="22411.41"/>
    <n v="18198.072500000006"/>
    <n v="17703.097000000002"/>
    <n v="17812.124999999993"/>
    <n v="35.75"/>
    <n v="1.9568775350458974E-3"/>
    <m/>
    <n v="18812.5"/>
    <n v="-2.6118272425249112E-2"/>
    <m/>
  </r>
  <r>
    <x v="593"/>
    <n v="18368.349999999999"/>
    <n v="18508.55"/>
    <n v="18333.150000000001"/>
    <n v="18499.349999999999"/>
    <n v="198668359"/>
    <n v="19094.080000000002"/>
    <n v="18223.450000000004"/>
    <n v="17717.728000000003"/>
    <n v="17817.030499999993"/>
    <n v="178.19999999999709"/>
    <n v="9.701470191933249E-3"/>
    <m/>
    <n v="18812.5"/>
    <n v="-1.6645847176079864E-2"/>
    <m/>
  </r>
  <r>
    <x v="594"/>
    <n v="18619.150000000001"/>
    <n v="18641.2"/>
    <n v="18581.25"/>
    <n v="18598.650000000001"/>
    <n v="265323978"/>
    <n v="19237.57"/>
    <n v="18252.665000000001"/>
    <n v="17739.457000000002"/>
    <n v="17822.799999999996"/>
    <n v="99.30000000000291"/>
    <n v="5.3332187559584033E-3"/>
    <m/>
    <n v="18812.5"/>
    <n v="-1.1367441860465011E-2"/>
    <m/>
  </r>
  <r>
    <x v="595"/>
    <n v="18606.650000000001"/>
    <n v="18662.45"/>
    <n v="18575.5"/>
    <n v="18633.849999999999"/>
    <n v="234391323"/>
    <n v="21660.69"/>
    <n v="18279.347500000003"/>
    <n v="17768.344000000001"/>
    <n v="17828.852499999994"/>
    <n v="35.19999999999709"/>
    <n v="1.891796750086506E-3"/>
    <m/>
    <n v="18812.5"/>
    <n v="-9.4963455149502662E-3"/>
    <m/>
  </r>
  <r>
    <x v="596"/>
    <n v="18594.2"/>
    <n v="18603.900000000001"/>
    <n v="18483.849999999999"/>
    <n v="18534.400000000001"/>
    <n v="696495765"/>
    <n v="70755.08"/>
    <n v="18303.657500000001"/>
    <n v="17800.155000000002"/>
    <n v="17835.111749999996"/>
    <n v="-99.44999999999709"/>
    <n v="-5.3484419872862014E-3"/>
    <m/>
    <n v="18812.5"/>
    <n v="-1.4782724252491608E-2"/>
    <m/>
  </r>
  <r>
    <x v="597"/>
    <n v="18579.400000000001"/>
    <n v="18580.3"/>
    <n v="18464.55"/>
    <n v="18487.75"/>
    <n v="265630759"/>
    <n v="24056.99"/>
    <n v="18325.885000000002"/>
    <n v="17831.400000000001"/>
    <n v="17840.796249999996"/>
    <n v="-46.650000000001455"/>
    <n v="-2.5108453448443682E-3"/>
    <m/>
    <n v="18812.5"/>
    <n v="-1.7262458471760778E-2"/>
    <m/>
  </r>
  <r>
    <x v="598"/>
    <n v="18550.849999999999"/>
    <n v="18573.7"/>
    <n v="18478.400000000001"/>
    <n v="18534.099999999999"/>
    <n v="270923679"/>
    <n v="23171.88"/>
    <n v="18337.482500000002"/>
    <n v="17861.442999999999"/>
    <n v="17845.609499999995"/>
    <n v="46.349999999998545"/>
    <n v="2.4985378028499258E-3"/>
    <m/>
    <n v="18812.5"/>
    <n v="-1.4798671096345584E-2"/>
    <m/>
  </r>
  <r>
    <x v="599"/>
    <n v="18612"/>
    <n v="18640.150000000001"/>
    <n v="18582.8"/>
    <n v="18593.849999999999"/>
    <n v="256111496"/>
    <n v="20369.16"/>
    <n v="18360.737499999999"/>
    <n v="17890.124"/>
    <n v="17850.606249999997"/>
    <n v="59.75"/>
    <n v="3.2102944336986892E-3"/>
    <m/>
    <n v="18812.5"/>
    <n v="-1.1622591362126289E-2"/>
    <m/>
  </r>
  <r>
    <x v="600"/>
    <n v="18600.8"/>
    <n v="18622.75"/>
    <n v="18531.599999999999"/>
    <n v="18599"/>
    <n v="220789926"/>
    <n v="21957.47"/>
    <n v="18377.21"/>
    <n v="17922.232999999997"/>
    <n v="17855.280499999997"/>
    <n v="5.1500000000014552"/>
    <n v="2.7686981205117284E-4"/>
    <m/>
    <n v="18812.5"/>
    <n v="-1.1348837209302354E-2"/>
    <m/>
  </r>
  <r>
    <x v="601"/>
    <n v="18665.599999999999"/>
    <n v="18738.95"/>
    <n v="18636"/>
    <n v="18726.400000000001"/>
    <n v="260109671"/>
    <n v="21482.77"/>
    <n v="18393.862499999996"/>
    <n v="17952.062999999998"/>
    <n v="17859.784749999995"/>
    <n v="127.40000000000146"/>
    <n v="6.825390022287066E-3"/>
    <m/>
    <n v="18812.5"/>
    <n v="-4.5767441860464775E-3"/>
    <m/>
  </r>
  <r>
    <x v="602"/>
    <n v="18725.349999999999"/>
    <n v="18777.900000000001"/>
    <n v="18615.599999999999"/>
    <n v="18634.55"/>
    <n v="286468927"/>
    <n v="22762.3"/>
    <n v="18414.427499999998"/>
    <n v="17983.553"/>
    <n v="17864.290499999996"/>
    <n v="-91.850000000002183"/>
    <n v="-4.9051152581928879E-3"/>
    <m/>
    <n v="18812.5"/>
    <n v="-9.4591362126246192E-3"/>
    <m/>
  </r>
  <r>
    <x v="603"/>
    <n v="18655.900000000001"/>
    <n v="18676.650000000001"/>
    <n v="18555.400000000001"/>
    <n v="18563.400000000001"/>
    <n v="221760885"/>
    <n v="20181.419999999998"/>
    <n v="18431.304999999997"/>
    <n v="18014.706000000002"/>
    <n v="17867.741999999995"/>
    <n v="-71.149999999997817"/>
    <n v="-3.8138068921894849E-3"/>
    <m/>
    <n v="18812.5"/>
    <n v="-1.3241196013288992E-2"/>
    <m/>
  </r>
  <r>
    <x v="604"/>
    <n v="18595.05"/>
    <n v="18633.599999999999"/>
    <n v="18559.75"/>
    <n v="18601.5"/>
    <n v="179463966"/>
    <n v="15386.04"/>
    <n v="18443.735000000001"/>
    <n v="18047.073"/>
    <n v="17870.776499999996"/>
    <n v="38.099999999998545"/>
    <n v="2.0489323771648127E-3"/>
    <m/>
    <n v="18812.5"/>
    <n v="-1.1215946843853852E-2"/>
    <m/>
  </r>
  <r>
    <x v="605"/>
    <n v="18631.8"/>
    <n v="18728.900000000001"/>
    <n v="18631.8"/>
    <n v="18716.150000000001"/>
    <n v="233167883"/>
    <n v="22612.62"/>
    <n v="18453.8675"/>
    <n v="18079.389000000003"/>
    <n v="17874.991749999997"/>
    <n v="114.65000000000146"/>
    <n v="6.1534580663168059E-3"/>
    <m/>
    <n v="18812.5"/>
    <n v="-5.1215946843853333E-3"/>
    <m/>
  </r>
  <r>
    <x v="606"/>
    <n v="18744.599999999999"/>
    <n v="18769.7"/>
    <n v="18690"/>
    <n v="18755.900000000001"/>
    <n v="261354575"/>
    <n v="19520.080000000002"/>
    <n v="18475.350000000002"/>
    <n v="18114.678"/>
    <n v="17881.118999999995"/>
    <n v="39.75"/>
    <n v="2.120610735891937E-3"/>
    <m/>
    <n v="18812.5"/>
    <n v="-3.0086378737540498E-3"/>
    <m/>
  </r>
  <r>
    <x v="607"/>
    <n v="18774.45"/>
    <n v="18794.099999999999"/>
    <n v="18669.05"/>
    <n v="18688.099999999999"/>
    <n v="263004991"/>
    <n v="24820.77"/>
    <n v="18504.057500000003"/>
    <n v="18148.182000000001"/>
    <n v="17887.010999999995"/>
    <n v="-67.80000000000291"/>
    <n v="-3.6112908766969421E-3"/>
    <m/>
    <n v="18812.5"/>
    <n v="-6.6126245847176746E-3"/>
    <m/>
  </r>
  <r>
    <x v="608"/>
    <n v="18723.3"/>
    <n v="18864.7"/>
    <n v="18710.5"/>
    <n v="18826"/>
    <n v="272771256"/>
    <n v="28877.67"/>
    <n v="18531.965000000004"/>
    <n v="18174.749"/>
    <n v="17892.426749999995"/>
    <n v="137.90000000000146"/>
    <n v="7.3651546468839072E-3"/>
    <m/>
    <n v="18826"/>
    <n v="0"/>
    <m/>
  </r>
  <r>
    <x v="609"/>
    <n v="18873.3"/>
    <n v="18881.45"/>
    <n v="18719.150000000001"/>
    <n v="18755.45"/>
    <n v="219815214"/>
    <n v="22699.84"/>
    <n v="18563.095000000001"/>
    <n v="18203.308000000005"/>
    <n v="17898.944499999994"/>
    <n v="-70.549999999999272"/>
    <n v="-3.738085019577884E-3"/>
    <m/>
    <n v="18826"/>
    <n v="-3.7474768936576197E-3"/>
    <m/>
  </r>
  <r>
    <x v="610"/>
    <n v="18752.349999999999"/>
    <n v="18839.7"/>
    <n v="18660.650000000001"/>
    <n v="18816.7"/>
    <n v="211649257"/>
    <n v="19687.080000000002"/>
    <n v="18585.147499999999"/>
    <n v="18227.276000000002"/>
    <n v="17904.927249999993"/>
    <n v="61.25"/>
    <n v="3.2662572957522658E-3"/>
    <m/>
    <n v="18826"/>
    <n v="-4.9399766280666668E-4"/>
    <m/>
  </r>
  <r>
    <x v="611"/>
    <n v="18849.400000000001"/>
    <n v="18875.900000000001"/>
    <n v="18794.849999999999"/>
    <n v="18856.849999999999"/>
    <n v="217481345"/>
    <n v="19102.48"/>
    <n v="18608.5825"/>
    <n v="18251.627"/>
    <n v="17912.446249999994"/>
    <n v="40.149999999997817"/>
    <n v="2.1300412745232111E-3"/>
    <m/>
    <n v="18856.849999999999"/>
    <n v="0"/>
    <m/>
  </r>
  <r>
    <x v="612"/>
    <n v="18853.599999999999"/>
    <n v="18886.599999999999"/>
    <n v="18759.5"/>
    <n v="18771.25"/>
    <n v="252697871"/>
    <n v="24990.87"/>
    <n v="18637.154999999999"/>
    <n v="18276.282999999999"/>
    <n v="17917.933999999997"/>
    <n v="-85.599999999998545"/>
    <n v="-4.5402469554885298E-3"/>
    <m/>
    <n v="18856.849999999999"/>
    <n v="-4.5394644386521632E-3"/>
    <m/>
  </r>
  <r>
    <x v="613"/>
    <n v="18741.849999999999"/>
    <n v="18756.400000000001"/>
    <n v="18647.099999999999"/>
    <n v="18665.5"/>
    <n v="210562119"/>
    <n v="20619.599999999999"/>
    <n v="18659.659999999996"/>
    <n v="18297.261999999999"/>
    <n v="17924.076249999995"/>
    <n v="-105.75"/>
    <n v="-5.6424525860574067E-3"/>
    <m/>
    <n v="18856.849999999999"/>
    <n v="-1.0147506078692858E-2"/>
    <m/>
  </r>
  <r>
    <x v="614"/>
    <n v="18682.349999999999"/>
    <n v="18722.05"/>
    <n v="18646.7"/>
    <n v="18691.2"/>
    <n v="171271325"/>
    <n v="17355.14"/>
    <n v="18667.967499999999"/>
    <n v="18314.324000000001"/>
    <n v="17929.706499999993"/>
    <n v="25.700000000000728"/>
    <n v="1.3756299394883796E-3"/>
    <m/>
    <n v="18856.849999999999"/>
    <n v="-8.7846061245646645E-3"/>
    <m/>
  </r>
  <r>
    <x v="615"/>
    <n v="18748.55"/>
    <n v="18829.25"/>
    <n v="18714.25"/>
    <n v="18817.400000000001"/>
    <n v="222464605"/>
    <n v="21415.89"/>
    <n v="18672.594999999998"/>
    <n v="18331.588"/>
    <n v="17934.833499999997"/>
    <n v="126.20000000000073"/>
    <n v="6.7311872118110856E-3"/>
    <m/>
    <n v="18856.849999999999"/>
    <n v="-2.0920779451497618E-3"/>
    <m/>
  </r>
  <r>
    <x v="616"/>
    <n v="18908.150000000001"/>
    <n v="19011.25"/>
    <n v="18861.349999999999"/>
    <n v="18972.099999999999"/>
    <n v="398782019"/>
    <n v="37356.94"/>
    <n v="18681.772499999999"/>
    <n v="18353.798999999999"/>
    <n v="17940.642499999994"/>
    <n v="154.69999999999709"/>
    <n v="8.1816571161111521E-3"/>
    <m/>
    <n v="18972.099999999999"/>
    <n v="0"/>
    <m/>
  </r>
  <r>
    <x v="617"/>
    <n v="19076.849999999999"/>
    <n v="19201.7"/>
    <n v="19024.599999999999"/>
    <n v="19189.05"/>
    <n v="247906587"/>
    <n v="26376.62"/>
    <n v="18703.657500000001"/>
    <n v="18380.038"/>
    <n v="17947.380999999998"/>
    <n v="216.95000000000073"/>
    <n v="1.1372422595973692E-2"/>
    <m/>
    <n v="19189.05"/>
    <n v="0"/>
    <m/>
  </r>
  <r>
    <x v="618"/>
    <n v="19246.5"/>
    <n v="19345.099999999999"/>
    <n v="19234.400000000001"/>
    <n v="19322.55"/>
    <n v="226050219"/>
    <n v="22681.54"/>
    <n v="18738.722500000003"/>
    <n v="18411.444000000003"/>
    <n v="17954.332499999997"/>
    <n v="133.5"/>
    <n v="6.9363260852622552E-3"/>
    <m/>
    <n v="19322.55"/>
    <n v="0"/>
    <m/>
  </r>
  <r>
    <x v="619"/>
    <n v="19406.599999999999"/>
    <n v="19434.150000000001"/>
    <n v="19300"/>
    <n v="19389"/>
    <n v="226916635"/>
    <n v="26634.06"/>
    <n v="18778.145"/>
    <n v="18445.406000000003"/>
    <n v="17961.778499999993"/>
    <n v="66.450000000000728"/>
    <n v="3.4240928343965832E-3"/>
    <m/>
    <n v="19389"/>
    <n v="0"/>
    <m/>
  </r>
  <r>
    <x v="620"/>
    <n v="19405.95"/>
    <n v="19421.599999999999"/>
    <n v="19339.599999999999"/>
    <n v="19398.5"/>
    <n v="224418797"/>
    <n v="24699.24"/>
    <n v="18817.9025"/>
    <n v="18480.705000000002"/>
    <n v="17969.041749999993"/>
    <n v="9.5"/>
    <n v="4.8954057904920909E-4"/>
    <m/>
    <n v="19398.5"/>
    <n v="0"/>
    <m/>
  </r>
  <r>
    <x v="621"/>
    <n v="19385.7"/>
    <n v="19512.2"/>
    <n v="19373"/>
    <n v="19497.3"/>
    <n v="268261285"/>
    <n v="28540.18"/>
    <n v="18857.877499999999"/>
    <n v="18513.807000000004"/>
    <n v="17975.683999999994"/>
    <n v="98.799999999999272"/>
    <n v="5.096540233264688E-3"/>
    <m/>
    <n v="19497.3"/>
    <n v="0"/>
    <m/>
  </r>
  <r>
    <x v="622"/>
    <n v="19422.8"/>
    <n v="19523.599999999999"/>
    <n v="19303.599999999999"/>
    <n v="19331.8"/>
    <n v="237102566"/>
    <n v="23089.25"/>
    <n v="18896.422500000001"/>
    <n v="18548.368000000002"/>
    <n v="17983.15174999999"/>
    <n v="-165.5"/>
    <n v="-8.5209135655003408E-3"/>
    <m/>
    <n v="19497.3"/>
    <n v="-8.4883547978438223E-3"/>
    <m/>
  </r>
  <r>
    <x v="623"/>
    <n v="19400.349999999999"/>
    <n v="19435.849999999999"/>
    <n v="19327.099999999999"/>
    <n v="19355.900000000001"/>
    <n v="268246132"/>
    <n v="25991.55"/>
    <n v="18931.284999999996"/>
    <n v="18578.732000000004"/>
    <n v="17990.423749999991"/>
    <n v="24.100000000002183"/>
    <n v="1.2422456295892695E-3"/>
    <m/>
    <n v="19497.3"/>
    <n v="-7.2522862139885458E-3"/>
    <m/>
  </r>
  <r>
    <x v="624"/>
    <n v="19427.099999999999"/>
    <n v="19515.099999999999"/>
    <n v="19406.45"/>
    <n v="19439.400000000001"/>
    <n v="251263638"/>
    <n v="26883.78"/>
    <n v="18970.91"/>
    <n v="18607.549000000003"/>
    <n v="17999.548999999988"/>
    <n v="83.5"/>
    <n v="4.2981196370019204E-3"/>
    <m/>
    <n v="19497.3"/>
    <n v="-2.9696419504238181E-3"/>
    <m/>
  </r>
  <r>
    <x v="625"/>
    <n v="19497.45"/>
    <n v="19507.7"/>
    <n v="19361.75"/>
    <n v="19384.3"/>
    <n v="327941559"/>
    <n v="40163.14"/>
    <n v="19012.805"/>
    <n v="18635.037"/>
    <n v="18008.634749999987"/>
    <n v="-55.100000000002183"/>
    <n v="-2.8260105808709437E-3"/>
    <m/>
    <n v="19497.3"/>
    <n v="-5.7956742728479949E-3"/>
    <m/>
  </r>
  <r>
    <x v="626"/>
    <n v="19495.2"/>
    <n v="19567"/>
    <n v="19385.8"/>
    <n v="19413.75"/>
    <n v="310442517"/>
    <n v="27244.560000000001"/>
    <n v="19046.212500000001"/>
    <n v="18659.770000000004"/>
    <n v="18016.474999999988"/>
    <n v="29.450000000000728"/>
    <n v="1.5106282572120689E-3"/>
    <m/>
    <n v="19497.3"/>
    <n v="-4.2852087212075229E-3"/>
    <m/>
  </r>
  <r>
    <x v="627"/>
    <n v="19493.45"/>
    <n v="19595.349999999999"/>
    <n v="19433.5"/>
    <n v="19564.5"/>
    <n v="291165841"/>
    <n v="25484.44"/>
    <n v="19079.105000000003"/>
    <n v="18686.248000000003"/>
    <n v="18024.951999999987"/>
    <n v="150.75"/>
    <n v="7.7333668488646186E-3"/>
    <m/>
    <n v="19564.5"/>
    <n v="0"/>
    <m/>
  </r>
  <r>
    <x v="628"/>
    <n v="19612.150000000001"/>
    <n v="19731.849999999999"/>
    <n v="19562.95"/>
    <n v="19711.45"/>
    <n v="268707894"/>
    <n v="25975.57"/>
    <n v="19122.924999999999"/>
    <n v="18712.422000000002"/>
    <n v="18034.625499999991"/>
    <n v="146.95000000000073"/>
    <n v="7.492804205556286E-3"/>
    <m/>
    <n v="19711.45"/>
    <n v="0"/>
    <m/>
  </r>
  <r>
    <x v="629"/>
    <n v="19787.5"/>
    <n v="19819.45"/>
    <n v="19690.2"/>
    <n v="19749.25"/>
    <n v="286353897"/>
    <n v="33269.08"/>
    <n v="19167.197500000002"/>
    <n v="18745.271000000004"/>
    <n v="18046.545999999991"/>
    <n v="37.799999999999272"/>
    <n v="1.9102969046114603E-3"/>
    <m/>
    <n v="19749.25"/>
    <n v="0"/>
    <m/>
  </r>
  <r>
    <x v="630"/>
    <n v="19802.95"/>
    <n v="19851.7"/>
    <n v="19727.45"/>
    <n v="19833.150000000001"/>
    <n v="259660464"/>
    <n v="26447.9"/>
    <n v="19216.887500000001"/>
    <n v="18774.968000000001"/>
    <n v="18060.210749999991"/>
    <n v="83.900000000001455"/>
    <n v="4.2367425055358648E-3"/>
    <m/>
    <n v="19833.150000000001"/>
    <n v="0"/>
    <m/>
  </r>
  <r>
    <x v="631"/>
    <n v="19831.7"/>
    <n v="19991.849999999999"/>
    <n v="19758.400000000001"/>
    <n v="19979.150000000001"/>
    <n v="274698867"/>
    <n v="30622.66"/>
    <n v="19267.71"/>
    <n v="18806.312000000002"/>
    <n v="18074.339499999991"/>
    <n v="146"/>
    <n v="7.36195081611763E-3"/>
    <m/>
    <n v="19979.150000000001"/>
    <n v="0"/>
    <m/>
  </r>
  <r>
    <x v="632"/>
    <n v="19800.45"/>
    <n v="19887.400000000001"/>
    <n v="19700"/>
    <n v="19745"/>
    <n v="312461795"/>
    <n v="33802.14"/>
    <n v="19323.825000000004"/>
    <n v="18839.593000000004"/>
    <n v="18089.942249999993"/>
    <n v="-234.15000000000146"/>
    <n v="-1.1825488814648224E-2"/>
    <m/>
    <n v="19979.150000000001"/>
    <n v="-1.1719717805812602E-2"/>
    <m/>
  </r>
  <r>
    <x v="633"/>
    <n v="19748.45"/>
    <n v="19782.75"/>
    <n v="19658.3"/>
    <n v="19672.349999999999"/>
    <n v="265562151"/>
    <n v="24522.29"/>
    <n v="19372.512500000001"/>
    <n v="18868.553000000004"/>
    <n v="18104.576749999993"/>
    <n v="-72.650000000001455"/>
    <n v="-3.6787697262317524E-3"/>
    <m/>
    <n v="19979.150000000001"/>
    <n v="-1.5356008639006324E-2"/>
    <m/>
  </r>
  <r>
    <x v="634"/>
    <n v="19729.349999999999"/>
    <n v="19729.349999999999"/>
    <n v="19615.95"/>
    <n v="19680.599999999999"/>
    <n v="369653496"/>
    <n v="29665.67"/>
    <n v="19422.855"/>
    <n v="18895.704000000005"/>
    <n v="18117.466749999992"/>
    <n v="8.25"/>
    <n v="4.1815873305506773E-4"/>
    <m/>
    <n v="19979.150000000001"/>
    <n v="-1.4943078158980883E-2"/>
    <m/>
  </r>
  <r>
    <x v="635"/>
    <n v="19733.349999999999"/>
    <n v="19825.599999999999"/>
    <n v="19716.7"/>
    <n v="19778.3"/>
    <n v="244747425"/>
    <n v="23023.86"/>
    <n v="19472.324999999997"/>
    <n v="18921.339000000004"/>
    <n v="18131.432999999994"/>
    <n v="97.700000000000728"/>
    <n v="4.951009331917831E-3"/>
    <m/>
    <n v="19979.150000000001"/>
    <n v="-1.0052980231891828E-2"/>
    <m/>
  </r>
  <r>
    <x v="636"/>
    <n v="19850.900000000001"/>
    <n v="19867.55"/>
    <n v="19603.55"/>
    <n v="19659.900000000001"/>
    <n v="334891351"/>
    <n v="35019.129999999997"/>
    <n v="19520.37"/>
    <n v="18951.175000000007"/>
    <n v="18143.95299999999"/>
    <n v="-118.39999999999782"/>
    <n v="-5.9644650872251537E-3"/>
    <m/>
    <n v="19979.150000000001"/>
    <n v="-1.5979158272499072E-2"/>
    <m/>
  </r>
  <r>
    <x v="637"/>
    <n v="19659.75"/>
    <n v="19695.900000000001"/>
    <n v="19563.099999999999"/>
    <n v="19646.05"/>
    <n v="258671382"/>
    <n v="22995.98"/>
    <n v="19554.760000000002"/>
    <n v="18980.738000000008"/>
    <n v="18155.593499999992"/>
    <n v="-13.850000000002183"/>
    <n v="-7.0448505194634634E-4"/>
    <m/>
    <n v="19979.150000000001"/>
    <n v="-1.6672380957147959E-2"/>
    <m/>
  </r>
  <r>
    <x v="638"/>
    <n v="19666.349999999999"/>
    <n v="19772.75"/>
    <n v="19597.599999999999"/>
    <n v="19753.8"/>
    <n v="295053318"/>
    <n v="23075.38"/>
    <n v="19577.609999999997"/>
    <n v="19011.060000000009"/>
    <n v="18167.250499999987"/>
    <n v="107.75"/>
    <n v="5.4789017789269494E-3"/>
    <m/>
    <n v="19979.150000000001"/>
    <n v="-1.1279258627118871E-2"/>
    <m/>
  </r>
  <r>
    <x v="639"/>
    <n v="19784"/>
    <n v="19795.599999999999"/>
    <n v="19704.599999999999"/>
    <n v="19733.55"/>
    <n v="298048161"/>
    <n v="24554.71"/>
    <n v="19599.172499999993"/>
    <n v="19042.068000000007"/>
    <n v="18179.814499999989"/>
    <n v="-20.25"/>
    <n v="-1.0235543873837445E-3"/>
    <m/>
    <n v="19979.150000000001"/>
    <n v="-1.2292815259908552E-2"/>
    <m/>
  </r>
  <r>
    <x v="640"/>
    <n v="19655.400000000001"/>
    <n v="19678.25"/>
    <n v="19423.55"/>
    <n v="19526.55"/>
    <n v="290666798"/>
    <n v="23997.47"/>
    <n v="19616.399999999998"/>
    <n v="19070.451000000008"/>
    <n v="18193.564499999986"/>
    <n v="-207"/>
    <n v="-1.0531457004182057E-2"/>
    <m/>
    <n v="19979.150000000001"/>
    <n v="-2.2653616395092002E-2"/>
    <m/>
  </r>
  <r>
    <x v="641"/>
    <n v="19463.75"/>
    <n v="19537.650000000001"/>
    <n v="19296.45"/>
    <n v="19381.650000000001"/>
    <n v="315688612"/>
    <n v="29899.38"/>
    <n v="19622.802499999998"/>
    <n v="19094.022000000008"/>
    <n v="18205.579249999988"/>
    <n v="-144.89999999999782"/>
    <n v="-7.4446085672081599E-3"/>
    <m/>
    <n v="19979.150000000001"/>
    <n v="-2.9906177189720329E-2"/>
    <m/>
  </r>
  <r>
    <x v="642"/>
    <n v="19462.8"/>
    <n v="19538.849999999999"/>
    <n v="19436.45"/>
    <n v="19517"/>
    <n v="280799561"/>
    <n v="28086.15"/>
    <n v="19617.02"/>
    <n v="19115.947000000007"/>
    <n v="18217.415749999986"/>
    <n v="135.34999999999854"/>
    <n v="6.9542922909344258E-3"/>
    <m/>
    <n v="19979.150000000001"/>
    <n v="-2.313161470833347E-2"/>
    <m/>
  </r>
  <r>
    <x v="643"/>
    <n v="19576.849999999999"/>
    <n v="19620.45"/>
    <n v="19524.8"/>
    <n v="19597.3"/>
    <n v="216586074"/>
    <n v="21655.87"/>
    <n v="19626.28"/>
    <n v="19139.864000000009"/>
    <n v="18229.072249999987"/>
    <n v="80.299999999999272"/>
    <n v="4.1017834840640487E-3"/>
    <m/>
    <n v="19979.150000000001"/>
    <n v="-1.9112424702752762E-2"/>
    <m/>
  </r>
  <r>
    <x v="644"/>
    <n v="19627.2"/>
    <n v="19634.400000000001"/>
    <n v="19533.099999999999"/>
    <n v="19570.849999999999"/>
    <n v="260294052"/>
    <n v="25437.47"/>
    <n v="19638.349999999999"/>
    <n v="19161.823000000008"/>
    <n v="18240.499749999988"/>
    <n v="-26.450000000000728"/>
    <n v="-1.3476196299013984E-3"/>
    <m/>
    <n v="19979.150000000001"/>
    <n v="-2.043630484780401E-2"/>
    <m/>
  </r>
  <r>
    <x v="645"/>
    <n v="19578.8"/>
    <n v="19645.5"/>
    <n v="19467.5"/>
    <n v="19632.55"/>
    <n v="266495074"/>
    <n v="23201.75"/>
    <n v="19644.922499999997"/>
    <n v="19181.267000000007"/>
    <n v="18250.919249999988"/>
    <n v="61.700000000000728"/>
    <n v="3.1513678059942761E-3"/>
    <m/>
    <n v="19979.150000000001"/>
    <n v="-1.7348085379007672E-2"/>
    <m/>
  </r>
  <r>
    <x v="646"/>
    <n v="19605.55"/>
    <n v="19623.599999999999"/>
    <n v="19495.400000000001"/>
    <n v="19543.099999999999"/>
    <n v="312193785"/>
    <n v="29430.34"/>
    <n v="19657.334999999999"/>
    <n v="19201.241000000005"/>
    <n v="18261.520749999989"/>
    <n v="-89.450000000000728"/>
    <n v="-4.5624835824550052E-3"/>
    <m/>
    <n v="19979.150000000001"/>
    <n v="-2.1825252826071284E-2"/>
    <m/>
  </r>
  <r>
    <x v="647"/>
    <n v="19554.25"/>
    <n v="19557.75"/>
    <n v="19412.75"/>
    <n v="19428.3"/>
    <n v="235524048"/>
    <n v="24521.24"/>
    <n v="19663.802499999998"/>
    <n v="19221.415000000008"/>
    <n v="18271.416499999988"/>
    <n v="-114.79999999999927"/>
    <n v="-5.8708464911719589E-3"/>
    <m/>
    <n v="19979.150000000001"/>
    <n v="-2.7571243020849345E-2"/>
    <m/>
  </r>
  <r>
    <x v="648"/>
    <n v="19383.95"/>
    <n v="19465.849999999999"/>
    <n v="19257.900000000001"/>
    <n v="19434.55"/>
    <n v="243850815"/>
    <n v="22767.43"/>
    <n v="19656.992499999993"/>
    <n v="19240.22600000001"/>
    <n v="18280.676499999987"/>
    <n v="6.25"/>
    <n v="3.2243170251677287E-4"/>
    <m/>
    <n v="19979.150000000001"/>
    <n v="-2.7258416899617943E-2"/>
    <m/>
  </r>
  <r>
    <x v="649"/>
    <n v="19369"/>
    <n v="19482.75"/>
    <n v="19317.2"/>
    <n v="19465"/>
    <n v="226627230"/>
    <n v="21484.66"/>
    <n v="19643.147499999992"/>
    <n v="19258.235000000008"/>
    <n v="18289.195499999987"/>
    <n v="30.450000000000728"/>
    <n v="1.572099747018469E-3"/>
    <m/>
    <n v="19979.150000000001"/>
    <n v="-2.5734328036978615E-2"/>
    <m/>
  </r>
  <r>
    <x v="650"/>
    <n v="19450.55"/>
    <n v="19461.55"/>
    <n v="19326.25"/>
    <n v="19365.25"/>
    <n v="268663456"/>
    <n v="26505.65"/>
    <n v="19628.934999999994"/>
    <n v="19275.658000000007"/>
    <n v="18298.238749999982"/>
    <n v="-99.75"/>
    <n v="-5.1283896856387096E-3"/>
    <m/>
    <n v="19979.150000000001"/>
    <n v="-3.0727032931831544E-2"/>
    <m/>
  </r>
  <r>
    <x v="651"/>
    <n v="19301.75"/>
    <n v="19373.8"/>
    <n v="19253.599999999999"/>
    <n v="19310.150000000001"/>
    <n v="256142364"/>
    <n v="25641.41"/>
    <n v="19605.539999999994"/>
    <n v="19290.983000000007"/>
    <n v="18306.380249999984"/>
    <n v="-55.099999999998545"/>
    <n v="-2.8546634372530236E-3"/>
    <m/>
    <n v="19979.150000000001"/>
    <n v="-3.3484908016607307E-2"/>
    <m/>
  </r>
  <r>
    <x v="652"/>
    <n v="19320.650000000001"/>
    <n v="19425.95"/>
    <n v="19296.3"/>
    <n v="19393.599999999999"/>
    <n v="262589133"/>
    <n v="20738.75"/>
    <n v="19572.089999999997"/>
    <n v="19302.65800000001"/>
    <n v="18313.996999999985"/>
    <n v="83.44999999999709"/>
    <n v="4.3192128629211271E-3"/>
    <m/>
    <n v="19979.150000000001"/>
    <n v="-2.9308053645926035E-2"/>
    <m/>
  </r>
  <r>
    <x v="653"/>
    <n v="19417.099999999999"/>
    <n v="19443.5"/>
    <n v="19381.3"/>
    <n v="19396.45"/>
    <n v="208704354"/>
    <n v="20226.48"/>
    <n v="19554.519999999997"/>
    <n v="19317.839000000007"/>
    <n v="18320.903999999984"/>
    <n v="2.8500000000021828"/>
    <n v="1.4677784015131934E-4"/>
    <m/>
    <n v="19979.150000000001"/>
    <n v="-2.9165404934644368E-2"/>
    <m/>
  </r>
  <r>
    <x v="654"/>
    <n v="19439.2"/>
    <n v="19472.05"/>
    <n v="19366.599999999999"/>
    <n v="19444"/>
    <n v="225214991"/>
    <n v="20167.16"/>
    <n v="19540.724999999999"/>
    <n v="19334.500000000007"/>
    <n v="18327.159249999982"/>
    <n v="47.549999999999272"/>
    <n v="2.4460883163915834E-3"/>
    <m/>
    <n v="19979.150000000001"/>
    <n v="-2.6785423804316033E-2"/>
    <m/>
  </r>
  <r>
    <x v="655"/>
    <n v="19535.150000000001"/>
    <n v="19584.45"/>
    <n v="19369"/>
    <n v="19386.7"/>
    <n v="268256859"/>
    <n v="24338.240000000002"/>
    <n v="19528.895"/>
    <n v="19351.350000000009"/>
    <n v="18333.964999999982"/>
    <n v="-57.299999999999272"/>
    <n v="-2.9331743037549888E-3"/>
    <m/>
    <n v="19979.150000000001"/>
    <n v="-2.9653413683765395E-2"/>
    <m/>
  </r>
  <r>
    <x v="656"/>
    <n v="19297.400000000001"/>
    <n v="19339.55"/>
    <n v="19229.7"/>
    <n v="19265.8"/>
    <n v="466518217"/>
    <n v="24998.12"/>
    <n v="19509.314999999999"/>
    <n v="19364.76100000001"/>
    <n v="18340.634999999987"/>
    <n v="-120.90000000000146"/>
    <n v="-6.2650927067895903E-3"/>
    <m/>
    <n v="19979.150000000001"/>
    <n v="-3.5704722172865355E-2"/>
    <m/>
  </r>
  <r>
    <x v="657"/>
    <n v="19298.349999999999"/>
    <n v="19366.849999999999"/>
    <n v="19249.7"/>
    <n v="19306.05"/>
    <n v="248178769"/>
    <n v="18237.22"/>
    <n v="19489.61"/>
    <n v="19374.95900000001"/>
    <n v="18346.378249999987"/>
    <n v="40.25"/>
    <n v="2.0856705366002794E-3"/>
    <m/>
    <n v="19979.150000000001"/>
    <n v="-3.3690121952135166E-2"/>
    <m/>
  </r>
  <r>
    <x v="658"/>
    <n v="19374.849999999999"/>
    <n v="19377.900000000001"/>
    <n v="19309.099999999999"/>
    <n v="19342.650000000001"/>
    <n v="307388116"/>
    <n v="22501.119999999999"/>
    <n v="19472.609999999997"/>
    <n v="19387.318000000007"/>
    <n v="18351.894499999984"/>
    <n v="36.600000000002183"/>
    <n v="1.8890468829437226E-3"/>
    <m/>
    <n v="19979.150000000001"/>
    <n v="-3.1858212186204105E-2"/>
    <m/>
  </r>
  <r>
    <x v="659"/>
    <n v="19433.45"/>
    <n v="19452.8"/>
    <n v="19334.75"/>
    <n v="19347.45"/>
    <n v="233004568"/>
    <n v="19877.490000000002"/>
    <n v="19452.052499999998"/>
    <n v="19397.651000000009"/>
    <n v="18357.822749999985"/>
    <n v="4.7999999999992724"/>
    <n v="2.4699680190595454E-4"/>
    <m/>
    <n v="19979.150000000001"/>
    <n v="-3.1617961725098453E-2"/>
    <m/>
  </r>
  <r>
    <x v="660"/>
    <n v="19375.55"/>
    <n v="19388.2"/>
    <n v="19223.650000000001"/>
    <n v="19253.8"/>
    <n v="562557215"/>
    <n v="45699.54"/>
    <n v="19432.747500000001"/>
    <n v="19409.491000000005"/>
    <n v="18364.418999999983"/>
    <n v="-93.650000000001455"/>
    <n v="-4.833411180585917E-3"/>
    <m/>
    <n v="19979.150000000001"/>
    <n v="-3.6305348325629594E-2"/>
    <m/>
  </r>
  <r>
    <x v="661"/>
    <n v="19258.150000000001"/>
    <n v="19458.55"/>
    <n v="19255.7"/>
    <n v="19435.3"/>
    <n v="372502191"/>
    <n v="25962.38"/>
    <n v="19419.11"/>
    <n v="19418.233000000004"/>
    <n v="18368.939499999989"/>
    <n v="181.5"/>
    <n v="9.4245812811718666E-3"/>
    <m/>
    <n v="19979.150000000001"/>
    <n v="-2.7220877765070206E-2"/>
    <m/>
  </r>
  <r>
    <x v="662"/>
    <n v="19525.05"/>
    <n v="19545.150000000001"/>
    <n v="19432.849999999999"/>
    <n v="19528.8"/>
    <n v="396071122"/>
    <n v="24822.79"/>
    <n v="19421.7925"/>
    <n v="19429.802000000007"/>
    <n v="18374.470249999984"/>
    <n v="93.5"/>
    <n v="4.7887201313184862E-3"/>
    <m/>
    <n v="19979.150000000001"/>
    <n v="-2.254099899144868E-2"/>
    <m/>
  </r>
  <r>
    <x v="663"/>
    <n v="19564.650000000001"/>
    <n v="19587.05"/>
    <n v="19525.75"/>
    <n v="19574.900000000001"/>
    <n v="303958622"/>
    <n v="24029.89"/>
    <n v="19422.3825"/>
    <n v="19444.953000000005"/>
    <n v="18380.097249999984"/>
    <n v="46.100000000002183"/>
    <n v="2.3562905546484184E-3"/>
    <m/>
    <n v="19979.150000000001"/>
    <n v="-2.0233593521245874E-2"/>
    <m/>
  </r>
  <r>
    <x v="664"/>
    <n v="19581.2"/>
    <n v="19636.45"/>
    <n v="19491.5"/>
    <n v="19611.05"/>
    <n v="512974083"/>
    <n v="32500.52"/>
    <n v="19421.262500000001"/>
    <n v="19463.141000000007"/>
    <n v="18385.923499999983"/>
    <n v="36.149999999997817"/>
    <n v="1.8461585602515583E-3"/>
    <m/>
    <n v="19979.150000000001"/>
    <n v="-1.8424207236043655E-2"/>
    <m/>
  </r>
  <r>
    <x v="665"/>
    <n v="19598.650000000001"/>
    <n v="19737"/>
    <n v="19550.05"/>
    <n v="19727.05"/>
    <n v="304929822"/>
    <n v="23591"/>
    <n v="19423.272499999999"/>
    <n v="19481.538000000004"/>
    <n v="18392.259249999981"/>
    <n v="116"/>
    <n v="5.918775017667033E-3"/>
    <m/>
    <n v="19979.150000000001"/>
    <n v="-1.2618154425989236E-2"/>
    <m/>
  </r>
  <r>
    <x v="666"/>
    <n v="19774.8"/>
    <n v="19867.150000000001"/>
    <n v="19727.05"/>
    <n v="19819.95"/>
    <n v="288093693"/>
    <n v="23530.84"/>
    <n v="19427.997499999998"/>
    <n v="19499.731000000007"/>
    <n v="18399.356249999983"/>
    <n v="92.900000000001455"/>
    <n v="4.6978983352550449E-3"/>
    <m/>
    <n v="19979.150000000001"/>
    <n v="-7.9683069600058332E-3"/>
    <m/>
  </r>
  <r>
    <x v="667"/>
    <n v="19890"/>
    <n v="20008.150000000001"/>
    <n v="19865.349999999999"/>
    <n v="19996.349999999999"/>
    <n v="248763130"/>
    <n v="21924.34"/>
    <n v="19441.84"/>
    <n v="19516.688000000006"/>
    <n v="18407.656249999982"/>
    <n v="176.39999999999782"/>
    <n v="8.8687782805428762E-3"/>
    <m/>
    <n v="19996.349999999999"/>
    <n v="0"/>
    <m/>
  </r>
  <r>
    <x v="668"/>
    <n v="20110.150000000001"/>
    <n v="20110.349999999999"/>
    <n v="19914.650000000001"/>
    <n v="19993.2"/>
    <n v="328064239"/>
    <n v="30110.799999999999"/>
    <n v="19470.2425"/>
    <n v="19532.834000000003"/>
    <n v="18416.416999999983"/>
    <n v="-3.1499999999978172"/>
    <n v="-1.5663731996020999E-4"/>
    <m/>
    <n v="19996.349999999999"/>
    <n v="-1.5752874899654934E-4"/>
    <m/>
  </r>
  <r>
    <x v="669"/>
    <n v="19989.5"/>
    <n v="20096.900000000001"/>
    <n v="19944.099999999999"/>
    <n v="20070"/>
    <n v="251394599"/>
    <n v="24332.36"/>
    <n v="19498.174999999996"/>
    <n v="19546.247000000003"/>
    <n v="18425.046749999983"/>
    <n v="76.799999999999272"/>
    <n v="3.8420170589559153E-3"/>
    <m/>
    <n v="20070"/>
    <n v="0"/>
    <m/>
  </r>
  <r>
    <x v="670"/>
    <n v="20127.95"/>
    <n v="20167.650000000001"/>
    <n v="20043.45"/>
    <n v="20103.099999999999"/>
    <n v="275111881"/>
    <n v="21902.65"/>
    <n v="19528.424999999996"/>
    <n v="19559.867000000002"/>
    <n v="18432.976249999985"/>
    <n v="33.099999999998545"/>
    <n v="1.644479442764839E-3"/>
    <m/>
    <n v="20103.099999999999"/>
    <n v="0"/>
    <m/>
  </r>
  <r>
    <x v="671"/>
    <n v="20156.45"/>
    <n v="20222.45"/>
    <n v="20129.7"/>
    <n v="20192.349999999999"/>
    <n v="438185104"/>
    <n v="42681.35"/>
    <n v="19565.317499999997"/>
    <n v="19573.959000000003"/>
    <n v="18440.927999999982"/>
    <n v="89.25"/>
    <n v="4.427863041358969E-3"/>
    <m/>
    <n v="20192.349999999999"/>
    <n v="0"/>
    <m/>
  </r>
  <r>
    <x v="672"/>
    <n v="20155.95"/>
    <n v="20195.349999999999"/>
    <n v="20115.7"/>
    <n v="20133.3"/>
    <n v="264870758"/>
    <n v="21135.95"/>
    <n v="19609.427499999998"/>
    <n v="19587.86"/>
    <n v="18449.075999999983"/>
    <n v="-59.049999999999272"/>
    <n v="-2.9296560072831729E-3"/>
    <m/>
    <n v="20192.349999999999"/>
    <n v="-2.9243748251194246E-3"/>
    <m/>
  </r>
  <r>
    <x v="673"/>
    <n v="19980.75"/>
    <n v="20050.650000000001"/>
    <n v="19878.849999999999"/>
    <n v="19901.400000000001"/>
    <n v="378065882"/>
    <n v="37351.58"/>
    <n v="19646.412499999995"/>
    <n v="19603.89"/>
    <n v="18456.652249999981"/>
    <n v="-231.89999999999782"/>
    <n v="-1.1606170939529188E-2"/>
    <m/>
    <n v="20192.349999999999"/>
    <n v="-1.4408922190829565E-2"/>
    <m/>
  </r>
  <r>
    <x v="674"/>
    <n v="19840.55"/>
    <n v="19848.75"/>
    <n v="19709.95"/>
    <n v="19742.349999999999"/>
    <n v="275132260"/>
    <n v="26711.83"/>
    <n v="19671.659999999996"/>
    <n v="19614.8"/>
    <n v="18462.367499999982"/>
    <n v="-159.05000000000291"/>
    <n v="-8.0164108353852556E-3"/>
    <m/>
    <n v="20192.349999999999"/>
    <n v="-2.2285667591934621E-2"/>
    <m/>
  </r>
  <r>
    <x v="675"/>
    <n v="19744.849999999999"/>
    <n v="19798.650000000001"/>
    <n v="19657.5"/>
    <n v="19674.25"/>
    <n v="246410075"/>
    <n v="24137.57"/>
    <n v="19686.577499999996"/>
    <n v="19620.859"/>
    <n v="18467.016749999981"/>
    <n v="-68.099999999998545"/>
    <n v="-3.4490006254794818E-3"/>
    <m/>
    <n v="20192.349999999999"/>
    <n v="-2.5658231954180599E-2"/>
    <m/>
  </r>
  <r>
    <x v="676"/>
    <n v="19678.2"/>
    <n v="19734.150000000001"/>
    <n v="19601.55"/>
    <n v="19674.55"/>
    <n v="188398392"/>
    <n v="20194.48"/>
    <n v="19700.954999999994"/>
    <n v="19626.657999999999"/>
    <n v="18471.907499999983"/>
    <n v="0.2999999999992724"/>
    <n v="1.5245296825892225E-5"/>
    <m/>
    <n v="20192.349999999999"/>
    <n v="-2.5643374842452715E-2"/>
    <m/>
  </r>
  <r>
    <x v="677"/>
    <n v="19682.8"/>
    <n v="19699.349999999999"/>
    <n v="19637.45"/>
    <n v="19664.7"/>
    <n v="204869058"/>
    <n v="18118.189999999999"/>
    <n v="19721.392499999998"/>
    <n v="19631.874"/>
    <n v="18476.774999999983"/>
    <n v="-9.8499999999985448"/>
    <n v="-5.0043692970504932E-4"/>
    <m/>
    <n v="20192.349999999999"/>
    <n v="-2.6131183344187181E-2"/>
    <m/>
  </r>
  <r>
    <x v="678"/>
    <n v="19637.05"/>
    <n v="19730.7"/>
    <n v="19554"/>
    <n v="19716.45"/>
    <n v="203559874"/>
    <n v="19659.169999999998"/>
    <n v="19739.325000000001"/>
    <n v="19633.878000000001"/>
    <n v="18481.884749999983"/>
    <n v="51.75"/>
    <n v="2.635324552313102E-3"/>
    <m/>
    <n v="20192.349999999999"/>
    <n v="-2.3568331571114709E-2"/>
    <m/>
  </r>
  <r>
    <x v="679"/>
    <n v="19761.8"/>
    <n v="19766.650000000001"/>
    <n v="19492.099999999999"/>
    <n v="19523.55"/>
    <n v="352810261"/>
    <n v="30069.78"/>
    <n v="19758.015000000003"/>
    <n v="19633.977999999999"/>
    <n v="18487.664499999984"/>
    <n v="-192.90000000000146"/>
    <n v="-9.7612565656975299E-3"/>
    <m/>
    <n v="20192.349999999999"/>
    <n v="-3.3121454412190721E-2"/>
    <m/>
  </r>
  <r>
    <x v="680"/>
    <n v="19581.2"/>
    <n v="19726.25"/>
    <n v="19551.05"/>
    <n v="19638.3"/>
    <n v="243508919"/>
    <n v="20978.720000000001"/>
    <n v="19766.82"/>
    <n v="19629.464"/>
    <n v="18492.235499999981"/>
    <n v="114.75"/>
    <n v="5.8602128572304048E-3"/>
    <m/>
    <n v="20192.349999999999"/>
    <n v="-2.7438609176247408E-2"/>
    <m/>
  </r>
  <r>
    <x v="681"/>
    <n v="19622.400000000001"/>
    <n v="19623.2"/>
    <n v="19479.650000000001"/>
    <n v="19528.75"/>
    <n v="221719625"/>
    <n v="21459.58"/>
    <n v="19786.044999999998"/>
    <n v="19625.567000000003"/>
    <n v="18497.943999999981"/>
    <n v="-109.54999999999927"/>
    <n v="-5.5829052511415147E-3"/>
    <m/>
    <n v="20192.349999999999"/>
    <n v="-3.28639311422394E-2"/>
    <m/>
  </r>
  <r>
    <x v="682"/>
    <n v="19446.3"/>
    <n v="19457.8"/>
    <n v="19333.599999999999"/>
    <n v="19436.099999999999"/>
    <n v="277148310"/>
    <n v="26017.47"/>
    <n v="19790.717500000002"/>
    <n v="19616.559000000001"/>
    <n v="18503.101999999981"/>
    <n v="-92.650000000001455"/>
    <n v="-4.7644024827345798E-3"/>
    <m/>
    <n v="20192.349999999999"/>
    <n v="-3.7452302480890043E-2"/>
    <m/>
  </r>
  <r>
    <x v="683"/>
    <n v="19521.849999999999"/>
    <n v="19576.95"/>
    <n v="19487.3"/>
    <n v="19545.75"/>
    <n v="234865323"/>
    <n v="22019.040000000001"/>
    <n v="19786.082499999997"/>
    <n v="19610.381000000001"/>
    <n v="18507.242499999982"/>
    <n v="109.65000000000146"/>
    <n v="5.6167832454404407E-3"/>
    <m/>
    <n v="20192.349999999999"/>
    <n v="-3.2022028144321868E-2"/>
    <m/>
  </r>
  <r>
    <x v="684"/>
    <n v="19621.2"/>
    <n v="19675.75"/>
    <n v="19589.400000000001"/>
    <n v="19653.5"/>
    <n v="159051277"/>
    <n v="16096.52"/>
    <n v="19784.624999999996"/>
    <n v="19607.849000000002"/>
    <n v="18511.669749999983"/>
    <n v="107.75"/>
    <n v="5.4915091839438969E-3"/>
    <m/>
    <n v="20192.349999999999"/>
    <n v="-2.6685848848697624E-2"/>
    <m/>
  </r>
  <r>
    <x v="685"/>
    <n v="19539.45"/>
    <n v="19588.95"/>
    <n v="19480.5"/>
    <n v="19512.349999999999"/>
    <n v="165094800"/>
    <n v="15499.67"/>
    <n v="19786.747499999998"/>
    <n v="19607.307000000001"/>
    <n v="18517.862749999982"/>
    <n v="-141.15000000000146"/>
    <n v="-7.2238471400168092E-3"/>
    <m/>
    <n v="20192.349999999999"/>
    <n v="-3.3676119916701164E-2"/>
    <m/>
  </r>
  <r>
    <x v="686"/>
    <n v="19565.599999999999"/>
    <n v="19717.8"/>
    <n v="19565.45"/>
    <n v="19689.849999999999"/>
    <n v="216559447"/>
    <n v="18735.62"/>
    <n v="19776.012499999997"/>
    <n v="19601.988000000001"/>
    <n v="18524.079499999985"/>
    <n v="177.5"/>
    <n v="9.0720448133458729E-3"/>
    <m/>
    <n v="20192.349999999999"/>
    <n v="-2.488566214432697E-2"/>
    <m/>
  </r>
  <r>
    <x v="687"/>
    <n v="19767"/>
    <n v="19839.2"/>
    <n v="19756.95"/>
    <n v="19811.349999999999"/>
    <n v="213729730"/>
    <n v="19900.990000000002"/>
    <n v="19769.5075"/>
    <n v="19602.587"/>
    <n v="18530.426499999987"/>
    <n v="121.5"/>
    <n v="6.1466079830019733E-3"/>
    <m/>
    <n v="20192.349999999999"/>
    <n v="-1.8868531894504659E-2"/>
    <m/>
  </r>
  <r>
    <x v="688"/>
    <n v="19822.7"/>
    <n v="19843.3"/>
    <n v="19772.650000000001"/>
    <n v="19794"/>
    <n v="217904144"/>
    <n v="20999.94"/>
    <n v="19760.257499999996"/>
    <n v="19605.892999999996"/>
    <n v="18537.556749999985"/>
    <n v="-17.349999999998545"/>
    <n v="-8.7525917256471336E-4"/>
    <m/>
    <n v="20192.349999999999"/>
    <n v="-1.9727768189438E-2"/>
    <m/>
  </r>
  <r>
    <x v="689"/>
    <n v="19654.55"/>
    <n v="19805.400000000001"/>
    <n v="19635.3"/>
    <n v="19751.05"/>
    <n v="254955979"/>
    <n v="24363.02"/>
    <n v="19750.297499999993"/>
    <n v="19606.696999999996"/>
    <n v="18545.531249999985"/>
    <n v="-42.950000000000728"/>
    <n v="-2.1852446380100652E-3"/>
    <m/>
    <n v="20192.349999999999"/>
    <n v="-2.1854811351823766E-2"/>
    <m/>
  </r>
  <r>
    <x v="690"/>
    <n v="19737.25"/>
    <n v="19781.3"/>
    <n v="19691.849999999999"/>
    <n v="19731.75"/>
    <n v="180964341"/>
    <n v="14746.01"/>
    <n v="19734.349999999999"/>
    <n v="19607.046999999999"/>
    <n v="18553.649749999982"/>
    <n v="-19.299999999999272"/>
    <n v="-9.778464578398345E-4"/>
    <m/>
    <n v="20192.349999999999"/>
    <n v="-2.2810618872988964E-2"/>
    <m/>
  </r>
  <r>
    <x v="691"/>
    <n v="19843.2"/>
    <n v="19849.75"/>
    <n v="19775.650000000001"/>
    <n v="19811.5"/>
    <n v="185846716"/>
    <n v="16839.87"/>
    <n v="19715.782499999994"/>
    <n v="19611.150999999998"/>
    <n v="18563.274499999985"/>
    <n v="79.75"/>
    <n v="4.0190090308014834E-3"/>
    <m/>
    <n v="20192.349999999999"/>
    <n v="-1.886110333864055E-2"/>
    <m/>
  </r>
  <r>
    <x v="692"/>
    <n v="19820.45"/>
    <n v="19840.95"/>
    <n v="19659.95"/>
    <n v="19671.099999999999"/>
    <n v="198942937"/>
    <n v="18581.64"/>
    <n v="19696.739999999998"/>
    <n v="19619.748"/>
    <n v="18572.258999999984"/>
    <n v="-140.40000000000146"/>
    <n v="-7.0835929557604115E-3"/>
    <m/>
    <n v="20192.349999999999"/>
    <n v="-2.5814231627324213E-2"/>
    <m/>
  </r>
  <r>
    <x v="693"/>
    <n v="19545.2"/>
    <n v="19681.8"/>
    <n v="19512.349999999999"/>
    <n v="19624.7"/>
    <n v="230312163"/>
    <n v="23582.01"/>
    <n v="19673.629999999997"/>
    <n v="19622.830000000002"/>
    <n v="18579.952999999983"/>
    <n v="-46.399999999997817"/>
    <n v="-2.3739844053781906E-3"/>
    <m/>
    <n v="20192.349999999999"/>
    <n v="-2.8112131574581367E-2"/>
    <m/>
  </r>
  <r>
    <x v="694"/>
    <n v="19542.150000000001"/>
    <n v="19593.8"/>
    <n v="19518.7"/>
    <n v="19542.650000000001"/>
    <n v="198341255"/>
    <n v="17944.310000000001"/>
    <n v="19659.794999999998"/>
    <n v="19623.377999999997"/>
    <n v="18587.463999999985"/>
    <n v="-82.049999999999272"/>
    <n v="-4.1986168359161745E-3"/>
    <m/>
    <n v="20192.349999999999"/>
    <n v="-3.2175551632177446E-2"/>
    <m/>
  </r>
  <r>
    <x v="695"/>
    <n v="19521.599999999999"/>
    <n v="19556.849999999999"/>
    <n v="19257.849999999999"/>
    <n v="19281.75"/>
    <n v="176044288"/>
    <n v="16212.9"/>
    <n v="19649.810000000001"/>
    <n v="19622.813999999998"/>
    <n v="18594.222249999984"/>
    <n v="-260.90000000000146"/>
    <n v="-1.3364683222686741E-2"/>
    <m/>
    <n v="20192.349999999999"/>
    <n v="-4.5096286464923474E-2"/>
    <m/>
  </r>
  <r>
    <x v="696"/>
    <n v="19286.45"/>
    <n v="19347.3"/>
    <n v="19074.150000000001"/>
    <n v="19122.150000000001"/>
    <n v="225291741"/>
    <n v="19818.32"/>
    <n v="19630.185000000001"/>
    <n v="19615.797999999999"/>
    <n v="18600.104499999987"/>
    <n v="-159.59999999999854"/>
    <n v="-8.2752398704789391E-3"/>
    <m/>
    <n v="20192.349999999999"/>
    <n v="-5.3000269904196262E-2"/>
    <m/>
  </r>
  <r>
    <x v="697"/>
    <n v="19027.25"/>
    <n v="19041.7"/>
    <n v="18837.849999999999"/>
    <n v="18857.25"/>
    <n v="300356469"/>
    <n v="28939.64"/>
    <n v="19602.565000000002"/>
    <n v="19607.378999999997"/>
    <n v="18604.727999999985"/>
    <n v="-264.90000000000146"/>
    <n v="-1.3922137986309186E-2"/>
    <m/>
    <n v="20192.349999999999"/>
    <n v="-6.6119099559981853E-2"/>
    <m/>
  </r>
  <r>
    <x v="698"/>
    <n v="18928.75"/>
    <n v="19076.150000000001"/>
    <n v="18926.650000000001"/>
    <n v="19047.25"/>
    <n v="205201044"/>
    <n v="19947.48"/>
    <n v="19562.192500000001"/>
    <n v="19595.957999999999"/>
    <n v="18607.851499999986"/>
    <n v="190"/>
    <n v="1.0037641154328732E-2"/>
    <m/>
    <n v="20192.349999999999"/>
    <n v="-5.6709595465609386E-2"/>
    <m/>
  </r>
  <r>
    <x v="699"/>
    <n v="19053.400000000001"/>
    <n v="19158.5"/>
    <n v="18940"/>
    <n v="19140.900000000001"/>
    <n v="180132492"/>
    <n v="17095.73"/>
    <n v="19528.732500000002"/>
    <n v="19588.211999999996"/>
    <n v="18612.872999999985"/>
    <n v="93.650000000001455"/>
    <n v="4.9151332570565595E-3"/>
    <m/>
    <n v="20192.349999999999"/>
    <n v="-5.2071700421199019E-2"/>
    <m/>
  </r>
  <r>
    <x v="700"/>
    <n v="19232.95"/>
    <n v="19233.7"/>
    <n v="19056.45"/>
    <n v="19079.599999999999"/>
    <n v="206049341"/>
    <n v="19397.36"/>
    <n v="19509.600000000002"/>
    <n v="19581.729999999996"/>
    <n v="18618.616749999983"/>
    <n v="-61.30000000000291"/>
    <n v="-3.1872385671466367E-3"/>
    <m/>
    <n v="20192.349999999999"/>
    <n v="-5.5107503584278184E-2"/>
    <m/>
  </r>
  <r>
    <x v="701"/>
    <n v="19064.05"/>
    <n v="19096.05"/>
    <n v="18973.7"/>
    <n v="18989.150000000001"/>
    <n v="194103279"/>
    <n v="18452.509999999998"/>
    <n v="19481.665000000001"/>
    <n v="19576.016999999996"/>
    <n v="18624.717499999984"/>
    <n v="-90.44999999999709"/>
    <n v="-4.7445322478695288E-3"/>
    <m/>
    <n v="20192.349999999999"/>
    <n v="-5.95869227702569E-2"/>
    <m/>
  </r>
  <r>
    <x v="702"/>
    <n v="19120"/>
    <n v="19175.25"/>
    <n v="19064.150000000001"/>
    <n v="19133.25"/>
    <n v="245595109"/>
    <n v="19771.490000000002"/>
    <n v="19454.685000000005"/>
    <n v="19569.596999999998"/>
    <n v="18629.157249999986"/>
    <n v="144.09999999999854"/>
    <n v="7.536610878661012E-3"/>
    <m/>
    <n v="20192.349999999999"/>
    <n v="-5.2450556770261891E-2"/>
    <m/>
  </r>
  <r>
    <x v="703"/>
    <n v="19241"/>
    <n v="19276.25"/>
    <n v="19210.900000000001"/>
    <n v="19230.599999999999"/>
    <n v="189516123"/>
    <n v="17304.87"/>
    <n v="19439.542500000003"/>
    <n v="19564.39"/>
    <n v="18635.252749999989"/>
    <n v="97.349999999998545"/>
    <n v="5.0595083415622133E-3"/>
    <m/>
    <n v="20192.349999999999"/>
    <n v="-4.7629424014540178E-2"/>
    <m/>
  </r>
  <r>
    <x v="704"/>
    <n v="19345.849999999999"/>
    <n v="19423"/>
    <n v="19309.7"/>
    <n v="19411.75"/>
    <n v="180690631"/>
    <n v="16296.56"/>
    <n v="19423.784999999996"/>
    <n v="19561.072999999997"/>
    <n v="18641.927249999986"/>
    <n v="181.15000000000146"/>
    <n v="9.3637653553605271E-3"/>
    <m/>
    <n v="20192.349999999999"/>
    <n v="-3.8658204716142452E-2"/>
    <m/>
  </r>
  <r>
    <x v="705"/>
    <n v="19404.05"/>
    <n v="19423.5"/>
    <n v="19329.099999999999"/>
    <n v="19406.7"/>
    <n v="198660124"/>
    <n v="18288.060000000001"/>
    <n v="19411.697499999998"/>
    <n v="19560.427999999996"/>
    <n v="18649.694999999989"/>
    <n v="-5.0499999999992724"/>
    <n v="-2.6025494677653751E-4"/>
    <m/>
    <n v="20192.349999999999"/>
    <n v="-3.8908299430229665E-2"/>
    <m/>
  </r>
  <r>
    <x v="706"/>
    <n v="19449.599999999999"/>
    <n v="19464.400000000001"/>
    <n v="19401.5"/>
    <n v="19443.5"/>
    <n v="194967997"/>
    <n v="17060.45"/>
    <n v="19406.415000000001"/>
    <n v="19560.827999999994"/>
    <n v="18656.945499999987"/>
    <n v="36.799999999999272"/>
    <n v="1.8920697597893672E-3"/>
    <m/>
    <n v="20192.349999999999"/>
    <n v="-3.7085827058267018E-2"/>
    <m/>
  </r>
  <r>
    <x v="707"/>
    <n v="19457.400000000001"/>
    <n v="19463.900000000001"/>
    <n v="19378.349999999999"/>
    <n v="19395.3"/>
    <n v="208418472"/>
    <n v="19087.29"/>
    <n v="19394.0975"/>
    <n v="19564.381999999998"/>
    <n v="18664.68874999999"/>
    <n v="-48.200000000000728"/>
    <n v="-2.4772066154779529E-3"/>
    <m/>
    <n v="20192.349999999999"/>
    <n v="-3.9472869675892031E-2"/>
    <m/>
  </r>
  <r>
    <x v="708"/>
    <n v="19351.849999999999"/>
    <n v="19451.3"/>
    <n v="19329.45"/>
    <n v="19425.349999999999"/>
    <n v="152215785"/>
    <n v="12916.21"/>
    <n v="19373.294999999998"/>
    <n v="19566.166999999998"/>
    <n v="18671.398749999989"/>
    <n v="30.049999999999272"/>
    <n v="1.5528231151026529E-3"/>
    <m/>
    <n v="20192.349999999999"/>
    <n v="-3.7984682317808494E-2"/>
    <m/>
  </r>
  <r>
    <x v="709"/>
    <n v="19547.25"/>
    <n v="19547.25"/>
    <n v="19510.25"/>
    <n v="19525.55"/>
    <n v="37311902"/>
    <n v="2482.27"/>
    <n v="19354.862499999996"/>
    <n v="19567.821"/>
    <n v="18677.698749999992"/>
    <n v="100.20000000000073"/>
    <n v="5.1260407474197512E-3"/>
    <m/>
    <n v="20192.349999999999"/>
    <n v="-3.302240700067105E-2"/>
    <m/>
  </r>
  <r>
    <x v="710"/>
    <n v="19486.75"/>
    <n v="19494.400000000001"/>
    <n v="19414.75"/>
    <n v="19443.55"/>
    <n v="189275733"/>
    <n v="13527.22"/>
    <n v="19343.587499999998"/>
    <n v="19571.383000000002"/>
    <n v="18684.78724999999"/>
    <n v="-82"/>
    <n v="-4.2079874786714053E-3"/>
    <m/>
    <n v="20192.349999999999"/>
    <n v="-3.7083350872979093E-2"/>
    <m/>
  </r>
  <r>
    <x v="711"/>
    <n v="19651.400000000001"/>
    <n v="19693.2"/>
    <n v="19579.650000000001"/>
    <n v="19675.45"/>
    <n v="291464988"/>
    <n v="24957.24"/>
    <n v="19329.177499999998"/>
    <n v="19575.178"/>
    <n v="18691.86674999999"/>
    <n v="231.90000000000146"/>
    <n v="1.1800685956216934E-2"/>
    <m/>
    <n v="20192.349999999999"/>
    <n v="-2.559880350726873E-2"/>
    <m/>
  </r>
  <r>
    <x v="712"/>
    <n v="19674.7"/>
    <n v="19875.25"/>
    <n v="19627"/>
    <n v="19765.2"/>
    <n v="282686669"/>
    <n v="26041.45"/>
    <n v="19322.374999999996"/>
    <n v="19579.981"/>
    <n v="18699.651249999992"/>
    <n v="89.75"/>
    <n v="4.5616959851992661E-3"/>
    <m/>
    <n v="20192.349999999999"/>
    <n v="-2.1154050915321743E-2"/>
    <m/>
  </r>
  <r>
    <x v="713"/>
    <n v="19674.75"/>
    <n v="19806"/>
    <n v="19667.45"/>
    <n v="19731.8"/>
    <n v="236827462"/>
    <n v="21681.279999999999"/>
    <n v="19327.079999999998"/>
    <n v="19584.708999999995"/>
    <n v="18707.885749999994"/>
    <n v="-33.400000000001455"/>
    <n v="-1.6976073393563556E-3"/>
    <m/>
    <n v="20192.349999999999"/>
    <n v="-2.2808142687701038E-2"/>
    <m/>
  </r>
  <r>
    <x v="714"/>
    <n v="19731.150000000001"/>
    <n v="19756.45"/>
    <n v="19670.5"/>
    <n v="19694"/>
    <n v="173780543"/>
    <n v="16737.05"/>
    <n v="19332.435000000001"/>
    <n v="19587.846999999998"/>
    <n v="18717.084999999988"/>
    <n v="-37.799999999999272"/>
    <n v="-1.9157525030218344E-3"/>
    <m/>
    <n v="20192.349999999999"/>
    <n v="-2.468013876542352E-2"/>
    <m/>
  </r>
  <r>
    <x v="715"/>
    <n v="19770.900000000001"/>
    <n v="19829.099999999999"/>
    <n v="19754.05"/>
    <n v="19783.400000000001"/>
    <n v="194969012"/>
    <n v="17947.2"/>
    <n v="19340.002499999999"/>
    <n v="19589.505999999998"/>
    <n v="18727.533249999989"/>
    <n v="89.400000000001455"/>
    <n v="4.5217971867745751E-3"/>
    <m/>
    <n v="20192.349999999999"/>
    <n v="-2.0252719470492342E-2"/>
    <m/>
  </r>
  <r>
    <x v="716"/>
    <n v="19784"/>
    <n v="19825.55"/>
    <n v="19703.849999999999"/>
    <n v="19811.849999999999"/>
    <n v="184497984"/>
    <n v="17405.48"/>
    <n v="19365.084999999999"/>
    <n v="19590.632999999998"/>
    <n v="18738.205499999989"/>
    <n v="28.44999999999709"/>
    <n v="1.4380307319044223E-3"/>
    <m/>
    <n v="20192.349999999999"/>
    <n v="-1.884377004162463E-2"/>
    <m/>
  </r>
  <r>
    <x v="717"/>
    <n v="19828.45"/>
    <n v="19875.150000000001"/>
    <n v="19786.75"/>
    <n v="19802"/>
    <n v="170024085"/>
    <n v="15906.94"/>
    <n v="19399.57"/>
    <n v="19590.470999999998"/>
    <n v="18748.953999999991"/>
    <n v="-9.8499999999985448"/>
    <n v="-4.9676096719605139E-4"/>
    <m/>
    <n v="20192.349999999999"/>
    <n v="-1.9331578543359207E-2"/>
    <m/>
  </r>
  <r>
    <x v="718"/>
    <n v="19809.599999999999"/>
    <n v="19832.849999999999"/>
    <n v="19768.849999999999"/>
    <n v="19794.7"/>
    <n v="145895044"/>
    <n v="14389.29"/>
    <n v="19446.807499999999"/>
    <n v="19586.583999999999"/>
    <n v="18759.882499999989"/>
    <n v="-7.2999999999992724"/>
    <n v="-3.6850819804535543E-4"/>
    <m/>
    <n v="20192.349999999999"/>
    <n v="-1.9693101595406048E-2"/>
    <m/>
  </r>
  <r>
    <x v="719"/>
    <n v="19844.650000000001"/>
    <n v="19916.849999999999"/>
    <n v="19800"/>
    <n v="19889.7"/>
    <n v="229595031"/>
    <n v="23043.25"/>
    <n v="19484.18"/>
    <n v="19582.613999999998"/>
    <n v="18770.803999999989"/>
    <n v="95"/>
    <n v="4.7871844552562024E-3"/>
    <m/>
    <n v="20192.349999999999"/>
    <n v="-1.4988349548219926E-2"/>
    <m/>
  </r>
  <r>
    <x v="720"/>
    <n v="19976.55"/>
    <n v="20104.650000000001"/>
    <n v="19956.3"/>
    <n v="20096.599999999999"/>
    <n v="236241768"/>
    <n v="22367.64"/>
    <n v="19521.620000000003"/>
    <n v="19579.007999999998"/>
    <n v="18780.98224999999"/>
    <n v="206.89999999999782"/>
    <n v="1.0357143751047996E-2"/>
    <m/>
    <n v="20192.349999999999"/>
    <n v="-4.74189482650611E-3"/>
    <m/>
  </r>
  <r>
    <x v="721"/>
    <n v="20108.5"/>
    <n v="20158.7"/>
    <n v="20015.849999999999"/>
    <n v="20133.150000000001"/>
    <n v="486585349"/>
    <n v="48877.95"/>
    <n v="19572.47"/>
    <n v="19578.877999999997"/>
    <n v="18792.642249999994"/>
    <n v="36.55000000000291"/>
    <n v="1.8176393067609673E-3"/>
    <m/>
    <n v="20192.349999999999"/>
    <n v="-2.9318033809832E-3"/>
    <m/>
  </r>
  <r>
    <x v="722"/>
    <n v="20194.099999999999"/>
    <n v="20291.55"/>
    <n v="20183.7"/>
    <n v="20267.900000000001"/>
    <n v="265812566"/>
    <n v="22461.53"/>
    <n v="19629.670000000002"/>
    <n v="19577.693999999996"/>
    <n v="18804.700499999992"/>
    <n v="134.75"/>
    <n v="6.6727410481279194E-3"/>
    <m/>
    <n v="20267.900000000001"/>
    <n v="0"/>
    <m/>
  </r>
  <r>
    <x v="723"/>
    <n v="20601.95"/>
    <n v="20702.650000000001"/>
    <n v="20507.75"/>
    <n v="20686.8"/>
    <n v="381107418"/>
    <n v="33917.519999999997"/>
    <n v="19686.402500000004"/>
    <n v="19580.385999999999"/>
    <n v="18816.681499999992"/>
    <n v="418.89999999999782"/>
    <n v="2.0333026728052334E-2"/>
    <m/>
    <n v="20686.8"/>
    <n v="0"/>
    <m/>
  </r>
  <r>
    <x v="724"/>
    <n v="20808.900000000001"/>
    <n v="20864.05"/>
    <n v="20711.150000000001"/>
    <n v="20855.099999999999"/>
    <n v="421008350"/>
    <n v="41763.519999999997"/>
    <n v="19759.212500000001"/>
    <n v="19596.094000000001"/>
    <n v="18830.648249999991"/>
    <n v="168.29999999999927"/>
    <n v="8.0878854720816216E-3"/>
    <m/>
    <n v="20855.099999999999"/>
    <n v="0"/>
    <m/>
  </r>
  <r>
    <x v="725"/>
    <n v="20950.75"/>
    <n v="20961.95"/>
    <n v="20852.150000000001"/>
    <n v="20937.7"/>
    <n v="359212958"/>
    <n v="35654.76"/>
    <n v="19831.38"/>
    <n v="19618.348999999998"/>
    <n v="18845.641249999993"/>
    <n v="82.600000000002183"/>
    <n v="3.9425796212547133E-3"/>
    <m/>
    <n v="20937.7"/>
    <n v="0"/>
    <m/>
  </r>
  <r>
    <x v="726"/>
    <n v="20932.400000000001"/>
    <n v="20941.25"/>
    <n v="20850.8"/>
    <n v="20901.150000000001"/>
    <n v="274985308"/>
    <n v="24862.43"/>
    <n v="19907.93"/>
    <n v="19643.617999999999"/>
    <n v="18861.475249999996"/>
    <n v="-36.549999999999272"/>
    <n v="-1.7460969597370235E-3"/>
    <m/>
    <n v="20937.7"/>
    <n v="-1.7456549668778409E-3"/>
    <m/>
  </r>
  <r>
    <x v="727"/>
    <n v="20934.099999999999"/>
    <n v="21006.1"/>
    <n v="20862.7"/>
    <n v="20969.400000000001"/>
    <n v="292440768"/>
    <n v="27449.96"/>
    <n v="19980.812500000004"/>
    <n v="19668.150000000001"/>
    <n v="18876.331749999998"/>
    <n v="68.25"/>
    <n v="3.2602309151097972E-3"/>
    <m/>
    <n v="20969.400000000001"/>
    <n v="0"/>
    <m/>
  </r>
  <r>
    <x v="728"/>
    <n v="20965.3"/>
    <n v="21026.1"/>
    <n v="20923.7"/>
    <n v="20997.1"/>
    <n v="212921451"/>
    <n v="21150.17"/>
    <n v="20059.517500000005"/>
    <n v="19694.244000000002"/>
    <n v="18891.099499999997"/>
    <n v="27.69999999999709"/>
    <n v="1.3212307956479083E-3"/>
    <m/>
    <n v="20997.1"/>
    <n v="0"/>
    <m/>
  </r>
  <r>
    <x v="729"/>
    <n v="21018.55"/>
    <n v="21037.9"/>
    <n v="20867.150000000001"/>
    <n v="20906.400000000001"/>
    <n v="244867128"/>
    <n v="25404.639999999999"/>
    <n v="20138.105000000003"/>
    <n v="19719.857"/>
    <n v="18905.905749999998"/>
    <n v="-90.69999999999709"/>
    <n v="-4.3152358273999443E-3"/>
    <m/>
    <n v="20997.1"/>
    <n v="-4.3196441413336784E-3"/>
    <m/>
  </r>
  <r>
    <x v="730"/>
    <n v="20929.75"/>
    <n v="20950"/>
    <n v="20769.5"/>
    <n v="20926.349999999999"/>
    <n v="260269318"/>
    <n v="25918.44"/>
    <n v="20207.147500000003"/>
    <n v="19747.514000000003"/>
    <n v="18920.716749999996"/>
    <n v="19.94999999999709"/>
    <n v="9.5318864296024027E-4"/>
    <m/>
    <n v="20997.1"/>
    <n v="-3.36951293273835E-3"/>
    <m/>
  </r>
  <r>
    <x v="731"/>
    <n v="21110.400000000001"/>
    <n v="21210.9"/>
    <n v="21074.45"/>
    <n v="21182.7"/>
    <n v="334410589"/>
    <n v="32593.42"/>
    <n v="20281.287500000002"/>
    <n v="19773.275000000001"/>
    <n v="18936.125499999998"/>
    <n v="256.35000000000218"/>
    <n v="1.2143303774443032E-2"/>
    <m/>
    <n v="21182.7"/>
    <n v="0"/>
    <m/>
  </r>
  <r>
    <x v="732"/>
    <n v="21287.45"/>
    <n v="21492.3"/>
    <n v="21235.3"/>
    <n v="21456.65"/>
    <n v="508761756"/>
    <n v="50114.46"/>
    <n v="20356.650000000001"/>
    <n v="19806.353999999999"/>
    <n v="18952.905499999997"/>
    <n v="273.95000000000073"/>
    <n v="1.2869084836370758E-2"/>
    <m/>
    <n v="21456.65"/>
    <n v="0"/>
    <m/>
  </r>
  <r>
    <x v="733"/>
    <n v="21434.799999999999"/>
    <n v="21482.799999999999"/>
    <n v="21365.35"/>
    <n v="21418.65"/>
    <n v="249668965"/>
    <n v="23615.279999999999"/>
    <n v="20441.222500000003"/>
    <n v="19846.764999999999"/>
    <n v="18972.417250000002"/>
    <n v="-38"/>
    <n v="-1.7728180342247188E-3"/>
    <m/>
    <n v="21456.65"/>
    <n v="-1.7710127163373945E-3"/>
    <m/>
  </r>
  <r>
    <x v="734"/>
    <n v="21477.65"/>
    <n v="21505.05"/>
    <n v="21337.75"/>
    <n v="21453.1"/>
    <n v="249750062"/>
    <n v="23750.61"/>
    <n v="20525.565000000002"/>
    <n v="19884.222999999994"/>
    <n v="18991.954249999999"/>
    <n v="34.44999999999709"/>
    <n v="1.603992988059545E-3"/>
    <m/>
    <n v="21456.65"/>
    <n v="-1.6544987218425344E-4"/>
    <m/>
  </r>
  <r>
    <x v="735"/>
    <n v="21543.5"/>
    <n v="21593"/>
    <n v="21087.35"/>
    <n v="21150.15"/>
    <n v="363886229"/>
    <n v="30993.119999999999"/>
    <n v="20613.52"/>
    <n v="19920.214999999997"/>
    <n v="19011.890750000002"/>
    <n v="-302.94999999999709"/>
    <n v="-1.40622461531319E-2"/>
    <m/>
    <n v="21456.65"/>
    <n v="-1.4284615725194794E-2"/>
    <m/>
  </r>
  <r>
    <x v="736"/>
    <n v="21033.95"/>
    <n v="21288.35"/>
    <n v="20976.799999999999"/>
    <n v="21255.05"/>
    <n v="277548079"/>
    <n v="26001.02"/>
    <n v="20681.857500000002"/>
    <n v="19952.970999999998"/>
    <n v="19030.678"/>
    <n v="104.89999999999782"/>
    <n v="4.9871754948546424E-3"/>
    <m/>
    <n v="21456.65"/>
    <n v="-9.3956885161478043E-3"/>
    <m/>
  </r>
  <r>
    <x v="737"/>
    <n v="21295.85"/>
    <n v="21390.5"/>
    <n v="21232.45"/>
    <n v="21349.4"/>
    <n v="284708918"/>
    <n v="27709.29"/>
    <n v="20754.017500000002"/>
    <n v="19984.275000000001"/>
    <n v="19050.433499999999"/>
    <n v="94.350000000002183"/>
    <n v="4.4304406727133311E-3"/>
    <m/>
    <n v="21456.65"/>
    <n v="-4.9984503638732525E-3"/>
    <m/>
  </r>
  <r>
    <x v="738"/>
    <n v="21365.200000000001"/>
    <n v="21477.15"/>
    <n v="21329.45"/>
    <n v="21441.35"/>
    <n v="219467748"/>
    <n v="20081.330000000002"/>
    <n v="20831.387500000004"/>
    <n v="20015.036"/>
    <n v="19069.925999999999"/>
    <n v="91.94999999999709"/>
    <n v="4.3037275569616524E-3"/>
    <m/>
    <n v="21456.65"/>
    <n v="-7.1306564631490321E-4"/>
    <m/>
  </r>
  <r>
    <x v="739"/>
    <n v="21497.65"/>
    <n v="21675.75"/>
    <n v="21495.8"/>
    <n v="21654.75"/>
    <n v="256542963"/>
    <n v="23059.25"/>
    <n v="20913.72"/>
    <n v="20047.982999999997"/>
    <n v="19090.523249999998"/>
    <n v="213.40000000000146"/>
    <n v="9.9266664030720313E-3"/>
    <m/>
    <n v="21654.75"/>
    <n v="0"/>
    <m/>
  </r>
  <r>
    <x v="740"/>
    <n v="21715"/>
    <n v="21801.45"/>
    <n v="21678"/>
    <n v="21778.7"/>
    <n v="393080755"/>
    <n v="35031"/>
    <n v="21001.9725"/>
    <n v="20086.057000000001"/>
    <n v="19110.825249999998"/>
    <n v="123.95000000000073"/>
    <n v="5.7080359198710901E-3"/>
    <m/>
    <n v="21778.7"/>
    <n v="0"/>
    <m/>
  </r>
  <r>
    <x v="741"/>
    <n v="21737.65"/>
    <n v="21770.3"/>
    <n v="21676.9"/>
    <n v="21731.4"/>
    <n v="270922276"/>
    <n v="23697.88"/>
    <n v="21086.077500000003"/>
    <n v="20126.995999999999"/>
    <n v="19131.161499999998"/>
    <n v="-47.299999999999272"/>
    <n v="-2.1759481820711655E-3"/>
    <m/>
    <n v="21778.7"/>
    <n v="-2.1718468044464867E-3"/>
    <m/>
  </r>
  <r>
    <x v="742"/>
    <n v="21727.75"/>
    <n v="21834.35"/>
    <n v="21680.85"/>
    <n v="21741.9"/>
    <n v="153995217"/>
    <n v="14184.09"/>
    <n v="21165.99"/>
    <n v="20165.394"/>
    <n v="19151.0465"/>
    <n v="10.5"/>
    <n v="4.832529829365673E-4"/>
    <m/>
    <n v="21778.7"/>
    <n v="-1.6897243637131742E-3"/>
    <m/>
  </r>
  <r>
    <x v="743"/>
    <n v="21751.35"/>
    <n v="21755.599999999999"/>
    <n v="21555.65"/>
    <n v="21665.8"/>
    <n v="263711568"/>
    <n v="25316.13"/>
    <n v="21239.690000000002"/>
    <n v="20206.810000000001"/>
    <n v="19171.807999999997"/>
    <n v="-76.100000000002183"/>
    <n v="-3.4986334181557554E-3"/>
    <m/>
    <n v="21778.7"/>
    <n v="-5.1839641484570098E-3"/>
    <m/>
  </r>
  <r>
    <x v="744"/>
    <n v="21661.1"/>
    <n v="21677"/>
    <n v="21500.35"/>
    <n v="21517.35"/>
    <n v="311933117"/>
    <n v="32329.23"/>
    <n v="21288.640000000003"/>
    <n v="20247.632000000005"/>
    <n v="19193.072499999998"/>
    <n v="-148.45000000000073"/>
    <n v="-6.8532992322643234E-3"/>
    <m/>
    <n v="21778.7"/>
    <n v="-1.2000257131968506E-2"/>
    <m/>
  </r>
  <r>
    <x v="745"/>
    <n v="21605.8"/>
    <n v="21685.65"/>
    <n v="21564.55"/>
    <n v="21658.6"/>
    <n v="339172697"/>
    <n v="30868.15"/>
    <n v="21321.752499999999"/>
    <n v="20287.126"/>
    <n v="19214.887749999998"/>
    <n v="141.25"/>
    <n v="6.5375963861555699E-3"/>
    <m/>
    <n v="21778.7"/>
    <n v="-5.5145623935314303E-3"/>
    <m/>
  </r>
  <r>
    <x v="746"/>
    <n v="21705.75"/>
    <n v="21749.599999999999"/>
    <n v="21629.200000000001"/>
    <n v="21710.799999999999"/>
    <n v="309303266"/>
    <n v="26554.49"/>
    <n v="21357.797499999997"/>
    <n v="20334.663"/>
    <n v="19237.964250000001"/>
    <n v="52.200000000000728"/>
    <n v="2.404892712760477E-3"/>
    <m/>
    <n v="21778.7"/>
    <n v="-3.1177251167425757E-3"/>
    <m/>
  </r>
  <r>
    <x v="747"/>
    <n v="21747.599999999999"/>
    <n v="21763.95"/>
    <n v="21492.9"/>
    <n v="21513"/>
    <n v="231452935"/>
    <n v="21140.94"/>
    <n v="21398.28"/>
    <n v="20386.436000000002"/>
    <n v="19261.657500000001"/>
    <n v="-197.79999999999927"/>
    <n v="-9.0952564880722141E-3"/>
    <m/>
    <n v="21778.7"/>
    <n v="-1.2199993571700873E-2"/>
    <m/>
  </r>
  <r>
    <x v="748"/>
    <n v="21653.599999999999"/>
    <n v="21724.45"/>
    <n v="21517.85"/>
    <n v="21544.85"/>
    <n v="228568589"/>
    <n v="24055.74"/>
    <n v="21425.46"/>
    <n v="20439.550999999999"/>
    <n v="19284.2945"/>
    <n v="31.849999999998545"/>
    <n v="1.4708870580410901E-3"/>
    <m/>
    <n v="21778.7"/>
    <n v="-1.0737555501476259E-2"/>
    <m/>
  </r>
  <r>
    <x v="749"/>
    <n v="21529.3"/>
    <n v="21641.85"/>
    <n v="21448.65"/>
    <n v="21618.7"/>
    <n v="216991926"/>
    <n v="20958.96"/>
    <n v="21452.847499999996"/>
    <n v="20489.503000000001"/>
    <n v="19306.518500000002"/>
    <n v="73.850000000002183"/>
    <n v="3.4302090639269363E-3"/>
    <m/>
    <n v="21778.7"/>
    <n v="-7.346627668318173E-3"/>
    <m/>
  </r>
  <r>
    <x v="750"/>
    <n v="21688"/>
    <n v="21726.5"/>
    <n v="21593.75"/>
    <n v="21647.200000000001"/>
    <n v="212453866"/>
    <n v="23492.12"/>
    <n v="21488.462499999998"/>
    <n v="20539.059000000001"/>
    <n v="19329.670000000002"/>
    <n v="28.5"/>
    <n v="1.3140907414238288E-3"/>
    <m/>
    <n v="21778.7"/>
    <n v="-6.0380096148989759E-3"/>
    <m/>
  </r>
  <r>
    <x v="751"/>
    <n v="21773.55"/>
    <n v="21928.25"/>
    <n v="21715.15"/>
    <n v="21894.55"/>
    <n v="294678459"/>
    <n v="30565.5"/>
    <n v="21524.504999999997"/>
    <n v="20590.411"/>
    <n v="19352.368500000004"/>
    <n v="247.34999999999854"/>
    <n v="1.1360113532244332E-2"/>
    <m/>
    <n v="21894.55"/>
    <n v="0"/>
    <m/>
  </r>
  <r>
    <x v="752"/>
    <n v="22053.15"/>
    <n v="22115.55"/>
    <n v="21963.55"/>
    <n v="22097.45"/>
    <n v="345543523"/>
    <n v="29523.15"/>
    <n v="21560.097499999996"/>
    <n v="20648.519"/>
    <n v="19376.081750000005"/>
    <n v="202.90000000000146"/>
    <n v="9.200499701856716E-3"/>
    <m/>
    <n v="22097.45"/>
    <n v="0"/>
    <m/>
  </r>
  <r>
    <x v="753"/>
    <n v="22080.5"/>
    <n v="22124.15"/>
    <n v="21969.8"/>
    <n v="22032.3"/>
    <n v="292433764"/>
    <n v="24435.94"/>
    <n v="21592.137500000001"/>
    <n v="20707.803"/>
    <n v="19401.184500000003"/>
    <n v="-65.150000000001455"/>
    <n v="-2.9505672425896813E-3"/>
    <m/>
    <n v="22097.45"/>
    <n v="-2.9483039898269281E-3"/>
    <m/>
  </r>
  <r>
    <x v="754"/>
    <n v="21647.25"/>
    <n v="21851.5"/>
    <n v="21550.45"/>
    <n v="21571.95"/>
    <n v="455999867"/>
    <n v="47533.440000000002"/>
    <n v="21622.82"/>
    <n v="20763.837000000003"/>
    <n v="19426.620750000006"/>
    <n v="-460.34999999999854"/>
    <n v="-2.1265980667290234E-2"/>
    <m/>
    <n v="22097.45"/>
    <n v="-2.3781024507352644E-2"/>
    <m/>
  </r>
  <r>
    <x v="755"/>
    <n v="21414.2"/>
    <n v="21539.4"/>
    <n v="21285.55"/>
    <n v="21462.25"/>
    <n v="387341268"/>
    <n v="39718.839999999997"/>
    <n v="21628.762500000001"/>
    <n v="20807.041000000001"/>
    <n v="19449.552000000007"/>
    <n v="-109.70000000000073"/>
    <n v="-5.1227690037452126E-3"/>
    <m/>
    <n v="22097.45"/>
    <n v="-2.8745398224682028E-2"/>
    <m/>
  </r>
  <r>
    <x v="756"/>
    <n v="21615.200000000001"/>
    <n v="21670.6"/>
    <n v="21575"/>
    <n v="21622.400000000001"/>
    <n v="343055124"/>
    <n v="34429.24"/>
    <n v="21644.3675"/>
    <n v="20848.151999999998"/>
    <n v="19472.104750000002"/>
    <n v="160.15000000000146"/>
    <n v="7.4091380139902222E-3"/>
    <m/>
    <n v="22097.45"/>
    <n v="-2.1497955646465949E-2"/>
    <m/>
  </r>
  <r>
    <x v="757"/>
    <n v="21706.15"/>
    <n v="21720.3"/>
    <n v="21541.8"/>
    <n v="21571.8"/>
    <n v="162073740"/>
    <n v="13917.46"/>
    <n v="21662.735000000001"/>
    <n v="20891.730000000003"/>
    <n v="19494.813250000003"/>
    <n v="-50.600000000002183"/>
    <n v="-2.3311365672863305E-3"/>
    <m/>
    <n v="22097.45"/>
    <n v="-2.378781262091334E-2"/>
    <m/>
  </r>
  <r>
    <x v="758"/>
    <n v="21716.7"/>
    <n v="21750.25"/>
    <n v="21192.6"/>
    <n v="21238.799999999999"/>
    <n v="449718534"/>
    <n v="48813.68"/>
    <n v="21673.855000000003"/>
    <n v="20935.260000000002"/>
    <n v="19515.873500000002"/>
    <n v="-333"/>
    <n v="-1.5333821436958654E-2"/>
    <m/>
    <n v="22097.45"/>
    <n v="-3.8857424725477485E-2"/>
    <m/>
  </r>
  <r>
    <x v="759"/>
    <n v="21185.25"/>
    <n v="21482.35"/>
    <n v="21137.200000000001"/>
    <n v="21453.95"/>
    <n v="407460664"/>
    <n v="41718.639999999999"/>
    <n v="21663.727500000001"/>
    <n v="20971.529000000002"/>
    <n v="19535.077250000002"/>
    <n v="215.15000000000146"/>
    <n v="1.0155650747572083E-2"/>
    <m/>
    <n v="22097.45"/>
    <n v="-2.9121007175036073E-2"/>
    <m/>
  </r>
  <r>
    <x v="760"/>
    <n v="21454.6"/>
    <n v="21459"/>
    <n v="21247.05"/>
    <n v="21352.6"/>
    <n v="418143077"/>
    <n v="40088.5"/>
    <n v="21653.6875"/>
    <n v="21010.097000000002"/>
    <n v="19554.561750000001"/>
    <n v="-101.35000000000218"/>
    <n v="-4.7239286679780649E-3"/>
    <m/>
    <n v="22097.45"/>
    <n v="-3.3707509237491329E-2"/>
    <m/>
  </r>
  <r>
    <x v="761"/>
    <n v="21433.1"/>
    <n v="21763.25"/>
    <n v="21429.599999999999"/>
    <n v="21737.599999999999"/>
    <n v="376702289"/>
    <n v="34516.42"/>
    <n v="21632.382500000003"/>
    <n v="21048.278000000002"/>
    <n v="19573.329000000002"/>
    <n v="385"/>
    <n v="1.7962870513364843E-2"/>
    <m/>
    <n v="22097.45"/>
    <n v="-1.628468443191422E-2"/>
    <m/>
  </r>
  <r>
    <x v="762"/>
    <n v="21775.75"/>
    <n v="21813.05"/>
    <n v="21501.8"/>
    <n v="21522.1"/>
    <n v="375137333"/>
    <n v="32916.300000000003"/>
    <n v="21632.692499999997"/>
    <n v="21089.521000000001"/>
    <n v="19593.896750000004"/>
    <n v="-215.5"/>
    <n v="-9.8963296327336595E-3"/>
    <m/>
    <n v="22097.45"/>
    <n v="-2.6036940913996998E-2"/>
    <m/>
  </r>
  <r>
    <x v="763"/>
    <n v="21487.25"/>
    <n v="21741.35"/>
    <n v="21448.85"/>
    <n v="21725.7"/>
    <n v="410583065"/>
    <n v="41587.85"/>
    <n v="21621.702499999999"/>
    <n v="21124.659000000003"/>
    <n v="19612.895750000003"/>
    <n v="203.60000000000218"/>
    <n v="9.4753865664523006E-3"/>
    <m/>
    <n v="22097.45"/>
    <n v="-1.6823208107722865E-2"/>
    <m/>
  </r>
  <r>
    <x v="764"/>
    <n v="21780.65"/>
    <n v="21832.95"/>
    <n v="21658.75"/>
    <n v="21697.45"/>
    <n v="332541208"/>
    <n v="34042.15"/>
    <n v="21624.697499999998"/>
    <n v="21164.537"/>
    <n v="19632.462250000004"/>
    <n v="-28.25"/>
    <n v="-1.2970228161234857E-3"/>
    <m/>
    <n v="22097.45"/>
    <n v="-1.8101636161638512E-2"/>
    <m/>
  </r>
  <r>
    <x v="765"/>
    <n v="21812.75"/>
    <n v="22126.799999999999"/>
    <n v="21805.55"/>
    <n v="21853.8"/>
    <n v="442794738"/>
    <n v="38395.9"/>
    <n v="21633.702499999996"/>
    <n v="21204.606"/>
    <n v="19651.809500000007"/>
    <n v="156.34999999999854"/>
    <n v="7.1678261567201997E-3"/>
    <m/>
    <n v="22097.45"/>
    <n v="-1.1026159126958146E-2"/>
    <m/>
  </r>
  <r>
    <x v="766"/>
    <n v="21921.05"/>
    <n v="21964.3"/>
    <n v="21726.95"/>
    <n v="21771.7"/>
    <n v="440849699"/>
    <n v="33807.94"/>
    <n v="21643.462499999998"/>
    <n v="21246.013999999999"/>
    <n v="19672.544250000006"/>
    <n v="-82.099999999998545"/>
    <n v="-3.7452585528521009E-3"/>
    <m/>
    <n v="22097.45"/>
    <n v="-1.4741519949134418E-2"/>
    <m/>
  </r>
  <r>
    <x v="767"/>
    <n v="21825.200000000001"/>
    <n v="21951.4"/>
    <n v="21737.55"/>
    <n v="21929.4"/>
    <n v="370968111"/>
    <n v="32910.82"/>
    <n v="21646.507499999996"/>
    <n v="21285.210999999999"/>
    <n v="19693.10200000001"/>
    <n v="157.70000000000073"/>
    <n v="7.2255924344336239E-3"/>
    <m/>
    <n v="22097.45"/>
    <n v="-7.6049498924083414E-3"/>
    <m/>
  </r>
  <r>
    <x v="768"/>
    <n v="22045.05"/>
    <n v="22053.3"/>
    <n v="21860.15"/>
    <n v="21930.5"/>
    <n v="346263704"/>
    <n v="30088.76"/>
    <n v="21667.327499999999"/>
    <n v="21327.758999999998"/>
    <n v="19714.655250000007"/>
    <n v="1.0999999999985448"/>
    <n v="4.9897822867198981E-5"/>
    <m/>
    <n v="22097.45"/>
    <n v="-7.5551703929639391E-3"/>
    <m/>
  </r>
  <r>
    <x v="769"/>
    <n v="22009.65"/>
    <n v="22011.05"/>
    <n v="21665.3"/>
    <n v="21717.95"/>
    <n v="491069786"/>
    <n v="41082.019999999997"/>
    <n v="21686.61"/>
    <n v="21370.474999999999"/>
    <n v="19736.185500000007"/>
    <n v="-212.54999999999927"/>
    <n v="-9.6571276689997008E-3"/>
    <m/>
    <n v="22097.45"/>
    <n v="-1.7173927308354542E-2"/>
    <m/>
  </r>
  <r>
    <x v="770"/>
    <n v="21727"/>
    <n v="21804.45"/>
    <n v="21629.9"/>
    <n v="21782.5"/>
    <n v="349222850"/>
    <n v="31176.16"/>
    <n v="21691.572500000002"/>
    <n v="21407.039999999994"/>
    <n v="19756.655000000006"/>
    <n v="64.549999999999272"/>
    <n v="2.9709577944492692E-3"/>
    <m/>
    <n v="22097.45"/>
    <n v="-1.4252775772770176E-2"/>
    <m/>
  </r>
  <r>
    <x v="771"/>
    <n v="21800.799999999999"/>
    <n v="21831.7"/>
    <n v="21574.75"/>
    <n v="21616.05"/>
    <n v="287436165"/>
    <n v="23921.14"/>
    <n v="21698.337500000001"/>
    <n v="21440.757999999998"/>
    <n v="19776.850500000011"/>
    <n v="-166.45000000000073"/>
    <n v="-7.6350409159297245E-3"/>
    <m/>
    <n v="22097.45"/>
    <n v="-2.1785319120532054E-2"/>
    <m/>
  </r>
  <r>
    <x v="772"/>
    <n v="21664.3"/>
    <n v="21766.799999999999"/>
    <n v="21543.35"/>
    <n v="21743.25"/>
    <n v="365785766"/>
    <n v="29896.62"/>
    <n v="21684.412500000002"/>
    <n v="21470.415999999997"/>
    <n v="19796.084500000008"/>
    <n v="127.20000000000073"/>
    <n v="5.8714105694622366E-3"/>
    <m/>
    <n v="22097.45"/>
    <n v="-1.6028998821130958E-2"/>
    <m/>
  </r>
  <r>
    <x v="773"/>
    <n v="21578.15"/>
    <n v="21870.85"/>
    <n v="21530.2"/>
    <n v="21840.05"/>
    <n v="359120861"/>
    <n v="32535"/>
    <n v="21666.702500000007"/>
    <n v="21499.922999999995"/>
    <n v="19815.73275000001"/>
    <n v="96.799999999999272"/>
    <n v="4.4860194224249656E-3"/>
    <m/>
    <n v="22097.45"/>
    <n v="-1.1648402870014452E-2"/>
    <m/>
  </r>
  <r>
    <x v="774"/>
    <n v="21906.55"/>
    <n v="21953.85"/>
    <n v="21794.799999999999"/>
    <n v="21910.75"/>
    <n v="345394395"/>
    <n v="29559.69"/>
    <n v="21657.090000000004"/>
    <n v="21522.987999999998"/>
    <n v="19835.35775000001"/>
    <n v="70.700000000000728"/>
    <n v="3.2273452460565778E-3"/>
    <m/>
    <n v="22097.45"/>
    <n v="-8.4489386784448728E-3"/>
    <m/>
  </r>
  <r>
    <x v="775"/>
    <n v="22020.3"/>
    <n v="22068.65"/>
    <n v="21968.95"/>
    <n v="22040.7"/>
    <n v="343892935"/>
    <n v="30666.89"/>
    <n v="21674.030000000002"/>
    <n v="21544.100999999995"/>
    <n v="19854.586500000009"/>
    <n v="129.95000000000073"/>
    <n v="5.9013728241668244E-3"/>
    <m/>
    <n v="22097.45"/>
    <n v="-2.568169630432493E-3"/>
    <m/>
  </r>
  <r>
    <x v="776"/>
    <n v="22103.45"/>
    <n v="22186.65"/>
    <n v="22021.05"/>
    <n v="22122.25"/>
    <n v="218252325"/>
    <n v="21375.71"/>
    <n v="21702.952500000003"/>
    <n v="21566.160999999996"/>
    <n v="19874.05175000001"/>
    <n v="81.549999999999272"/>
    <n v="3.6894692909930022E-3"/>
    <m/>
    <n v="22122.25"/>
    <n v="0"/>
    <m/>
  </r>
  <r>
    <x v="777"/>
    <n v="22099.200000000001"/>
    <n v="22215.599999999999"/>
    <n v="22045.85"/>
    <n v="22196.95"/>
    <n v="295705319"/>
    <n v="26872.32"/>
    <n v="21727.945"/>
    <n v="21590.582999999999"/>
    <n v="19894.21375000001"/>
    <n v="74.700000000000728"/>
    <n v="3.3802128583840466E-3"/>
    <m/>
    <n v="22196.95"/>
    <n v="0"/>
    <m/>
  </r>
  <r>
    <x v="778"/>
    <n v="22248.85"/>
    <n v="22249.4"/>
    <n v="21997.95"/>
    <n v="22055.05"/>
    <n v="364545679"/>
    <n v="29741.39"/>
    <n v="21759.202499999999"/>
    <n v="21615.133999999998"/>
    <n v="19913.919500000007"/>
    <n v="-141.90000000000146"/>
    <n v="-6.3778577319727296E-3"/>
    <m/>
    <n v="22196.95"/>
    <n v="-6.3927701778848656E-3"/>
    <m/>
  </r>
  <r>
    <x v="779"/>
    <n v="22081.55"/>
    <n v="22252.5"/>
    <n v="21875.25"/>
    <n v="22217.45"/>
    <n v="343495136"/>
    <n v="33985.94"/>
    <n v="21800.014999999999"/>
    <n v="21636.292999999998"/>
    <n v="19933.849750000008"/>
    <n v="162.40000000000146"/>
    <n v="7.3545561792537871E-3"/>
    <m/>
    <n v="22217.45"/>
    <n v="0"/>
    <m/>
  </r>
  <r>
    <x v="780"/>
    <n v="22290"/>
    <n v="22297.5"/>
    <n v="22186.1"/>
    <n v="22212.7"/>
    <n v="225983194"/>
    <n v="24617.01"/>
    <n v="21838.19"/>
    <n v="21662.513999999996"/>
    <n v="19953.615000000009"/>
    <n v="-4.75"/>
    <n v="-2.1310004486316733E-4"/>
    <m/>
    <n v="22217.45"/>
    <n v="-2.1379591267223219E-4"/>
    <m/>
  </r>
  <r>
    <x v="781"/>
    <n v="22169.200000000001"/>
    <n v="22202.15"/>
    <n v="22075.15"/>
    <n v="22122.05"/>
    <n v="207775504"/>
    <n v="20850.259999999998"/>
    <n v="21881.195"/>
    <n v="21688.240999999995"/>
    <n v="19973.348750000012"/>
    <n v="-90.650000000001455"/>
    <n v="-4.0890063691969691E-3"/>
    <m/>
    <n v="22217.45"/>
    <n v="-4.2939221197753064E-3"/>
    <m/>
  </r>
  <r>
    <x v="782"/>
    <n v="22090.2"/>
    <n v="22218.25"/>
    <n v="22085.65"/>
    <n v="22198.35"/>
    <n v="252199186"/>
    <n v="24620.71"/>
    <n v="21900.4175"/>
    <n v="21707.027999999998"/>
    <n v="19992.383500000011"/>
    <n v="76.299999999999272"/>
    <n v="3.454020334809068E-3"/>
    <m/>
    <n v="22217.45"/>
    <n v="-8.5968461727170542E-4"/>
    <m/>
  </r>
  <r>
    <x v="783"/>
    <n v="22214.1"/>
    <n v="22229.15"/>
    <n v="21915.85"/>
    <n v="21951.15"/>
    <n v="202952371"/>
    <n v="20579.8"/>
    <n v="21934.23"/>
    <n v="21721.861999999997"/>
    <n v="20011.890250000011"/>
    <n v="-247.19999999999709"/>
    <n v="-1.1128067308601164E-2"/>
    <m/>
    <n v="22217.45"/>
    <n v="-1.1986074009393444E-2"/>
    <m/>
  </r>
  <r>
    <x v="784"/>
    <n v="21935.200000000001"/>
    <n v="22060.55"/>
    <n v="21860.65"/>
    <n v="21982.799999999999"/>
    <n v="360165824"/>
    <n v="40196.120000000003"/>
    <n v="21945.502499999999"/>
    <n v="21732.511999999999"/>
    <n v="20030.072000000011"/>
    <n v="31.649999999997817"/>
    <n v="1.4428863197052143E-3"/>
    <m/>
    <n v="22217.45"/>
    <n v="-1.0561518086009025E-2"/>
    <m/>
  </r>
  <r>
    <x v="785"/>
    <n v="22048.3"/>
    <n v="22353.3"/>
    <n v="22047.75"/>
    <n v="22338.75"/>
    <n v="351503075"/>
    <n v="29646.47"/>
    <n v="21959.77"/>
    <n v="21743.105999999996"/>
    <n v="20047.991750000008"/>
    <n v="355.95000000000073"/>
    <n v="1.6144101812838211E-2"/>
    <m/>
    <n v="22338.75"/>
    <n v="0"/>
    <m/>
  </r>
  <r>
    <x v="786"/>
    <n v="22403.5"/>
    <n v="22440.9"/>
    <n v="22358.3"/>
    <n v="22405.599999999999"/>
    <n v="298794435"/>
    <n v="23771.71"/>
    <n v="21984.017499999998"/>
    <n v="21766.877999999997"/>
    <n v="20068.253000000012"/>
    <n v="66.849999999998545"/>
    <n v="2.9839087642555199E-3"/>
    <m/>
    <n v="22405.599999999999"/>
    <n v="0"/>
    <m/>
  </r>
  <r>
    <x v="787"/>
    <n v="22371.25"/>
    <n v="22416.9"/>
    <n v="22269.15"/>
    <n v="22356.3"/>
    <n v="296153036"/>
    <n v="29165.37"/>
    <n v="22015.712500000001"/>
    <n v="21789.888999999999"/>
    <n v="20089.372250000011"/>
    <n v="-49.299999999999272"/>
    <n v="-2.2037212940715996E-3"/>
    <m/>
    <n v="22405.599999999999"/>
    <n v="-2.2003427714499812E-3"/>
    <m/>
  </r>
  <r>
    <x v="788"/>
    <n v="22327.5"/>
    <n v="22497.200000000001"/>
    <n v="22224.35"/>
    <n v="22474.05"/>
    <n v="312262560"/>
    <n v="31029.01"/>
    <n v="22037.057499999999"/>
    <n v="21810.027000000002"/>
    <n v="20110.504000000012"/>
    <n v="117.75"/>
    <n v="5.2737655357742693E-3"/>
    <m/>
    <n v="22474.05"/>
    <n v="0"/>
    <m/>
  </r>
  <r>
    <x v="789"/>
    <n v="22505.3"/>
    <n v="22525.65"/>
    <n v="22430"/>
    <n v="22493.55"/>
    <n v="379865142"/>
    <n v="33558.46"/>
    <n v="22064.234999999997"/>
    <n v="21830.681"/>
    <n v="20131.857250000008"/>
    <n v="19.5"/>
    <n v="8.6646256659542425E-4"/>
    <m/>
    <n v="22493.55"/>
    <n v="0"/>
    <m/>
  </r>
  <r>
    <x v="790"/>
    <n v="22517.5"/>
    <n v="22526.6"/>
    <n v="22307.25"/>
    <n v="22332.65"/>
    <n v="277897373"/>
    <n v="27222.37"/>
    <n v="22103.014999999996"/>
    <n v="21847.457000000002"/>
    <n v="20152.753000000008"/>
    <n v="-160.89999999999782"/>
    <n v="-7.1455534584211307E-3"/>
    <m/>
    <n v="22493.55"/>
    <n v="-7.1531616841271628E-3"/>
    <m/>
  </r>
  <r>
    <x v="791"/>
    <n v="22334.45"/>
    <n v="22452.55"/>
    <n v="22256"/>
    <n v="22335.7"/>
    <n v="299201167"/>
    <n v="29781.119999999999"/>
    <n v="22130.522499999999"/>
    <n v="21858.536"/>
    <n v="20172.676250000008"/>
    <n v="3.0499999999992724"/>
    <n v="1.3656033616226378E-4"/>
    <m/>
    <n v="22493.55"/>
    <n v="-7.0175672581694881E-3"/>
    <m/>
  </r>
  <r>
    <x v="792"/>
    <n v="22432.2"/>
    <n v="22446.75"/>
    <n v="21905.65"/>
    <n v="21997.7"/>
    <n v="493341697"/>
    <n v="40109.230000000003"/>
    <n v="22166.504999999997"/>
    <n v="21870.621999999996"/>
    <n v="20192.927750000006"/>
    <n v="-338"/>
    <n v="-1.5067626001907971E-2"/>
    <m/>
    <n v="22493.55"/>
    <n v="-2.2044097085608949E-2"/>
    <m/>
  </r>
  <r>
    <x v="793"/>
    <n v="21982.55"/>
    <n v="22204.6"/>
    <n v="21917.5"/>
    <n v="22146.65"/>
    <n v="426742460"/>
    <n v="37348.300000000003"/>
    <n v="22179.227500000001"/>
    <n v="21875.737999999998"/>
    <n v="20211.310500000007"/>
    <n v="148.95000000000073"/>
    <n v="6.7758290098282837E-3"/>
    <m/>
    <n v="22493.55"/>
    <n v="-1.5422198808102694E-2"/>
    <m/>
  </r>
  <r>
    <x v="794"/>
    <n v="22064.85"/>
    <n v="22120.9"/>
    <n v="21931.7"/>
    <n v="22023.35"/>
    <n v="661460455"/>
    <n v="60260.88"/>
    <n v="22194.557499999999"/>
    <n v="21885.355"/>
    <n v="20229.547000000006"/>
    <n v="-123.30000000000291"/>
    <n v="-5.5880733383640909E-3"/>
    <m/>
    <n v="22493.55"/>
    <n v="-2.0903770191899484E-2"/>
    <m/>
  </r>
  <r>
    <x v="795"/>
    <n v="21990.1"/>
    <n v="22123.7"/>
    <n v="21916.55"/>
    <n v="22055.7"/>
    <n v="356321519"/>
    <n v="23015.51"/>
    <n v="22200.1875"/>
    <n v="21895.474999999999"/>
    <n v="20246.670500000007"/>
    <n v="32.350000000002183"/>
    <n v="1.4711165479012003E-3"/>
    <m/>
    <n v="22493.55"/>
    <n v="-1.9465580132971394E-2"/>
    <m/>
  </r>
  <r>
    <x v="796"/>
    <n v="21946.45"/>
    <n v="21978.3"/>
    <n v="21793.1"/>
    <n v="21817.45"/>
    <n v="344157465"/>
    <n v="30291.599999999999"/>
    <n v="22200.9375"/>
    <n v="21903.417000000001"/>
    <n v="20263.779750000009"/>
    <n v="-238.25"/>
    <n v="-1.0855969872120548E-2"/>
    <m/>
    <n v="22493.55"/>
    <n v="-3.0057505373762616E-2"/>
    <m/>
  </r>
  <r>
    <x v="797"/>
    <n v="21843.9"/>
    <n v="21930.9"/>
    <n v="21710.2"/>
    <n v="21839.1"/>
    <n v="312414696"/>
    <n v="28939.85"/>
    <n v="22185.697500000002"/>
    <n v="21905.55"/>
    <n v="20280.195000000011"/>
    <n v="21.649999999997817"/>
    <n v="9.9112337998241229E-4"/>
    <m/>
    <n v="22493.55"/>
    <n v="-2.9095007235407477E-2"/>
    <m/>
  </r>
  <r>
    <x v="798"/>
    <n v="21989.9"/>
    <n v="22080.95"/>
    <n v="21941.3"/>
    <n v="22011.95"/>
    <n v="353172434"/>
    <n v="31258.400000000001"/>
    <n v="22167.805"/>
    <n v="21912.072"/>
    <n v="20296.951750000011"/>
    <n v="172.85000000000218"/>
    <n v="7.8604268323185719E-3"/>
    <m/>
    <n v="22493.55"/>
    <n v="-2.1410582144659185E-2"/>
    <m/>
  </r>
  <r>
    <x v="799"/>
    <n v="21932.2"/>
    <n v="22180.7"/>
    <n v="21883.3"/>
    <n v="22096.75"/>
    <n v="388656439"/>
    <n v="39023.19"/>
    <n v="22165.65"/>
    <n v="21921.414000000001"/>
    <n v="20314.341000000011"/>
    <n v="84.799999999999272"/>
    <n v="3.8664611849244155E-3"/>
    <m/>
    <n v="22493.55"/>
    <n v="-1.7640612531147792E-2"/>
    <m/>
  </r>
  <r>
    <x v="800"/>
    <n v="21947.9"/>
    <n v="22073.200000000001"/>
    <n v="21947.55"/>
    <n v="22004.7"/>
    <n v="328403719"/>
    <n v="33382.080000000002"/>
    <n v="22159.614999999998"/>
    <n v="21930.974999999999"/>
    <n v="20331.855500000009"/>
    <n v="-92.049999999999272"/>
    <n v="-4.1940231183848686E-3"/>
    <m/>
    <n v="22493.55"/>
    <n v="-2.1732896763738907E-2"/>
    <m/>
  </r>
  <r>
    <x v="801"/>
    <n v="22053.95"/>
    <n v="22193.599999999999"/>
    <n v="22052.85"/>
    <n v="22123.65"/>
    <n v="409136866"/>
    <n v="38830.730000000003"/>
    <n v="22149.215"/>
    <n v="21938.125"/>
    <n v="20348.884000000009"/>
    <n v="118.95000000000073"/>
    <n v="5.3935916241762008E-3"/>
    <m/>
    <n v="22493.55"/>
    <n v="-1.6444714151389928E-2"/>
    <m/>
  </r>
  <r>
    <x v="802"/>
    <n v="22163.599999999999"/>
    <n v="22516"/>
    <n v="22163.599999999999"/>
    <n v="22326.9"/>
    <n v="407422815"/>
    <n v="45656.57"/>
    <n v="22149.295000000002"/>
    <n v="21942.706999999999"/>
    <n v="20365.870250000011"/>
    <n v="203.25"/>
    <n v="9.1704416250067682E-3"/>
    <m/>
    <n v="22493.55"/>
    <n v="-7.4087905199489157E-3"/>
    <m/>
  </r>
  <r>
    <x v="803"/>
    <n v="22455"/>
    <n v="22529.95"/>
    <n v="22427.75"/>
    <n v="22462"/>
    <n v="243637071"/>
    <n v="21420.69"/>
    <n v="22155.722500000003"/>
    <n v="21947.295999999995"/>
    <n v="20384.332000000009"/>
    <n v="135.09999999999854"/>
    <n v="6.0164773992428654E-3"/>
    <m/>
    <n v="22493.55"/>
    <n v="-1.4026243078570921E-3"/>
    <m/>
  </r>
  <r>
    <x v="804"/>
    <n v="22458.799999999999"/>
    <n v="22497.599999999999"/>
    <n v="22388.15"/>
    <n v="22453.3"/>
    <n v="289524237"/>
    <n v="27940.93"/>
    <n v="22181.265000000003"/>
    <n v="21955.889999999996"/>
    <n v="20403.825000000012"/>
    <n v="-8.7000000000007276"/>
    <n v="-3.8737599515560616E-4"/>
    <m/>
    <n v="22493.55"/>
    <n v="-1.7894018507528253E-3"/>
    <m/>
  </r>
  <r>
    <x v="805"/>
    <n v="22385.7"/>
    <n v="22521.1"/>
    <n v="22346.5"/>
    <n v="22434.65"/>
    <n v="309647491"/>
    <n v="30793.279999999999"/>
    <n v="22204.79"/>
    <n v="21973.516999999996"/>
    <n v="20423.08400000001"/>
    <n v="-18.649999999997817"/>
    <n v="-8.3312114430184525E-4"/>
    <m/>
    <n v="22493.55"/>
    <n v="-2.6185284225921368E-3"/>
    <m/>
  </r>
  <r>
    <x v="806"/>
    <n v="22592.1"/>
    <n v="22619"/>
    <n v="22303.8"/>
    <n v="22514.65"/>
    <n v="400986156"/>
    <n v="40705.56"/>
    <n v="22209.585000000006"/>
    <n v="21992.965"/>
    <n v="20441.676500000012"/>
    <n v="80"/>
    <n v="3.5410608132931424E-3"/>
    <m/>
    <n v="22514.65"/>
    <n v="0"/>
    <m/>
  </r>
  <r>
    <x v="807"/>
    <n v="22486.400000000001"/>
    <n v="22537.599999999999"/>
    <n v="22427.599999999999"/>
    <n v="22513.7"/>
    <n v="242244731"/>
    <n v="24797.82"/>
    <n v="22215.037500000006"/>
    <n v="22010.809999999994"/>
    <n v="20460.470250000009"/>
    <n v="-0.9500000000007276"/>
    <n v="-4.2247758645257913E-5"/>
    <m/>
    <n v="22514.65"/>
    <n v="-4.2194748752555356E-5"/>
    <m/>
  </r>
  <r>
    <x v="808"/>
    <n v="22578.35"/>
    <n v="22697.3"/>
    <n v="22550.35"/>
    <n v="22666.3"/>
    <n v="227633561"/>
    <n v="22480.2"/>
    <n v="22222.907500000008"/>
    <n v="22029.647999999997"/>
    <n v="20479.59825000001"/>
    <n v="152.59999999999854"/>
    <n v="6.7586869722543299E-3"/>
    <m/>
    <n v="22666.3"/>
    <n v="0"/>
    <m/>
  </r>
  <r>
    <x v="809"/>
    <n v="22765.1"/>
    <n v="22768.400000000001"/>
    <n v="22612.25"/>
    <n v="22642.75"/>
    <n v="232356772"/>
    <n v="21651.69"/>
    <n v="22232.520000000008"/>
    <n v="22058.197999999997"/>
    <n v="20498.799750000009"/>
    <n v="-23.549999999999272"/>
    <n v="-1.0344782144598211E-3"/>
    <m/>
    <n v="22666.3"/>
    <n v="-1.0389873953843276E-3"/>
    <m/>
  </r>
  <r>
    <x v="810"/>
    <n v="22720.25"/>
    <n v="22775.7"/>
    <n v="22673.7"/>
    <n v="22753.8"/>
    <n v="276847931"/>
    <n v="25355.05"/>
    <n v="22239.980000000007"/>
    <n v="22081.973999999998"/>
    <n v="20518.236250000009"/>
    <n v="111.04999999999927"/>
    <n v="4.887710302483435E-3"/>
    <m/>
    <n v="22753.8"/>
    <n v="0"/>
    <m/>
  </r>
  <r>
    <x v="811"/>
    <n v="22677.4"/>
    <n v="22726.45"/>
    <n v="22503.75"/>
    <n v="22519.4"/>
    <n v="357187778"/>
    <n v="36456.910000000003"/>
    <n v="22261.037500000002"/>
    <n v="22109.998"/>
    <n v="20537.921750000009"/>
    <n v="-234.39999999999782"/>
    <n v="-1.0336281937082638E-2"/>
    <m/>
    <n v="22753.8"/>
    <n v="-1.0301576000492085E-2"/>
    <m/>
  </r>
  <r>
    <x v="812"/>
    <n v="22339.05"/>
    <n v="22427.45"/>
    <n v="22259.55"/>
    <n v="22272.5"/>
    <n v="355465814"/>
    <n v="29474.59"/>
    <n v="22270.222500000003"/>
    <n v="22125.633999999998"/>
    <n v="20556.234500000006"/>
    <n v="-246.90000000000146"/>
    <n v="-1.1052394797451166E-2"/>
    <m/>
    <n v="22753.8"/>
    <n v="-2.1152510789406609E-2"/>
    <m/>
  </r>
  <r>
    <x v="813"/>
    <n v="22125.3"/>
    <n v="22213.75"/>
    <n v="22079.45"/>
    <n v="22147.9"/>
    <n v="317267066"/>
    <n v="28661.040000000001"/>
    <n v="22283.962500000001"/>
    <n v="22140.641999999996"/>
    <n v="20573.740750000004"/>
    <n v="-124.59999999999854"/>
    <n v="-5.6315620579155332E-3"/>
    <m/>
    <n v="22753.8"/>
    <n v="-2.6628519192398503E-2"/>
    <m/>
  </r>
  <r>
    <x v="814"/>
    <n v="22212.35"/>
    <n v="22326.5"/>
    <n v="21961.7"/>
    <n v="21995.85"/>
    <n v="456906707"/>
    <n v="43314.67"/>
    <n v="22284.025000000001"/>
    <n v="22149.085999999996"/>
    <n v="20591.152750000005"/>
    <n v="-152.05000000000291"/>
    <n v="-6.8452910205360042E-3"/>
    <m/>
    <n v="22753.8"/>
    <n v="-3.3310919494765723E-2"/>
    <m/>
  </r>
  <r>
    <x v="815"/>
    <n v="21861.5"/>
    <n v="22179.55"/>
    <n v="21777.65"/>
    <n v="22147"/>
    <n v="362530569"/>
    <n v="36073.629999999997"/>
    <n v="22282.65"/>
    <n v="22155.054"/>
    <n v="20607.676000000007"/>
    <n v="151.15000000000146"/>
    <n v="6.9139811998262454E-3"/>
    <m/>
    <n v="22753.8"/>
    <n v="-2.6668073025165051E-2"/>
    <m/>
  </r>
  <r>
    <x v="816"/>
    <n v="22336.9"/>
    <n v="22375.65"/>
    <n v="22198.15"/>
    <n v="22336.400000000001"/>
    <n v="279259571"/>
    <n v="26841.200000000001"/>
    <n v="22287.215"/>
    <n v="22160.917999999998"/>
    <n v="20624.324000000008"/>
    <n v="189.40000000000146"/>
    <n v="8.4792428671839615E-3"/>
    <m/>
    <n v="22753.8"/>
    <n v="-1.8344188662992478E-2"/>
    <m/>
  </r>
  <r>
    <x v="817"/>
    <n v="22447.05"/>
    <n v="22447.55"/>
    <n v="22349.45"/>
    <n v="22368"/>
    <n v="231520813"/>
    <n v="25651.64"/>
    <n v="22313.162499999999"/>
    <n v="22172.211999999996"/>
    <n v="20641.145500000006"/>
    <n v="31.599999999998545"/>
    <n v="1.4077573667808708E-3"/>
    <m/>
    <n v="22753.8"/>
    <n v="-1.6955409645861286E-2"/>
    <m/>
  </r>
  <r>
    <x v="818"/>
    <n v="22421.55"/>
    <n v="22476.45"/>
    <n v="22384"/>
    <n v="22402.400000000001"/>
    <n v="235898642"/>
    <n v="21925.599999999999"/>
    <n v="22339.607499999998"/>
    <n v="22180.983999999993"/>
    <n v="20657.040250000005"/>
    <n v="34.400000000001455"/>
    <n v="1.5342382663108239E-3"/>
    <m/>
    <n v="22753.8"/>
    <n v="-1.5443574260123438E-2"/>
    <m/>
  </r>
  <r>
    <x v="819"/>
    <n v="22316.9"/>
    <n v="22625.95"/>
    <n v="22305.25"/>
    <n v="22570.35"/>
    <n v="475044740"/>
    <n v="53803.8"/>
    <n v="22359.13"/>
    <n v="22190.421999999999"/>
    <n v="20672.4395"/>
    <n v="167.94999999999709"/>
    <n v="7.5256868113401541E-3"/>
    <m/>
    <n v="22753.8"/>
    <n v="-8.0623895788836109E-3"/>
    <m/>
  </r>
  <r>
    <x v="820"/>
    <n v="22620.400000000001"/>
    <n v="22620.400000000001"/>
    <n v="22385.55"/>
    <n v="22419.95"/>
    <n v="329887340"/>
    <n v="36984.89"/>
    <n v="22382.81"/>
    <n v="22207.47"/>
    <n v="20688.346250000002"/>
    <n v="-150.39999999999782"/>
    <n v="-6.6488656257182813E-3"/>
    <m/>
    <n v="22753.8"/>
    <n v="-1.4672274521178807E-2"/>
    <m/>
  </r>
  <r>
    <x v="821"/>
    <n v="22475.55"/>
    <n v="22655.8"/>
    <n v="22441.9"/>
    <n v="22643.4"/>
    <n v="291957361"/>
    <n v="32431.45"/>
    <n v="22403.572500000002"/>
    <n v="22220.218999999997"/>
    <n v="20703.453500000003"/>
    <n v="223.45000000000073"/>
    <n v="9.9419146583732427E-3"/>
    <m/>
    <n v="22753.8"/>
    <n v="-4.8519368193443713E-3"/>
    <m/>
  </r>
  <r>
    <x v="822"/>
    <n v="22679.65"/>
    <n v="22783.35"/>
    <n v="22568.400000000001"/>
    <n v="22604.85"/>
    <n v="361859375"/>
    <n v="38741.699999999997"/>
    <n v="22429.56"/>
    <n v="22240.766"/>
    <n v="20719.184000000001"/>
    <n v="-38.55000000000291"/>
    <n v="-1.6997616806257111E-3"/>
    <m/>
    <n v="22753.8"/>
    <n v="-6.5461593228384185E-3"/>
    <m/>
  </r>
  <r>
    <x v="823"/>
    <n v="22567.85"/>
    <n v="22710.5"/>
    <n v="22567.85"/>
    <n v="22648.2"/>
    <n v="445909456"/>
    <n v="43133.31"/>
    <n v="22443.4575"/>
    <n v="22257.998000000003"/>
    <n v="20735.549250000004"/>
    <n v="43.350000000002183"/>
    <n v="1.9208741639102612E-3"/>
    <m/>
    <n v="22753.8"/>
    <n v="-4.6409830445902633E-3"/>
    <m/>
  </r>
  <r>
    <x v="824"/>
    <n v="22766.35"/>
    <n v="22794.7"/>
    <n v="22348.05"/>
    <n v="22475.85"/>
    <n v="438060727"/>
    <n v="44432.55"/>
    <n v="22452.767500000002"/>
    <n v="22274.161"/>
    <n v="20752.010750000005"/>
    <n v="-172.35000000000218"/>
    <n v="-7.5703834826400451E-3"/>
    <m/>
    <n v="22753.8"/>
    <n v="-1.2215542019355041E-2"/>
    <m/>
  </r>
  <r>
    <x v="825"/>
    <n v="22561.599999999999"/>
    <n v="22588.799999999999"/>
    <n v="22409.45"/>
    <n v="22442.7"/>
    <n v="320255789"/>
    <n v="33417.53"/>
    <n v="22453.895"/>
    <n v="22285.463000000003"/>
    <n v="20767.193000000003"/>
    <n v="-33.149999999997817"/>
    <n v="-1.4693106871852093E-3"/>
    <m/>
    <n v="22753.8"/>
    <n v="-1.3672441526250467E-2"/>
    <m/>
  </r>
  <r>
    <x v="826"/>
    <n v="22489.75"/>
    <n v="22499.05"/>
    <n v="22232.05"/>
    <n v="22302.5"/>
    <n v="297815469"/>
    <n v="31512.26"/>
    <n v="22454.297500000001"/>
    <n v="22293.503000000004"/>
    <n v="20782.485000000004"/>
    <n v="-140.20000000000073"/>
    <n v="-6.2339510221323374E-3"/>
    <m/>
    <n v="22753.8"/>
    <n v="-1.9834049697193379E-2"/>
    <m/>
  </r>
  <r>
    <x v="827"/>
    <n v="22231.200000000001"/>
    <n v="22368.65"/>
    <n v="22185.200000000001"/>
    <n v="22302.5"/>
    <n v="277438692"/>
    <n v="29717.33"/>
    <n v="22443.69"/>
    <n v="22297.108000000004"/>
    <n v="20796.928750000006"/>
    <n v="0"/>
    <n v="0"/>
    <m/>
    <n v="22753.8"/>
    <n v="-1.9834049697193379E-2"/>
    <m/>
  </r>
  <r>
    <x v="828"/>
    <n v="22224.799999999999"/>
    <n v="22307.75"/>
    <n v="21932.400000000001"/>
    <n v="21957.5"/>
    <n v="331327454"/>
    <n v="37870.879999999997"/>
    <n v="22433.129999999997"/>
    <n v="22299.219000000005"/>
    <n v="20810.618750000005"/>
    <n v="-345"/>
    <n v="-1.5523199308880171E-2"/>
    <m/>
    <n v="22753.8"/>
    <n v="-3.4996352257644858E-2"/>
    <m/>
  </r>
  <r>
    <x v="829"/>
    <n v="21990.95"/>
    <n v="22131.3"/>
    <n v="21950.3"/>
    <n v="22055.200000000001"/>
    <n v="265804411"/>
    <n v="28717.71"/>
    <n v="22397.69"/>
    <n v="22297.267999999996"/>
    <n v="20821.849000000002"/>
    <n v="97.700000000000728"/>
    <n v="4.4427366712216036E-3"/>
    <m/>
    <n v="22753.8"/>
    <n v="-3.0702563967337282E-2"/>
    <m/>
  </r>
  <r>
    <x v="830"/>
    <n v="22027.95"/>
    <n v="22131.65"/>
    <n v="21821.05"/>
    <n v="22104.05"/>
    <n v="278186886"/>
    <n v="29036.080000000002"/>
    <n v="22368.3125"/>
    <n v="22294.023000000001"/>
    <n v="20833.378750000003"/>
    <n v="48.849999999998545"/>
    <n v="2.217637138271993E-3"/>
    <m/>
    <n v="22753.8"/>
    <n v="-2.8555669822183494E-2"/>
    <m/>
  </r>
  <r>
    <x v="831"/>
    <n v="22112.9"/>
    <n v="22270.05"/>
    <n v="22081.25"/>
    <n v="22217.85"/>
    <n v="230238941"/>
    <n v="23741.66"/>
    <n v="22335.825000000001"/>
    <n v="22291.85"/>
    <n v="20844.733250000005"/>
    <n v="113.79999999999927"/>
    <n v="5.1463173079966569E-3"/>
    <m/>
    <n v="22753.8"/>
    <n v="-2.3554307412388287E-2"/>
    <m/>
  </r>
  <r>
    <x v="832"/>
    <n v="22255.599999999999"/>
    <n v="22297.55"/>
    <n v="22151.75"/>
    <n v="22200.55"/>
    <n v="231935478"/>
    <n v="23815.79"/>
    <n v="22320.747499999998"/>
    <n v="22293.766"/>
    <n v="20855.926750000006"/>
    <n v="-17.299999999999272"/>
    <n v="-7.7733244666507639E-4"/>
    <m/>
    <n v="22753.8"/>
    <n v="-2.43146199755645E-2"/>
    <m/>
  </r>
  <r>
    <x v="833"/>
    <n v="22319.200000000001"/>
    <n v="22432.25"/>
    <n v="22054.55"/>
    <n v="22403.85"/>
    <n v="368945092"/>
    <n v="38836.11"/>
    <n v="22317.15"/>
    <n v="22293.81"/>
    <n v="20868.204500000003"/>
    <n v="203.29999999999927"/>
    <n v="9.1087494175418147E-3"/>
    <m/>
    <n v="22753.8"/>
    <n v="-1.537984864066666E-2"/>
    <m/>
  </r>
  <r>
    <x v="834"/>
    <n v="22415.25"/>
    <n v="22502.15"/>
    <n v="22345.65"/>
    <n v="22466.1"/>
    <n v="242654570"/>
    <n v="27388.67"/>
    <n v="22329.947499999998"/>
    <n v="22302.864000000005"/>
    <n v="20881.862000000005"/>
    <n v="62.25"/>
    <n v="2.7771271790410544E-3"/>
    <m/>
    <n v="22753.8"/>
    <n v="-1.264404187432433E-2"/>
    <m/>
  </r>
  <r>
    <x v="835"/>
    <n v="22512.85"/>
    <n v="22520.25"/>
    <n v="22470.05"/>
    <n v="22502"/>
    <n v="19064566"/>
    <n v="1572.77"/>
    <n v="22353.46"/>
    <n v="22312.530000000006"/>
    <n v="20895.789500000003"/>
    <n v="35.900000000001455"/>
    <n v="1.594644836171407E-3"/>
    <m/>
    <n v="22753.8"/>
    <n v="-1.1066283433975865E-2"/>
    <m/>
  </r>
  <r>
    <x v="836"/>
    <n v="22404.55"/>
    <n v="22591.1"/>
    <n v="22404.55"/>
    <n v="22529.05"/>
    <n v="347591587"/>
    <n v="30782.35"/>
    <n v="22371.21"/>
    <n v="22315.795000000006"/>
    <n v="20909.408000000003"/>
    <n v="27.049999999999272"/>
    <n v="1.2073440439553248E-3"/>
    <m/>
    <n v="22753.8"/>
    <n v="-9.8774710158303636E-3"/>
    <m/>
  </r>
  <r>
    <x v="837"/>
    <n v="22576.6"/>
    <n v="22629.5"/>
    <n v="22483.15"/>
    <n v="22597.8"/>
    <n v="290345590"/>
    <n v="28556.14"/>
    <n v="22380.842499999999"/>
    <n v="22318.264000000003"/>
    <n v="20923.753750000003"/>
    <n v="68.75"/>
    <n v="3.0451883808899484E-3"/>
    <m/>
    <n v="22753.8"/>
    <n v="-6.8559976795085076E-3"/>
    <m/>
  </r>
  <r>
    <x v="838"/>
    <n v="22614.1"/>
    <n v="22993.599999999999"/>
    <n v="22577.45"/>
    <n v="22967.65"/>
    <n v="369767547"/>
    <n v="39157.65"/>
    <n v="22392.332499999997"/>
    <n v="22323.094000000005"/>
    <n v="20938.512500000001"/>
    <n v="369.85000000000218"/>
    <n v="1.6354840564072954E-2"/>
    <m/>
    <n v="22967.65"/>
    <n v="0"/>
    <m/>
  </r>
  <r>
    <x v="839"/>
    <n v="22930.75"/>
    <n v="23026.400000000001"/>
    <n v="22908"/>
    <n v="22957.1"/>
    <n v="261927120"/>
    <n v="27966.99"/>
    <n v="22420.594999999998"/>
    <n v="22332.965999999997"/>
    <n v="20954.581750000001"/>
    <n v="-10.55000000000291"/>
    <n v="-4.600808957405628E-4"/>
    <m/>
    <n v="22967.65"/>
    <n v="-4.5934172629780168E-4"/>
    <m/>
  </r>
  <r>
    <x v="840"/>
    <n v="23038.95"/>
    <n v="23110.799999999999"/>
    <n v="22871.200000000001"/>
    <n v="22932.45"/>
    <n v="260006078"/>
    <n v="27204.54"/>
    <n v="22439.932499999995"/>
    <n v="22342.237000000001"/>
    <n v="20970.699499999999"/>
    <n v="-24.649999999997817"/>
    <n v="-1.0699272319267075E-3"/>
    <m/>
    <n v="22967.65"/>
    <n v="-1.5325904043296257E-3"/>
    <m/>
  </r>
  <r>
    <x v="841"/>
    <n v="22977.15"/>
    <n v="22998.55"/>
    <n v="22858.5"/>
    <n v="22888.15"/>
    <n v="217890750"/>
    <n v="23054.65"/>
    <n v="22465.557499999999"/>
    <n v="22354.232999999997"/>
    <n v="20987.728999999999"/>
    <n v="-44.299999999999272"/>
    <n v="-1.9280023849780879E-3"/>
    <m/>
    <n v="22967.65"/>
    <n v="-3.4613902597784296E-3"/>
    <m/>
  </r>
  <r>
    <x v="842"/>
    <n v="22762.75"/>
    <n v="22825.5"/>
    <n v="22685.45"/>
    <n v="22704.7"/>
    <n v="269932784"/>
    <n v="27549.09"/>
    <n v="22477.794999999998"/>
    <n v="22365.281999999996"/>
    <n v="21005.261500000004"/>
    <n v="-183.45000000000073"/>
    <n v="-8.0592195582695741E-3"/>
    <m/>
    <n v="22967.65"/>
    <n v="-1.1448711557342617E-2"/>
    <m/>
  </r>
  <r>
    <x v="843"/>
    <n v="22617.45"/>
    <n v="22705.75"/>
    <n v="22417"/>
    <n v="22488.65"/>
    <n v="373374457"/>
    <n v="32991.46"/>
    <n v="22482.787499999999"/>
    <n v="22379.421999999999"/>
    <n v="21021.200000000004"/>
    <n v="-216.04999999999927"/>
    <n v="-9.5523589087186788E-3"/>
    <m/>
    <n v="22967.65"/>
    <n v="-2.0855420558916538E-2"/>
    <m/>
  </r>
  <r>
    <x v="844"/>
    <n v="22568.1"/>
    <n v="22653.75"/>
    <n v="22465.1"/>
    <n v="22530.7"/>
    <n v="572122639"/>
    <n v="67040.320000000007"/>
    <n v="22474.810000000005"/>
    <n v="22386.261999999992"/>
    <n v="21035.656750000002"/>
    <n v="42.049999999999272"/>
    <n v="1.863249453875128E-3"/>
    <m/>
    <n v="22967.65"/>
    <n v="-1.9024584578744452E-2"/>
    <m/>
  </r>
  <r>
    <x v="845"/>
    <n v="23337.9"/>
    <n v="23338.7"/>
    <n v="23062.3"/>
    <n v="23263.9"/>
    <n v="569425569"/>
    <n v="56418.25"/>
    <n v="22477.552500000002"/>
    <n v="22396.408999999996"/>
    <n v="21050.456000000006"/>
    <n v="733.20000000000073"/>
    <n v="3.1416708444204522E-2"/>
    <m/>
    <n v="23263.9"/>
    <n v="0"/>
    <m/>
  </r>
  <r>
    <x v="846"/>
    <n v="23179.5"/>
    <n v="23179.5"/>
    <n v="21281.45"/>
    <n v="21884.5"/>
    <n v="1006105058"/>
    <n v="93786.44"/>
    <n v="22518.612500000007"/>
    <n v="22420.572999999993"/>
    <n v="21068.612750000004"/>
    <n v="-1379.4000000000015"/>
    <n v="-5.9509480359800748E-2"/>
    <m/>
    <n v="23263.9"/>
    <n v="-5.9293583620975032E-2"/>
    <m/>
  </r>
  <r>
    <x v="847"/>
    <n v="22128.35"/>
    <n v="22670.400000000001"/>
    <n v="21791.95"/>
    <n v="22620.35"/>
    <n v="638487077"/>
    <n v="64326.85"/>
    <n v="22497.712500000001"/>
    <n v="22421.913999999993"/>
    <n v="21080.319750000006"/>
    <n v="735.84999999999854"/>
    <n v="3.3253722035307583E-2"/>
    <m/>
    <n v="23263.9"/>
    <n v="-2.7663031563925355E-2"/>
    <m/>
  </r>
  <r>
    <x v="848"/>
    <n v="22798.6"/>
    <n v="22910.15"/>
    <n v="22642.6"/>
    <n v="22821.4"/>
    <n v="480413289"/>
    <n v="49047.39"/>
    <n v="22513.605000000003"/>
    <n v="22437.539000000001"/>
    <n v="21096.28"/>
    <n v="201.05000000000291"/>
    <n v="8.8185239444528579E-3"/>
    <m/>
    <n v="23263.9"/>
    <n v="-1.9020886437785545E-2"/>
    <m/>
  </r>
  <r>
    <x v="849"/>
    <n v="22821.85"/>
    <n v="23320.2"/>
    <n v="22789.05"/>
    <n v="23290.15"/>
    <n v="473554898"/>
    <n v="47621.54"/>
    <n v="22556.800000000003"/>
    <n v="22453.727999999999"/>
    <n v="21113.214250000005"/>
    <n v="468.75"/>
    <n v="2.0539526813119883E-2"/>
    <m/>
    <n v="23290.15"/>
    <n v="0"/>
    <m/>
  </r>
  <r>
    <x v="850"/>
    <n v="23319.15"/>
    <n v="23411.9"/>
    <n v="23227.15"/>
    <n v="23259.200000000001"/>
    <n v="304392368"/>
    <n v="29060.400000000001"/>
    <n v="22618.547500000004"/>
    <n v="22477.595999999998"/>
    <n v="21132.340000000004"/>
    <n v="-30.950000000000728"/>
    <n v="-1.3272353409108275E-3"/>
    <m/>
    <n v="23290.15"/>
    <n v="-1.3288879633664985E-3"/>
    <m/>
  </r>
  <r>
    <x v="851"/>
    <n v="23283.75"/>
    <n v="23389.45"/>
    <n v="23206.65"/>
    <n v="23264.85"/>
    <n v="305185666"/>
    <n v="29190.91"/>
    <n v="22676.305000000004"/>
    <n v="22502.685999999998"/>
    <n v="21151.80975"/>
    <n v="5.6499999999978172"/>
    <n v="2.4265850646901024E-4"/>
    <m/>
    <n v="23290.15"/>
    <n v="-1.0862961380670999E-3"/>
    <m/>
  </r>
  <r>
    <x v="852"/>
    <n v="23344.45"/>
    <n v="23441.95"/>
    <n v="23295.95"/>
    <n v="23322.95"/>
    <n v="295630910"/>
    <n v="31795.48"/>
    <n v="22728.655000000006"/>
    <n v="22525.509999999995"/>
    <n v="21171.583250000003"/>
    <n v="58.100000000002183"/>
    <n v="2.4888142577787088E-3"/>
    <m/>
    <n v="23322.95"/>
    <n v="0"/>
    <m/>
  </r>
  <r>
    <x v="853"/>
    <n v="23480.95"/>
    <n v="23481.05"/>
    <n v="23353.9"/>
    <n v="23398.9"/>
    <n v="268279841"/>
    <n v="30151.67"/>
    <n v="22784.775000000001"/>
    <n v="22545.431"/>
    <n v="21191.230000000003"/>
    <n v="75.950000000000728"/>
    <n v="3.2345369331309307E-3"/>
    <m/>
    <n v="23398.9"/>
    <n v="0"/>
    <m/>
  </r>
  <r>
    <x v="854"/>
    <n v="23464.95"/>
    <n v="23490.400000000001"/>
    <n v="23334.25"/>
    <n v="23465.599999999999"/>
    <n v="223086741"/>
    <n v="25746.34"/>
    <n v="22834.527500000004"/>
    <n v="22564.168999999998"/>
    <n v="21211.242250000007"/>
    <n v="66.69999999999709"/>
    <n v="2.8425374867620465E-3"/>
    <m/>
    <n v="23465.599999999999"/>
    <n v="0"/>
    <m/>
  </r>
  <r>
    <x v="855"/>
    <n v="23570.799999999999"/>
    <n v="23579.05"/>
    <n v="23499.7"/>
    <n v="23557.9"/>
    <n v="272207297"/>
    <n v="29389.75"/>
    <n v="22884.502500000002"/>
    <n v="22584.415000000001"/>
    <n v="21231.350250000003"/>
    <n v="92.30000000000291"/>
    <n v="3.9158619987443325E-3"/>
    <m/>
    <n v="23557.9"/>
    <n v="0"/>
    <m/>
  </r>
  <r>
    <x v="856"/>
    <n v="23629.85"/>
    <n v="23664"/>
    <n v="23412.9"/>
    <n v="23516"/>
    <n v="328811255"/>
    <n v="39430.39"/>
    <n v="22937.297500000004"/>
    <n v="22606.880000000001"/>
    <n v="21252.206250000003"/>
    <n v="-41.900000000001455"/>
    <n v="-1.7731809554441293E-3"/>
    <m/>
    <n v="23557.9"/>
    <n v="-1.7785965642099777E-3"/>
    <m/>
  </r>
  <r>
    <x v="857"/>
    <n v="23586.15"/>
    <n v="23624"/>
    <n v="23442.6"/>
    <n v="23567"/>
    <n v="280336970"/>
    <n v="33390.07"/>
    <n v="22986.645000000004"/>
    <n v="22626.906999999996"/>
    <n v="21273.457250000007"/>
    <n v="51"/>
    <n v="2.1622859177949771E-3"/>
    <m/>
    <n v="23567"/>
    <n v="0"/>
    <m/>
  </r>
  <r>
    <x v="858"/>
    <n v="23661.15"/>
    <n v="23667.1"/>
    <n v="23398.2"/>
    <n v="23501.1"/>
    <n v="609877803"/>
    <n v="70062.97"/>
    <n v="23035.105000000003"/>
    <n v="22647.972999999998"/>
    <n v="21294.762000000006"/>
    <n v="-65.900000000001455"/>
    <n v="-2.7851562582546265E-3"/>
    <m/>
    <n v="23567"/>
    <n v="-2.7962829380066001E-3"/>
    <m/>
  </r>
  <r>
    <x v="859"/>
    <n v="23382.3"/>
    <n v="23558.1"/>
    <n v="23350"/>
    <n v="23537.85"/>
    <n v="239358460"/>
    <n v="24862.37"/>
    <n v="23061.7775"/>
    <n v="22664.668999999998"/>
    <n v="21315.554250000001"/>
    <n v="36.75"/>
    <n v="1.5717016717773701E-3"/>
    <m/>
    <n v="23567"/>
    <n v="-1.2368990537616753E-3"/>
    <m/>
  </r>
  <r>
    <x v="860"/>
    <n v="23577.1"/>
    <n v="23754.15"/>
    <n v="23562.05"/>
    <n v="23721.3"/>
    <n v="298111025"/>
    <n v="34263.360000000001"/>
    <n v="23090.814999999999"/>
    <n v="22682.571"/>
    <n v="21336.506249999999"/>
    <n v="183.45000000000073"/>
    <n v="7.780855151821078E-3"/>
    <m/>
    <n v="23721.3"/>
    <n v="0"/>
    <m/>
  </r>
  <r>
    <x v="861"/>
    <n v="23723.1"/>
    <n v="23889.9"/>
    <n v="23670.45"/>
    <n v="23868.799999999999"/>
    <n v="287824687"/>
    <n v="33979.620000000003"/>
    <n v="23130.2575"/>
    <n v="22701.921000000002"/>
    <n v="21358.843749999996"/>
    <n v="147.5"/>
    <n v="6.2175685302511058E-3"/>
    <m/>
    <n v="23868.799999999999"/>
    <n v="0"/>
    <m/>
  </r>
  <r>
    <x v="862"/>
    <n v="23881.55"/>
    <n v="24087.45"/>
    <n v="23805.4"/>
    <n v="24044.5"/>
    <n v="515227010"/>
    <n v="61216.71"/>
    <n v="23179.29"/>
    <n v="22728.909000000003"/>
    <n v="21381.01125"/>
    <n v="175.70000000000073"/>
    <n v="7.3571439039761127E-3"/>
    <m/>
    <n v="24044.5"/>
    <n v="0"/>
    <m/>
  </r>
  <r>
    <x v="863"/>
    <n v="24085.9"/>
    <n v="24174"/>
    <n v="23985.8"/>
    <n v="24010.6"/>
    <n v="354779832"/>
    <n v="41242.870000000003"/>
    <n v="23246.28"/>
    <n v="22764.348999999998"/>
    <n v="21403.589749999999"/>
    <n v="-33.900000000001455"/>
    <n v="-1.4074624572883493E-3"/>
    <m/>
    <n v="24044.5"/>
    <n v="-1.4098858366778932E-3"/>
    <m/>
  </r>
  <r>
    <x v="864"/>
    <n v="23992.95"/>
    <n v="24164"/>
    <n v="23992.7"/>
    <n v="24141.95"/>
    <n v="242468081"/>
    <n v="28204.06"/>
    <n v="23322.377499999995"/>
    <n v="22801.602999999999"/>
    <n v="21425.768250000001"/>
    <n v="131.35000000000218"/>
    <n v="5.4745248083292045E-3"/>
    <m/>
    <n v="24141.95"/>
    <n v="0"/>
    <m/>
  </r>
  <r>
    <x v="865"/>
    <n v="24228.75"/>
    <n v="24236.35"/>
    <n v="24056.400000000001"/>
    <n v="24123.85"/>
    <n v="309629240"/>
    <n v="34838.65"/>
    <n v="23402.939999999995"/>
    <n v="22844.524999999994"/>
    <n v="21448.422749999998"/>
    <n v="-18.100000000002183"/>
    <n v="-7.4704638084928789E-4"/>
    <m/>
    <n v="24141.95"/>
    <n v="-7.4973231242725369E-4"/>
    <m/>
  </r>
  <r>
    <x v="866"/>
    <n v="24291.75"/>
    <n v="24309.15"/>
    <n v="24207.1"/>
    <n v="24286.5"/>
    <n v="289201551"/>
    <n v="36661.17"/>
    <n v="23445.937499999993"/>
    <n v="22884.061999999998"/>
    <n v="21470.406749999998"/>
    <n v="162.65000000000146"/>
    <n v="6.6956888655614133E-3"/>
    <m/>
    <n v="24286.5"/>
    <n v="0"/>
    <m/>
  </r>
  <r>
    <x v="867"/>
    <n v="24369.95"/>
    <n v="24401"/>
    <n v="24281"/>
    <n v="24302.15"/>
    <n v="251189844"/>
    <n v="28466.6"/>
    <n v="23566.037499999995"/>
    <n v="22923.063999999998"/>
    <n v="21492.739499999996"/>
    <n v="15.650000000001455"/>
    <n v="6.4218432947139631E-4"/>
    <m/>
    <n v="24302.15"/>
    <n v="0"/>
    <m/>
  </r>
  <r>
    <x v="868"/>
    <n v="24213.35"/>
    <n v="24363"/>
    <n v="24168.85"/>
    <n v="24323.85"/>
    <n v="298381204"/>
    <n v="32052.48"/>
    <n v="23650.127499999999"/>
    <n v="22961.746999999996"/>
    <n v="21514.268500000002"/>
    <n v="21.69999999999709"/>
    <n v="8.9619982365088228E-4"/>
    <m/>
    <n v="24323.85"/>
    <n v="0"/>
    <m/>
  </r>
  <r>
    <x v="869"/>
    <n v="24329.45"/>
    <n v="24344.6"/>
    <n v="24240.55"/>
    <n v="24320.55"/>
    <n v="266299131"/>
    <n v="26356.03"/>
    <n v="23725.25"/>
    <n v="23000.175999999999"/>
    <n v="21535.921749999998"/>
    <n v="-3.2999999999992724"/>
    <n v="-1.3563808470800913E-4"/>
    <m/>
    <n v="24323.85"/>
    <n v="-1.3566931221820067E-4"/>
    <m/>
  </r>
  <r>
    <x v="870"/>
    <n v="24351"/>
    <n v="24443.599999999999"/>
    <n v="24331.9"/>
    <n v="24433.200000000001"/>
    <n v="250537091"/>
    <n v="29361.08"/>
    <n v="23776.769999999997"/>
    <n v="23035.18"/>
    <n v="21557.174500000001"/>
    <n v="112.65000000000146"/>
    <n v="4.6260933842553267E-3"/>
    <m/>
    <n v="24433.200000000001"/>
    <n v="0"/>
    <m/>
  </r>
  <r>
    <x v="871"/>
    <n v="24459.85"/>
    <n v="24461.05"/>
    <n v="24141.8"/>
    <n v="24324.45"/>
    <n v="292263786"/>
    <n v="35358.54"/>
    <n v="23835.469999999998"/>
    <n v="23075.445"/>
    <n v="21578.825000000004"/>
    <n v="-108.75"/>
    <n v="-4.4460616070826275E-3"/>
    <m/>
    <n v="24433.200000000001"/>
    <n v="-4.4509110554491471E-3"/>
    <m/>
  </r>
  <r>
    <x v="872"/>
    <n v="24396.55"/>
    <n v="24402.65"/>
    <n v="24193.75"/>
    <n v="24315.95"/>
    <n v="306404194"/>
    <n v="32115.439999999999"/>
    <n v="23888.45"/>
    <n v="23109.065999999995"/>
    <n v="21599.485500000003"/>
    <n v="-8.5"/>
    <n v="-3.4840991861554197E-4"/>
    <m/>
    <n v="24433.200000000001"/>
    <n v="-4.798798356334788E-3"/>
    <m/>
  </r>
  <r>
    <x v="873"/>
    <n v="24387.95"/>
    <n v="24592.2"/>
    <n v="24331.15"/>
    <n v="24502.15"/>
    <n v="325823474"/>
    <n v="39565.33"/>
    <n v="23938.1"/>
    <n v="23143.287999999997"/>
    <n v="21620.398750000004"/>
    <n v="186.20000000000073"/>
    <n v="7.6349180640439525E-3"/>
    <m/>
    <n v="24502.15"/>
    <n v="0"/>
    <m/>
  </r>
  <r>
    <x v="874"/>
    <n v="24587.599999999999"/>
    <n v="24635.05"/>
    <n v="24522.75"/>
    <n v="24586.7"/>
    <n v="305395934"/>
    <n v="31593.040000000001"/>
    <n v="23993.262500000004"/>
    <n v="23180.366999999998"/>
    <n v="21643.402500000011"/>
    <n v="84.549999999999272"/>
    <n v="3.4387252110819793E-3"/>
    <m/>
    <n v="24586.7"/>
    <n v="0"/>
    <m/>
  </r>
  <r>
    <x v="875"/>
    <n v="24615.9"/>
    <n v="24661.25"/>
    <n v="24587.65"/>
    <n v="24613"/>
    <n v="283212233"/>
    <n v="28668.71"/>
    <n v="24049.317500000001"/>
    <n v="23222.583999999995"/>
    <n v="21667.624250000012"/>
    <n v="26.299999999999272"/>
    <n v="1.0684151300581848E-3"/>
    <m/>
    <n v="24613"/>
    <n v="0"/>
    <m/>
  </r>
  <r>
    <x v="876"/>
    <n v="24543.8"/>
    <n v="24837.75"/>
    <n v="24504.45"/>
    <n v="24800.85"/>
    <n v="350924425"/>
    <n v="40477.17"/>
    <n v="24102.072500000006"/>
    <n v="23265.989999999994"/>
    <n v="21692.318000000007"/>
    <n v="187.84999999999854"/>
    <n v="7.6536640617996619E-3"/>
    <m/>
    <n v="24800.85"/>
    <n v="0"/>
    <m/>
  </r>
  <r>
    <x v="877"/>
    <n v="24853.8"/>
    <n v="24854.799999999999"/>
    <n v="24508.15"/>
    <n v="24530.9"/>
    <n v="343772965"/>
    <n v="33588.080000000002"/>
    <n v="24166.315000000002"/>
    <n v="23315.956999999999"/>
    <n v="21717.949500000006"/>
    <n v="-269.94999999999709"/>
    <n v="-1.0861518158188973E-2"/>
    <m/>
    <n v="24800.85"/>
    <n v="-1.0884707580586794E-2"/>
    <m/>
  </r>
  <r>
    <x v="878"/>
    <n v="24445.75"/>
    <n v="24595.200000000001"/>
    <n v="24362.3"/>
    <n v="24509.25"/>
    <n v="324190553"/>
    <n v="32496.23"/>
    <n v="24214.510000000002"/>
    <n v="23360.524999999994"/>
    <n v="21742.280500000008"/>
    <n v="-21.650000000001455"/>
    <n v="-8.8563451724743385E-4"/>
    <m/>
    <n v="24800.85"/>
    <n v="-1.1757661531761943E-2"/>
    <m/>
  </r>
  <r>
    <x v="879"/>
    <n v="24568.9"/>
    <n v="24582.55"/>
    <n v="24074.2"/>
    <n v="24479.05"/>
    <n v="436408768"/>
    <n v="44921.42"/>
    <n v="24264.917500000003"/>
    <n v="23411.56"/>
    <n v="21766.244500000008"/>
    <n v="-30.200000000000728"/>
    <n v="-1.229196260312864E-3"/>
    <m/>
    <n v="24800.85"/>
    <n v="-1.2975361731553559E-2"/>
    <m/>
  </r>
  <r>
    <x v="880"/>
    <n v="24444.95"/>
    <n v="24504.25"/>
    <n v="24307.25"/>
    <n v="24413.5"/>
    <n v="366616574"/>
    <n v="39538.11"/>
    <n v="24311.977500000001"/>
    <n v="23460.037"/>
    <n v="21791.022000000008"/>
    <n v="-65.549999999999272"/>
    <n v="-2.6815354500622532E-3"/>
    <m/>
    <n v="24800.85"/>
    <n v="-1.5618416304279847E-2"/>
    <m/>
  </r>
  <r>
    <x v="881"/>
    <n v="24230.95"/>
    <n v="24426.15"/>
    <n v="24210.799999999999"/>
    <n v="24406.1"/>
    <n v="391821970"/>
    <n v="37853.620000000003"/>
    <n v="24346.587500000001"/>
    <n v="23506.226000000002"/>
    <n v="21814.898000000001"/>
    <n v="-7.4000000000014552"/>
    <n v="-3.0539454705661378E-4"/>
    <m/>
    <n v="24800.85"/>
    <n v="-1.5916793174427513E-2"/>
    <m/>
  </r>
  <r>
    <x v="882"/>
    <n v="24423.35"/>
    <n v="24861.15"/>
    <n v="24410.9"/>
    <n v="24834.85"/>
    <n v="383826136"/>
    <n v="42118.36"/>
    <n v="24373.452499999999"/>
    <n v="23549.991000000002"/>
    <n v="21839.284750000003"/>
    <n v="428.75"/>
    <n v="1.7554921826858316E-2"/>
    <m/>
    <n v="24834.85"/>
    <n v="0"/>
    <m/>
  </r>
  <r>
    <x v="883"/>
    <n v="24943.3"/>
    <n v="24999.75"/>
    <n v="24774.6"/>
    <n v="24836.1"/>
    <n v="354966070"/>
    <n v="37102.92"/>
    <n v="24412.969999999998"/>
    <n v="23602.677000000003"/>
    <n v="21866.2785"/>
    <n v="1.25"/>
    <n v="5.0113657775835596E-5"/>
    <m/>
    <n v="24836.1"/>
    <n v="0"/>
    <m/>
  </r>
  <r>
    <x v="884"/>
    <n v="24839.4"/>
    <n v="24971.75"/>
    <n v="24798.65"/>
    <n v="24857.3"/>
    <n v="384989431"/>
    <n v="37576.58"/>
    <n v="24454.244999999999"/>
    <n v="23651.322000000007"/>
    <n v="21892.730250000001"/>
    <n v="21.200000000000728"/>
    <n v="8.5348277333593915E-4"/>
    <m/>
    <n v="24857.3"/>
    <n v="0"/>
    <m/>
  </r>
  <r>
    <x v="885"/>
    <n v="24886.7"/>
    <n v="24984.6"/>
    <n v="24856.5"/>
    <n v="24951.15"/>
    <n v="333646302"/>
    <n v="35411.32"/>
    <n v="24490.012499999997"/>
    <n v="23699.146000000004"/>
    <n v="21918.749249999997"/>
    <n v="93.850000000002183"/>
    <n v="3.7710905825200682E-3"/>
    <m/>
    <n v="24951.15"/>
    <n v="0"/>
    <m/>
  </r>
  <r>
    <x v="886"/>
    <n v="25030.95"/>
    <n v="25078.3"/>
    <n v="24956.400000000001"/>
    <n v="25010.9"/>
    <n v="431313292"/>
    <n v="38822.9"/>
    <n v="24531.377499999999"/>
    <n v="23748.129000000004"/>
    <n v="21945.94325"/>
    <n v="59.75"/>
    <n v="2.3870448384899494E-3"/>
    <m/>
    <n v="25010.9"/>
    <n v="0"/>
    <m/>
  </r>
  <r>
    <x v="887"/>
    <n v="24789"/>
    <n v="24851.9"/>
    <n v="24686.85"/>
    <n v="24717.7"/>
    <n v="345027881"/>
    <n v="35368.54"/>
    <n v="24567.597499999996"/>
    <n v="23797.766"/>
    <n v="21972.548500000004"/>
    <n v="-293.20000000000073"/>
    <n v="-1.182782685868735E-2"/>
    <m/>
    <n v="25010.9"/>
    <n v="-1.1722888820474342E-2"/>
    <m/>
  </r>
  <r>
    <x v="888"/>
    <n v="24302.85"/>
    <n v="24350.05"/>
    <n v="23893.7"/>
    <n v="24055.599999999999"/>
    <n v="486994718"/>
    <n v="45066.65"/>
    <n v="24588.374999999996"/>
    <n v="23840.163999999993"/>
    <n v="21997.08025000001"/>
    <n v="-662.10000000000218"/>
    <n v="-2.7243718329331836E-2"/>
    <m/>
    <n v="25010.9"/>
    <n v="-3.8195346828782784E-2"/>
    <m/>
  </r>
  <r>
    <x v="889"/>
    <n v="24189.85"/>
    <n v="24382.6"/>
    <n v="23960.400000000001"/>
    <n v="23992.55"/>
    <n v="312339387"/>
    <n v="31553.65"/>
    <n v="24574.962499999998"/>
    <n v="23861.922999999995"/>
    <n v="22018.388250000004"/>
    <n v="-63.049999999999272"/>
    <n v="-2.6064651082995257E-3"/>
    <m/>
    <n v="25010.9"/>
    <n v="-4.0716247715995912E-2"/>
    <m/>
  </r>
  <r>
    <x v="890"/>
    <n v="24289.4"/>
    <n v="24337.7"/>
    <n v="24184.9"/>
    <n v="24297.5"/>
    <n v="317564429"/>
    <n v="29738.85"/>
    <n v="24558.562499999996"/>
    <n v="23882.631999999994"/>
    <n v="22039.595750000008"/>
    <n v="304.95000000000073"/>
    <n v="1.2554859321350084E-2"/>
    <m/>
    <n v="25010.9"/>
    <n v="-2.8523563726215451E-2"/>
    <m/>
  </r>
  <r>
    <x v="891"/>
    <n v="24248.55"/>
    <n v="24340.5"/>
    <n v="24079.7"/>
    <n v="24117"/>
    <n v="311875940"/>
    <n v="30858.18"/>
    <n v="24551.777499999997"/>
    <n v="23909.932999999994"/>
    <n v="22062.424500000012"/>
    <n v="-180.5"/>
    <n v="-7.4437440589231107E-3"/>
    <m/>
    <n v="25010.9"/>
    <n v="-3.5740417178110384E-2"/>
    <m/>
  </r>
  <r>
    <x v="892"/>
    <n v="24386.85"/>
    <n v="24419.75"/>
    <n v="24311.200000000001"/>
    <n v="24367.5"/>
    <n v="215129992"/>
    <n v="22339.19"/>
    <n v="24541.404999999999"/>
    <n v="23934.509999999995"/>
    <n v="22083.952000000005"/>
    <n v="250.5"/>
    <n v="1.0271929338967518E-2"/>
    <m/>
    <n v="25010.9"/>
    <n v="-2.5724783994178546E-2"/>
    <m/>
  </r>
  <r>
    <x v="893"/>
    <n v="24320.05"/>
    <n v="24472.799999999999"/>
    <n v="24212.1"/>
    <n v="24347"/>
    <n v="279925100"/>
    <n v="30311.85"/>
    <n v="24543.982500000002"/>
    <n v="23967.766"/>
    <n v="22107.434000000008"/>
    <n v="-20.5"/>
    <n v="-8.4292589858984664E-4"/>
    <m/>
    <n v="25010.9"/>
    <n v="-2.6544426629989348E-2"/>
    <m/>
  </r>
  <r>
    <x v="894"/>
    <n v="24342.35"/>
    <n v="24359.95"/>
    <n v="24116.5"/>
    <n v="24139"/>
    <n v="239727640"/>
    <n v="25459.58"/>
    <n v="24536.224999999999"/>
    <n v="24004.932999999997"/>
    <n v="22131.045500000011"/>
    <n v="-208"/>
    <n v="-8.5447789551953701E-3"/>
    <m/>
    <n v="25010.9"/>
    <n v="-3.4860800690898808E-2"/>
    <m/>
  </r>
  <r>
    <x v="895"/>
    <n v="24184.400000000001"/>
    <n v="24196.5"/>
    <n v="24099.7"/>
    <n v="24143.75"/>
    <n v="303254705"/>
    <n v="27834.61"/>
    <n v="24513.84"/>
    <n v="24037.098999999998"/>
    <n v="22154.027250000006"/>
    <n v="4.75"/>
    <n v="1.9640760159441622E-4"/>
    <m/>
    <n v="25010.9"/>
    <n v="-3.4670883494796301E-2"/>
    <m/>
  </r>
  <r>
    <x v="896"/>
    <n v="24334.85"/>
    <n v="24563.9"/>
    <n v="24204.5"/>
    <n v="24541.15"/>
    <n v="271611087"/>
    <n v="28521.9"/>
    <n v="24490.377499999999"/>
    <n v="24054.695999999996"/>
    <n v="22178.337250000004"/>
    <n v="397.40000000000146"/>
    <n v="1.6330488990069857E-2"/>
    <m/>
    <n v="25010.9"/>
    <n v="-1.8781811130347159E-2"/>
    <m/>
  </r>
  <r>
    <x v="897"/>
    <n v="24636.35"/>
    <n v="24638.799999999999"/>
    <n v="24522.95"/>
    <n v="24572.65"/>
    <n v="243645503"/>
    <n v="22124.41"/>
    <n v="24477.392499999998"/>
    <n v="24107.828999999994"/>
    <n v="22205.432250000005"/>
    <n v="31.5"/>
    <n v="1.2785984936892032E-3"/>
    <m/>
    <n v="25010.9"/>
    <n v="-1.7522360250930569E-2"/>
    <m/>
  </r>
  <r>
    <x v="898"/>
    <n v="24648.9"/>
    <n v="24734.3"/>
    <n v="24607.200000000001"/>
    <n v="24698.85"/>
    <n v="238318940"/>
    <n v="25478.73"/>
    <n v="24479.480000000003"/>
    <n v="24146.874999999989"/>
    <n v="22234.009250000003"/>
    <n v="126.19999999999709"/>
    <n v="5.1199039308040964E-3"/>
    <m/>
    <n v="25010.9"/>
    <n v="-1.2476560219744304E-2"/>
    <m/>
  </r>
  <r>
    <x v="899"/>
    <n v="24680.55"/>
    <n v="24787.95"/>
    <n v="24654.5"/>
    <n v="24770.2"/>
    <n v="257114212"/>
    <n v="27404.63"/>
    <n v="24488.959999999999"/>
    <n v="24184.423999999995"/>
    <n v="22262.267250000004"/>
    <n v="71.350000000002183"/>
    <n v="2.8909404369028319E-3"/>
    <m/>
    <n v="25010.9"/>
    <n v="-9.6238040214466913E-3"/>
    <m/>
  </r>
  <r>
    <x v="900"/>
    <n v="24863.4"/>
    <n v="24867.35"/>
    <n v="24784.45"/>
    <n v="24811.5"/>
    <n v="220345125"/>
    <n v="24227.03"/>
    <n v="24503.517500000002"/>
    <n v="24214.024999999994"/>
    <n v="22290.413750000011"/>
    <n v="41.299999999999272"/>
    <n v="1.6610761199192094E-3"/>
    <m/>
    <n v="25010.9"/>
    <n v="-7.9725239795449543E-3"/>
    <m/>
  </r>
  <r>
    <x v="901"/>
    <n v="24845.4"/>
    <n v="24858.400000000001"/>
    <n v="24771.65"/>
    <n v="24823.15"/>
    <n v="206800655"/>
    <n v="23134.22"/>
    <n v="24523.417500000003"/>
    <n v="24245.070999999996"/>
    <n v="22319.073250000005"/>
    <n v="11.650000000001455"/>
    <n v="4.6889967559393106E-4"/>
    <m/>
    <n v="25010.9"/>
    <n v="-7.5067270669988417E-3"/>
    <m/>
  </r>
  <r>
    <x v="902"/>
    <n v="24906.1"/>
    <n v="25043.8"/>
    <n v="24874.7"/>
    <n v="25010.6"/>
    <n v="210266456"/>
    <n v="22166.86"/>
    <n v="24544.270000000004"/>
    <n v="24276.236999999997"/>
    <n v="22348.243250000007"/>
    <n v="187.44999999999709"/>
    <n v="7.5262686651060224E-3"/>
    <m/>
    <n v="25010.9"/>
    <n v="-1.199477028024365E-5"/>
    <m/>
  </r>
  <r>
    <x v="903"/>
    <n v="25024.799999999999"/>
    <n v="25073.1"/>
    <n v="24973.65"/>
    <n v="25017.75"/>
    <n v="223346636"/>
    <n v="26695"/>
    <n v="24553.057499999999"/>
    <n v="24309.99"/>
    <n v="22377.630000000005"/>
    <n v="7.1500000000014552"/>
    <n v="2.8571656916344808E-4"/>
    <m/>
    <n v="25017.75"/>
    <n v="0"/>
    <m/>
  </r>
  <r>
    <x v="904"/>
    <n v="25030.799999999999"/>
    <n v="25129.599999999999"/>
    <n v="24964.65"/>
    <n v="25052.35"/>
    <n v="220419448"/>
    <n v="26994.19"/>
    <n v="24562.14"/>
    <n v="24342.367000000002"/>
    <n v="22406.565750000005"/>
    <n v="34.599999999998545"/>
    <n v="1.3822970100835189E-3"/>
    <m/>
    <n v="25052.35"/>
    <n v="0"/>
    <m/>
  </r>
  <r>
    <x v="905"/>
    <n v="25035.3"/>
    <n v="25192.9"/>
    <n v="24998.5"/>
    <n v="25151.95"/>
    <n v="353993900"/>
    <n v="43221.73"/>
    <n v="24571.892500000002"/>
    <n v="24374.102000000006"/>
    <n v="22434.768750000003"/>
    <n v="99.600000000002183"/>
    <n v="3.9783825238763736E-3"/>
    <m/>
    <n v="25151.95"/>
    <n v="0"/>
    <m/>
  </r>
  <r>
    <x v="906"/>
    <n v="25249.7"/>
    <n v="25268.35"/>
    <n v="25199.4"/>
    <n v="25235.9"/>
    <n v="638166179"/>
    <n v="89554.91"/>
    <n v="24581.932500000003"/>
    <n v="24405.983000000004"/>
    <n v="22463.495000000006"/>
    <n v="83.950000000000728"/>
    <n v="3.3247919777264967E-3"/>
    <m/>
    <n v="25235.9"/>
    <n v="0"/>
    <m/>
  </r>
  <r>
    <x v="907"/>
    <n v="25333.599999999999"/>
    <n v="25333.65"/>
    <n v="25235.5"/>
    <n v="25278.7"/>
    <n v="222815249"/>
    <n v="28187.71"/>
    <n v="24593.182500000003"/>
    <n v="24440.381000000001"/>
    <n v="22492.457000000006"/>
    <n v="42.799999999999272"/>
    <n v="1.689455900464177E-3"/>
    <m/>
    <n v="25278.7"/>
    <n v="0"/>
    <m/>
  </r>
  <r>
    <x v="908"/>
    <n v="25313.4"/>
    <n v="25321.7"/>
    <n v="25235.8"/>
    <n v="25279.85"/>
    <n v="212131921"/>
    <n v="27276.14"/>
    <n v="24621.232500000002"/>
    <n v="24474.615000000002"/>
    <n v="22521.874000000007"/>
    <n v="1.1499999999978172"/>
    <n v="4.5430483459267313E-5"/>
    <m/>
    <n v="25279.85"/>
    <n v="0"/>
    <m/>
  </r>
  <r>
    <x v="909"/>
    <n v="25089.95"/>
    <n v="25216"/>
    <n v="25083.8"/>
    <n v="25198.7"/>
    <n v="253788501"/>
    <n v="26293.35"/>
    <n v="24682.445"/>
    <n v="24510.190000000006"/>
    <n v="22551.14650000001"/>
    <n v="-81.149999999997817"/>
    <n v="-3.2343627627794322E-3"/>
    <m/>
    <n v="25279.85"/>
    <n v="-3.2100665154262131E-3"/>
    <m/>
  </r>
  <r>
    <x v="910"/>
    <n v="25250.5"/>
    <n v="25275.45"/>
    <n v="25127.75"/>
    <n v="25145.1"/>
    <n v="222242223"/>
    <n v="26272.38"/>
    <n v="24742.752499999999"/>
    <n v="24543.407000000003"/>
    <n v="22579.512250000007"/>
    <n v="-53.600000000002183"/>
    <n v="-2.1227302429655723E-3"/>
    <m/>
    <n v="25279.85"/>
    <n v="-5.3303322606740311E-3"/>
    <m/>
  </r>
  <r>
    <x v="911"/>
    <n v="25093.7"/>
    <n v="25168.75"/>
    <n v="24801.3"/>
    <n v="24852.15"/>
    <n v="311671856"/>
    <n v="33001.17"/>
    <n v="24785.1325"/>
    <n v="24571.883000000002"/>
    <n v="22608.02"/>
    <n v="-292.94999999999709"/>
    <n v="-1.1674244930002235E-2"/>
    <m/>
    <n v="25279.85"/>
    <n v="-1.6918613045567854E-2"/>
    <m/>
  </r>
  <r>
    <x v="912"/>
    <n v="24823.4"/>
    <n v="24957.5"/>
    <n v="24753.15"/>
    <n v="24936.400000000001"/>
    <n v="254367252"/>
    <n v="25180.28"/>
    <n v="24821.89"/>
    <n v="24591.55"/>
    <n v="22633.903500000004"/>
    <n v="84.25"/>
    <n v="3.3939750396803016E-3"/>
    <m/>
    <n v="25279.85"/>
    <n v="-1.3585919220248432E-2"/>
    <m/>
  </r>
  <r>
    <x v="913"/>
    <n v="24999.4"/>
    <n v="25130.5"/>
    <n v="24896.799999999999"/>
    <n v="25041.1"/>
    <n v="251274802"/>
    <n v="27846.31"/>
    <n v="24850.334999999999"/>
    <n v="24609.387999999992"/>
    <n v="22659.759500000007"/>
    <n v="104.69999999999709"/>
    <n v="4.1881005144122291E-3"/>
    <m/>
    <n v="25279.85"/>
    <n v="-9.4442807216024161E-3"/>
    <m/>
  </r>
  <r>
    <x v="914"/>
    <n v="25034"/>
    <n v="25113.7"/>
    <n v="24885.15"/>
    <n v="24918.45"/>
    <n v="279229206"/>
    <n v="29395.73"/>
    <n v="24885.040000000001"/>
    <n v="24629.998"/>
    <n v="22686.306000000004"/>
    <n v="-122.64999999999782"/>
    <n v="-4.8993369018134466E-3"/>
    <m/>
    <n v="25279.85"/>
    <n v="-1.4295970901725963E-2"/>
    <m/>
  </r>
  <r>
    <x v="915"/>
    <n v="25059.65"/>
    <n v="25433.35"/>
    <n v="24941.45"/>
    <n v="25388.9"/>
    <n v="380069653"/>
    <n v="41747.910000000003"/>
    <n v="24924.012500000001"/>
    <n v="24645.527999999998"/>
    <n v="22712.428250000008"/>
    <n v="470.45000000000073"/>
    <n v="1.8773207127793113E-2"/>
    <m/>
    <n v="25388.9"/>
    <n v="0"/>
    <m/>
  </r>
  <r>
    <x v="916"/>
    <n v="25430.45"/>
    <n v="25430.5"/>
    <n v="25292.45"/>
    <n v="25356.5"/>
    <n v="250781898"/>
    <n v="25530.69"/>
    <n v="24986.270000000004"/>
    <n v="24670.828999999994"/>
    <n v="22740.455750000008"/>
    <n v="-32.400000000001455"/>
    <n v="-1.2740631801639946E-3"/>
    <m/>
    <n v="25388.9"/>
    <n v="-1.276148238009589E-3"/>
    <m/>
  </r>
  <r>
    <x v="917"/>
    <n v="25406.65"/>
    <n v="25445.7"/>
    <n v="25336.2"/>
    <n v="25383.75"/>
    <n v="168694880"/>
    <n v="18705.009999999998"/>
    <n v="25027.037500000002"/>
    <n v="24692.228999999996"/>
    <n v="22768.179000000007"/>
    <n v="27.25"/>
    <n v="1.0725538392507472E-3"/>
    <m/>
    <n v="25388.9"/>
    <n v="-2.0284455017749448E-4"/>
    <m/>
  </r>
  <r>
    <x v="918"/>
    <n v="25416.9"/>
    <n v="25441.65"/>
    <n v="25352.25"/>
    <n v="25418.55"/>
    <n v="215956868"/>
    <n v="25280.83"/>
    <n v="25067.592500000006"/>
    <n v="24713.86099999999"/>
    <n v="22796.08775000001"/>
    <n v="34.799999999999272"/>
    <n v="1.3691677584598935E-3"/>
    <m/>
    <n v="25418.55"/>
    <n v="0"/>
    <m/>
  </r>
  <r>
    <x v="919"/>
    <n v="25402.400000000001"/>
    <n v="25482.2"/>
    <n v="25285.55"/>
    <n v="25377.55"/>
    <n v="215727159"/>
    <n v="28832"/>
    <n v="25103.577500000003"/>
    <n v="24735.75499999999"/>
    <n v="22824.207000000009"/>
    <n v="-41"/>
    <n v="-1.6140207224514219E-3"/>
    <m/>
    <n v="25418.55"/>
    <n v="-1.6129952337957665E-3"/>
    <m/>
  </r>
  <r>
    <x v="920"/>
    <n v="25487.05"/>
    <n v="25611.95"/>
    <n v="25376.05"/>
    <n v="25415.8"/>
    <n v="314461263"/>
    <n v="34389.269999999997"/>
    <n v="25133.945000000003"/>
    <n v="24756.894999999997"/>
    <n v="22851.646250000009"/>
    <n v="38.25"/>
    <n v="1.5007621517594231E-3"/>
    <m/>
    <n v="25418.55"/>
    <n v="-1.0818870470585829E-4"/>
    <m/>
  </r>
  <r>
    <x v="921"/>
    <n v="25525.95"/>
    <n v="25849.25"/>
    <n v="25426.6"/>
    <n v="25790.95"/>
    <n v="533067422"/>
    <n v="68915.27"/>
    <n v="25164.160000000003"/>
    <n v="24776.546999999999"/>
    <n v="22878.242250000007"/>
    <n v="375.15000000000146"/>
    <n v="1.4696808541895657E-2"/>
    <m/>
    <n v="25790.95"/>
    <n v="0"/>
    <m/>
  </r>
  <r>
    <x v="922"/>
    <n v="25872.55"/>
    <n v="25956"/>
    <n v="25847.35"/>
    <n v="25939.05"/>
    <n v="209187756"/>
    <n v="24825.74"/>
    <n v="25212.55"/>
    <n v="24805.876999999997"/>
    <n v="22906.531250000011"/>
    <n v="148.09999999999854"/>
    <n v="5.7242135004086786E-3"/>
    <m/>
    <n v="25939.05"/>
    <n v="0"/>
    <m/>
  </r>
  <r>
    <x v="923"/>
    <n v="25921.45"/>
    <n v="26011.55"/>
    <n v="25886.85"/>
    <n v="25940.400000000001"/>
    <n v="384115033"/>
    <n v="35573.629999999997"/>
    <n v="25258.9725"/>
    <n v="24838.339"/>
    <n v="22934.887000000002"/>
    <n v="1.3500000000021828"/>
    <n v="5.2080419884002739E-5"/>
    <m/>
    <n v="25940.400000000001"/>
    <n v="0"/>
    <m/>
  </r>
  <r>
    <x v="924"/>
    <n v="25899.45"/>
    <n v="26032.799999999999"/>
    <n v="25871.35"/>
    <n v="26004.15"/>
    <n v="278540972"/>
    <n v="27868.080000000002"/>
    <n v="25305.105000000003"/>
    <n v="24867.103999999999"/>
    <n v="22961.15500000001"/>
    <n v="63.75"/>
    <n v="2.461442231398736E-3"/>
    <m/>
    <n v="26004.15"/>
    <n v="0"/>
    <m/>
  </r>
  <r>
    <x v="925"/>
    <n v="26005.4"/>
    <n v="26250.9"/>
    <n v="25998.400000000001"/>
    <n v="26216.05"/>
    <n v="370895477"/>
    <n v="40838.36"/>
    <n v="25352.695"/>
    <n v="24895.452999999994"/>
    <n v="22986.90025000001"/>
    <n v="211.89999999999782"/>
    <n v="8.1483076591783946E-3"/>
    <m/>
    <n v="26216.05"/>
    <n v="0"/>
    <m/>
  </r>
  <r>
    <x v="926"/>
    <n v="26248.25"/>
    <n v="26277.35"/>
    <n v="26151.4"/>
    <n v="26178.95"/>
    <n v="490332370"/>
    <n v="55420.63"/>
    <n v="25405.9"/>
    <n v="24927.513999999996"/>
    <n v="23013.292000000005"/>
    <n v="-37.099999999998545"/>
    <n v="-1.4134275618374005E-3"/>
    <m/>
    <n v="26216.05"/>
    <n v="-1.4151636116043198E-3"/>
    <m/>
  </r>
  <r>
    <x v="927"/>
    <n v="26061.3"/>
    <n v="26134.7"/>
    <n v="25794.1"/>
    <n v="25810.85"/>
    <n v="375370974"/>
    <n v="36028.06"/>
    <n v="25453.052499999998"/>
    <n v="24955.07599999999"/>
    <n v="23039.681000000011"/>
    <n v="-368.10000000000218"/>
    <n v="-1.4124391338881874E-2"/>
    <m/>
    <n v="26216.05"/>
    <n v="-1.5456180469597847E-2"/>
    <m/>
  </r>
  <r>
    <x v="928"/>
    <n v="25788.45"/>
    <n v="25907.599999999999"/>
    <n v="25739.200000000001"/>
    <n v="25796.9"/>
    <n v="247423786"/>
    <n v="27473.29"/>
    <n v="25479.66"/>
    <n v="24980.674999999996"/>
    <n v="23063.888250000011"/>
    <n v="-13.94999999999709"/>
    <n v="-5.4093983934657135E-4"/>
    <m/>
    <n v="26216.05"/>
    <n v="-1.5988297245389638E-2"/>
    <m/>
  </r>
  <r>
    <x v="929"/>
    <n v="25452.85"/>
    <n v="25639.45"/>
    <n v="25230.3"/>
    <n v="25250.1"/>
    <n v="423395030"/>
    <n v="45689.5"/>
    <n v="25505.512500000004"/>
    <n v="25006.428"/>
    <n v="23087.887250000007"/>
    <n v="-546.80000000000291"/>
    <n v="-2.1482859483319273E-2"/>
    <m/>
    <n v="26216.05"/>
    <n v="-3.6845749073563749E-2"/>
    <m/>
  </r>
  <r>
    <x v="930"/>
    <n v="25181.9"/>
    <n v="25485.05"/>
    <n v="24966.799999999999"/>
    <n v="25014.6"/>
    <n v="374914801"/>
    <n v="42719.71"/>
    <n v="25508.0825"/>
    <n v="25021.848999999995"/>
    <n v="23109.605750000006"/>
    <n v="-235.5"/>
    <n v="-9.3519551741528626E-3"/>
    <m/>
    <n v="26216.05"/>
    <n v="-4.5828795718653281E-2"/>
    <m/>
  </r>
  <r>
    <x v="931"/>
    <n v="25084.1"/>
    <n v="25143"/>
    <n v="24694.35"/>
    <n v="24795.75"/>
    <n v="374345795"/>
    <n v="40550.239999999998"/>
    <n v="25501.557499999999"/>
    <n v="25033.870999999999"/>
    <n v="23130.047000000002"/>
    <n v="-218.84999999999854"/>
    <n v="-8.7246502764698978E-3"/>
    <m/>
    <n v="26216.05"/>
    <n v="-5.4176735244249152E-2"/>
    <m/>
  </r>
  <r>
    <x v="932"/>
    <n v="24832.2"/>
    <n v="25044"/>
    <n v="24756.799999999999"/>
    <n v="25013.15"/>
    <n v="333220055"/>
    <n v="33493.360000000001"/>
    <n v="25498.737499999999"/>
    <n v="25041.664000000004"/>
    <n v="23148.112250000006"/>
    <n v="217.40000000000146"/>
    <n v="8.754761962290955E-3"/>
    <m/>
    <n v="26216.05"/>
    <n v="-4.5884105347678172E-2"/>
    <m/>
  </r>
  <r>
    <x v="933"/>
    <n v="25065.8"/>
    <n v="25234.05"/>
    <n v="24947.7"/>
    <n v="24981.95"/>
    <n v="290562844"/>
    <n v="30877.63"/>
    <n v="25502.575000000001"/>
    <n v="25045.23"/>
    <n v="23165.894750000007"/>
    <n v="-31.200000000000728"/>
    <n v="-1.2447238867301553E-3"/>
    <m/>
    <n v="26216.05"/>
    <n v="-4.7074215986008472E-2"/>
    <m/>
  </r>
  <r>
    <x v="934"/>
    <n v="25067.05"/>
    <n v="25134.05"/>
    <n v="24979.4"/>
    <n v="24998.45"/>
    <n v="261364749"/>
    <n v="28046.45"/>
    <n v="25499.6175"/>
    <n v="25048.147000000001"/>
    <n v="23183.711250000004"/>
    <n v="16.5"/>
    <n v="6.5823461476320513E-4"/>
    <m/>
    <n v="26216.05"/>
    <n v="-4.6444830552276106E-2"/>
    <m/>
  </r>
  <r>
    <x v="935"/>
    <n v="24985.3"/>
    <n v="25028.65"/>
    <n v="24920.05"/>
    <n v="24964.25"/>
    <n v="210462717"/>
    <n v="21734.97"/>
    <n v="25503.6175"/>
    <n v="25050.970000000005"/>
    <n v="23201.438000000002"/>
    <n v="-34.200000000000728"/>
    <n v="-1.3688048572560957E-3"/>
    <m/>
    <n v="26216.05"/>
    <n v="-4.7749374905830533E-2"/>
    <m/>
  </r>
  <r>
    <x v="936"/>
    <n v="25023.45"/>
    <n v="25159.75"/>
    <n v="25017.5"/>
    <n v="25127.95"/>
    <n v="206423311"/>
    <n v="21270.9"/>
    <n v="25482.384999999998"/>
    <n v="25051.232000000004"/>
    <n v="23220.508500000007"/>
    <n v="163.70000000000073"/>
    <n v="6.5418637318195826E-3"/>
    <m/>
    <n v="26216.05"/>
    <n v="-4.1505108511770361E-2"/>
    <m/>
  </r>
  <r>
    <x v="937"/>
    <n v="25186.3"/>
    <n v="25212.05"/>
    <n v="25008.15"/>
    <n v="25057.35"/>
    <n v="257228772"/>
    <n v="29113.88"/>
    <n v="25470.9575"/>
    <n v="25053.573000000004"/>
    <n v="23239.873000000007"/>
    <n v="-70.600000000002183"/>
    <n v="-2.8031112152242365E-3"/>
    <m/>
    <n v="26216.05"/>
    <n v="-4.4198115276710248E-2"/>
    <m/>
  </r>
  <r>
    <x v="938"/>
    <n v="25008.55"/>
    <n v="25093.4"/>
    <n v="24908.45"/>
    <n v="24971.3"/>
    <n v="226774456"/>
    <n v="24115.83"/>
    <n v="25454.637500000001"/>
    <n v="25060.366000000002"/>
    <n v="23258.412750000007"/>
    <n v="-86.049999999999272"/>
    <n v="-3.4408232384524201E-3"/>
    <m/>
    <n v="26216.05"/>
    <n v="-4.748045567505399E-2"/>
    <m/>
  </r>
  <r>
    <x v="939"/>
    <n v="25027.4"/>
    <n v="25029.5"/>
    <n v="24728.9"/>
    <n v="24749.85"/>
    <n v="252755662"/>
    <n v="32606.34"/>
    <n v="25432.275000000001"/>
    <n v="25078.68"/>
    <n v="23276.062500000004"/>
    <n v="-221.45000000000073"/>
    <n v="-8.8483022607222777E-3"/>
    <m/>
    <n v="26216.05"/>
    <n v="-5.5927571087177497E-2"/>
    <m/>
  </r>
  <r>
    <x v="940"/>
    <n v="24664.95"/>
    <n v="24886.2"/>
    <n v="24567.65"/>
    <n v="24854.05"/>
    <n v="290855392"/>
    <n v="31772.76"/>
    <n v="25400.89"/>
    <n v="25093.826000000001"/>
    <n v="23291.538000000004"/>
    <n v="104.20000000000073"/>
    <n v="4.2246183349246898E-3"/>
    <m/>
    <n v="26216.05"/>
    <n v="-5.1952906711728142E-2"/>
    <m/>
  </r>
  <r>
    <x v="941"/>
    <n v="24956.15"/>
    <n v="24978.3"/>
    <n v="24679.599999999999"/>
    <n v="24781.1"/>
    <n v="241978957"/>
    <n v="32207.22"/>
    <n v="25372.802499999998"/>
    <n v="25104.957000000002"/>
    <n v="23306.914750000007"/>
    <n v="-72.950000000000728"/>
    <n v="-2.9231271650475223E-3"/>
    <m/>
    <n v="26216.05"/>
    <n v="-5.4735553220260136E-2"/>
    <m/>
  </r>
  <r>
    <x v="942"/>
    <n v="24798.65"/>
    <n v="24882"/>
    <n v="24445.8"/>
    <n v="24472.1"/>
    <n v="279484697"/>
    <n v="32801.589999999997"/>
    <n v="25322.309999999998"/>
    <n v="25118.239000000009"/>
    <n v="23322.163249999998"/>
    <n v="-309"/>
    <n v="-1.2460355704846836E-2"/>
    <m/>
    <n v="26216.05"/>
    <n v="-6.6522225888339448E-2"/>
    <m/>
  </r>
  <r>
    <x v="943"/>
    <n v="24378.15"/>
    <n v="24604.25"/>
    <n v="24378.1"/>
    <n v="24435.5"/>
    <n v="284556771"/>
    <n v="31928.1"/>
    <n v="25248.962499999994"/>
    <n v="25120.331000000009"/>
    <n v="23335.814249999999"/>
    <n v="-36.599999999998545"/>
    <n v="-1.5013444416413281E-3"/>
    <m/>
    <n v="26216.05"/>
    <n v="-6.7918317214073043E-2"/>
    <m/>
  </r>
  <r>
    <x v="944"/>
    <n v="24412.7"/>
    <n v="24480.65"/>
    <n v="24341.200000000001"/>
    <n v="24399.4"/>
    <n v="216686434"/>
    <n v="27817.66"/>
    <n v="25173.717499999995"/>
    <n v="25122.10100000001"/>
    <n v="23349.66275"/>
    <n v="-36.099999999998545"/>
    <n v="-1.478738525439568E-3"/>
    <m/>
    <n v="26216.05"/>
    <n v="-6.9295336253935913E-2"/>
    <m/>
  </r>
  <r>
    <x v="945"/>
    <n v="24418.05"/>
    <n v="24440.25"/>
    <n v="24073.9"/>
    <n v="24180.799999999999"/>
    <n v="372642214"/>
    <n v="37068.910000000003"/>
    <n v="25093.479999999996"/>
    <n v="25127.309000000008"/>
    <n v="23364.072999999997"/>
    <n v="-218.60000000000218"/>
    <n v="-8.9523938234216983E-3"/>
    <m/>
    <n v="26216.05"/>
    <n v="-7.7633739636596699E-2"/>
    <m/>
  </r>
  <r>
    <x v="946"/>
    <n v="24251.1"/>
    <n v="24492.6"/>
    <n v="24134.9"/>
    <n v="24339.15"/>
    <n v="278562235"/>
    <n v="28136.06"/>
    <n v="24991.717499999995"/>
    <n v="25128.05000000001"/>
    <n v="23376.683999999994"/>
    <n v="158.35000000000218"/>
    <n v="6.5296007191427271E-3"/>
    <m/>
    <n v="26216.05"/>
    <n v="-7.1593546701352762E-2"/>
    <m/>
  </r>
  <r>
    <x v="947"/>
    <n v="24328.85"/>
    <n v="24484.5"/>
    <n v="24140.85"/>
    <n v="24466.85"/>
    <n v="332044690"/>
    <n v="35579.480000000003"/>
    <n v="24899.727500000001"/>
    <n v="25124.010000000006"/>
    <n v="23389.825750000004"/>
    <n v="127.69999999999709"/>
    <n v="5.2489122995948061E-3"/>
    <m/>
    <n v="26216.05"/>
    <n v="-6.6722484889981559E-2"/>
    <m/>
  </r>
  <r>
    <x v="948"/>
    <n v="24371.45"/>
    <n v="24498.2"/>
    <n v="24307.3"/>
    <n v="24340.85"/>
    <n v="285196335"/>
    <n v="31068.7"/>
    <n v="24832.5275"/>
    <n v="25121.894000000008"/>
    <n v="23404.594999999994"/>
    <n v="-126"/>
    <n v="-5.169983730963894E-3"/>
    <m/>
    <n v="26216.05"/>
    <n v="-7.1528700929392564E-2"/>
    <m/>
  </r>
  <r>
    <x v="949"/>
    <n v="24349.85"/>
    <n v="24372.45"/>
    <n v="24172.6"/>
    <n v="24205.35"/>
    <n v="287007588"/>
    <n v="33403.89"/>
    <n v="24759.724999999999"/>
    <n v="25114.734000000004"/>
    <n v="23418.574999999997"/>
    <n v="-135.5"/>
    <n v="-5.5647160044107052E-3"/>
    <m/>
    <n v="26216.05"/>
    <n v="-7.6697290400346341E-2"/>
    <m/>
  </r>
  <r>
    <x v="950"/>
    <n v="24302.75"/>
    <n v="24368.25"/>
    <n v="24280.2"/>
    <n v="24304.35"/>
    <n v="38811387"/>
    <n v="3348.45"/>
    <n v="24707.487499999996"/>
    <n v="25103.437000000005"/>
    <n v="23431.508249999992"/>
    <n v="99"/>
    <n v="4.0736130684799043E-3"/>
    <m/>
    <n v="26216.05"/>
    <n v="-7.2920977797952036E-2"/>
    <m/>
  </r>
  <r>
    <x v="951"/>
    <n v="24315.75"/>
    <n v="24316.75"/>
    <n v="23816.15"/>
    <n v="23995.35"/>
    <n v="285531635"/>
    <n v="31561.52"/>
    <n v="24671.974999999995"/>
    <n v="25093.294000000005"/>
    <n v="23444.793999999994"/>
    <n v="-309"/>
    <n v="-1.2707812837358503E-2"/>
    <m/>
    <n v="26216.05"/>
    <n v="-8.4707650466031348E-2"/>
    <m/>
  </r>
  <r>
    <x v="952"/>
    <n v="23916.5"/>
    <n v="24229.05"/>
    <n v="23842.75"/>
    <n v="24213.3"/>
    <n v="289511197"/>
    <n v="30074.77"/>
    <n v="24631.954999999994"/>
    <n v="25076.738000000001"/>
    <n v="23455.297999999988"/>
    <n v="217.95000000000073"/>
    <n v="9.1129554909790619E-3"/>
    <m/>
    <n v="26216.05"/>
    <n v="-7.6394041055002582E-2"/>
    <m/>
  </r>
  <r>
    <x v="953"/>
    <n v="24308.75"/>
    <n v="24537.599999999999"/>
    <n v="24204.05"/>
    <n v="24484.05"/>
    <n v="351082031"/>
    <n v="34108.839999999997"/>
    <n v="24591.962499999994"/>
    <n v="25060.792000000005"/>
    <n v="23465.877249999987"/>
    <n v="270.75"/>
    <n v="1.1137964724636192E-2"/>
    <m/>
    <n v="26216.05"/>
    <n v="-6.6066398256030223E-2"/>
    <m/>
  </r>
  <r>
    <x v="954"/>
    <n v="24489.599999999999"/>
    <n v="24503.35"/>
    <n v="24179.05"/>
    <n v="24199.35"/>
    <n v="322185588"/>
    <n v="30971.89"/>
    <n v="24567.067499999994"/>
    <n v="25050.118000000006"/>
    <n v="23478.135999999988"/>
    <n v="-284.70000000000073"/>
    <n v="-1.1625343002744053E-2"/>
    <m/>
    <n v="26216.05"/>
    <n v="-7.6926157830794484E-2"/>
    <m/>
  </r>
  <r>
    <x v="955"/>
    <n v="24207.7"/>
    <n v="24276.15"/>
    <n v="24066.65"/>
    <n v="24148.2"/>
    <n v="298725122"/>
    <n v="27670.3"/>
    <n v="24527.112499999992"/>
    <n v="25033.058000000012"/>
    <n v="23491.272999999983"/>
    <n v="-51.149999999997817"/>
    <n v="-2.1129640568908988E-3"/>
    <m/>
    <n v="26216.05"/>
    <n v="-7.8877252675364828E-2"/>
    <m/>
  </r>
  <r>
    <x v="956"/>
    <n v="24087.25"/>
    <n v="24336.799999999999"/>
    <n v="24004.6"/>
    <n v="24141.3"/>
    <n v="273370562"/>
    <n v="26600.28"/>
    <n v="24486.30999999999"/>
    <n v="25012.983000000007"/>
    <n v="23504.702749999989"/>
    <n v="-6.9000000000014552"/>
    <n v="-2.864586036181571E-4"/>
    <m/>
    <n v="26216.05"/>
    <n v="-7.9140450220380298E-2"/>
    <m/>
  </r>
  <r>
    <x v="957"/>
    <n v="24225.8"/>
    <n v="24242"/>
    <n v="23839.15"/>
    <n v="23883.45"/>
    <n v="255825829"/>
    <n v="26852.73"/>
    <n v="24436.97749999999"/>
    <n v="24991.091000000011"/>
    <n v="23517.297249999981"/>
    <n v="-257.84999999999854"/>
    <n v="-1.0643611356487651E-2"/>
    <m/>
    <n v="26216.05"/>
    <n v="-8.8976028043889044E-2"/>
    <m/>
  </r>
  <r>
    <x v="958"/>
    <n v="23822.45"/>
    <n v="23873.599999999999"/>
    <n v="23509.599999999999"/>
    <n v="23559.05"/>
    <n v="304569316"/>
    <n v="27765.81"/>
    <n v="24378.282499999994"/>
    <n v="24963.186000000005"/>
    <n v="23528.855499999991"/>
    <n v="-324.40000000000146"/>
    <n v="-1.3617407109680216E-2"/>
    <m/>
    <n v="26216.05"/>
    <n v="-0.10135012711678537"/>
    <m/>
  </r>
  <r>
    <x v="959"/>
    <n v="23542.15"/>
    <n v="23675.9"/>
    <n v="23484.15"/>
    <n v="23532.7"/>
    <n v="257708474"/>
    <n v="24814.37"/>
    <n v="24307.669999999995"/>
    <n v="24928.770000000004"/>
    <n v="23540.456749999983"/>
    <n v="-26.349999999998545"/>
    <n v="-1.1192690557149004E-3"/>
    <m/>
    <n v="26216.05"/>
    <n v="-0.10235523658217005"/>
    <m/>
  </r>
  <r>
    <x v="960"/>
    <n v="23605.3"/>
    <n v="23606.799999999999"/>
    <n v="23350.400000000001"/>
    <n v="23453.8"/>
    <n v="263311912"/>
    <n v="25257.33"/>
    <n v="24246.812499999996"/>
    <n v="24895.45"/>
    <n v="23550.85049999999"/>
    <n v="-78.900000000001455"/>
    <n v="-3.3424696996014226E-3"/>
    <m/>
    <n v="26216.05"/>
    <n v="-0.10536484329256313"/>
    <m/>
  </r>
  <r>
    <x v="961"/>
    <n v="23529.55"/>
    <n v="23780.65"/>
    <n v="23464.799999999999"/>
    <n v="23518.5"/>
    <n v="297477279"/>
    <n v="30486.78"/>
    <n v="24176.799999999999"/>
    <n v="24861.624"/>
    <n v="23561.356499999983"/>
    <n v="64.700000000000728"/>
    <n v="2.74973384531369E-3"/>
    <m/>
    <n v="26216.05"/>
    <n v="-0.10289688950089737"/>
    <m/>
  </r>
  <r>
    <x v="962"/>
    <n v="23488.45"/>
    <n v="23507.3"/>
    <n v="23263.15"/>
    <n v="23349.9"/>
    <n v="420332354"/>
    <n v="40900.89"/>
    <n v="24113.670000000002"/>
    <n v="24834.951000000001"/>
    <n v="23570.260999999991"/>
    <n v="-168.59999999999854"/>
    <n v="-7.1779959937756021E-3"/>
    <m/>
    <n v="26216.05"/>
    <n v="-0.10932806429649"/>
    <m/>
  </r>
  <r>
    <x v="963"/>
    <n v="23411.8"/>
    <n v="23956.1"/>
    <n v="23359"/>
    <n v="23907.25"/>
    <n v="367562789"/>
    <n v="39257.519999999997"/>
    <n v="24057.56"/>
    <n v="24803.220999999998"/>
    <n v="23579.399999999991"/>
    <n v="557.34999999999854"/>
    <n v="2.380637114617409E-2"/>
    <m/>
    <n v="26216.05"/>
    <n v="-8.8068187236444828E-2"/>
    <m/>
  </r>
  <r>
    <x v="964"/>
    <n v="24253.55"/>
    <n v="24351.55"/>
    <n v="24135.45"/>
    <n v="24221.9"/>
    <n v="687172787"/>
    <n v="85975.81"/>
    <n v="24031.147499999999"/>
    <n v="24780.543999999998"/>
    <n v="23590.307749999993"/>
    <n v="314.65000000000146"/>
    <n v="1.2973358539265446E-2"/>
    <m/>
    <n v="26216.05"/>
    <n v="-7.6065997738026803E-2"/>
    <m/>
  </r>
  <r>
    <x v="965"/>
    <n v="24343.3"/>
    <n v="24343.3"/>
    <n v="24125.4"/>
    <n v="24194.5"/>
    <n v="230691771"/>
    <n v="24140.67"/>
    <n v="24022.272499999999"/>
    <n v="24766.612999999994"/>
    <n v="23602.929999999997"/>
    <n v="-27.400000000001455"/>
    <n v="-1.12556637760704E-3"/>
    <m/>
    <n v="26216.05"/>
    <n v="-7.7111159003740104E-2"/>
    <m/>
  </r>
  <r>
    <x v="966"/>
    <n v="24204.799999999999"/>
    <n v="24354.55"/>
    <n v="24145.65"/>
    <n v="24274.9"/>
    <n v="295011445"/>
    <n v="31149.09"/>
    <n v="24022.957500000004"/>
    <n v="24742.724999999995"/>
    <n v="23614.633499999996"/>
    <n v="80.400000000001455"/>
    <n v="3.3216552088842486E-3"/>
    <m/>
    <n v="26216.05"/>
    <n v="-7.4044335435734854E-2"/>
    <m/>
  </r>
  <r>
    <x v="967"/>
    <n v="24274.15"/>
    <n v="24345.75"/>
    <n v="23873.35"/>
    <n v="23914.15"/>
    <n v="366745300"/>
    <n v="41198.269999999997"/>
    <n v="24019.745000000003"/>
    <n v="24721.092999999997"/>
    <n v="23627.149499999996"/>
    <n v="-360.75"/>
    <n v="-1.4861488455826464E-2"/>
    <m/>
    <n v="26216.05"/>
    <n v="-8.7804989691429358E-2"/>
    <m/>
  </r>
  <r>
    <x v="968"/>
    <n v="23927.15"/>
    <n v="24188.45"/>
    <n v="23927.15"/>
    <n v="24131.1"/>
    <n v="282104071"/>
    <n v="30509.98"/>
    <n v="23992.110000000008"/>
    <n v="24691.70099999999"/>
    <n v="23637.073250000001"/>
    <n v="216.94999999999709"/>
    <n v="9.0671057773281435E-3"/>
    <m/>
    <n v="26216.05"/>
    <n v="-7.9529524852142153E-2"/>
    <m/>
  </r>
  <r>
    <x v="969"/>
    <n v="24140.85"/>
    <n v="24301.7"/>
    <n v="24008.65"/>
    <n v="24276.05"/>
    <n v="220384187"/>
    <n v="23162.75"/>
    <n v="23981.622500000005"/>
    <n v="24665.951999999994"/>
    <n v="23648.076249999998"/>
    <n v="144.95000000000073"/>
    <n v="6.0043453316681369E-3"/>
    <m/>
    <n v="26216.05"/>
    <n v="-7.4000469178232442E-2"/>
    <m/>
  </r>
  <r>
    <x v="970"/>
    <n v="24367.5"/>
    <n v="24481.35"/>
    <n v="24280"/>
    <n v="24457.15"/>
    <n v="339470947"/>
    <n v="34228.300000000003"/>
    <n v="23985.157500000005"/>
    <n v="24643.921999999999"/>
    <n v="23660.866749999997"/>
    <n v="181.10000000000218"/>
    <n v="7.4320303683185467E-3"/>
    <m/>
    <n v="26216.05"/>
    <n v="-6.7092487235872578E-2"/>
    <m/>
  </r>
  <r>
    <x v="971"/>
    <n v="24488.75"/>
    <n v="24573.200000000001"/>
    <n v="24366.3"/>
    <n v="24467.45"/>
    <n v="348003156"/>
    <n v="34639.78"/>
    <n v="23992.797500000004"/>
    <n v="24624.749"/>
    <n v="23674.240000000002"/>
    <n v="10.299999999999272"/>
    <n v="4.2060129651367559E-4"/>
    <m/>
    <n v="26216.05"/>
    <n v="-6.6699598146936601E-2"/>
    <m/>
  </r>
  <r>
    <x v="972"/>
    <n v="24539.15"/>
    <n v="24857.75"/>
    <n v="24295.55"/>
    <n v="24708.400000000001"/>
    <n v="361469920"/>
    <n v="40471.33"/>
    <n v="24016.402500000004"/>
    <n v="24598.278999999995"/>
    <n v="23688.497000000007"/>
    <n v="240.95000000000073"/>
    <n v="9.8190035107165782E-3"/>
    <m/>
    <n v="26216.05"/>
    <n v="-5.7508663585856712E-2"/>
    <m/>
  </r>
  <r>
    <x v="973"/>
    <n v="24729.45"/>
    <n v="24751.05"/>
    <n v="24620.5"/>
    <n v="24677.8"/>
    <n v="226731303"/>
    <n v="23904.13"/>
    <n v="24041.157500000005"/>
    <n v="24573.665999999997"/>
    <n v="23703.322750000007"/>
    <n v="-30.600000000002183"/>
    <n v="-1.2373910458988041E-3"/>
    <m/>
    <n v="26216.05"/>
    <n v="-5.8675887481142275E-2"/>
    <m/>
  </r>
  <r>
    <x v="974"/>
    <n v="24633.9"/>
    <n v="24705"/>
    <n v="24580.05"/>
    <n v="24619"/>
    <n v="248139308"/>
    <n v="25099.79"/>
    <n v="24050.845000000005"/>
    <n v="24548.413999999993"/>
    <n v="23717.511500000011"/>
    <n v="-58.799999999999272"/>
    <n v="-2.3869545626149036E-3"/>
    <m/>
    <n v="26216.05"/>
    <n v="-6.091878829953401E-2"/>
    <m/>
  </r>
  <r>
    <x v="975"/>
    <n v="24652.65"/>
    <n v="24677.8"/>
    <n v="24510.65"/>
    <n v="24610.05"/>
    <n v="261048951"/>
    <n v="26093.38"/>
    <n v="24071.827500000003"/>
    <n v="24520.710999999996"/>
    <n v="23731.052750000013"/>
    <n v="-8.9500000000007276"/>
    <n v="-3.6304413521470215E-4"/>
    <m/>
    <n v="26216.05"/>
    <n v="-6.1260182216619219E-2"/>
    <m/>
  </r>
  <r>
    <x v="976"/>
    <n v="24620.5"/>
    <n v="24691.75"/>
    <n v="24583.85"/>
    <n v="24641.8"/>
    <n v="187252712"/>
    <n v="21592.23"/>
    <n v="24094.92"/>
    <n v="24488.591"/>
    <n v="23743.89950000001"/>
    <n v="31.75"/>
    <n v="1.2895757600373673E-3"/>
    <m/>
    <n v="26216.05"/>
    <n v="-6.0049092063831133E-2"/>
    <m/>
  </r>
  <r>
    <x v="977"/>
    <n v="24604.45"/>
    <n v="24675.25"/>
    <n v="24527.95"/>
    <n v="24548.7"/>
    <n v="266051129"/>
    <n v="28235.17"/>
    <n v="24119.945"/>
    <n v="24457.847999999998"/>
    <n v="23756.497250000011"/>
    <n v="-93.099999999998545"/>
    <n v="-3.7838683652753279E-3"/>
    <m/>
    <n v="26216.05"/>
    <n v="-6.3600351692951418E-2"/>
    <m/>
  </r>
  <r>
    <x v="978"/>
    <n v="24498.35"/>
    <n v="24792.3"/>
    <n v="24180.799999999999"/>
    <n v="24768.3"/>
    <n v="310080852"/>
    <n v="30429.73"/>
    <n v="24153.2075"/>
    <n v="24432.605"/>
    <n v="23768.256000000016"/>
    <n v="219.59999999999854"/>
    <n v="8.9638689952588058E-3"/>
    <m/>
    <n v="26216.05"/>
    <n v="-5.5223803738549515E-2"/>
    <m/>
  </r>
  <r>
    <x v="979"/>
    <n v="24753.4"/>
    <n v="24781.25"/>
    <n v="24601.75"/>
    <n v="24668.25"/>
    <n v="187551629"/>
    <n v="18608.23"/>
    <n v="24213.670000000002"/>
    <n v="24412.033000000003"/>
    <n v="23781.822250000012"/>
    <n v="-100.04999999999927"/>
    <n v="-4.0418689957742882E-3"/>
    <m/>
    <n v="26216.05"/>
    <n v="-5.904016814127222E-2"/>
    <m/>
  </r>
  <r>
    <x v="980"/>
    <n v="24584.799999999999"/>
    <n v="24624.1"/>
    <n v="24303.45"/>
    <n v="24336"/>
    <n v="264881033"/>
    <n v="26765.16"/>
    <n v="24270.447500000002"/>
    <n v="24400.396000000004"/>
    <n v="23794.076250000013"/>
    <n v="-332.25"/>
    <n v="-1.3514447951579838E-2"/>
    <m/>
    <n v="26216.05"/>
    <n v="-7.1713702102338073E-2"/>
    <m/>
  </r>
  <r>
    <x v="981"/>
    <n v="24297.95"/>
    <n v="24394.45"/>
    <n v="24149.85"/>
    <n v="24198.85"/>
    <n v="235346534"/>
    <n v="23315.919999999998"/>
    <n v="24314.557499999999"/>
    <n v="24386.824000000004"/>
    <n v="23804.692750000009"/>
    <n v="-137.15000000000146"/>
    <n v="-5.6445091046776145E-3"/>
    <m/>
    <n v="26216.05"/>
    <n v="-7.6945230116665209E-2"/>
    <m/>
  </r>
  <r>
    <x v="982"/>
    <n v="23877.15"/>
    <n v="24004.9"/>
    <n v="23870.3"/>
    <n v="23951.7"/>
    <n v="271128027"/>
    <n v="27815.23"/>
    <n v="24348.574999999997"/>
    <n v="24374.886000000006"/>
    <n v="23815.076750000007"/>
    <n v="-247.14999999999782"/>
    <n v="-1.0350900337770539E-2"/>
    <m/>
    <n v="26216.05"/>
    <n v="-8.6372661022541486E-2"/>
    <m/>
  </r>
  <r>
    <x v="983"/>
    <n v="23960.7"/>
    <n v="24065.8"/>
    <n v="23537.35"/>
    <n v="23587.5"/>
    <n v="442714411"/>
    <n v="47084.68"/>
    <n v="24378.664999999997"/>
    <n v="24353.657000000003"/>
    <n v="23823.843500000006"/>
    <n v="-364.20000000000073"/>
    <n v="-1.5199889819579591E-2"/>
    <m/>
    <n v="26216.05"/>
    <n v="-0.10026491405074367"/>
    <m/>
  </r>
  <r>
    <x v="984"/>
    <n v="23738.2"/>
    <n v="23869.55"/>
    <n v="23647.200000000001"/>
    <n v="23753.45"/>
    <n v="189758237"/>
    <n v="18243.28"/>
    <n v="24362.677499999998"/>
    <n v="24325.768000000004"/>
    <n v="23832.02525000001"/>
    <n v="165.95000000000073"/>
    <n v="6.9908417655930406E-3"/>
    <m/>
    <n v="26216.05"/>
    <n v="-9.3934822370265514E-2"/>
    <m/>
  </r>
  <r>
    <x v="985"/>
    <n v="23769.1"/>
    <n v="23867.65"/>
    <n v="23685.15"/>
    <n v="23727.65"/>
    <n v="177664746"/>
    <n v="16010.71"/>
    <n v="24339.254999999997"/>
    <n v="24300.868000000002"/>
    <n v="23840.87850000001"/>
    <n v="-25.799999999999272"/>
    <n v="-1.0854428648959899E-3"/>
    <m/>
    <n v="26216.05"/>
    <n v="-9.4918952321192518E-2"/>
    <m/>
  </r>
  <r>
    <x v="986"/>
    <n v="23775.8"/>
    <n v="23854.5"/>
    <n v="23653.599999999999"/>
    <n v="23750.2"/>
    <n v="177681783"/>
    <n v="16695.099999999999"/>
    <n v="24315.912499999999"/>
    <n v="24276.136000000002"/>
    <n v="23847.823000000008"/>
    <n v="22.549999999999272"/>
    <n v="9.4844337519659795E-4"/>
    <m/>
    <n v="26216.05"/>
    <n v="-9.4058792228424948E-2"/>
    <m/>
  </r>
  <r>
    <x v="987"/>
    <n v="23801.4"/>
    <n v="23938.85"/>
    <n v="23800.6"/>
    <n v="23813.4"/>
    <n v="176821521"/>
    <n v="17164.990000000002"/>
    <n v="24289.677499999998"/>
    <n v="24248.581000000002"/>
    <n v="23854.546000000006"/>
    <n v="63.200000000000728"/>
    <n v="2.6553059904039561E-3"/>
    <m/>
    <n v="26216.05"/>
    <n v="-9.1648055294371145E-2"/>
    <m/>
  </r>
  <r>
    <x v="988"/>
    <n v="23796.9"/>
    <n v="23915.35"/>
    <n v="23599.3"/>
    <n v="23644.9"/>
    <n v="364929453"/>
    <n v="33823.949999999997"/>
    <n v="24284.640000000003"/>
    <n v="24223.701999999997"/>
    <n v="23861.831500000008"/>
    <n v="-168.5"/>
    <n v="-7.0807542158852618E-3"/>
    <m/>
    <n v="26216.05"/>
    <n v="-9.8075415632789764E-2"/>
    <m/>
  </r>
  <r>
    <x v="989"/>
    <n v="23560.6"/>
    <n v="23689.85"/>
    <n v="23460.45"/>
    <n v="23644.799999999999"/>
    <n v="193627727"/>
    <n v="18646.79"/>
    <n v="24260.33"/>
    <n v="24197.173999999995"/>
    <n v="23867.685750000011"/>
    <n v="-0.10000000000218279"/>
    <n v="-4.244374082246751E-6"/>
    <m/>
    <n v="26216.05"/>
    <n v="-9.8079230089963998E-2"/>
    <m/>
  </r>
  <r>
    <x v="990"/>
    <n v="23637.65"/>
    <n v="23822.799999999999"/>
    <n v="23562.799999999999"/>
    <n v="23742.9"/>
    <n v="154921938"/>
    <n v="14266.26"/>
    <n v="24228.767500000005"/>
    <n v="24175.072999999993"/>
    <n v="23873.442000000006"/>
    <n v="98.100000000002183"/>
    <n v="4.15015875097576E-3"/>
    <m/>
    <n v="26216.05"/>
    <n v="-9.4337247602136798E-2"/>
    <m/>
  </r>
  <r>
    <x v="991"/>
    <n v="23783"/>
    <n v="24226.7"/>
    <n v="23751.55"/>
    <n v="24188.65"/>
    <n v="283200811"/>
    <n v="32237.25"/>
    <n v="24193.055000000004"/>
    <n v="24152.849999999995"/>
    <n v="23880.493250000007"/>
    <n v="445.75"/>
    <n v="1.8742379010217382E-2"/>
    <m/>
    <n v="26216.05"/>
    <n v="-7.7334304748426952E-2"/>
    <m/>
  </r>
  <r>
    <x v="992"/>
    <n v="24196.400000000001"/>
    <n v="24196.45"/>
    <n v="23976"/>
    <n v="24004.75"/>
    <n v="312279515"/>
    <n v="29411.99"/>
    <n v="24179.115000000005"/>
    <n v="24141.000999999997"/>
    <n v="23889.758000000009"/>
    <n v="-183.90000000000146"/>
    <n v="-7.6003041774810069E-3"/>
    <m/>
    <n v="26216.05"/>
    <n v="-8.4349091491662476E-2"/>
    <m/>
  </r>
  <r>
    <x v="993"/>
    <n v="24045.8"/>
    <n v="24089.95"/>
    <n v="23551.9"/>
    <n v="23616.05"/>
    <n v="278061806"/>
    <n v="25853.64"/>
    <n v="24143.932500000006"/>
    <n v="24131.653999999995"/>
    <n v="23899.79325000001"/>
    <n v="-388.70000000000073"/>
    <n v="-1.6164985153332423E-2"/>
    <m/>
    <n v="26216.05"/>
    <n v="-9.9175886527527957E-2"/>
    <m/>
  </r>
  <r>
    <x v="994"/>
    <n v="23679.9"/>
    <n v="23795.200000000001"/>
    <n v="23637.8"/>
    <n v="23707.9"/>
    <n v="262337253"/>
    <n v="22485.65"/>
    <n v="24090.845000000008"/>
    <n v="24115.264999999999"/>
    <n v="23907.140250000008"/>
    <n v="91.850000000002183"/>
    <n v="3.8788170558153616E-3"/>
    <m/>
    <n v="26216.05"/>
    <n v="-9.5672307613084318E-2"/>
    <m/>
  </r>
  <r>
    <x v="995"/>
    <n v="23746.65"/>
    <n v="23751.85"/>
    <n v="23496.15"/>
    <n v="23688.95"/>
    <n v="266375381"/>
    <n v="24718.54"/>
    <n v="24045.290000000008"/>
    <n v="24101.434999999994"/>
    <n v="23915.563000000013"/>
    <n v="-18.950000000000728"/>
    <n v="-7.9800729787151987E-4"/>
    <m/>
    <n v="26216.05"/>
    <n v="-9.6395147247583024E-2"/>
    <m/>
  </r>
  <r>
    <x v="996"/>
    <n v="23674.75"/>
    <n v="23689.5"/>
    <n v="23503.05"/>
    <n v="23526.5"/>
    <n v="269239831"/>
    <n v="26793.85"/>
    <n v="23999.235000000008"/>
    <n v="24091.597999999998"/>
    <n v="23923.729250000011"/>
    <n v="-162.45000000000073"/>
    <n v="-6.8617408842754721E-3"/>
    <m/>
    <n v="26216.05"/>
    <n v="-0.10259173292696644"/>
    <m/>
  </r>
  <r>
    <x v="997"/>
    <n v="23551.9"/>
    <n v="23596.6"/>
    <n v="23344.35"/>
    <n v="23431.5"/>
    <n v="261022434"/>
    <n v="25017.599999999999"/>
    <n v="23943.470000000008"/>
    <n v="24075.345000000001"/>
    <n v="23932.27450000001"/>
    <n v="-95"/>
    <n v="-4.033644843940404E-3"/>
    <m/>
    <n v="26216.05"/>
    <n v="-0.10621546724239539"/>
    <m/>
  </r>
  <r>
    <x v="998"/>
    <n v="23195.4"/>
    <n v="23340.95"/>
    <n v="23047.25"/>
    <n v="23085.95"/>
    <n v="316481107"/>
    <n v="26890.37"/>
    <n v="23887.610000000004"/>
    <n v="24054.638000000003"/>
    <n v="23940.23650000001"/>
    <n v="-345.54999999999927"/>
    <n v="-1.4897350336704659E-2"/>
    <m/>
    <n v="26216.05"/>
    <n v="-0.11939632400762124"/>
    <m/>
  </r>
  <r>
    <x v="999"/>
    <n v="23165.9"/>
    <n v="23264.95"/>
    <n v="23134.15"/>
    <n v="23176.05"/>
    <n v="311235510"/>
    <n v="31174.05"/>
    <n v="23803.492500000004"/>
    <n v="24029.54"/>
    <n v="23945.606500000009"/>
    <n v="90.099999999998545"/>
    <n v="3.8893373449768211E-3"/>
    <m/>
    <n v="26216.05"/>
    <n v="-0.11595949809372508"/>
    <m/>
  </r>
  <r>
    <x v="1000"/>
    <n v="23250.45"/>
    <n v="23293.65"/>
    <n v="23146.45"/>
    <n v="23213.200000000001"/>
    <n v="228039156"/>
    <n v="21587.78"/>
    <n v="23728.8825"/>
    <n v="24008.954000000005"/>
    <n v="23951.003000000012"/>
    <n v="37.150000000001455"/>
    <n v="1.597818536845586E-3"/>
    <m/>
    <n v="26216.05"/>
    <n v="-0.11454242725353359"/>
    <m/>
  </r>
  <r>
    <x v="1001"/>
    <n v="23377.25"/>
    <n v="23391.65"/>
    <n v="23272.05"/>
    <n v="23311.8"/>
    <n v="299416081"/>
    <n v="29784.82"/>
    <n v="23672.7425"/>
    <n v="23987.131000000001"/>
    <n v="23957.045500000011"/>
    <n v="98.599999999998545"/>
    <n v="4.2177758290645202E-3"/>
    <m/>
    <n v="26216.05"/>
    <n v="-0.11078137247983588"/>
    <m/>
  </r>
  <r>
    <x v="1002"/>
    <n v="23277.1"/>
    <n v="23292.1"/>
    <n v="23100.35"/>
    <n v="23203.200000000001"/>
    <n v="272945267"/>
    <n v="27040.78"/>
    <n v="23628.39"/>
    <n v="23973.460000000006"/>
    <n v="23962.986250000009"/>
    <n v="-108.59999999999854"/>
    <n v="-4.665529640719787E-3"/>
    <m/>
    <n v="26216.05"/>
    <n v="-0.11492387297094708"/>
    <m/>
  </r>
  <r>
    <x v="1003"/>
    <n v="23290.400000000001"/>
    <n v="23391.1"/>
    <n v="23170.65"/>
    <n v="23344.75"/>
    <n v="301455455"/>
    <n v="27333.97"/>
    <n v="23590.965"/>
    <n v="23953.258000000002"/>
    <n v="23967.367750000009"/>
    <n v="141.54999999999927"/>
    <n v="6.077611376361044E-3"/>
    <m/>
    <n v="26216.05"/>
    <n v="-0.1095245088409581"/>
    <m/>
  </r>
  <r>
    <x v="1004"/>
    <n v="23421.65"/>
    <n v="23426.3"/>
    <n v="22976.85"/>
    <n v="23024.65"/>
    <n v="312871897"/>
    <n v="30106.720000000001"/>
    <n v="23578.827499999999"/>
    <n v="23930.472000000002"/>
    <n v="23971.781500000012"/>
    <n v="-320.09999999999854"/>
    <n v="-1.3666842429973914E-2"/>
    <m/>
    <n v="26216.05"/>
    <n v="-0.12173458625536637"/>
    <m/>
  </r>
  <r>
    <x v="1005"/>
    <n v="23099.15"/>
    <n v="23169.55"/>
    <n v="22981.3"/>
    <n v="23155.35"/>
    <n v="275951918"/>
    <n v="25462.05"/>
    <n v="23542.387500000004"/>
    <n v="23906.977999999999"/>
    <n v="23974.638250000015"/>
    <n v="130.69999999999709"/>
    <n v="5.6582168607934528E-3"/>
    <m/>
    <n v="26216.05"/>
    <n v="-0.11674909072877115"/>
    <m/>
  </r>
  <r>
    <x v="1006"/>
    <n v="23128.3"/>
    <n v="23270.799999999999"/>
    <n v="23090.65"/>
    <n v="23205.35"/>
    <n v="275558357"/>
    <n v="27723.78"/>
    <n v="23513.772499999999"/>
    <n v="23887.120999999996"/>
    <n v="23978.241750000012"/>
    <n v="50"/>
    <n v="2.1618536598020607E-3"/>
    <m/>
    <n v="26216.05"/>
    <n v="-0.11484186214170333"/>
    <m/>
  </r>
  <r>
    <x v="1007"/>
    <n v="23183.9"/>
    <n v="23347.3"/>
    <n v="23050"/>
    <n v="23092.2"/>
    <n v="264336332"/>
    <n v="24412.46"/>
    <n v="23486.53"/>
    <n v="23868.402000000002"/>
    <n v="23981.695250000012"/>
    <n v="-113.14999999999782"/>
    <n v="-4.8805421003367769E-3"/>
    <m/>
    <n v="26216.05"/>
    <n v="-0.11915792043423779"/>
    <m/>
  </r>
  <r>
    <x v="1008"/>
    <n v="22940.15"/>
    <n v="23007.45"/>
    <n v="22786.9"/>
    <n v="22829.15"/>
    <n v="257372790"/>
    <n v="24202.41"/>
    <n v="23450.47"/>
    <n v="23852.576999999997"/>
    <n v="23984.587750000013"/>
    <n v="-263.04999999999927"/>
    <n v="-1.1466795116858402E-2"/>
    <m/>
    <n v="26216.05"/>
    <n v="-0.12919185003080169"/>
    <m/>
  </r>
  <r>
    <x v="1009"/>
    <n v="22960.45"/>
    <n v="23137.95"/>
    <n v="22857.65"/>
    <n v="22957.25"/>
    <n v="361868609"/>
    <n v="33221.800000000003"/>
    <n v="23409.682500000003"/>
    <n v="23837.978999999999"/>
    <n v="23985.402000000016"/>
    <n v="128.09999999999854"/>
    <n v="5.5791589450554556E-3"/>
    <m/>
    <n v="26216.05"/>
    <n v="-0.12430553039073389"/>
    <m/>
  </r>
  <r>
    <x v="1010"/>
    <n v="23026.75"/>
    <n v="23183.35"/>
    <n v="22976.5"/>
    <n v="23163.1"/>
    <n v="251208119"/>
    <n v="22307.38"/>
    <n v="23375.305"/>
    <n v="23826.47"/>
    <n v="23986.974500000011"/>
    <n v="205.84999999999854"/>
    <n v="8.9396028532032767E-3"/>
    <m/>
    <n v="26216.05"/>
    <n v="-0.11645347029777564"/>
    <m/>
  </r>
  <r>
    <x v="1011"/>
    <n v="23169.5"/>
    <n v="23322.05"/>
    <n v="23139.200000000001"/>
    <n v="23249.5"/>
    <n v="384687127"/>
    <n v="35252.870000000003"/>
    <n v="23346.314999999999"/>
    <n v="23820.656000000003"/>
    <n v="23989.021000000012"/>
    <n v="86.400000000001455"/>
    <n v="3.7290403331967223E-3"/>
    <m/>
    <n v="26216.05"/>
    <n v="-0.11315777929932236"/>
    <m/>
  </r>
  <r>
    <x v="1012"/>
    <n v="23296.75"/>
    <n v="23546.799999999999"/>
    <n v="23277.4"/>
    <n v="23508.400000000001"/>
    <n v="326919177"/>
    <n v="28638.01"/>
    <n v="23299.357500000002"/>
    <n v="23815.276000000002"/>
    <n v="23992.671500000008"/>
    <n v="258.90000000000146"/>
    <n v="1.1113138098661893E-2"/>
    <m/>
    <n v="26216.05"/>
    <n v="-0.10328214967548499"/>
    <m/>
  </r>
  <r>
    <x v="1013"/>
    <n v="23528.6"/>
    <n v="23632.45"/>
    <n v="23318.3"/>
    <n v="23482.15"/>
    <n v="287703637"/>
    <n v="25741.040000000001"/>
    <n v="23274.54"/>
    <n v="23818.445999999996"/>
    <n v="23998.85100000001"/>
    <n v="-26.25"/>
    <n v="-1.1156634903904186E-3"/>
    <m/>
    <n v="26216.05"/>
    <n v="-0.10428344468369555"/>
    <m/>
  </r>
  <r>
    <x v="1014"/>
    <n v="23319.35"/>
    <n v="23381.599999999999"/>
    <n v="23222"/>
    <n v="23361.05"/>
    <n v="347241171"/>
    <n v="32019.13"/>
    <n v="23267.845000000001"/>
    <n v="23809.944"/>
    <n v="24005.522250000005"/>
    <n v="-121.10000000000218"/>
    <n v="-5.1931121579290246E-3"/>
    <m/>
    <n v="26216.05"/>
    <n v="-0.10890275232157398"/>
    <m/>
  </r>
  <r>
    <x v="1015"/>
    <n v="23509.9"/>
    <n v="23762.75"/>
    <n v="23423.15"/>
    <n v="23739.25"/>
    <n v="376742506"/>
    <n v="35974.300000000003"/>
    <n v="23250.502500000002"/>
    <n v="23792.726999999999"/>
    <n v="24012.348250000006"/>
    <n v="378.20000000000073"/>
    <n v="1.6086840012080047E-2"/>
    <m/>
    <n v="26216.05"/>
    <n v="-9.4476475288992834E-2"/>
    <m/>
  </r>
  <r>
    <x v="1016"/>
    <n v="23801.75"/>
    <n v="23807.3"/>
    <n v="23680.45"/>
    <n v="23696.3"/>
    <n v="267014345"/>
    <n v="25806.44"/>
    <n v="23253.017500000002"/>
    <n v="23783.621999999996"/>
    <n v="24020.309500000007"/>
    <n v="-42.950000000000728"/>
    <n v="-1.8044891657126357E-3"/>
    <m/>
    <n v="26216.05"/>
    <n v="-9.6114784645284113E-2"/>
    <m/>
  </r>
  <r>
    <x v="1017"/>
    <n v="23761.95"/>
    <n v="23773.55"/>
    <n v="23556.25"/>
    <n v="23603.35"/>
    <n v="306978683"/>
    <n v="30885.59"/>
    <n v="23261.5075"/>
    <n v="23772.05"/>
    <n v="24027.109000000004"/>
    <n v="-92.950000000000728"/>
    <n v="-3.9117159997391088E-3"/>
    <m/>
    <n v="26216.05"/>
    <n v="-9.9660322588643213E-2"/>
    <m/>
  </r>
  <r>
    <x v="1018"/>
    <n v="23649.5"/>
    <n v="23694.5"/>
    <n v="23443.200000000001"/>
    <n v="23559.95"/>
    <n v="368092482"/>
    <n v="30042"/>
    <n v="23270.1"/>
    <n v="23765.834000000003"/>
    <n v="24033.285749999995"/>
    <n v="-43.399999999997817"/>
    <n v="-1.8351339351782413E-3"/>
    <m/>
    <n v="26216.05"/>
    <n v="-0.10131579700221804"/>
    <m/>
  </r>
  <r>
    <x v="1019"/>
    <n v="23543.8"/>
    <n v="23568.6"/>
    <n v="23316.3"/>
    <n v="23381.599999999999"/>
    <n v="225529166"/>
    <n v="21254.720000000001"/>
    <n v="23293.8"/>
    <n v="23754.411"/>
    <n v="24039.073500000002"/>
    <n v="-178.35000000000218"/>
    <n v="-7.5752427390651548E-3"/>
    <m/>
    <n v="26216.05"/>
    <n v="-0.10811888137228909"/>
    <m/>
  </r>
  <r>
    <x v="1020"/>
    <n v="23383.55"/>
    <n v="23390.05"/>
    <n v="22986.65"/>
    <n v="23071.8"/>
    <n v="267969979"/>
    <n v="27191.96"/>
    <n v="23304.077499999999"/>
    <n v="23736.522000000008"/>
    <n v="24043.129749999996"/>
    <n v="-309.79999999999927"/>
    <n v="-1.324862991290883E-2"/>
    <m/>
    <n v="26216.05"/>
    <n v="-0.11993606969776149"/>
    <m/>
  </r>
  <r>
    <x v="1021"/>
    <n v="23050.799999999999"/>
    <n v="23144.7"/>
    <n v="22798.35"/>
    <n v="23045.25"/>
    <n v="279656513"/>
    <n v="26989.94"/>
    <n v="23297.0075"/>
    <n v="23708.815000000006"/>
    <n v="24046.388999999996"/>
    <n v="-26.549999999999272"/>
    <n v="-1.1518038419490548E-3"/>
    <m/>
    <n v="26216.05"/>
    <n v="-0.12094880807749453"/>
    <m/>
  </r>
  <r>
    <x v="1022"/>
    <n v="23055.75"/>
    <n v="23235.5"/>
    <n v="22992.2"/>
    <n v="23031.4"/>
    <n v="265706855"/>
    <n v="25218.86"/>
    <n v="23283.68"/>
    <n v="23680.371000000006"/>
    <n v="24048.398249999987"/>
    <n v="-13.849999999998545"/>
    <n v="-6.0071782527129007E-4"/>
    <m/>
    <n v="26216.05"/>
    <n v="-0.1214771103961122"/>
    <m/>
  </r>
  <r>
    <x v="1023"/>
    <n v="23096.45"/>
    <n v="23133.7"/>
    <n v="22774.85"/>
    <n v="22929.25"/>
    <n v="254479643"/>
    <n v="22049.89"/>
    <n v="23275.09"/>
    <n v="23646.831000000002"/>
    <n v="24050.530999999995"/>
    <n v="-102.15000000000146"/>
    <n v="-4.4227576099357888E-3"/>
    <m/>
    <n v="26216.05"/>
    <n v="-0.12537357839949193"/>
    <m/>
  </r>
  <r>
    <x v="1024"/>
    <n v="22809.9"/>
    <n v="22974.2"/>
    <n v="22725.45"/>
    <n v="22959.5"/>
    <n v="207393944"/>
    <n v="19809.439999999999"/>
    <n v="23254.314999999999"/>
    <n v="23611.860000000004"/>
    <n v="24051.936249999992"/>
    <n v="30.25"/>
    <n v="1.326178545280777E-3"/>
    <m/>
    <n v="26216.05"/>
    <n v="-0.12421970510431579"/>
    <m/>
  </r>
  <r>
    <x v="1025"/>
    <n v="22963.65"/>
    <n v="22992.5"/>
    <n v="22801.5"/>
    <n v="22945.3"/>
    <n v="210616675"/>
    <n v="19431.37"/>
    <n v="23251.057499999999"/>
    <n v="23578.670000000006"/>
    <n v="24054.354499999994"/>
    <n v="-14.200000000000728"/>
    <n v="-6.1836859558479275E-4"/>
    <m/>
    <n v="26216.05"/>
    <n v="-0.12476135802304311"/>
    <m/>
  </r>
  <r>
    <x v="1026"/>
    <n v="22847.25"/>
    <n v="23049.95"/>
    <n v="22814.85"/>
    <n v="22932.9"/>
    <n v="206999204"/>
    <n v="19817.93"/>
    <n v="23240.555"/>
    <n v="23545.375"/>
    <n v="24056.867499999989"/>
    <n v="-12.399999999997817"/>
    <n v="-5.4273490244987114E-4"/>
    <m/>
    <n v="26216.05"/>
    <n v="-0.12523435071263589"/>
    <m/>
  </r>
  <r>
    <x v="1027"/>
    <n v="22821.1"/>
    <n v="22923.85"/>
    <n v="22812.75"/>
    <n v="22913.15"/>
    <n v="240836647"/>
    <n v="21303.88"/>
    <n v="23226.932499999999"/>
    <n v="23511.196999999996"/>
    <n v="24060.019499999991"/>
    <n v="-19.75"/>
    <n v="-8.6542717046943403E-4"/>
    <m/>
    <n v="26216.05"/>
    <n v="-0.12598770600452769"/>
    <m/>
  </r>
  <r>
    <x v="1028"/>
    <n v="22857.200000000001"/>
    <n v="22921"/>
    <n v="22720.3"/>
    <n v="22795.9"/>
    <n v="242753984"/>
    <n v="21994.37"/>
    <n v="23217.980000000003"/>
    <n v="23478.485999999997"/>
    <n v="24063.072749999996"/>
    <n v="-117.25"/>
    <n v="-5.1296746758133106E-3"/>
    <m/>
    <n v="26216.05"/>
    <n v="-0.13046015704120173"/>
    <m/>
  </r>
  <r>
    <x v="1029"/>
    <n v="22609.35"/>
    <n v="22668.05"/>
    <n v="22518.799999999999"/>
    <n v="22553.35"/>
    <n v="214317552"/>
    <n v="20772.95"/>
    <n v="23216.317500000005"/>
    <n v="23439.037999999997"/>
    <n v="24067.264749999995"/>
    <n v="-242.55000000000291"/>
    <n v="-1.0727862587823309E-2"/>
    <m/>
    <n v="26216.05"/>
    <n v="-0.13971212291706803"/>
    <m/>
  </r>
  <r>
    <x v="1030"/>
    <n v="22516.45"/>
    <n v="22625.3"/>
    <n v="22513.9"/>
    <n v="22547.55"/>
    <n v="250279519"/>
    <n v="24917.83"/>
    <n v="23196.122500000005"/>
    <n v="23396.739999999994"/>
    <n v="24069.755499999999"/>
    <n v="-5.7999999999992724"/>
    <n v="-2.5758945126781854E-4"/>
    <m/>
    <n v="26216.05"/>
    <n v="-0.13993336143316781"/>
    <m/>
  </r>
  <r>
    <x v="1031"/>
    <n v="22568.95"/>
    <n v="22613.3"/>
    <n v="22508.400000000001"/>
    <n v="22545.05"/>
    <n v="289230479"/>
    <n v="29775.64"/>
    <n v="23165.345000000001"/>
    <n v="23360.971000000001"/>
    <n v="24071.972999999994"/>
    <n v="-2.5"/>
    <n v="-1.1077165752062015E-4"/>
    <m/>
    <n v="26216.05"/>
    <n v="-0.14002872286252122"/>
    <m/>
  </r>
  <r>
    <x v="1032"/>
    <n v="22433.4"/>
    <n v="22450.35"/>
    <n v="22104.85"/>
    <n v="22124.7"/>
    <n v="551285287"/>
    <n v="52745.2"/>
    <n v="23130.122500000001"/>
    <n v="23327.895"/>
    <n v="24073.608999999993"/>
    <n v="-420.34999999999854"/>
    <n v="-1.8737685772107594E-2"/>
    <m/>
    <n v="26216.05"/>
    <n v="-0.15606279359400055"/>
    <m/>
  </r>
  <r>
    <x v="1033"/>
    <n v="22194.55"/>
    <n v="22261.55"/>
    <n v="22004.7"/>
    <n v="22119.3"/>
    <n v="282399735"/>
    <n v="25942.05"/>
    <n v="23060.9375"/>
    <n v="23291.355000000003"/>
    <n v="24073.229749999995"/>
    <n v="-5.4000000000014552"/>
    <n v="-2.4330297302722765E-4"/>
    <m/>
    <n v="26216.05"/>
    <n v="-0.15626877428140395"/>
    <m/>
  </r>
  <r>
    <x v="1034"/>
    <n v="21974.45"/>
    <n v="22105.05"/>
    <n v="21964.6"/>
    <n v="22082.65"/>
    <n v="253260641"/>
    <n v="22979.56"/>
    <n v="22992.795000000002"/>
    <n v="23261.991000000005"/>
    <n v="24071.806999999997"/>
    <n v="-36.649999999997817"/>
    <n v="-1.667846066681888E-3"/>
    <m/>
    <n v="26216.05"/>
    <n v="-0.15766677283572461"/>
    <m/>
  </r>
  <r>
    <x v="1035"/>
    <n v="22073.05"/>
    <n v="22394.9"/>
    <n v="22067.8"/>
    <n v="22337.3"/>
    <n v="305942691"/>
    <n v="26371.61"/>
    <n v="22928.875"/>
    <n v="23228.575000000004"/>
    <n v="24069.889750000002"/>
    <n v="254.64999999999782"/>
    <n v="1.1536692935502697E-2"/>
    <m/>
    <n v="26216.05"/>
    <n v="-0.14795325764178813"/>
    <m/>
  </r>
  <r>
    <x v="1036"/>
    <n v="22476.35"/>
    <n v="22556.45"/>
    <n v="22245.85"/>
    <n v="22544.7"/>
    <n v="372083680"/>
    <n v="30550.28"/>
    <n v="22858.7775"/>
    <n v="23200.768000000004"/>
    <n v="24069.06625"/>
    <n v="207.40000000000146"/>
    <n v="9.2274768812552511E-3"/>
    <m/>
    <n v="26216.05"/>
    <n v="-0.14004207346263065"/>
    <m/>
  </r>
  <r>
    <x v="1037"/>
    <n v="22508.65"/>
    <n v="22633.8"/>
    <n v="22464.75"/>
    <n v="22552.5"/>
    <n v="289765795"/>
    <n v="21446.95"/>
    <n v="22801.197499999998"/>
    <n v="23176.658000000003"/>
    <n v="24069.144500000002"/>
    <n v="7.7999999999992724"/>
    <n v="3.4653344380934761E-4"/>
    <m/>
    <n v="26216.05"/>
    <n v="-0.13974454580304807"/>
    <m/>
  </r>
  <r>
    <x v="1038"/>
    <n v="22521.85"/>
    <n v="22676.75"/>
    <n v="22429.05"/>
    <n v="22460.3"/>
    <n v="293855491"/>
    <n v="22330.86"/>
    <n v="22748.654999999999"/>
    <n v="23151.440000000006"/>
    <n v="24068.918000000001"/>
    <n v="-92.200000000000728"/>
    <n v="-4.093802240934947E-3"/>
    <m/>
    <n v="26216.05"/>
    <n v="-0.14326147531760125"/>
    <m/>
  </r>
  <r>
    <x v="1039"/>
    <n v="22345.95"/>
    <n v="22522.1"/>
    <n v="22314.7"/>
    <n v="22497.9"/>
    <n v="347924102"/>
    <n v="29208.22"/>
    <n v="22693.672499999997"/>
    <n v="23127.748000000007"/>
    <n v="24066.381249999999"/>
    <n v="37.600000000002183"/>
    <n v="1.6826315283083593E-3"/>
    <m/>
    <n v="26216.05"/>
    <n v="-0.14182723942012609"/>
    <m/>
  </r>
  <r>
    <x v="1040"/>
    <n v="22536.35"/>
    <n v="22577.4"/>
    <n v="22329.55"/>
    <n v="22470.5"/>
    <n v="369736725"/>
    <n v="33406.410000000003"/>
    <n v="22649.487499999999"/>
    <n v="23104.810000000005"/>
    <n v="24064.08525"/>
    <n v="-27.400000000001455"/>
    <n v="-1.215813563420938E-3"/>
    <m/>
    <n v="26216.05"/>
    <n v="-0.1428724006858394"/>
    <m/>
  </r>
  <r>
    <x v="1041"/>
    <n v="22541.5"/>
    <n v="22558.05"/>
    <n v="22377.35"/>
    <n v="22397.200000000001"/>
    <n v="287535243"/>
    <n v="22855.58"/>
    <n v="22619.422500000001"/>
    <n v="23079.362000000008"/>
    <n v="24061.7755"/>
    <n v="-73.299999999999272"/>
    <n v="-3.2517800501297282E-3"/>
    <m/>
    <n v="26216.05"/>
    <n v="-0.14566839779448082"/>
    <m/>
  </r>
  <r>
    <x v="1042"/>
    <n v="22353.15"/>
    <n v="22577"/>
    <n v="22353.15"/>
    <n v="22508.75"/>
    <n v="251102239"/>
    <n v="24122.27"/>
    <n v="22587.02"/>
    <n v="23043.533000000007"/>
    <n v="24059.320749999999"/>
    <n v="111.54999999999927"/>
    <n v="4.9903481164846686E-3"/>
    <m/>
    <n v="26216.05"/>
    <n v="-0.14141337081673244"/>
    <m/>
  </r>
  <r>
    <x v="1043"/>
    <n v="22662.25"/>
    <n v="22857.8"/>
    <n v="22599.200000000001"/>
    <n v="22834.3"/>
    <n v="272578844"/>
    <n v="26387.47"/>
    <n v="22560.887500000001"/>
    <n v="23013.613000000001"/>
    <n v="24058.340999999997"/>
    <n v="325.54999999999927"/>
    <n v="1.4365299120784533E-2"/>
    <m/>
    <n v="26216.05"/>
    <n v="-0.1289954054863337"/>
    <m/>
  </r>
  <r>
    <x v="1044"/>
    <n v="22874.95"/>
    <n v="22940.7"/>
    <n v="22807.95"/>
    <n v="22907.599999999999"/>
    <n v="323992121"/>
    <n v="26994.95"/>
    <n v="22556.14"/>
    <n v="22997.978000000003"/>
    <n v="24060.069249999997"/>
    <n v="73.299999999999272"/>
    <n v="3.2043785888056266E-3"/>
    <m/>
    <n v="26216.05"/>
    <n v="-0.12619940837769228"/>
    <m/>
  </r>
  <r>
    <x v="1045"/>
    <n v="23036.6"/>
    <n v="23216.7"/>
    <n v="22973.95"/>
    <n v="23190.65"/>
    <n v="313729818"/>
    <n v="27573.99"/>
    <n v="22553.544999999998"/>
    <n v="22981.972000000012"/>
    <n v="24061.953749999997"/>
    <n v="283.05000000000291"/>
    <n v="1.2286969431253004E-2"/>
    <m/>
    <n v="26216.05"/>
    <n v="-0.11540258734630116"/>
    <m/>
  </r>
  <r>
    <x v="1046"/>
    <n v="23168.25"/>
    <n v="23402.7"/>
    <n v="23132.799999999999"/>
    <n v="23350.400000000001"/>
    <n v="540966316"/>
    <n v="51005.67"/>
    <n v="22565.812500000004"/>
    <n v="22972.006000000005"/>
    <n v="24061.587499999994"/>
    <n v="159.75"/>
    <n v="6.8952121977274936E-3"/>
    <m/>
    <n v="26216.05"/>
    <n v="-0.10930899201061939"/>
    <m/>
  </r>
  <r>
    <x v="1047"/>
    <n v="23515.4"/>
    <n v="23708.75"/>
    <n v="23433.5"/>
    <n v="23658.35"/>
    <n v="311900413"/>
    <n v="28871.35"/>
    <n v="22586.687500000004"/>
    <n v="22968.484000000008"/>
    <n v="24068.917000000001"/>
    <n v="307.94999999999709"/>
    <n v="1.3095673473553376E-2"/>
    <m/>
    <n v="26216.05"/>
    <n v="-9.7562371142868587E-2"/>
    <m/>
  </r>
  <r>
    <x v="1048"/>
    <n v="23751.5"/>
    <n v="23869.599999999999"/>
    <n v="23601.4"/>
    <n v="23668.65"/>
    <n v="338216746"/>
    <n v="35415.03"/>
    <n v="22623.947500000002"/>
    <n v="22973.021000000004"/>
    <n v="24074.107000000004"/>
    <n v="10.30000000000291"/>
    <n v="4.3365682167454311E-4"/>
    <m/>
    <n v="26216.05"/>
    <n v="-9.7169482053932499E-2"/>
    <m/>
  </r>
  <r>
    <x v="1049"/>
    <n v="23700.95"/>
    <n v="23736.5"/>
    <n v="23451.7"/>
    <n v="23486.85"/>
    <n v="278590831"/>
    <n v="26877.279999999999"/>
    <n v="22667.584999999999"/>
    <n v="22984.674999999999"/>
    <n v="24078.343250000002"/>
    <n v="-181.80000000000291"/>
    <n v="-7.670578605499058E-3"/>
    <m/>
    <n v="26216.05"/>
    <n v="-0.10410416519651133"/>
    <m/>
  </r>
  <r>
    <x v="1050"/>
    <n v="23433.95"/>
    <n v="23646.45"/>
    <n v="23412.2"/>
    <n v="23591.95"/>
    <n v="510302142"/>
    <n v="46481.84"/>
    <n v="22714.26"/>
    <n v="22990.891000000007"/>
    <n v="24079.326749999997"/>
    <n v="105.10000000000218"/>
    <n v="4.4849459864855128E-3"/>
    <m/>
    <n v="26216.05"/>
    <n v="-0.10009517070649465"/>
    <m/>
  </r>
  <r>
    <x v="1051"/>
    <n v="23600.400000000001"/>
    <n v="23649.200000000001"/>
    <n v="23450.2"/>
    <n v="23519.35"/>
    <n v="387455531"/>
    <n v="29156.37"/>
    <n v="22766.48"/>
    <n v="22998.466000000004"/>
    <n v="24080.9905"/>
    <n v="-72.600000000002183"/>
    <n v="-3.0762190471348865E-3"/>
    <m/>
    <n v="26216.05"/>
    <n v="-0.10286446661491722"/>
    <m/>
  </r>
  <r>
    <x v="1052"/>
    <n v="23341.1"/>
    <n v="23565.15"/>
    <n v="23136.400000000001"/>
    <n v="23165.7"/>
    <n v="375118343"/>
    <n v="30680.7"/>
    <n v="22815.195"/>
    <n v="23002.617000000006"/>
    <n v="24082.262999999992"/>
    <n v="-353.64999999999782"/>
    <n v="-1.5151385324599006E-2"/>
    <m/>
    <n v="26216.05"/>
    <n v="-0.116354294411248"/>
    <m/>
  </r>
  <r>
    <x v="1053"/>
    <n v="23192.6"/>
    <n v="23350"/>
    <n v="23158.45"/>
    <n v="23332.35"/>
    <n v="340970371"/>
    <n v="24334.3"/>
    <n v="22867.245000000003"/>
    <n v="23001.867000000006"/>
    <n v="24081.476749999998"/>
    <n v="166.64999999999782"/>
    <n v="7.1854815760198434E-3"/>
    <m/>
    <n v="26216.05"/>
    <n v="-0.10999750153055099"/>
    <m/>
  </r>
  <r>
    <x v="1054"/>
    <n v="23150.3"/>
    <n v="23306.5"/>
    <n v="23145.8"/>
    <n v="23250.1"/>
    <n v="283196379"/>
    <n v="23501.33"/>
    <n v="22927.897499999999"/>
    <n v="23001.61900000001"/>
    <n v="24081.143999999993"/>
    <n v="-82.25"/>
    <n v="-3.5528697252303425E-3"/>
    <m/>
    <n v="26216.05"/>
    <n v="-0.11313489255627762"/>
    <m/>
  </r>
  <r>
    <x v="1055"/>
    <n v="23190.400000000001"/>
    <n v="23214.7"/>
    <n v="22857.45"/>
    <n v="22904.45"/>
    <n v="466776198"/>
    <n v="33761.96"/>
    <n v="22986.269999999997"/>
    <n v="23006.128000000008"/>
    <n v="24080.06649999999"/>
    <n v="-345.64999999999782"/>
    <n v="-1.4904874430798857E-2"/>
    <m/>
    <n v="26216.05"/>
    <n v="-0.12631956377867748"/>
    <m/>
  </r>
  <r>
    <x v="1056"/>
    <n v="21758.400000000001"/>
    <n v="22254"/>
    <n v="21743.65"/>
    <n v="22161.599999999999"/>
    <n v="647107618"/>
    <n v="49172.14"/>
    <n v="23014.627499999995"/>
    <n v="23001.110000000004"/>
    <n v="24076.799249999989"/>
    <n v="-742.85000000000218"/>
    <n v="-3.4140837561585508E-2"/>
    <m/>
    <n v="26216.05"/>
    <n v="-0.15465525889674459"/>
    <m/>
  </r>
  <r>
    <x v="1057"/>
    <n v="22446.75"/>
    <n v="22697.200000000001"/>
    <n v="22270.85"/>
    <n v="22535.85"/>
    <n v="468250807"/>
    <n v="37226.82"/>
    <n v="22995.472499999996"/>
    <n v="22980.235000000008"/>
    <n v="24070.027249999988"/>
    <n v="374.25"/>
    <n v="1.6672792275050953E-2"/>
    <m/>
    <n v="26216.05"/>
    <n v="-0.14037965292254173"/>
    <m/>
  </r>
  <r>
    <x v="1058"/>
    <n v="22460.3"/>
    <n v="22468.7"/>
    <n v="22353.25"/>
    <n v="22399.15"/>
    <n v="383822618"/>
    <n v="28996.55"/>
    <n v="22994.639999999992"/>
    <n v="22969.108000000007"/>
    <n v="24064.87149999999"/>
    <n v="-136.69999999999709"/>
    <n v="-6.0862944840450522E-3"/>
    <m/>
    <n v="26216.05"/>
    <n v="-0.14559401587958509"/>
    <m/>
  </r>
  <r>
    <x v="1059"/>
    <n v="22695.4"/>
    <n v="22923.9"/>
    <n v="22695.4"/>
    <n v="22828.55"/>
    <n v="402162001"/>
    <n v="33683.599999999999"/>
    <n v="22991.582499999997"/>
    <n v="22960.508000000002"/>
    <n v="24059.361749999989"/>
    <n v="429.39999999999782"/>
    <n v="1.8920133595354029E-2"/>
    <m/>
    <n v="26216.05"/>
    <n v="-0.12921473677384654"/>
    <m/>
  </r>
  <r>
    <x v="1060"/>
    <n v="23368.35"/>
    <n v="23368.35"/>
    <n v="23207"/>
    <n v="23328.55"/>
    <n v="388321931"/>
    <n v="34216.17"/>
    <n v="23008.114999999998"/>
    <n v="22957.934000000005"/>
    <n v="24055.815249999989"/>
    <n v="500"/>
    <n v="2.1396461453204872E-2"/>
    <m/>
    <n v="26216.05"/>
    <n v="-0.1101424509031681"/>
    <m/>
  </r>
  <r>
    <x v="1061"/>
    <n v="23344.1"/>
    <n v="23452.2"/>
    <n v="23273.05"/>
    <n v="23437.200000000001"/>
    <n v="348424960"/>
    <n v="28102.36"/>
    <n v="23051.017499999994"/>
    <n v="22961.243000000002"/>
    <n v="24053.851499999986"/>
    <n v="108.65000000000146"/>
    <n v="4.6542809532173638E-3"/>
    <m/>
    <n v="26216.05"/>
    <n v="-0.10599804318346961"/>
    <m/>
  </r>
  <r>
    <x v="1062"/>
    <n v="23401.85"/>
    <n v="23872.35"/>
    <n v="23298.55"/>
    <n v="23851.65"/>
    <n v="505333905"/>
    <n v="38450.089999999997"/>
    <n v="23103.017499999998"/>
    <n v="22964.996999999996"/>
    <n v="24051.693499999987"/>
    <n v="414.45000000000073"/>
    <n v="1.7710138301031787E-2"/>
    <m/>
    <n v="26216.05"/>
    <n v="-9.0189025425264191E-2"/>
    <m/>
  </r>
  <r>
    <x v="1063"/>
    <n v="23949.15"/>
    <n v="24189.55"/>
    <n v="23903.65"/>
    <n v="24125.55"/>
    <n v="406145632"/>
    <n v="33125.620000000003"/>
    <n v="23170.162499999999"/>
    <n v="22971.861999999994"/>
    <n v="24050.729249999986"/>
    <n v="273.89999999999782"/>
    <n v="1.1436731575024492E-2"/>
    <m/>
    <n v="26216.05"/>
    <n v="-7.9741227225306632E-2"/>
    <m/>
  </r>
  <r>
    <x v="1064"/>
    <n v="24185.4"/>
    <n v="24242.6"/>
    <n v="24072"/>
    <n v="24167.25"/>
    <n v="440940490"/>
    <n v="35479.29"/>
    <n v="23234.724999999999"/>
    <n v="22984.729999999996"/>
    <n v="24051.303999999986"/>
    <n v="41.700000000000728"/>
    <n v="1.7241807040611578E-3"/>
    <m/>
    <n v="26216.05"/>
    <n v="-7.8150598583691999E-2"/>
    <m/>
  </r>
  <r>
    <x v="1065"/>
    <n v="24357.599999999999"/>
    <n v="24359.3"/>
    <n v="24119.95"/>
    <n v="24328.95"/>
    <n v="415042544"/>
    <n v="34527.08"/>
    <n v="23297.7075"/>
    <n v="23000.853999999996"/>
    <n v="24051.430499999988"/>
    <n v="161.70000000000073"/>
    <n v="6.6385850822741456E-3"/>
    <m/>
    <n v="26216.05"/>
    <n v="-7.1982621333114616E-2"/>
    <m/>
  </r>
  <r>
    <x v="1066"/>
    <n v="24277.9"/>
    <n v="24347.85"/>
    <n v="24216.15"/>
    <n v="24246.7"/>
    <n v="358768165"/>
    <n v="33057.29"/>
    <n v="23354.622500000005"/>
    <n v="23012.647999999997"/>
    <n v="24052.455999999987"/>
    <n v="-82.25"/>
    <n v="-3.3878547979849984E-3"/>
    <m/>
    <n v="26216.05"/>
    <n v="-7.5120012358841137E-2"/>
    <m/>
  </r>
  <r>
    <x v="1067"/>
    <n v="24289"/>
    <n v="24365.45"/>
    <n v="23847.85"/>
    <n v="24039.35"/>
    <n v="387741866"/>
    <n v="33430.86"/>
    <n v="23399.437500000004"/>
    <n v="23023.655999999992"/>
    <n v="24052.256999999987"/>
    <n v="-207.35000000000218"/>
    <n v="-8.5367861995142725E-3"/>
    <m/>
    <n v="26216.05"/>
    <n v="-8.3029289309411669E-2"/>
    <m/>
  </r>
  <r>
    <x v="1068"/>
    <n v="24070.25"/>
    <n v="24355.1"/>
    <n v="24054.05"/>
    <n v="24328.5"/>
    <n v="320467976"/>
    <n v="28278.82"/>
    <n v="23418.487499999999"/>
    <n v="23032.375999999997"/>
    <n v="24050.942999999985"/>
    <n v="289.15000000000146"/>
    <n v="1.2012754333669216E-2"/>
    <m/>
    <n v="26216.05"/>
    <n v="-7.1999786390398168E-2"/>
    <m/>
  </r>
  <r>
    <x v="1069"/>
    <n v="24370.7"/>
    <n v="24457.65"/>
    <n v="24290.75"/>
    <n v="24335.95"/>
    <n v="357563224"/>
    <n v="30436.880000000001"/>
    <n v="23451.480000000003"/>
    <n v="23047.747000000003"/>
    <n v="24050.966249999987"/>
    <n v="7.4500000000007276"/>
    <n v="3.0569495336616213E-4"/>
    <m/>
    <n v="26216.05"/>
    <n v="-7.1715609330925134E-2"/>
    <m/>
  </r>
  <r>
    <x v="1070"/>
    <n v="24342.05"/>
    <n v="24396.15"/>
    <n v="24198.75"/>
    <n v="24334.2"/>
    <n v="424452559"/>
    <n v="41073.480000000003"/>
    <n v="23493.935000000001"/>
    <n v="23066.833999999999"/>
    <n v="24051.043249999988"/>
    <n v="-1.75"/>
    <n v="-7.1892055106287272E-5"/>
    <m/>
    <n v="26216.05"/>
    <n v="-7.1782362331472505E-2"/>
    <m/>
  </r>
  <r>
    <x v="1071"/>
    <n v="24311.9"/>
    <n v="24589.15"/>
    <n v="24238.5"/>
    <n v="24346.7"/>
    <n v="421112627"/>
    <n v="34043.269999999997"/>
    <n v="23531.047500000001"/>
    <n v="23092.081999999999"/>
    <n v="24050.548249999989"/>
    <n v="12.5"/>
    <n v="5.1415150605259145E-4"/>
    <m/>
    <n v="26216.05"/>
    <n v="-7.1305555184705494E-2"/>
    <m/>
  </r>
  <r>
    <x v="1072"/>
    <n v="24419.5"/>
    <n v="24526.400000000001"/>
    <n v="24400.65"/>
    <n v="24461.15"/>
    <n v="291471628"/>
    <n v="26918.36"/>
    <n v="23572.415000000001"/>
    <n v="23118.11099999999"/>
    <n v="24050.659499999994"/>
    <n v="114.45000000000073"/>
    <n v="4.6868281496345431E-3"/>
    <m/>
    <n v="26216.05"/>
    <n v="-6.6939908948907223E-2"/>
    <m/>
  </r>
  <r>
    <x v="1073"/>
    <n v="24500.75"/>
    <n v="24509.65"/>
    <n v="24331.8"/>
    <n v="24379.599999999999"/>
    <n v="302354059"/>
    <n v="26481.15"/>
    <n v="23637.187500000004"/>
    <n v="23146.705999999991"/>
    <n v="24051.385499999989"/>
    <n v="-81.55000000000291"/>
    <n v="-3.3284695366469562E-3"/>
    <m/>
    <n v="26216.05"/>
    <n v="-7.0050598774414885E-2"/>
    <m/>
  </r>
  <r>
    <x v="1074"/>
    <n v="24233.3"/>
    <n v="24449.599999999999"/>
    <n v="24220"/>
    <n v="24414.400000000001"/>
    <n v="330137191"/>
    <n v="27648.34"/>
    <n v="23689.55"/>
    <n v="23175.712999999992"/>
    <n v="24050.772749999989"/>
    <n v="34.80000000000291"/>
    <n v="1.4360404897394458E-3"/>
    <m/>
    <n v="26216.05"/>
    <n v="-6.8723167677815611E-2"/>
    <m/>
  </r>
  <r>
    <x v="1075"/>
    <n v="24431.5"/>
    <n v="24447.25"/>
    <n v="24150.2"/>
    <n v="24273.8"/>
    <n v="411362230"/>
    <n v="36893.06"/>
    <n v="23747.765000000003"/>
    <n v="23204.810999999991"/>
    <n v="24049.91124999999"/>
    <n v="-140.60000000000218"/>
    <n v="-5.7548656447619743E-3"/>
    <m/>
    <n v="26216.05"/>
    <n v="-7.4086294464650426E-2"/>
    <m/>
  </r>
  <r>
    <x v="1076"/>
    <n v="23935.75"/>
    <n v="24164.25"/>
    <n v="23935.75"/>
    <n v="24008"/>
    <n v="335550680"/>
    <n v="28942.61"/>
    <n v="23816.232500000006"/>
    <n v="23231.380999999998"/>
    <n v="24048.21524999999"/>
    <n v="-265.79999999999927"/>
    <n v="-1.1104728283007605E-2"/>
    <m/>
    <n v="26216.05"/>
    <n v="-8.4225121633503153E-2"/>
    <m/>
  </r>
  <r>
    <x v="1077"/>
    <n v="24420.1"/>
    <n v="24944.799999999999"/>
    <n v="24378.85"/>
    <n v="24924.7"/>
    <n v="368707684"/>
    <n v="30362.27"/>
    <n v="23908.552500000002"/>
    <n v="23252.882999999994"/>
    <n v="24044.250999999993"/>
    <n v="916.70000000000073"/>
    <n v="3.7538748817572444E-2"/>
    <m/>
    <n v="26216.05"/>
    <n v="-4.9257992718201193E-2"/>
    <m/>
  </r>
  <r>
    <x v="1078"/>
    <n v="24864.05"/>
    <n v="24973.8"/>
    <n v="24547.5"/>
    <n v="24578.35"/>
    <n v="422977876"/>
    <n v="34576.660000000003"/>
    <n v="24027.995000000003"/>
    <n v="23293.113999999994"/>
    <n v="24046.219999999994"/>
    <n v="-346.35000000000218"/>
    <n v="-1.3929749980393468E-2"/>
    <m/>
    <n v="26216.05"/>
    <n v="-6.2469365140820243E-2"/>
    <m/>
  </r>
  <r>
    <x v="1079"/>
    <n v="24613.8"/>
    <n v="24767.55"/>
    <n v="24535.55"/>
    <n v="24666.9"/>
    <n v="345490805"/>
    <n v="25585.37"/>
    <n v="24136.955000000002"/>
    <n v="23328.762999999992"/>
    <n v="24046.565499999993"/>
    <n v="88.55000000000291"/>
    <n v="3.5975753439128825E-3"/>
    <m/>
    <n v="26216.05"/>
    <n v="-5.9091663313122988E-2"/>
    <m/>
  </r>
  <r>
    <x v="1080"/>
    <n v="24694.45"/>
    <n v="25116.25"/>
    <n v="24494.45"/>
    <n v="25062.1"/>
    <n v="500821889"/>
    <n v="44147.39"/>
    <n v="24228.872500000005"/>
    <n v="23371.033999999996"/>
    <n v="24047.504749999996"/>
    <n v="395.19999999999709"/>
    <n v="1.600359594969708E-2"/>
    <m/>
    <n v="26216.05"/>
    <n v="-4.4016928560938862E-2"/>
    <m/>
  </r>
  <r>
    <x v="1081"/>
    <n v="25064.65"/>
    <n v="25070"/>
    <n v="24953.05"/>
    <n v="25019.8"/>
    <n v="432717092"/>
    <n v="43815.86"/>
    <n v="24315.550000000003"/>
    <n v="23421.324999999997"/>
    <n v="24050.747749999995"/>
    <n v="-42.299999999999272"/>
    <n v="-1.6876357738886947E-3"/>
    <m/>
    <n v="26216.05"/>
    <n v="-4.5630443945598231E-2"/>
    <m/>
  </r>
  <r>
    <x v="1082"/>
    <n v="25005.35"/>
    <n v="25062.95"/>
    <n v="24916.65"/>
    <n v="24945.45"/>
    <n v="255254340"/>
    <n v="21598.6"/>
    <n v="24394.68"/>
    <n v="23470.82"/>
    <n v="24053.81625"/>
    <n v="-74.349999999998545"/>
    <n v="-2.9733637001681059E-3"/>
    <m/>
    <n v="26216.05"/>
    <n v="-4.8466492854568055E-2"/>
    <m/>
  </r>
  <r>
    <x v="1083"/>
    <n v="24996.2"/>
    <n v="25010.35"/>
    <n v="24669.7"/>
    <n v="24683.9"/>
    <n v="414799113"/>
    <n v="31063.03"/>
    <n v="24449.370000000003"/>
    <n v="23527.235000000001"/>
    <n v="24054.369250000003"/>
    <n v="-261.54999999999927"/>
    <n v="-1.0463590465750764E-2"/>
    <m/>
    <n v="26216.05"/>
    <n v="-5.8443205593519898E-2"/>
    <m/>
  </r>
  <r>
    <x v="1084"/>
    <n v="24744.25"/>
    <n v="24946.2"/>
    <n v="24685.35"/>
    <n v="24813.45"/>
    <n v="332724952"/>
    <n v="23179.85"/>
    <n v="24477.287500000002"/>
    <n v="23578.526999999998"/>
    <n v="24053.608250000001"/>
    <n v="129.54999999999927"/>
    <n v="5.2355597765137065E-3"/>
    <m/>
    <n v="26216.05"/>
    <n v="-5.3501576324427202E-2"/>
    <m/>
  </r>
  <r>
    <x v="1085"/>
    <n v="24733.95"/>
    <n v="24737.5"/>
    <n v="24462.400000000001"/>
    <n v="24609.7"/>
    <n v="403279638"/>
    <n v="30579.52"/>
    <n v="24509.5975"/>
    <n v="23633.142999999993"/>
    <n v="24053.38900000001"/>
    <n v="-203.75"/>
    <n v="-8.2376652334139912E-3"/>
    <m/>
    <n v="26216.05"/>
    <n v="-6.1273532816728649E-2"/>
    <m/>
  </r>
  <r>
    <x v="1086"/>
    <n v="24639.5"/>
    <n v="24909.05"/>
    <n v="24614.05"/>
    <n v="24853.15"/>
    <n v="270470348"/>
    <n v="20200.73"/>
    <n v="24523.635000000002"/>
    <n v="23678.590999999993"/>
    <n v="24051.681750000007"/>
    <n v="243.45000000000073"/>
    <n v="9.8804764707076335E-3"/>
    <m/>
    <n v="26216.05"/>
    <n v="-5.1987236826295247E-2"/>
    <m/>
  </r>
  <r>
    <x v="1087"/>
    <n v="24919.35"/>
    <n v="25079.200000000001"/>
    <n v="24900.5"/>
    <n v="25001.15"/>
    <n v="302799227"/>
    <n v="20060.68"/>
    <n v="24553.9575"/>
    <n v="23724.759999999991"/>
    <n v="24050.893000000007"/>
    <n v="148"/>
    <n v="5.9391597292866791E-3"/>
    <m/>
    <n v="26216.05"/>
    <n v="-4.6341840208574459E-2"/>
    <m/>
  </r>
  <r>
    <x v="1088"/>
    <n v="24956.65"/>
    <n v="25062.9"/>
    <n v="24704.1"/>
    <n v="24826.2"/>
    <n v="525653668"/>
    <n v="33638.300000000003"/>
    <n v="24602.047500000004"/>
    <n v="23773.732999999989"/>
    <n v="24052.31025000001"/>
    <n v="-174.95000000000073"/>
    <n v="-7.0101556098274695E-3"/>
    <m/>
    <n v="26216.05"/>
    <n v="-5.3015233034724885E-2"/>
    <m/>
  </r>
  <r>
    <x v="1089"/>
    <n v="24832.5"/>
    <n v="24864.25"/>
    <n v="24737.05"/>
    <n v="24752.45"/>
    <n v="684425321"/>
    <n v="37143.550000000003"/>
    <n v="24626.932500000003"/>
    <n v="23821.050999999989"/>
    <n v="24056.163250000005"/>
    <n v="-73.75"/>
    <n v="-2.9698983187355279E-3"/>
    <m/>
    <n v="26216.05"/>
    <n v="-5.5828395200649972E-2"/>
    <m/>
  </r>
  <r>
    <x v="1090"/>
    <n v="24825.1"/>
    <n v="24892.6"/>
    <n v="24677.3"/>
    <n v="24833.599999999999"/>
    <n v="345370611"/>
    <n v="29730.05"/>
    <n v="24647.757500000003"/>
    <n v="23866.141999999989"/>
    <n v="24059.96275000001"/>
    <n v="81.149999999997817"/>
    <n v="3.2688690075769211E-3"/>
    <m/>
    <n v="26216.05"/>
    <n v="-5.2732963203838912E-2"/>
    <m/>
  </r>
  <r>
    <x v="1091"/>
    <n v="24812.6"/>
    <n v="24863.95"/>
    <n v="24717.4"/>
    <n v="24750.7"/>
    <n v="853890978"/>
    <n v="52247.87"/>
    <n v="24672.727500000008"/>
    <n v="23913.403999999991"/>
    <n v="24062.643250000008"/>
    <n v="-82.899999999997817"/>
    <n v="-3.3410444693421013E-3"/>
    <m/>
    <n v="26216.05"/>
    <n v="-5.5895148201197342E-2"/>
    <m/>
  </r>
  <r>
    <x v="1092"/>
    <n v="24669.7"/>
    <n v="24754.400000000001"/>
    <n v="24526.15"/>
    <n v="24716.6"/>
    <n v="311100908"/>
    <n v="25091.040000000001"/>
    <n v="24692.927500000005"/>
    <n v="23960.473999999991"/>
    <n v="24065.811750000008"/>
    <n v="-34.100000000002183"/>
    <n v="-1.3822624515094299E-3"/>
    <m/>
    <n v="26216.05"/>
    <n v="-5.7195878097577646E-2"/>
    <m/>
  </r>
  <r>
    <x v="1093"/>
    <n v="24786.3"/>
    <n v="24845.1"/>
    <n v="24502.15"/>
    <n v="24542.5"/>
    <n v="349288937"/>
    <n v="28906.400000000001"/>
    <n v="24705.700000000004"/>
    <n v="24004.63099999999"/>
    <n v="24067.557250000009"/>
    <n v="-174.09999999999854"/>
    <n v="-7.0240415068000689E-3"/>
    <m/>
    <n v="26216.05"/>
    <n v="-6.3836848037747806E-2"/>
    <m/>
  </r>
  <r>
    <x v="1094"/>
    <n v="24560.45"/>
    <n v="24644.25"/>
    <n v="24530.45"/>
    <n v="24620.2"/>
    <n v="280862575"/>
    <n v="21907.07"/>
    <n v="24713.845000000001"/>
    <n v="24038.794999999995"/>
    <n v="24068.53475000001"/>
    <n v="77.700000000000728"/>
    <n v="3.1636228163572219E-3"/>
    <m/>
    <n v="26216.05"/>
    <n v="-6.0873014813444426E-2"/>
    <m/>
  </r>
  <r>
    <x v="1095"/>
    <n v="24691.200000000001"/>
    <n v="24899.85"/>
    <n v="24613.1"/>
    <n v="24750.9"/>
    <n v="388405978"/>
    <n v="30186.46"/>
    <n v="24724.135000000002"/>
    <n v="24073.046999999999"/>
    <n v="24070.940750000012"/>
    <n v="130.70000000000073"/>
    <n v="5.2933838776568461E-3"/>
    <m/>
    <n v="26216.05"/>
    <n v="-5.5887519286848986E-2"/>
    <m/>
  </r>
  <r>
    <x v="1096"/>
    <n v="24748.7"/>
    <n v="25029.5"/>
    <n v="24671.45"/>
    <n v="25003.05"/>
    <n v="335581057"/>
    <n v="30041.71"/>
    <n v="24747.99"/>
    <n v="24104.251999999997"/>
    <n v="24073.976500000012"/>
    <n v="252.14999999999782"/>
    <n v="1.0188413936893567E-2"/>
    <m/>
    <n v="26216.05"/>
    <n v="-4.6269365522265904E-2"/>
    <m/>
  </r>
  <r>
    <x v="1097"/>
    <n v="25160.1"/>
    <n v="25160.1"/>
    <n v="25077.15"/>
    <n v="25103.200000000001"/>
    <n v="279219989"/>
    <n v="25606.21"/>
    <n v="24797.7425"/>
    <n v="24137.304999999997"/>
    <n v="24076.286000000011"/>
    <n v="100.15000000000146"/>
    <n v="3.9805088215071269E-3"/>
    <m/>
    <n v="26216.05"/>
    <n v="-4.2449186662368965E-2"/>
    <m/>
  </r>
  <r>
    <x v="1098"/>
    <n v="25196.05"/>
    <n v="25199.3"/>
    <n v="25055.45"/>
    <n v="25104.25"/>
    <n v="307323471"/>
    <n v="28813.93"/>
    <n v="24806.667500000003"/>
    <n v="24166.201999999997"/>
    <n v="24078.938750000016"/>
    <n v="1.0499999999992724"/>
    <n v="4.1673198775175965E-5"/>
    <m/>
    <n v="26216.05"/>
    <n v="-4.2409134862040565E-2"/>
    <m/>
  </r>
  <r>
    <x v="1099"/>
    <n v="25134.15"/>
    <n v="25222.400000000001"/>
    <n v="25081.3"/>
    <n v="25141.4"/>
    <n v="301245273"/>
    <n v="25871.18"/>
    <n v="24832.962500000001"/>
    <n v="24194.913999999993"/>
    <n v="24080.96575000001"/>
    <n v="37.150000000001455"/>
    <n v="1.478068683444694E-3"/>
    <m/>
    <n v="26216.05"/>
    <n v="-4.0992064021849184E-2"/>
    <m/>
  </r>
  <r>
    <x v="1100"/>
    <n v="25164.45"/>
    <n v="25196.2"/>
    <n v="24825.9"/>
    <n v="24888.2"/>
    <n v="328310748"/>
    <n v="29573.27"/>
    <n v="24856.687500000004"/>
    <n v="24228.00499999999"/>
    <n v="24082.821750000014"/>
    <n v="-253.20000000000073"/>
    <n v="-1.0061813391510672E-2"/>
    <m/>
    <n v="26216.05"/>
    <n v="-5.0650269586760777E-2"/>
    <m/>
  </r>
  <r>
    <x v="1101"/>
    <n v="24473"/>
    <n v="24754.35"/>
    <n v="24473"/>
    <n v="24718.6"/>
    <n v="318711364"/>
    <n v="24838.560000000001"/>
    <n v="24847.9925"/>
    <n v="24253.929999999989"/>
    <n v="24083.205250000014"/>
    <n v="-169.60000000000218"/>
    <n v="-6.9300862174642335E-3"/>
    <m/>
    <n v="26216.05"/>
    <n v="-5.7119588954094969E-2"/>
    <m/>
  </r>
  <r>
    <x v="1102"/>
    <n v="24732.35"/>
    <n v="24967.1"/>
    <n v="24703.599999999999"/>
    <n v="24946.5"/>
    <n v="305813047"/>
    <n v="23857.15"/>
    <n v="24832.932500000003"/>
    <n v="24277.91499999999"/>
    <n v="24082.68250000001"/>
    <n v="227.90000000000146"/>
    <n v="9.2146520650080339E-3"/>
    <m/>
    <n v="26216.05"/>
    <n v="-4.8426441054239655E-2"/>
    <m/>
  </r>
  <r>
    <x v="1103"/>
    <n v="24977.85"/>
    <n v="24982.05"/>
    <n v="24813.7"/>
    <n v="24853.4"/>
    <n v="242415740"/>
    <n v="21818.05"/>
    <n v="24832.985000000004"/>
    <n v="24313.530999999992"/>
    <n v="24082.362000000008"/>
    <n v="-93.099999999998545"/>
    <n v="-3.7273023899174087E-3"/>
    <m/>
    <n v="26216.05"/>
    <n v="-5.197770068335994E-2"/>
    <m/>
  </r>
  <r>
    <x v="1104"/>
    <n v="24788.35"/>
    <n v="24947.55"/>
    <n v="24750.45"/>
    <n v="24812.05"/>
    <n v="237599011"/>
    <n v="22044.05"/>
    <n v="24841.460000000003"/>
    <n v="24343.951999999994"/>
    <n v="24081.540250000009"/>
    <n v="-41.350000000002183"/>
    <n v="-1.668122323591614E-3"/>
    <m/>
    <n v="26216.05"/>
    <n v="-5.3554978724865143E-2"/>
    <m/>
  </r>
  <r>
    <x v="1105"/>
    <n v="24803.25"/>
    <n v="24863.1"/>
    <n v="24733.4"/>
    <n v="24793.25"/>
    <n v="274619935"/>
    <n v="23620.79"/>
    <n v="24841.390000000003"/>
    <n v="24375.190999999995"/>
    <n v="24080.33875000001"/>
    <n v="-18.799999999999272"/>
    <n v="-7.5796518601390034E-4"/>
    <m/>
    <n v="26216.05"/>
    <n v="-5.4272096673602555E-2"/>
    <m/>
  </r>
  <r>
    <x v="1106"/>
    <n v="24787.65"/>
    <n v="25136.2"/>
    <n v="24783.65"/>
    <n v="25112.400000000001"/>
    <n v="574654035"/>
    <n v="55782.03"/>
    <n v="24850.567500000001"/>
    <n v="24412.966999999997"/>
    <n v="24078.54525000001"/>
    <n v="319.15000000000146"/>
    <n v="1.287536333617755E-2"/>
    <m/>
    <n v="26216.05"/>
    <n v="-4.2098256602348449E-2"/>
    <m/>
  </r>
  <r>
    <x v="1107"/>
    <n v="24939.75"/>
    <n v="25057"/>
    <n v="24824.85"/>
    <n v="24971.9"/>
    <n v="248534153"/>
    <n v="20797.88"/>
    <n v="24863.530000000002"/>
    <n v="24471.982999999993"/>
    <n v="24077.927750000013"/>
    <n v="-140.5"/>
    <n v="-5.6335769203781109E-3"/>
    <m/>
    <n v="26216.05"/>
    <n v="-4.7457568932009142E-2"/>
    <m/>
  </r>
  <r>
    <x v="1108"/>
    <n v="25179.9"/>
    <n v="25317.7"/>
    <n v="24999.7"/>
    <n v="25044.35"/>
    <n v="450185468"/>
    <n v="35508.9"/>
    <n v="24862.067500000005"/>
    <n v="24520.703999999994"/>
    <n v="24076.393750000014"/>
    <n v="72.44999999999709"/>
    <n v="2.8772949852857669E-3"/>
    <m/>
    <n v="26216.05"/>
    <n v="-4.4693994709347984E-2"/>
    <m/>
  </r>
  <r>
    <x v="1109"/>
    <n v="25150.35"/>
    <n v="25266.799999999999"/>
    <n v="25125.05"/>
    <n v="25244.75"/>
    <n v="260582584"/>
    <n v="22985.17"/>
    <n v="24872.975000000002"/>
    <n v="24573.607999999993"/>
    <n v="24075.216250000009"/>
    <n v="200.40000000000146"/>
    <n v="7.9680799670780508E-3"/>
    <m/>
    <n v="26216.05"/>
    <n v="-3.7049822532379983E-2"/>
    <m/>
  </r>
  <r>
    <x v="1110"/>
    <n v="25268.95"/>
    <n v="25565.3"/>
    <n v="25259.9"/>
    <n v="25549"/>
    <n v="428891818"/>
    <n v="38689.39"/>
    <n v="24897.59"/>
    <n v="24621.931999999993"/>
    <n v="24075.446500000009"/>
    <n v="304.25"/>
    <n v="1.2040468638388219E-2"/>
    <m/>
    <n v="26216.05"/>
    <n v="-2.5444336580072058E-2"/>
    <m/>
  </r>
  <r>
    <x v="1111"/>
    <n v="25576.65"/>
    <n v="25654.2"/>
    <n v="25523.55"/>
    <n v="25637.8"/>
    <n v="563957748"/>
    <n v="47108.6"/>
    <n v="24933.360000000001"/>
    <n v="24666.340999999993"/>
    <n v="24077.466000000004"/>
    <n v="88.799999999999272"/>
    <n v="3.4719167678331315E-3"/>
    <m/>
    <n v="26216.05"/>
    <n v="-2.2057098609439607E-2"/>
    <m/>
  </r>
  <r>
    <x v="1112"/>
    <n v="25661.65"/>
    <n v="25669.35"/>
    <n v="25473.3"/>
    <n v="25517.05"/>
    <n v="270981274"/>
    <n v="24673.48"/>
    <n v="24977.715000000004"/>
    <n v="24710.352999999992"/>
    <n v="24081.394250000001"/>
    <n v="-120.75"/>
    <n v="-4.7054651590992778E-3"/>
    <m/>
    <n v="26216.05"/>
    <n v="-2.66630556472085E-2"/>
    <m/>
  </r>
  <r>
    <x v="1113"/>
    <n v="25551.35"/>
    <n v="25593.4"/>
    <n v="25501.8"/>
    <n v="25541.8"/>
    <n v="260669106"/>
    <n v="23921.02"/>
    <n v="25017.737499999999"/>
    <n v="24743.660999999996"/>
    <n v="24084.297500000001"/>
    <n v="24.75"/>
    <n v="9.6863766493746908E-4"/>
    <m/>
    <n v="26216.05"/>
    <n v="-2.5718977496609896E-2"/>
    <m/>
  </r>
  <r>
    <x v="1114"/>
    <n v="25588.3"/>
    <n v="25608.1"/>
    <n v="25378.75"/>
    <n v="25453.4"/>
    <n v="309828013"/>
    <n v="26681.66"/>
    <n v="25067.702499999999"/>
    <n v="24771.986000000001"/>
    <n v="24086.800999999999"/>
    <n v="-88.399999999997817"/>
    <n v="-3.4547039076452059E-3"/>
    <m/>
    <n v="26216.05"/>
    <n v="-2.9090957638545745E-2"/>
    <m/>
  </r>
  <r>
    <x v="1115"/>
    <n v="25505.1"/>
    <n v="25587.5"/>
    <n v="25384.35"/>
    <n v="25405.3"/>
    <n v="293428797"/>
    <n v="24531.7"/>
    <n v="25109.362499999999"/>
    <n v="24797.708999999999"/>
    <n v="24089.475750000001"/>
    <n v="-48.100000000002183"/>
    <n v="-1.8858973303379396E-3"/>
    <m/>
    <n v="26216.05"/>
    <n v="-3.0925711539305123E-2"/>
    <m/>
  </r>
  <r>
    <x v="1116"/>
    <n v="25428.85"/>
    <n v="25470.25"/>
    <n v="25331.65"/>
    <n v="25461"/>
    <n v="193511595"/>
    <n v="19101.330000000002"/>
    <n v="25142.082499999997"/>
    <n v="24819.236000000001"/>
    <n v="24089.557750000004"/>
    <n v="55.700000000000728"/>
    <n v="2.1904254419685015E-3"/>
    <m/>
    <n v="26216.05"/>
    <n v="-2.8801058893311526E-2"/>
    <m/>
  </r>
  <r>
    <x v="1117"/>
    <n v="25450.45"/>
    <n v="25489.8"/>
    <n v="25407.25"/>
    <n v="25461.3"/>
    <n v="196051345"/>
    <n v="16923.259999999998"/>
    <n v="25164.979999999996"/>
    <n v="24843.522000000001"/>
    <n v="24090.080250000003"/>
    <n v="0.2999999999992724"/>
    <n v="1.1787610828070718E-5"/>
    <m/>
    <n v="26216.05"/>
    <n v="-2.8789615521789158E-2"/>
    <m/>
  </r>
  <r>
    <x v="1118"/>
    <n v="25427.85"/>
    <n v="25548.05"/>
    <n v="25424.15"/>
    <n v="25522.5"/>
    <n v="210410530"/>
    <n v="21947.32"/>
    <n v="25182.884999999998"/>
    <n v="24871.960999999999"/>
    <n v="24090.468000000008"/>
    <n v="61.200000000000728"/>
    <n v="2.4068098561223512E-3"/>
    <m/>
    <n v="26216.05"/>
    <n v="-2.6455167731218032E-2"/>
    <m/>
  </r>
  <r>
    <x v="1119"/>
    <n v="25514.6"/>
    <n v="25548.7"/>
    <n v="25424.35"/>
    <n v="25476.1"/>
    <n v="239081546"/>
    <n v="20549.5"/>
    <n v="25203.797499999997"/>
    <n v="24895.841"/>
    <n v="24090.987750000004"/>
    <n v="-46.400000000001455"/>
    <n v="-1.8185666245993063E-3"/>
    <m/>
    <n v="26216.05"/>
    <n v="-2.8225075860017101E-2"/>
    <m/>
  </r>
  <r>
    <x v="1120"/>
    <n v="25511.65"/>
    <n v="25524.05"/>
    <n v="25340.45"/>
    <n v="25355.25"/>
    <n v="219609322"/>
    <n v="21435.360000000001"/>
    <n v="25220.532499999998"/>
    <n v="24918.644000000004"/>
    <n v="24091.480500000001"/>
    <n v="-120.84999999999854"/>
    <n v="-4.7370515039207002E-3"/>
    <m/>
    <n v="26216.05"/>
    <n v="-3.2834847354960006E-2"/>
    <m/>
  </r>
  <r>
    <x v="1121"/>
    <n v="25255.5"/>
    <n v="25322.45"/>
    <n v="25129"/>
    <n v="25149.85"/>
    <n v="249987681"/>
    <n v="26251.65"/>
    <n v="25243.884999999998"/>
    <n v="24939.06500000001"/>
    <n v="24091.177750000003"/>
    <n v="-205.40000000000146"/>
    <n v="-8.1328819465067599E-3"/>
    <m/>
    <n v="26216.05"/>
    <n v="-4.0669742390634811E-2"/>
    <m/>
  </r>
  <r>
    <x v="1122"/>
    <n v="25149.5"/>
    <n v="25151.1"/>
    <n v="25001.95"/>
    <n v="25082.3"/>
    <n v="259533624"/>
    <n v="23316.33"/>
    <n v="25265.447499999998"/>
    <n v="24955.128000000012"/>
    <n v="24087.972249999995"/>
    <n v="-67.549999999999272"/>
    <n v="-2.6859380902204528E-3"/>
    <m/>
    <n v="26216.05"/>
    <n v="-4.3246408211763399E-2"/>
    <m/>
  </r>
  <r>
    <x v="1123"/>
    <n v="25089.5"/>
    <n v="25245.200000000001"/>
    <n v="25088.45"/>
    <n v="25195.8"/>
    <n v="241340130"/>
    <n v="23282.7"/>
    <n v="25272.237499999996"/>
    <n v="24967.55100000001"/>
    <n v="24083.688499999997"/>
    <n v="113.5"/>
    <n v="4.5238047788915678E-3"/>
    <m/>
    <n v="26216.05"/>
    <n v="-3.8916999319119405E-2"/>
    <m/>
  </r>
  <r>
    <x v="1124"/>
    <n v="25196.6"/>
    <n v="25255.3"/>
    <n v="25121.05"/>
    <n v="25212.05"/>
    <n v="228815928"/>
    <n v="22254.54"/>
    <n v="25289.357499999995"/>
    <n v="24983.875000000015"/>
    <n v="24079.965499999995"/>
    <n v="16.25"/>
    <n v="6.4492828397482208E-4"/>
    <m/>
    <n v="26216.05"/>
    <n v="-3.8297150028322346E-2"/>
    <m/>
  </r>
  <r>
    <x v="1125"/>
    <n v="25230.75"/>
    <n v="25238.35"/>
    <n v="25101"/>
    <n v="25111.45"/>
    <n v="243412540"/>
    <n v="24715.35"/>
    <n v="25309.357499999991"/>
    <n v="24999.828000000012"/>
    <n v="24076.00499999999"/>
    <n v="-100.59999999999854"/>
    <n v="-3.9871981609741506E-3"/>
    <m/>
    <n v="26216.05"/>
    <n v="-4.2134493945502838E-2"/>
    <m/>
  </r>
  <r>
    <x v="1126"/>
    <n v="25108.55"/>
    <n v="25144.6"/>
    <n v="24918.65"/>
    <n v="24968.400000000001"/>
    <n v="316979826"/>
    <n v="26330.799999999999"/>
    <n v="25325.267499999994"/>
    <n v="25016.581000000009"/>
    <n v="24070.481999999996"/>
    <n v="-143.04999999999927"/>
    <n v="-5.6972624862845237E-3"/>
    <m/>
    <n v="26216.05"/>
    <n v="-4.7591074933103883E-2"/>
    <m/>
  </r>
  <r>
    <x v="1127"/>
    <n v="24999"/>
    <n v="25111.4"/>
    <n v="24882.3"/>
    <n v="25090.7"/>
    <n v="305216414"/>
    <n v="26062.25"/>
    <n v="25318.067499999997"/>
    <n v="25035.789000000012"/>
    <n v="24064.429249999997"/>
    <n v="122.29999999999927"/>
    <n v="4.8921956878274844E-3"/>
    <m/>
    <n v="26216.05"/>
    <n v="-4.2925993809135976E-2"/>
    <m/>
  </r>
  <r>
    <x v="1128"/>
    <n v="25166.65"/>
    <n v="25182"/>
    <n v="25035.55"/>
    <n v="25060.9"/>
    <n v="483725120"/>
    <n v="31248.06"/>
    <n v="25324.0075"/>
    <n v="25039.109000000008"/>
    <n v="24060.8285"/>
    <n v="-29.799999999999272"/>
    <n v="-1.1841067444415237E-3"/>
    <m/>
    <n v="26216.05"/>
    <n v="-4.4062702047028335E-2"/>
    <m/>
  </r>
  <r>
    <x v="1129"/>
    <n v="25139.35"/>
    <n v="25233.5"/>
    <n v="25085.5"/>
    <n v="25219.9"/>
    <n v="271539651"/>
    <n v="23042.49"/>
    <n v="25324.834999999999"/>
    <n v="25048.760000000006"/>
    <n v="24057.148499999999"/>
    <n v="159"/>
    <n v="6.3247458665399072E-3"/>
    <m/>
    <n v="26216.05"/>
    <n v="-3.7997715140152599E-2"/>
    <m/>
  </r>
  <r>
    <x v="1130"/>
    <n v="25243.3"/>
    <n v="25246.25"/>
    <n v="25018.7"/>
    <n v="25062.1"/>
    <n v="338728860"/>
    <n v="27433.34"/>
    <n v="25323.592500000002"/>
    <n v="25059.820000000003"/>
    <n v="24056.997500000005"/>
    <n v="-157.80000000000291"/>
    <n v="-6.251163675113908E-3"/>
    <m/>
    <n v="26216.05"/>
    <n v="-4.4016928560938862E-2"/>
    <m/>
  </r>
  <r>
    <x v="1131"/>
    <n v="25010.35"/>
    <n v="25010.35"/>
    <n v="24806.35"/>
    <n v="24837"/>
    <n v="278136104"/>
    <n v="25273.64"/>
    <n v="25299.247500000001"/>
    <n v="25059.82"/>
    <n v="24057.235000000001"/>
    <n v="-225.09999999999854"/>
    <n v="-9.000273886610885E-3"/>
    <m/>
    <n v="26216.05"/>
    <n v="-5.2603271659918183E-2"/>
    <m/>
  </r>
  <r>
    <x v="1132"/>
    <n v="24782.45"/>
    <n v="24889.200000000001"/>
    <n v="24646.6"/>
    <n v="24680.9"/>
    <n v="262142969"/>
    <n v="24976.54"/>
    <n v="25259.207500000004"/>
    <n v="25056.164000000004"/>
    <n v="24057.441249999996"/>
    <n v="-156.09999999999854"/>
    <n v="-6.2988122643240895E-3"/>
    <m/>
    <n v="26216.05"/>
    <n v="-5.8557639308744025E-2"/>
    <m/>
  </r>
  <r>
    <x v="1133"/>
    <n v="24609.65"/>
    <n v="24847.15"/>
    <n v="24598.6"/>
    <n v="24821.1"/>
    <n v="284657235"/>
    <n v="25954.42"/>
    <n v="25217.4"/>
    <n v="25050.873000000003"/>
    <n v="24055.78"/>
    <n v="140.19999999999709"/>
    <n v="5.6969522118354822E-3"/>
    <m/>
    <n v="26216.05"/>
    <n v="-5.3209770350605812E-2"/>
    <m/>
  </r>
  <r>
    <x v="1134"/>
    <n v="24890.400000000001"/>
    <n v="24902.3"/>
    <n v="24771.95"/>
    <n v="24855.05"/>
    <n v="243886726"/>
    <n v="23525.25"/>
    <n v="25181.365000000002"/>
    <n v="25053.617000000002"/>
    <n v="24054.975750000001"/>
    <n v="33.950000000000728"/>
    <n v="1.3639796869476073E-3"/>
    <m/>
    <n v="26216.05"/>
    <n v="-5.1914762139986803E-2"/>
    <m/>
  </r>
  <r>
    <x v="1135"/>
    <n v="24642.25"/>
    <n v="24956.5"/>
    <n v="24635"/>
    <n v="24768.35"/>
    <n v="346303628"/>
    <n v="30477.71"/>
    <n v="25151.447500000002"/>
    <n v="25054.449000000004"/>
    <n v="24054.258750000001"/>
    <n v="-86.700000000000728"/>
    <n v="-3.5183475534904776E-3"/>
    <m/>
    <n v="26216.05"/>
    <n v="-5.5221896509962454E-2"/>
    <m/>
  </r>
  <r>
    <x v="1136"/>
    <n v="24734.9"/>
    <n v="24784.15"/>
    <n v="24535.05"/>
    <n v="24565.35"/>
    <n v="263357194"/>
    <n v="24972.45"/>
    <n v="25119.599999999999"/>
    <n v="25057.622000000007"/>
    <n v="24053.27925"/>
    <n v="-203"/>
    <n v="-8.2070273176766424E-3"/>
    <m/>
    <n v="26216.05"/>
    <n v="-6.2965244573457868E-2"/>
    <m/>
  </r>
  <r>
    <x v="1137"/>
    <n v="24596.05"/>
    <n v="24736.25"/>
    <n v="24554"/>
    <n v="24722.75"/>
    <n v="259329477"/>
    <n v="20372.68"/>
    <n v="25074.817499999997"/>
    <n v="25051.866000000009"/>
    <n v="24050.466249999994"/>
    <n v="157.40000000000146"/>
    <n v="6.3994015299205145E-3"/>
    <m/>
    <n v="26216.05"/>
    <n v="-5.6961288981368208E-2"/>
    <m/>
  </r>
  <r>
    <x v="1138"/>
    <n v="24720.25"/>
    <n v="24733.1"/>
    <n v="24590.3"/>
    <n v="24649.55"/>
    <n v="251849778"/>
    <n v="23815.360000000001"/>
    <n v="25037.89"/>
    <n v="25046.298000000013"/>
    <n v="24048.793249999999"/>
    <n v="-73.200000000000728"/>
    <n v="-2.9611351017890487E-3"/>
    <m/>
    <n v="26216.05"/>
    <n v="-5.975347163283562E-2"/>
    <m/>
  </r>
  <r>
    <x v="1139"/>
    <n v="24641.35"/>
    <n v="24671.4"/>
    <n v="24539.200000000001"/>
    <n v="24574.2"/>
    <n v="225091071"/>
    <n v="20559.22"/>
    <n v="24994.242499999997"/>
    <n v="25042.765000000014"/>
    <n v="24047.184499999992"/>
    <n v="-75.349999999998545"/>
    <n v="-3.0578681768652508E-3"/>
    <m/>
    <n v="26216.05"/>
    <n v="-6.2627665113546782E-2"/>
    <m/>
  </r>
  <r>
    <x v="1140"/>
    <n v="24464.2"/>
    <n v="24634.2"/>
    <n v="24344.15"/>
    <n v="24596.15"/>
    <n v="616739190"/>
    <n v="35574.589999999997"/>
    <n v="24949.147499999999"/>
    <n v="25039.200000000008"/>
    <n v="24046.306249999994"/>
    <n v="21.950000000000728"/>
    <n v="8.9722942094982571E-4"/>
    <m/>
    <n v="26216.05"/>
    <n v="-6.1790391763823949E-2"/>
    <m/>
  </r>
  <r>
    <x v="1141"/>
    <n v="24544.25"/>
    <n v="24585.5"/>
    <n v="24337.5"/>
    <n v="24363.3"/>
    <n v="312630157"/>
    <n v="38135.74"/>
    <n v="24911.192499999997"/>
    <n v="25034.451000000012"/>
    <n v="24045.016749999995"/>
    <n v="-232.85000000000218"/>
    <n v="-9.4869470446235747E-3"/>
    <m/>
    <n v="26216.05"/>
    <n v="-7.0672355293799005E-2"/>
    <m/>
  </r>
  <r>
    <x v="1142"/>
    <n v="24371.5"/>
    <n v="24600.85"/>
    <n v="24347.45"/>
    <n v="24585.05"/>
    <n v="241145497"/>
    <n v="21081.61"/>
    <n v="24871.864999999998"/>
    <n v="25026.703000000012"/>
    <n v="24042.927749999999"/>
    <n v="221.75"/>
    <n v="9.0987423835217369E-3"/>
    <m/>
    <n v="26216.05"/>
    <n v="-6.221379651015313E-2"/>
    <m/>
  </r>
  <r>
    <x v="1143"/>
    <n v="24563.35"/>
    <n v="24702.6"/>
    <n v="24465.65"/>
    <n v="24487.4"/>
    <n v="237002462"/>
    <n v="22258.29"/>
    <n v="24847.002499999995"/>
    <n v="25024.072000000007"/>
    <n v="24043.492499999997"/>
    <n v="-97.649999999997817"/>
    <n v="-3.9754349467803788E-3"/>
    <m/>
    <n v="26216.05"/>
    <n v="-6.5938613940696555E-2"/>
    <m/>
  </r>
  <r>
    <x v="1144"/>
    <n v="24586.2"/>
    <n v="24664.55"/>
    <n v="24535.25"/>
    <n v="24619.35"/>
    <n v="236006791"/>
    <n v="22843.14"/>
    <n v="24811.582499999997"/>
    <n v="25022.970000000005"/>
    <n v="24043.752"/>
    <n v="131.94999999999709"/>
    <n v="5.3668317999527003E-3"/>
    <m/>
    <n v="26216.05"/>
    <n v="-6.0905437699424581E-2"/>
    <m/>
  </r>
  <r>
    <x v="1145"/>
    <n v="24607.25"/>
    <n v="24673.65"/>
    <n v="24596.9"/>
    <n v="24631.3"/>
    <n v="270162203"/>
    <n v="22375.439999999999"/>
    <n v="24781.947499999998"/>
    <n v="25022.953000000001"/>
    <n v="24044.851749999998"/>
    <n v="11.950000000000728"/>
    <n v="4.8562923528637812E-4"/>
    <m/>
    <n v="26216.05"/>
    <n v="-6.0449610067115356E-2"/>
    <m/>
  </r>
  <r>
    <x v="1146"/>
    <n v="24938.2"/>
    <n v="25022"/>
    <n v="24852.85"/>
    <n v="24876.95"/>
    <n v="363071305"/>
    <n v="37637.67"/>
    <n v="24757.94"/>
    <n v="25020.561000000002"/>
    <n v="24047.104250000004"/>
    <n v="245.65000000000146"/>
    <n v="9.8503500653616318E-3"/>
    <m/>
    <n v="26216.05"/>
    <n v="-5.1079396018851031E-2"/>
    <m/>
  </r>
  <r>
    <x v="1147"/>
    <n v="24891.35"/>
    <n v="25012.65"/>
    <n v="24873.95"/>
    <n v="24980.65"/>
    <n v="252340828"/>
    <n v="24781.97"/>
    <n v="24753.3675"/>
    <n v="25018.039000000001"/>
    <n v="24049.793250000006"/>
    <n v="103.70000000000073"/>
    <n v="4.1661058962250237E-3"/>
    <m/>
    <n v="26216.05"/>
    <n v="-4.712380392927229E-2"/>
    <m/>
  </r>
  <r>
    <x v="1148"/>
    <n v="24965.8"/>
    <n v="25088.7"/>
    <n v="24929.7"/>
    <n v="25050.55"/>
    <n v="287054119"/>
    <n v="25330.45"/>
    <n v="24747.865000000002"/>
    <n v="25015.588"/>
    <n v="24052.362250000006"/>
    <n v="69.899999999997817"/>
    <n v="2.7998301676692844E-3"/>
    <m/>
    <n v="26216.05"/>
    <n v="-4.4457498364551484E-2"/>
    <m/>
  </r>
  <r>
    <x v="1149"/>
    <n v="25142"/>
    <n v="25153.65"/>
    <n v="25054.9"/>
    <n v="25083.75"/>
    <n v="226542052"/>
    <n v="21865.07"/>
    <n v="24747.3475"/>
    <n v="25014.513999999999"/>
    <n v="24055.910750000006"/>
    <n v="33.200000000000728"/>
    <n v="1.3204995624851138E-3"/>
    <m/>
    <n v="26216.05"/>
    <n v="-4.3191098582738396E-2"/>
    <m/>
  </r>
  <r>
    <x v="1150"/>
    <n v="25064.15"/>
    <n v="25084.85"/>
    <n v="24859.15"/>
    <n v="24870.1"/>
    <n v="210165384"/>
    <n v="19655.78"/>
    <n v="24740.54"/>
    <n v="25013.361000000001"/>
    <n v="24060.302750000003"/>
    <n v="-213.65000000000146"/>
    <n v="-8.5241270898874059E-3"/>
    <m/>
    <n v="26216.05"/>
    <n v="-5.1340686335279329E-2"/>
    <m/>
  </r>
  <r>
    <x v="1151"/>
    <n v="24949.15"/>
    <n v="25021.55"/>
    <n v="24894.35"/>
    <n v="24967.75"/>
    <n v="213032133"/>
    <n v="19871.25"/>
    <n v="24730.94"/>
    <n v="25012.999000000003"/>
    <n v="24063.131500000003"/>
    <n v="97.650000000001455"/>
    <n v="3.9139609966672793E-3"/>
    <m/>
    <n v="26216.05"/>
    <n v="-4.7615868904735792E-2"/>
    <m/>
  </r>
  <r>
    <x v="1152"/>
    <n v="24899.5"/>
    <n v="24919.65"/>
    <n v="24689.599999999999"/>
    <n v="24712.05"/>
    <n v="750473927"/>
    <n v="47068.2"/>
    <n v="24737.477500000001"/>
    <n v="25017.982000000007"/>
    <n v="24067.9935"/>
    <n v="-255.70000000000073"/>
    <n v="-1.0269282515713195E-2"/>
    <m/>
    <n v="26216.05"/>
    <n v="-5.7369435899000787E-2"/>
    <m/>
  </r>
  <r>
    <x v="1153"/>
    <n v="24695.8"/>
    <n v="24702.65"/>
    <n v="24481.599999999999"/>
    <n v="24500.9"/>
    <n v="326601486"/>
    <n v="29371.67"/>
    <n v="24739.034999999996"/>
    <n v="25013.293000000001"/>
    <n v="24070.487250000002"/>
    <n v="-211.14999999999782"/>
    <n v="-8.5500368483708896E-3"/>
    <m/>
    <n v="26216.05"/>
    <n v="-6.5423662222188206E-2"/>
    <m/>
  </r>
  <r>
    <x v="1154"/>
    <n v="24466.7"/>
    <n v="24572.45"/>
    <n v="24404.7"/>
    <n v="24426.85"/>
    <n v="325543583"/>
    <n v="26796.69"/>
    <n v="24723.024999999998"/>
    <n v="25006.242999999999"/>
    <n v="24070.571499999998"/>
    <n v="-74.05000000000291"/>
    <n v="-3.0265626341109716E-3"/>
    <m/>
    <n v="26216.05"/>
    <n v="-6.8248267759635772E-2"/>
    <m/>
  </r>
  <r>
    <x v="1155"/>
    <n v="24432.7"/>
    <n v="24635.599999999999"/>
    <n v="24432.7"/>
    <n v="24625.05"/>
    <n v="229327424"/>
    <n v="20704.88"/>
    <n v="24701.614999999998"/>
    <n v="24998.539000000004"/>
    <n v="24071.708999999995"/>
    <n v="198.20000000000073"/>
    <n v="8.1120793035563288E-3"/>
    <m/>
    <n v="26216.05"/>
    <n v="-6.0688013640498806E-2"/>
    <m/>
  </r>
  <r>
    <x v="1156"/>
    <n v="24653"/>
    <n v="24756.1"/>
    <n v="24522.35"/>
    <n v="24579.599999999999"/>
    <n v="271558516"/>
    <n v="22051.8"/>
    <n v="24694.449999999997"/>
    <n v="24995.175000000003"/>
    <n v="24074.093249999998"/>
    <n v="-45.450000000000728"/>
    <n v="-1.8435890155356642E-3"/>
    <m/>
    <n v="26216.05"/>
    <n v="-6.2421684426143598E-2"/>
    <m/>
  </r>
  <r>
    <x v="1157"/>
    <n v="24616.5"/>
    <n v="24737.05"/>
    <n v="24533.200000000001"/>
    <n v="24715.05"/>
    <n v="340283328"/>
    <n v="23533.08"/>
    <n v="24695.162499999999"/>
    <n v="24984.519000000008"/>
    <n v="24076.284749999995"/>
    <n v="135.45000000000073"/>
    <n v="5.5024069221863677E-3"/>
    <m/>
    <n v="26216.05"/>
    <n v="-5.7255002183776771E-2"/>
    <m/>
  </r>
  <r>
    <x v="1158"/>
    <n v="24980.75"/>
    <n v="24980.75"/>
    <n v="24708.2"/>
    <n v="24734.3"/>
    <n v="314094160"/>
    <n v="30252.19"/>
    <n v="24694.777499999997"/>
    <n v="24979.382000000005"/>
    <n v="24080.442749999991"/>
    <n v="19.25"/>
    <n v="7.7059335688480131E-4"/>
    <m/>
    <n v="26216.05"/>
    <n v="-5.6520719177755585E-2"/>
    <m/>
  </r>
  <r>
    <x v="1159"/>
    <n v="24818.85"/>
    <n v="24832.35"/>
    <n v="24621.599999999999"/>
    <n v="24741"/>
    <n v="210071924"/>
    <n v="18530.240000000002"/>
    <n v="24699.014999999996"/>
    <n v="24973.181000000011"/>
    <n v="24086.318999999996"/>
    <n v="6.7000000000007276"/>
    <n v="2.6995610191450159E-4"/>
    <m/>
    <n v="26216.05"/>
    <n v="-5.6265150547088472E-2"/>
    <m/>
  </r>
  <r>
    <x v="1160"/>
    <n v="24802.6"/>
    <n v="24885.5"/>
    <n v="24751.55"/>
    <n v="24773.15"/>
    <n v="213228202"/>
    <n v="20122.88"/>
    <n v="24707.354999999996"/>
    <n v="24963.106000000011"/>
    <n v="24092.360499999995"/>
    <n v="32.150000000001455"/>
    <n v="1.2962350721295935E-3"/>
    <m/>
    <n v="26216.05"/>
    <n v="-5.5038802565603784E-2"/>
    <m/>
  </r>
  <r>
    <x v="1161"/>
    <n v="24864.1"/>
    <n v="24891.8"/>
    <n v="24814"/>
    <n v="24868.6"/>
    <n v="226919775"/>
    <n v="22356.880000000001"/>
    <n v="24716.204999999998"/>
    <n v="24947.589000000004"/>
    <n v="24098.957249999996"/>
    <n v="95.44999999999709"/>
    <n v="3.8388680869203828E-3"/>
    <m/>
    <n v="26216.05"/>
    <n v="-5.1397903192891392E-2"/>
    <m/>
  </r>
  <r>
    <x v="1162"/>
    <n v="24991"/>
    <n v="25035.7"/>
    <n v="24915.05"/>
    <n v="24973.1"/>
    <n v="244146466"/>
    <n v="22458.98"/>
    <n v="24741.469999999994"/>
    <n v="24932.205000000009"/>
    <n v="24105.707749999994"/>
    <n v="104.5"/>
    <n v="4.1815053419230926E-3"/>
    <m/>
    <n v="26216.05"/>
    <n v="-4.7411795445919558E-2"/>
    <m/>
  </r>
  <r>
    <x v="1163"/>
    <n v="24945.5"/>
    <n v="25037.3"/>
    <n v="24940.15"/>
    <n v="25005.5"/>
    <n v="224570983"/>
    <n v="21316.720000000001"/>
    <n v="24760.872499999994"/>
    <n v="24921.326000000012"/>
    <n v="24113.823749999996"/>
    <n v="32.400000000001455"/>
    <n v="1.2988314525666535E-3"/>
    <m/>
    <n v="26216.05"/>
    <n v="-4.6175911321499563E-2"/>
    <m/>
  </r>
  <r>
    <x v="1164"/>
    <n v="25074.45"/>
    <n v="25139.45"/>
    <n v="25038.05"/>
    <n v="25114"/>
    <n v="225739766"/>
    <n v="21335.67"/>
    <n v="24786.777499999993"/>
    <n v="24910.600000000009"/>
    <n v="24119.314999999995"/>
    <n v="108.5"/>
    <n v="4.3271138549399882E-3"/>
    <m/>
    <n v="26216.05"/>
    <n v="-4.2037225287562374E-2"/>
    <m/>
  </r>
  <r>
    <x v="1165"/>
    <n v="25118.9"/>
    <n v="25138.45"/>
    <n v="25048.75"/>
    <n v="25069.200000000001"/>
    <n v="185375759"/>
    <n v="17115.599999999999"/>
    <n v="24811.509999999995"/>
    <n v="24903.812000000005"/>
    <n v="24123.775499999992"/>
    <n v="-44.799999999999272"/>
    <n v="-1.7835175903403123E-3"/>
    <m/>
    <n v="26216.05"/>
    <n v="-4.3746102101575146E-2"/>
    <m/>
  </r>
  <r>
    <x v="1166"/>
    <n v="25073.599999999999"/>
    <n v="25261.4"/>
    <n v="25070.45"/>
    <n v="25239.1"/>
    <n v="240122320"/>
    <n v="22642.86"/>
    <n v="24833.404999999995"/>
    <n v="24897.090000000004"/>
    <n v="24128.148999999994"/>
    <n v="169.89999999999782"/>
    <n v="6.776051304958116E-3"/>
    <m/>
    <n v="26216.05"/>
    <n v="-3.7265339362718697E-2"/>
    <m/>
  </r>
  <r>
    <x v="1167"/>
    <n v="25276.6"/>
    <n v="25346.5"/>
    <n v="25275.35"/>
    <n v="25330.25"/>
    <n v="268936695"/>
    <n v="23484.12"/>
    <n v="24851.512499999997"/>
    <n v="24892.652000000006"/>
    <n v="24132.96999999999"/>
    <n v="91.150000000001455"/>
    <n v="3.6061020865148581E-3"/>
    <m/>
    <n v="26216.05"/>
    <n v="-3.3788461648493917E-2"/>
    <m/>
  </r>
  <r>
    <x v="1168"/>
    <n v="25441.05"/>
    <n v="25448.55"/>
    <n v="25329.75"/>
    <n v="25423.599999999999"/>
    <n v="272193683"/>
    <n v="24198.11"/>
    <n v="24868.9925"/>
    <n v="24890.03100000001"/>
    <n v="24140.05049999999"/>
    <n v="93.349999999998545"/>
    <n v="3.6692667951990403E-3"/>
    <m/>
    <n v="26216.05"/>
    <n v="-3.0227665876438325E-2"/>
    <m/>
  </r>
  <r>
    <x v="1169"/>
    <n v="25410.2"/>
    <n v="25431.4"/>
    <n v="25286.3"/>
    <n v="25327.05"/>
    <n v="380362832"/>
    <n v="38805.58"/>
    <n v="24887.644999999997"/>
    <n v="24888.053000000011"/>
    <n v="24146.512999999988"/>
    <n v="-96.549999999999272"/>
    <n v="-3.7996552565504904E-3"/>
    <m/>
    <n v="26216.05"/>
    <n v="-3.391052427806629E-2"/>
    <m/>
  </r>
  <r>
    <x v="1170"/>
    <n v="25238.1"/>
    <n v="25331.7"/>
    <n v="25151.05"/>
    <n v="25202.35"/>
    <n v="254509892"/>
    <n v="25277.82"/>
    <n v="24899.809999999994"/>
    <n v="24885.072000000011"/>
    <n v="24151.767999999989"/>
    <n v="-124.70000000000073"/>
    <n v="-4.9409424639731492E-3"/>
    <m/>
    <n v="26216.05"/>
    <n v="-3.8667152374213587E-2"/>
    <m/>
  </r>
  <r>
    <x v="1171"/>
    <n v="25209"/>
    <n v="25261.9"/>
    <n v="25084.65"/>
    <n v="25169.5"/>
    <n v="299204338"/>
    <n v="31435.17"/>
    <n v="24916.422499999993"/>
    <n v="24882.01400000001"/>
    <n v="24155.493999999992"/>
    <n v="-32.849999999998545"/>
    <n v="-1.3031060335593854E-3"/>
    <m/>
    <n v="26216.05"/>
    <n v="-3.9920201555917023E-2"/>
    <m/>
  </r>
  <r>
    <x v="1172"/>
    <n v="25108.75"/>
    <n v="25149.85"/>
    <n v="25027.45"/>
    <n v="25056.9"/>
    <n v="244382281"/>
    <n v="22310.05"/>
    <n v="24926.509999999995"/>
    <n v="24882.407000000007"/>
    <n v="24159.004249999984"/>
    <n v="-112.59999999999854"/>
    <n v="-4.4844924578084748E-3"/>
    <m/>
    <n v="26216.05"/>
    <n v="-4.4215280333993801E-2"/>
    <m/>
  </r>
  <r>
    <x v="1173"/>
    <n v="25034.5"/>
    <n v="25092.7"/>
    <n v="24878.3"/>
    <n v="24890.85"/>
    <n v="342534768"/>
    <n v="32715.91"/>
    <n v="24943.752499999995"/>
    <n v="24881.899000000009"/>
    <n v="24160.746749999988"/>
    <n v="-166.05000000000291"/>
    <n v="-6.6328466715933178E-3"/>
    <m/>
    <n v="26216.05"/>
    <n v="-5.054918647164619E-2"/>
    <m/>
  </r>
  <r>
    <x v="1174"/>
    <n v="24818.55"/>
    <n v="24868.6"/>
    <n v="24629.45"/>
    <n v="24654.7"/>
    <n v="291537949"/>
    <n v="29987.93"/>
    <n v="24963.249999999996"/>
    <n v="24875.800000000003"/>
    <n v="24161.811999999987"/>
    <n v="-236.14999999999782"/>
    <n v="-9.5150603077132963E-3"/>
    <m/>
    <n v="26216.05"/>
    <n v="-5.955702708836752E-2"/>
    <m/>
  </r>
  <r>
    <x v="1175"/>
    <n v="24728.55"/>
    <n v="24791.3"/>
    <n v="24606.2"/>
    <n v="24634.9"/>
    <n v="394388242"/>
    <n v="40004.93"/>
    <n v="24974.642499999994"/>
    <n v="24864.653000000006"/>
    <n v="24161.990499999985"/>
    <n v="-19.799999999999272"/>
    <n v="-8.0069393474341494E-4"/>
    <m/>
    <n v="26216.05"/>
    <n v="-6.0312289608846381E-2"/>
    <m/>
  </r>
  <r>
    <x v="1176"/>
    <n v="24691.95"/>
    <n v="24731.8"/>
    <n v="24587.7"/>
    <n v="24611.1"/>
    <n v="304924720"/>
    <n v="29285.11"/>
    <n v="24975.135000000002"/>
    <n v="24855.122000000003"/>
    <n v="24162.114749999986"/>
    <n v="-23.80000000000291"/>
    <n v="-9.6387689105165489E-4"/>
    <m/>
    <n v="26216.05"/>
    <n v="-6.1220130416290819E-2"/>
    <m/>
  </r>
  <r>
    <x v="1177"/>
    <n v="24620.55"/>
    <n v="24867.95"/>
    <n v="24605.95"/>
    <n v="24836.3"/>
    <n v="308135228"/>
    <n v="29041.17"/>
    <n v="24976.71"/>
    <n v="24847.976000000002"/>
    <n v="24161.961249999986"/>
    <n v="225.20000000000073"/>
    <n v="9.1468305947674088E-3"/>
    <m/>
    <n v="26216.05"/>
    <n v="-5.2629972860137153E-2"/>
    <m/>
  </r>
  <r>
    <x v="1178"/>
    <n v="24759.55"/>
    <n v="24904.799999999999"/>
    <n v="24747.55"/>
    <n v="24894.25"/>
    <n v="366929642"/>
    <n v="31409.06"/>
    <n v="24982.772499999999"/>
    <n v="24842.888000000003"/>
    <n v="24163.399249999984"/>
    <n v="57.950000000000728"/>
    <n v="2.340511035135967E-3"/>
    <m/>
    <n v="26216.05"/>
    <n v="-5.0419494927725572E-2"/>
    <m/>
  </r>
  <r>
    <x v="1179"/>
    <n v="24916.55"/>
    <n v="25095.95"/>
    <n v="24881.65"/>
    <n v="25077.65"/>
    <n v="271953070"/>
    <n v="25160.76"/>
    <n v="24990.77"/>
    <n v="24839.555"/>
    <n v="24164.028999999984"/>
    <n v="183.40000000000146"/>
    <n v="7.3605695812623117E-3"/>
    <m/>
    <n v="26216.05"/>
    <n v="-4.3423780470360662E-2"/>
    <m/>
  </r>
  <r>
    <x v="1180"/>
    <n v="25085.3"/>
    <n v="25220.9"/>
    <n v="25076.3"/>
    <n v="25108.3"/>
    <n v="286833765"/>
    <n v="26176.23"/>
    <n v="25007.602500000001"/>
    <n v="24836.71"/>
    <n v="24166.075999999983"/>
    <n v="30.649999999997817"/>
    <n v="1.221831112244933E-3"/>
    <m/>
    <n v="26216.05"/>
    <n v="-4.2254649346488149E-2"/>
    <m/>
  </r>
  <r>
    <x v="1181"/>
    <n v="25079.75"/>
    <n v="25192.5"/>
    <n v="25008.5"/>
    <n v="25046.15"/>
    <n v="225967495"/>
    <n v="21701.19"/>
    <n v="25024.36"/>
    <n v="24837.633999999998"/>
    <n v="24169.937499999985"/>
    <n v="-62.149999999997817"/>
    <n v="-2.4780948773411942E-3"/>
    <m/>
    <n v="26216.05"/>
    <n v="-4.462533448021333E-2"/>
    <m/>
  </r>
  <r>
    <x v="1182"/>
    <n v="25074.3"/>
    <n v="25199.25"/>
    <n v="25024.3"/>
    <n v="25181.8"/>
    <n v="286253252"/>
    <n v="22617.86"/>
    <n v="25033.237499999999"/>
    <n v="24841.816999999995"/>
    <n v="24174.173999999985"/>
    <n v="135.64999999999782"/>
    <n v="5.4099217126698579E-3"/>
    <m/>
    <n v="26216.05"/>
    <n v="-3.9451023323498369E-2"/>
    <m/>
  </r>
  <r>
    <x v="1183"/>
    <n v="25167.65"/>
    <n v="25330.75"/>
    <n v="25156.85"/>
    <n v="25285.35"/>
    <n v="232943306"/>
    <n v="21749.23"/>
    <n v="25043.672500000001"/>
    <n v="24851.834999999999"/>
    <n v="24180.324499999988"/>
    <n v="103.54999999999927"/>
    <n v="4.1144087747564543E-3"/>
    <m/>
    <n v="26216.05"/>
    <n v="-3.5501152919680923E-2"/>
    <m/>
  </r>
  <r>
    <x v="1184"/>
    <n v="25177.3"/>
    <n v="25267.3"/>
    <n v="25152.3"/>
    <n v="25227.35"/>
    <n v="234285202"/>
    <n v="20806.830000000002"/>
    <n v="25057.665000000001"/>
    <n v="24861.119999999999"/>
    <n v="24188.813749999987"/>
    <n v="-58"/>
    <n v="-2.303662426074281E-3"/>
    <m/>
    <n v="26216.05"/>
    <n v="-3.7713538080679565E-2"/>
    <m/>
  </r>
  <r>
    <x v="1185"/>
    <n v="25277.55"/>
    <n v="25310.35"/>
    <n v="25060.55"/>
    <n v="25145.5"/>
    <n v="292129083"/>
    <n v="24151.97"/>
    <n v="25063.332499999997"/>
    <n v="24868.566000000003"/>
    <n v="24196.183249999984"/>
    <n v="-81.849999999998545"/>
    <n v="-3.2380511560653048E-3"/>
    <m/>
    <n v="26216.05"/>
    <n v="-4.0835671277709595E-2"/>
    <m/>
  </r>
  <r>
    <x v="1186"/>
    <n v="25181.95"/>
    <n v="25365.15"/>
    <n v="25159.35"/>
    <n v="25323.55"/>
    <n v="289930172"/>
    <n v="25202.02"/>
    <n v="25067.147499999999"/>
    <n v="24876.109"/>
    <n v="24203.272499999981"/>
    <n v="178.04999999999927"/>
    <n v="7.0705406054733357E-3"/>
    <m/>
    <n v="26216.05"/>
    <n v="-3.4044030279161031E-2"/>
    <m/>
  </r>
  <r>
    <x v="1187"/>
    <n v="25394.9"/>
    <n v="25625.4"/>
    <n v="25376.85"/>
    <n v="25585.3"/>
    <n v="372777021"/>
    <n v="32008.639999999999"/>
    <n v="25071.37"/>
    <n v="24891.273000000001"/>
    <n v="24211.139249999978"/>
    <n v="261.75"/>
    <n v="1.0307187663664751E-2"/>
    <m/>
    <n v="26216.05"/>
    <n v="-2.4059688625860831E-2"/>
    <m/>
  </r>
  <r>
    <x v="1188"/>
    <n v="25546.85"/>
    <n v="25781.5"/>
    <n v="25508.6"/>
    <n v="25709.85"/>
    <n v="422055809"/>
    <n v="35106.959999999999"/>
    <n v="25084.122499999998"/>
    <n v="24908.523999999998"/>
    <n v="24219.998749999981"/>
    <n v="124.54999999999927"/>
    <n v="4.8753564529481824E-3"/>
    <m/>
    <n v="26216.05"/>
    <n v="-1.930878221547494E-2"/>
    <m/>
  </r>
  <r>
    <x v="1189"/>
    <n v="25824.6"/>
    <n v="25926.2"/>
    <n v="25788.5"/>
    <n v="25843.15"/>
    <n v="301133193"/>
    <n v="29637.119999999999"/>
    <n v="25098.434999999994"/>
    <n v="24929.730000000003"/>
    <n v="24230.323499999984"/>
    <n v="133.30000000000291"/>
    <n v="5.1617450028268747E-3"/>
    <m/>
    <n v="26216.05"/>
    <n v="-1.4224110802351864E-2"/>
    <m/>
  </r>
  <r>
    <x v="1190"/>
    <n v="25901.200000000001"/>
    <n v="25934.35"/>
    <n v="25825.8"/>
    <n v="25868.6"/>
    <n v="42477128"/>
    <n v="3831.1"/>
    <n v="25124.239999999998"/>
    <n v="24955.109000000004"/>
    <n v="24241.315249999985"/>
    <n v="25.44999999999709"/>
    <n v="9.8257995768524591E-4"/>
    <m/>
    <n v="26216.05"/>
    <n v="-1.3253331451534511E-2"/>
    <m/>
  </r>
  <r>
    <x v="1191"/>
    <n v="26057.200000000001"/>
    <n v="26104.2"/>
    <n v="25862.45"/>
    <n v="25891.4"/>
    <n v="448404894"/>
    <n v="41777.68"/>
    <n v="25157.552499999994"/>
    <n v="24980.558000000008"/>
    <n v="24251.94374999998"/>
    <n v="22.80000000000291"/>
    <n v="8.7499808114467061E-4"/>
    <m/>
    <n v="26216.05"/>
    <n v="-1.2383635215831412E-2"/>
    <m/>
  </r>
  <r>
    <x v="1192"/>
    <n v="25935.1"/>
    <n v="25944.15"/>
    <n v="25718.2"/>
    <n v="25795.15"/>
    <n v="284913477"/>
    <n v="23527.98"/>
    <n v="25193.647499999995"/>
    <n v="25011.119999999999"/>
    <n v="24260.457499999986"/>
    <n v="-96.25"/>
    <n v="-3.7111867700529402E-3"/>
    <m/>
    <n v="26216.05"/>
    <n v="-1.6055050245937008E-2"/>
    <m/>
  </r>
  <r>
    <x v="1193"/>
    <n v="25843.200000000001"/>
    <n v="26005.95"/>
    <n v="25827"/>
    <n v="25966.05"/>
    <n v="266337274"/>
    <n v="23989.06"/>
    <n v="25230.559999999998"/>
    <n v="25035.322"/>
    <n v="24269.409499999987"/>
    <n v="170.89999999999782"/>
    <n v="6.6129581475977356E-3"/>
    <m/>
    <n v="26216.05"/>
    <n v="-9.5361429353392202E-3"/>
    <m/>
  </r>
  <r>
    <x v="1194"/>
    <n v="25939.95"/>
    <n v="26041.7"/>
    <n v="25810.05"/>
    <n v="25936.2"/>
    <n v="395231207"/>
    <n v="37023.32"/>
    <n v="25284.32"/>
    <n v="25064.895"/>
    <n v="24281.159499999987"/>
    <n v="-29.849999999998545"/>
    <n v="-1.1507346775918436E-3"/>
    <m/>
    <n v="26216.05"/>
    <n v="-1.067475840181864E-2"/>
    <m/>
  </r>
  <r>
    <x v="1195"/>
    <n v="25982"/>
    <n v="26097.85"/>
    <n v="25960.3"/>
    <n v="26053.9"/>
    <n v="321880610"/>
    <n v="26309.32"/>
    <n v="25348.395"/>
    <n v="25091.231999999996"/>
    <n v="24292.300999999992"/>
    <n v="117.70000000000073"/>
    <n v="4.5300592718035843E-3"/>
    <m/>
    <n v="26216.05"/>
    <n v="-6.1851423078609358E-3"/>
    <m/>
  </r>
  <r>
    <x v="1196"/>
    <n v="25984.400000000001"/>
    <n v="26032.05"/>
    <n v="25845.25"/>
    <n v="25877.85"/>
    <n v="257373001"/>
    <n v="24180.46"/>
    <n v="25419.345000000001"/>
    <n v="25119.683999999997"/>
    <n v="24304.125749999992"/>
    <n v="-176.05000000000291"/>
    <n v="-6.7752189775404821E-3"/>
    <m/>
    <n v="26216.05"/>
    <n v="-1.2900494162926934E-2"/>
    <m/>
  </r>
  <r>
    <x v="1197"/>
    <n v="25863.8"/>
    <n v="25953.75"/>
    <n v="25711.200000000001"/>
    <n v="25722.1"/>
    <n v="334384400"/>
    <n v="28788.400000000001"/>
    <n v="25482.682500000003"/>
    <n v="25139.702000000001"/>
    <n v="24315.882499999992"/>
    <n v="-155.75"/>
    <n v="-6.0219302654675646E-3"/>
    <m/>
    <n v="26216.05"/>
    <n v="-1.8841511211643236E-2"/>
    <m/>
  </r>
  <r>
    <x v="1198"/>
    <n v="25696.85"/>
    <n v="25803.1"/>
    <n v="25645.5"/>
    <n v="25763.35"/>
    <n v="275858501"/>
    <n v="23949.88"/>
    <n v="25526.9725"/>
    <n v="25154.531000000003"/>
    <n v="24327.33549999999"/>
    <n v="41.25"/>
    <n v="1.6052551188180653E-3"/>
    <m/>
    <n v="26216.05"/>
    <n v="-1.7268047627312266E-2"/>
    <m/>
  </r>
  <r>
    <x v="1199"/>
    <n v="25744.75"/>
    <n v="25787.4"/>
    <n v="25578.400000000001"/>
    <n v="25597.65"/>
    <n v="305143084"/>
    <n v="29307.41"/>
    <n v="25570.427499999998"/>
    <n v="25168.787"/>
    <n v="24340.722499999985"/>
    <n v="-165.69999999999709"/>
    <n v="-6.4362637042502677E-3"/>
    <m/>
    <n v="26216.05"/>
    <n v="-2.3588603164855004E-2"/>
    <m/>
  </r>
  <r>
    <x v="1200"/>
    <n v="25593.35"/>
    <n v="25679.15"/>
    <n v="25491.55"/>
    <n v="25509.7"/>
    <n v="371852417"/>
    <n v="36129.620000000003"/>
    <n v="25596.427499999998"/>
    <n v="25179.064999999999"/>
    <n v="24352.830499999985"/>
    <n v="-87.950000000000728"/>
    <n v="-3.4364395438659157E-3"/>
    <m/>
    <n v="26216.05"/>
    <n v="-2.6943418249507411E-2"/>
    <m/>
  </r>
  <r>
    <x v="1201"/>
    <n v="25433.8"/>
    <n v="25551.25"/>
    <n v="25318.45"/>
    <n v="25492.3"/>
    <n v="305606393"/>
    <n v="35487"/>
    <n v="25616.497500000001"/>
    <n v="25191.857000000004"/>
    <n v="24364.312999999984"/>
    <n v="-17.400000000001455"/>
    <n v="-6.8412899370135232E-4"/>
    <m/>
    <n v="26216.05"/>
    <n v="-2.7607133797807104E-2"/>
    <m/>
  </r>
  <r>
    <x v="1202"/>
    <n v="25503.5"/>
    <n v="25653.45"/>
    <n v="25503.5"/>
    <n v="25574.35"/>
    <n v="243592948"/>
    <n v="25023.65"/>
    <n v="25638.805"/>
    <n v="25202.348000000002"/>
    <n v="24375.215499999984"/>
    <n v="82.049999999999272"/>
    <n v="3.2172054816005363E-3"/>
    <m/>
    <n v="26216.05"/>
    <n v="-2.4477371686428717E-2"/>
    <m/>
  </r>
  <r>
    <x v="1203"/>
    <n v="25617"/>
    <n v="25715.8"/>
    <n v="25449.25"/>
    <n v="25694.95"/>
    <n v="297714069"/>
    <n v="28285.51"/>
    <n v="25658.432499999999"/>
    <n v="25219.594000000008"/>
    <n v="24387.071249999983"/>
    <n v="120.60000000000218"/>
    <n v="4.7078112191123933E-3"/>
    <m/>
    <n v="26216.05"/>
    <n v="-1.9877136334421008E-2"/>
    <m/>
  </r>
  <r>
    <x v="1204"/>
    <n v="25834.3"/>
    <n v="25934.55"/>
    <n v="25781.15"/>
    <n v="25875.8"/>
    <n v="343864299"/>
    <n v="30633.19"/>
    <n v="25678.912499999999"/>
    <n v="25243.475000000009"/>
    <n v="24398.822249999987"/>
    <n v="180.84999999999854"/>
    <n v="7.0003832114668698E-3"/>
    <m/>
    <n v="26216.05"/>
    <n v="-1.2978690534996673E-2"/>
    <m/>
  </r>
  <r>
    <x v="1205"/>
    <n v="25906.1"/>
    <n v="26010.7"/>
    <n v="25808.400000000001"/>
    <n v="25879.15"/>
    <n v="385170023"/>
    <n v="30145.74"/>
    <n v="25711.334999999999"/>
    <n v="25272.454000000009"/>
    <n v="24413.07799999998"/>
    <n v="3.3500000000021828"/>
    <n v="1.2931317334535816E-4"/>
    <m/>
    <n v="26216.05"/>
    <n v="-1.2850906219663116E-2"/>
    <m/>
  </r>
  <r>
    <x v="1206"/>
    <n v="25767.9"/>
    <n v="25940.2"/>
    <n v="25740.799999999999"/>
    <n v="25910.05"/>
    <n v="518943416"/>
    <n v="33121.81"/>
    <n v="25748.017499999998"/>
    <n v="25297.536000000007"/>
    <n v="24426.696999999982"/>
    <n v="30.899999999997817"/>
    <n v="1.1991664047127557E-3"/>
    <m/>
    <n v="26216.05"/>
    <n v="-1.1672238952855185E-2"/>
    <m/>
  </r>
  <r>
    <x v="1207"/>
    <n v="25948.2"/>
    <n v="26024.2"/>
    <n v="25906.35"/>
    <n v="26013.45"/>
    <n v="264610565"/>
    <n v="23384.35"/>
    <n v="25777.342499999999"/>
    <n v="25324.145000000004"/>
    <n v="24440.220499999985"/>
    <n v="103.40000000000146"/>
    <n v="3.9848621484342437E-3"/>
    <m/>
    <n v="26216.05"/>
    <n v="-7.7280902347988123E-3"/>
    <m/>
  </r>
  <r>
    <x v="1208"/>
    <n v="26021.8"/>
    <n v="26029.85"/>
    <n v="25876.5"/>
    <n v="25910.05"/>
    <n v="280000989"/>
    <n v="26059.599999999999"/>
    <n v="25798.75"/>
    <n v="25350.113000000001"/>
    <n v="24454.826749999986"/>
    <n v="-103.40000000000146"/>
    <n v="-3.9735913733869857E-3"/>
    <m/>
    <n v="26216.05"/>
    <n v="-1.1672238952855185E-2"/>
    <m/>
  </r>
  <r>
    <x v="1209"/>
    <n v="25918.1"/>
    <n v="26074.65"/>
    <n v="25856.2"/>
    <n v="26052.65"/>
    <n v="250110008"/>
    <n v="24496.86"/>
    <n v="25808.760000000002"/>
    <n v="25373.628000000008"/>
    <n v="24470.231249999975"/>
    <n v="142.60000000000218"/>
    <n v="5.5019465161413143E-3"/>
    <m/>
    <n v="26216.05"/>
    <n v="-6.2328230225376924E-3"/>
    <m/>
  </r>
  <r>
    <x v="1210"/>
    <n v="26132.1"/>
    <n v="26246.65"/>
    <n v="26063.200000000001"/>
    <n v="26192.15"/>
    <n v="240425729"/>
    <n v="25000.17"/>
    <n v="25819.235000000001"/>
    <n v="25399.861000000001"/>
    <n v="24485.708249999978"/>
    <n v="139.5"/>
    <n v="5.3382621373712792E-3"/>
    <m/>
    <n v="26216.05"/>
    <n v="-9.1165526461833846E-4"/>
    <m/>
  </r>
  <r>
    <x v="1211"/>
    <n v="26109.55"/>
    <n v="26179.200000000001"/>
    <n v="26052.2"/>
    <n v="26068.15"/>
    <n v="235581427"/>
    <n v="24720.07"/>
    <n v="25835.412500000002"/>
    <n v="25428.240999999995"/>
    <n v="24500.853499999983"/>
    <n v="-124"/>
    <n v="-4.7492201129471787E-3"/>
    <m/>
    <n v="26216.05"/>
    <n v="-5.6415821605465544E-3"/>
    <m/>
  </r>
  <r>
    <x v="1212"/>
    <n v="26122.799999999999"/>
    <n v="26142.799999999999"/>
    <n v="25912.15"/>
    <n v="25959.5"/>
    <n v="464655063"/>
    <n v="44895.45"/>
    <n v="25844.250000000004"/>
    <n v="25452.231999999996"/>
    <n v="24514.946749999985"/>
    <n v="-108.65000000000146"/>
    <n v="-4.1592019232242127E-3"/>
    <m/>
    <n v="26216.05"/>
    <n v="-9.7859898802450385E-3"/>
    <m/>
  </r>
  <r>
    <x v="1213"/>
    <n v="25998.5"/>
    <n v="26032.6"/>
    <n v="25857.5"/>
    <n v="25884.799999999999"/>
    <n v="260454909"/>
    <n v="25320.15"/>
    <n v="25852.467500000006"/>
    <n v="25471.959999999995"/>
    <n v="24527.202249999984"/>
    <n v="-74.700000000000728"/>
    <n v="-2.8732426870781286E-3"/>
    <m/>
    <n v="26216.05"/>
    <n v="-1.2635389389324514E-2"/>
    <m/>
  </r>
  <r>
    <x v="1214"/>
    <n v="25842.95"/>
    <n v="26215.15"/>
    <n v="25842.95"/>
    <n v="26205.3"/>
    <n v="275265169"/>
    <n v="31666.03"/>
    <n v="25848.405000000006"/>
    <n v="25489.545999999995"/>
    <n v="24539.215499999984"/>
    <n v="320.5"/>
    <n v="1.2401834929835796E-2"/>
    <m/>
    <n v="26216.05"/>
    <n v="-4.1005414621964054E-4"/>
    <m/>
  </r>
  <r>
    <x v="1215"/>
    <n v="26261.25"/>
    <n v="26310.45"/>
    <n v="26141.9"/>
    <n v="26215.55"/>
    <n v="240287057"/>
    <n v="25306.47"/>
    <n v="25861.860000000004"/>
    <n v="25511.371999999996"/>
    <n v="24553.436749999983"/>
    <n v="10.25"/>
    <n v="3.9030891522680755E-4"/>
    <m/>
    <n v="26216.05"/>
    <n v="-1.9072285870724848E-5"/>
    <m/>
  </r>
  <r>
    <x v="1216"/>
    <n v="26237.45"/>
    <n v="26280.75"/>
    <n v="26172.400000000001"/>
    <n v="26202.95"/>
    <n v="202511545"/>
    <n v="20525.36"/>
    <n v="25869.942500000001"/>
    <n v="25534.298999999999"/>
    <n v="24565.818249999982"/>
    <n v="-12.599999999998545"/>
    <n v="-4.8022959548273727E-4"/>
    <m/>
    <n v="26216.05"/>
    <n v="-4.9969388981174756E-4"/>
    <m/>
  </r>
  <r>
    <x v="1217"/>
    <n v="26325.8"/>
    <n v="26325.8"/>
    <n v="26124.2"/>
    <n v="26175.75"/>
    <n v="213828573"/>
    <n v="21734.75"/>
    <n v="25886.197500000002"/>
    <n v="25553.575999999997"/>
    <n v="24578.351499999986"/>
    <n v="-27.200000000000728"/>
    <n v="-1.0332069680693741E-3"/>
    <m/>
    <n v="26216.05"/>
    <n v="-1.5372262411766924E-3"/>
    <m/>
  </r>
  <r>
    <x v="1218"/>
    <n v="26087.95"/>
    <n v="26154.6"/>
    <n v="25997.85"/>
    <n v="26032.2"/>
    <n v="254803113"/>
    <n v="26298.82"/>
    <n v="25908.880000000001"/>
    <n v="25570.485999999997"/>
    <n v="24591.213499999987"/>
    <n v="-143.54999999999927"/>
    <n v="-5.502540444918028E-3"/>
    <m/>
    <n v="26216.05"/>
    <n v="-7.0128795146484624E-3"/>
    <m/>
  </r>
  <r>
    <x v="1219"/>
    <n v="26004.9"/>
    <n v="26066.45"/>
    <n v="25891"/>
    <n v="25986"/>
    <n v="265660108"/>
    <n v="25320.85"/>
    <n v="25922.322500000002"/>
    <n v="25582.657999999999"/>
    <n v="24603.574749999985"/>
    <n v="-46.200000000000728"/>
    <n v="-1.7765882583667203E-3"/>
    <m/>
    <n v="26216.05"/>
    <n v="-8.775158729099175E-3"/>
    <m/>
  </r>
  <r>
    <x v="1220"/>
    <n v="25981.85"/>
    <n v="26098.25"/>
    <n v="25938.95"/>
    <n v="26033.75"/>
    <n v="248099545"/>
    <n v="26377.759999999998"/>
    <n v="25941.739999999998"/>
    <n v="25595.837000000003"/>
    <n v="24616.596749999982"/>
    <n v="47.75"/>
    <n v="1.837821402248108E-3"/>
    <m/>
    <n v="26216.05"/>
    <n v="-6.9537554284493375E-3"/>
    <m/>
  </r>
  <r>
    <x v="1221"/>
    <n v="25999.8"/>
    <n v="26202.6"/>
    <n v="25985.35"/>
    <n v="26186.45"/>
    <n v="249254405"/>
    <n v="27491.07"/>
    <n v="25967.942499999997"/>
    <n v="25612.465"/>
    <n v="24631.406499999986"/>
    <n v="152.70000000000073"/>
    <n v="5.8731221009392662E-3"/>
    <m/>
    <n v="26216.05"/>
    <n v="-1.1290793235441132E-3"/>
    <m/>
  </r>
  <r>
    <x v="1222"/>
    <n v="26159.8"/>
    <n v="26178.7"/>
    <n v="25892.25"/>
    <n v="25960.55"/>
    <n v="320729920"/>
    <n v="31677.57"/>
    <n v="26002.65"/>
    <n v="25632.804"/>
    <n v="24647.112499999981"/>
    <n v="-225.90000000000146"/>
    <n v="-8.635387120696697E-3"/>
    <m/>
    <n v="26216.05"/>
    <n v="-9.7459380799166384E-3"/>
    <m/>
  </r>
  <r>
    <x v="1223"/>
    <n v="25867.1"/>
    <n v="25923.65"/>
    <n v="25728"/>
    <n v="25839.65"/>
    <n v="275978160"/>
    <n v="29894.41"/>
    <n v="26021.96"/>
    <n v="25650.877"/>
    <n v="24661.758249999984"/>
    <n v="-120.89999999999782"/>
    <n v="-4.6738907724483154E-3"/>
    <m/>
    <n v="26216.05"/>
    <n v="-1.4357616803446716E-2"/>
    <m/>
  </r>
  <r>
    <x v="1224"/>
    <n v="25864.05"/>
    <n v="25947.65"/>
    <n v="25734.55"/>
    <n v="25758"/>
    <n v="207944446"/>
    <n v="21975.7"/>
    <n v="26029.195"/>
    <n v="25669.852999999999"/>
    <n v="24676.310249999984"/>
    <n v="-81.650000000001455"/>
    <n v="-3.1568915154433067E-3"/>
    <m/>
    <n v="26216.05"/>
    <n v="-1.74721210861285E-2"/>
    <m/>
  </r>
  <r>
    <x v="1225"/>
    <n v="25771.4"/>
    <n v="25922.799999999999"/>
    <n v="25693.25"/>
    <n v="25898.55"/>
    <n v="206099631"/>
    <n v="20145.189999999999"/>
    <n v="26023.305"/>
    <n v="25691.918999999998"/>
    <n v="24690.302749999984"/>
    <n v="140.54999999999927"/>
    <n v="5.4537200152106309E-3"/>
    <m/>
    <n v="26216.05"/>
    <n v="-1.2110901527880857E-2"/>
    <m/>
  </r>
  <r>
    <x v="1226"/>
    <n v="25971.200000000001"/>
    <n v="26057.599999999999"/>
    <n v="25938.45"/>
    <n v="26046.95"/>
    <n v="216344338"/>
    <n v="19484.07"/>
    <n v="26024.275000000001"/>
    <n v="25717.192000000003"/>
    <n v="24705.068999999989"/>
    <n v="148.40000000000146"/>
    <n v="5.7140216855594448E-3"/>
    <m/>
    <n v="26216.05"/>
    <n v="-6.4502470814633561E-3"/>
    <m/>
  </r>
  <r>
    <x v="1227"/>
    <n v="25930.05"/>
    <n v="26047.15"/>
    <n v="25904.75"/>
    <n v="26027.3"/>
    <n v="181557703"/>
    <n v="17444.03"/>
    <n v="26031.119999999999"/>
    <n v="25745.909"/>
    <n v="24720.639249999993"/>
    <n v="-19.650000000001455"/>
    <n v="-7.5780802582337697E-4"/>
    <m/>
    <n v="26216.05"/>
    <n v="-7.199787916181144E-3"/>
    <m/>
  </r>
  <r>
    <x v="1228"/>
    <n v="25951.5"/>
    <n v="25980.75"/>
    <n v="25834.35"/>
    <n v="25860.1"/>
    <n v="264351195"/>
    <n v="23554.69"/>
    <n v="26031.8125"/>
    <n v="25769.729000000003"/>
    <n v="24736.209999999992"/>
    <n v="-167.20000000000073"/>
    <n v="-6.4427875074658776E-3"/>
    <m/>
    <n v="26216.05"/>
    <n v="-1.3577560311336057E-2"/>
    <m/>
  </r>
  <r>
    <x v="1229"/>
    <n v="25902.400000000001"/>
    <n v="25929.15"/>
    <n v="25770.35"/>
    <n v="25818.55"/>
    <n v="206521258"/>
    <n v="19787.57"/>
    <n v="26029.314999999999"/>
    <n v="25789.046000000002"/>
    <n v="24751.530999999988"/>
    <n v="-41.549999999999272"/>
    <n v="-1.6040984619185585E-3"/>
    <m/>
    <n v="26216.05"/>
    <n v="-1.5162467267189395E-2"/>
    <m/>
  </r>
  <r>
    <x v="1230"/>
    <n v="25764.7"/>
    <n v="25902.35"/>
    <n v="25726.3"/>
    <n v="25815.55"/>
    <n v="197553755"/>
    <n v="20046.07"/>
    <n v="26017.61"/>
    <n v="25803.864000000005"/>
    <n v="24767.856999999989"/>
    <n v="-3"/>
    <n v="-1.1643838274848921E-4"/>
    <m/>
    <n v="26216.05"/>
    <n v="-1.5276900982413411E-2"/>
    <m/>
  </r>
  <r>
    <x v="1231"/>
    <n v="25911.5"/>
    <n v="25993.35"/>
    <n v="25880.45"/>
    <n v="25966.400000000001"/>
    <n v="382927284"/>
    <n v="36600.58"/>
    <n v="25998.78"/>
    <n v="25818.009000000009"/>
    <n v="24784.196999999989"/>
    <n v="150.85000000000218"/>
    <n v="5.8217393821277108E-3"/>
    <m/>
    <n v="26216.05"/>
    <n v="-9.5227923352296795E-3"/>
    <m/>
  </r>
  <r>
    <x v="1232"/>
    <n v="26055.85"/>
    <n v="26180.7"/>
    <n v="26047.8"/>
    <n v="26172.400000000001"/>
    <n v="252990050"/>
    <n v="25333.26"/>
    <n v="25993.692500000001"/>
    <n v="25836.414000000004"/>
    <n v="24801.303749999992"/>
    <n v="206"/>
    <n v="7.9060940249502509E-3"/>
    <m/>
    <n v="26216.05"/>
    <n v="-1.6650105565101381E-3"/>
    <m/>
  </r>
  <r>
    <x v="1233"/>
    <n v="26205.200000000001"/>
    <n v="26233.55"/>
    <n v="26119.05"/>
    <n v="26177.15"/>
    <n v="216553840"/>
    <n v="19670.5"/>
    <n v="26004.337500000001"/>
    <n v="25856.226000000006"/>
    <n v="24821.542249999991"/>
    <n v="4.75"/>
    <n v="1.8126173431227391E-4"/>
    <m/>
    <n v="26216.05"/>
    <n v="-1.4838238407387516E-3"/>
    <m/>
  </r>
  <r>
    <x v="1234"/>
    <n v="26170.65"/>
    <n v="26236.400000000001"/>
    <n v="26123"/>
    <n v="26142.1"/>
    <n v="188846828"/>
    <n v="17474.439999999999"/>
    <n v="26018.955000000002"/>
    <n v="25874.062000000002"/>
    <n v="24841.8315"/>
    <n v="-35.05000000000291"/>
    <n v="-1.3392865672042118E-3"/>
    <m/>
    <n v="26216.05"/>
    <n v="-2.8207910802733327E-3"/>
    <m/>
  </r>
  <r>
    <x v="1235"/>
    <n v="26121.25"/>
    <n v="26144.2"/>
    <n v="26008.6"/>
    <n v="26042.3"/>
    <n v="142243763"/>
    <n v="12263.06"/>
    <n v="26015.795000000002"/>
    <n v="25892.357000000004"/>
    <n v="24862.128749999989"/>
    <n v="-99.799999999999272"/>
    <n v="-3.8206441115949379E-3"/>
    <m/>
    <n v="26216.05"/>
    <n v="-6.6276193400607308E-3"/>
    <m/>
  </r>
  <r>
    <x v="1236"/>
    <n v="26063.35"/>
    <n v="26106.799999999999"/>
    <n v="25920.3"/>
    <n v="25942.1"/>
    <n v="234312888"/>
    <n v="18184.45"/>
    <n v="26007.1325"/>
    <n v="25910.293000000009"/>
    <n v="24880.65374999999"/>
    <n v="-100.20000000000073"/>
    <n v="-3.844478933061204E-3"/>
    <m/>
    <n v="26216.05"/>
    <n v="-1.0449705428544731E-2"/>
    <m/>
  </r>
  <r>
    <x v="1237"/>
    <n v="25940.9"/>
    <n v="25976.75"/>
    <n v="25878"/>
    <n v="25938.85"/>
    <n v="396893959"/>
    <n v="39492.31"/>
    <n v="25994.089999999997"/>
    <n v="25922.664000000004"/>
    <n v="24897.640749999991"/>
    <n v="-3.25"/>
    <n v="-1.2528478194665565E-4"/>
    <m/>
    <n v="26216.05"/>
    <n v="-1.0573675286704165E-2"/>
    <m/>
  </r>
  <r>
    <x v="1238"/>
    <n v="25971.05"/>
    <n v="26187.95"/>
    <n v="25969"/>
    <n v="26129.599999999999"/>
    <n v="246314941"/>
    <n v="20703.990000000002"/>
    <n v="25982.244999999999"/>
    <n v="25929.735000000008"/>
    <n v="24914.572499999991"/>
    <n v="190.75"/>
    <n v="7.3447165208953818E-3"/>
    <m/>
    <n v="26216.05"/>
    <n v="-3.2975982270403437E-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51CF9E-439B-4C26-B53F-188092E9293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G28" firstHeaderRow="1" firstDataRow="2" firstDataCol="1"/>
  <pivotFields count="19">
    <pivotField numFmtId="15" showAll="0">
      <items count="12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t="default"/>
      </items>
    </pivotField>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Col" showAll="0" defaultSubtotal="0">
      <items count="8">
        <item x="0"/>
        <item x="1"/>
        <item x="2"/>
        <item x="3"/>
        <item x="4"/>
        <item x="5"/>
        <item x="6"/>
        <item x="7"/>
      </items>
    </pivotField>
  </pivotFields>
  <rowFields count="1">
    <field x="16"/>
  </rowFields>
  <rowItems count="13">
    <i>
      <x v="1"/>
    </i>
    <i>
      <x v="2"/>
    </i>
    <i>
      <x v="3"/>
    </i>
    <i>
      <x v="4"/>
    </i>
    <i>
      <x v="5"/>
    </i>
    <i>
      <x v="6"/>
    </i>
    <i>
      <x v="7"/>
    </i>
    <i>
      <x v="8"/>
    </i>
    <i>
      <x v="9"/>
    </i>
    <i>
      <x v="10"/>
    </i>
    <i>
      <x v="11"/>
    </i>
    <i>
      <x v="12"/>
    </i>
    <i t="grand">
      <x/>
    </i>
  </rowItems>
  <colFields count="1">
    <field x="18"/>
  </colFields>
  <colItems count="6">
    <i>
      <x v="1"/>
    </i>
    <i>
      <x v="2"/>
    </i>
    <i>
      <x v="3"/>
    </i>
    <i>
      <x v="4"/>
    </i>
    <i>
      <x v="5"/>
    </i>
    <i t="grand">
      <x/>
    </i>
  </colItems>
  <dataFields count="1">
    <dataField name="Sum of In %age terms" fld="11" baseField="0" baseItem="0" numFmtId="164"/>
  </dataFields>
  <formats count="18">
    <format dxfId="45">
      <pivotArea type="all" dataOnly="0" outline="0" fieldPosition="0"/>
    </format>
    <format dxfId="44">
      <pivotArea outline="0" collapsedLevelsAreSubtotals="1" fieldPosition="0"/>
    </format>
    <format dxfId="43">
      <pivotArea type="origin" dataOnly="0" labelOnly="1" outline="0" fieldPosition="0"/>
    </format>
    <format dxfId="42">
      <pivotArea field="18" type="button" dataOnly="0" labelOnly="1" outline="0" axis="axisCol" fieldPosition="0"/>
    </format>
    <format dxfId="41">
      <pivotArea type="topRight" dataOnly="0" labelOnly="1" outline="0" fieldPosition="0"/>
    </format>
    <format dxfId="40">
      <pivotArea field="16" type="button" dataOnly="0" labelOnly="1" outline="0" axis="axisRow" fieldPosition="0"/>
    </format>
    <format dxfId="39">
      <pivotArea dataOnly="0" labelOnly="1" fieldPosition="0">
        <references count="1">
          <reference field="16" count="12">
            <x v="1"/>
            <x v="2"/>
            <x v="3"/>
            <x v="4"/>
            <x v="5"/>
            <x v="6"/>
            <x v="7"/>
            <x v="8"/>
            <x v="9"/>
            <x v="10"/>
            <x v="11"/>
            <x v="12"/>
          </reference>
        </references>
      </pivotArea>
    </format>
    <format dxfId="38">
      <pivotArea dataOnly="0" labelOnly="1" grandRow="1" outline="0" fieldPosition="0"/>
    </format>
    <format dxfId="37">
      <pivotArea dataOnly="0" labelOnly="1" grandCol="1" outline="0" fieldPosition="0"/>
    </format>
    <format dxfId="36">
      <pivotArea type="all" dataOnly="0" outline="0" fieldPosition="0"/>
    </format>
    <format dxfId="35">
      <pivotArea outline="0" collapsedLevelsAreSubtotals="1" fieldPosition="0"/>
    </format>
    <format dxfId="34">
      <pivotArea type="origin" dataOnly="0" labelOnly="1" outline="0" fieldPosition="0"/>
    </format>
    <format dxfId="33">
      <pivotArea field="18" type="button" dataOnly="0" labelOnly="1" outline="0" axis="axisCol" fieldPosition="0"/>
    </format>
    <format dxfId="32">
      <pivotArea type="topRight" dataOnly="0" labelOnly="1" outline="0" fieldPosition="0"/>
    </format>
    <format dxfId="31">
      <pivotArea field="16" type="button" dataOnly="0" labelOnly="1" outline="0" axis="axisRow" fieldPosition="0"/>
    </format>
    <format dxfId="30">
      <pivotArea dataOnly="0" labelOnly="1" fieldPosition="0">
        <references count="1">
          <reference field="16" count="12">
            <x v="1"/>
            <x v="2"/>
            <x v="3"/>
            <x v="4"/>
            <x v="5"/>
            <x v="6"/>
            <x v="7"/>
            <x v="8"/>
            <x v="9"/>
            <x v="10"/>
            <x v="11"/>
            <x v="12"/>
          </reference>
        </references>
      </pivotArea>
    </format>
    <format dxfId="29">
      <pivotArea dataOnly="0" labelOnly="1" grandRow="1" outline="0" fieldPosition="0"/>
    </format>
    <format dxfId="28">
      <pivotArea dataOnly="0" labelOnly="1" grandCol="1" outline="0" fieldPosition="0"/>
    </format>
  </formats>
  <chartFormats count="10">
    <chartFormat chart="0" format="0" series="1">
      <pivotArea type="data" outline="0" fieldPosition="0">
        <references count="2">
          <reference field="4294967294" count="1" selected="0">
            <x v="0"/>
          </reference>
          <reference field="18" count="1" selected="0">
            <x v="1"/>
          </reference>
        </references>
      </pivotArea>
    </chartFormat>
    <chartFormat chart="0" format="1" series="1">
      <pivotArea type="data" outline="0" fieldPosition="0">
        <references count="2">
          <reference field="4294967294" count="1" selected="0">
            <x v="0"/>
          </reference>
          <reference field="18" count="1" selected="0">
            <x v="2"/>
          </reference>
        </references>
      </pivotArea>
    </chartFormat>
    <chartFormat chart="0" format="2" series="1">
      <pivotArea type="data" outline="0" fieldPosition="0">
        <references count="2">
          <reference field="4294967294" count="1" selected="0">
            <x v="0"/>
          </reference>
          <reference field="18" count="1" selected="0">
            <x v="3"/>
          </reference>
        </references>
      </pivotArea>
    </chartFormat>
    <chartFormat chart="0" format="3" series="1">
      <pivotArea type="data" outline="0" fieldPosition="0">
        <references count="2">
          <reference field="4294967294" count="1" selected="0">
            <x v="0"/>
          </reference>
          <reference field="18" count="1" selected="0">
            <x v="4"/>
          </reference>
        </references>
      </pivotArea>
    </chartFormat>
    <chartFormat chart="0" format="4" series="1">
      <pivotArea type="data" outline="0" fieldPosition="0">
        <references count="2">
          <reference field="4294967294" count="1" selected="0">
            <x v="0"/>
          </reference>
          <reference field="18" count="1" selected="0">
            <x v="5"/>
          </reference>
        </references>
      </pivotArea>
    </chartFormat>
    <chartFormat chart="3" format="10" series="1">
      <pivotArea type="data" outline="0" fieldPosition="0">
        <references count="2">
          <reference field="4294967294" count="1" selected="0">
            <x v="0"/>
          </reference>
          <reference field="18" count="1" selected="0">
            <x v="1"/>
          </reference>
        </references>
      </pivotArea>
    </chartFormat>
    <chartFormat chart="3" format="11" series="1">
      <pivotArea type="data" outline="0" fieldPosition="0">
        <references count="2">
          <reference field="4294967294" count="1" selected="0">
            <x v="0"/>
          </reference>
          <reference field="18" count="1" selected="0">
            <x v="2"/>
          </reference>
        </references>
      </pivotArea>
    </chartFormat>
    <chartFormat chart="3" format="12" series="1">
      <pivotArea type="data" outline="0" fieldPosition="0">
        <references count="2">
          <reference field="4294967294" count="1" selected="0">
            <x v="0"/>
          </reference>
          <reference field="18" count="1" selected="0">
            <x v="3"/>
          </reference>
        </references>
      </pivotArea>
    </chartFormat>
    <chartFormat chart="3" format="13" series="1">
      <pivotArea type="data" outline="0" fieldPosition="0">
        <references count="2">
          <reference field="4294967294" count="1" selected="0">
            <x v="0"/>
          </reference>
          <reference field="18" count="1" selected="0">
            <x v="4"/>
          </reference>
        </references>
      </pivotArea>
    </chartFormat>
    <chartFormat chart="3" format="14" series="1">
      <pivotArea type="data" outline="0" fieldPosition="0">
        <references count="2">
          <reference field="4294967294" count="1" selected="0">
            <x v="0"/>
          </reference>
          <reference field="1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FE8770-3BDE-4811-B6EC-9C379205FC6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D31" firstHeaderRow="0" firstDataRow="1" firstDataCol="1"/>
  <pivotFields count="19">
    <pivotField axis="axisRow" numFmtId="15" showAll="0">
      <items count="12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t="default"/>
      </items>
    </pivotField>
    <pivotField showAll="0"/>
    <pivotField showAll="0"/>
    <pivotField showAll="0"/>
    <pivotField dataField="1" showAll="0"/>
    <pivotField dataField="1" showAll="0"/>
    <pivotField showAll="0"/>
    <pivotField showAll="0"/>
    <pivotField showAll="0"/>
    <pivotField showAll="0"/>
    <pivotField showAll="0"/>
    <pivotField numFmtId="164"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x="5"/>
        <item t="default"/>
      </items>
    </pivotField>
    <pivotField axis="axisRow" showAll="0">
      <items count="9">
        <item sd="0" x="0"/>
        <item sd="0" x="1"/>
        <item sd="0" x="2"/>
        <item sd="0" x="3"/>
        <item sd="0" x="4"/>
        <item sd="0" x="5"/>
        <item sd="0" x="6"/>
        <item x="7"/>
        <item t="default"/>
      </items>
    </pivotField>
  </pivotFields>
  <rowFields count="4">
    <field x="18"/>
    <field x="17"/>
    <field x="16"/>
    <field x="0"/>
  </rowFields>
  <rowItems count="6">
    <i>
      <x v="1"/>
    </i>
    <i>
      <x v="2"/>
    </i>
    <i>
      <x v="3"/>
    </i>
    <i>
      <x v="4"/>
    </i>
    <i>
      <x v="5"/>
    </i>
    <i t="grand">
      <x/>
    </i>
  </rowItems>
  <colFields count="1">
    <field x="-2"/>
  </colFields>
  <colItems count="3">
    <i>
      <x/>
    </i>
    <i i="1">
      <x v="1"/>
    </i>
    <i i="2">
      <x v="2"/>
    </i>
  </colItems>
  <dataFields count="3">
    <dataField name="Average of Shares Traded " fld="5" subtotal="average" baseField="18" baseItem="1"/>
    <dataField name="Max of Close " fld="4" subtotal="max" baseField="18" baseItem="4"/>
    <dataField name="Min of Close 2" fld="4" subtotal="min" baseField="18" baseItem="4"/>
  </dataFields>
  <formats count="12">
    <format dxfId="15">
      <pivotArea type="all" dataOnly="0" outline="0" fieldPosition="0"/>
    </format>
    <format dxfId="14">
      <pivotArea outline="0" collapsedLevelsAreSubtotals="1" fieldPosition="0"/>
    </format>
    <format dxfId="13">
      <pivotArea field="18" type="button" dataOnly="0" labelOnly="1" outline="0" axis="axisRow" fieldPosition="0"/>
    </format>
    <format dxfId="12">
      <pivotArea dataOnly="0" labelOnly="1" fieldPosition="0">
        <references count="1">
          <reference field="18" count="6">
            <x v="1"/>
            <x v="2"/>
            <x v="3"/>
            <x v="4"/>
            <x v="5"/>
            <x v="6"/>
          </reference>
        </references>
      </pivotArea>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18" type="button" dataOnly="0" labelOnly="1" outline="0" axis="axisRow" fieldPosition="0"/>
    </format>
    <format dxfId="6">
      <pivotArea dataOnly="0" labelOnly="1" fieldPosition="0">
        <references count="1">
          <reference field="18" count="6">
            <x v="1"/>
            <x v="2"/>
            <x v="3"/>
            <x v="4"/>
            <x v="5"/>
            <x v="6"/>
          </reference>
        </references>
      </pivotArea>
    </format>
    <format dxfId="5">
      <pivotArea dataOnly="0" labelOnly="1" grandRow="1" outline="0"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B51AE5-B63B-4D39-82C4-7AD78D661B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5">
    <pivotField axis="axisRow" numFmtId="15" showAll="0">
      <items count="12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t="default"/>
      </items>
    </pivotField>
    <pivotField showAll="0"/>
    <pivotField showAll="0"/>
    <pivotField showAll="0"/>
    <pivotField showAll="0"/>
    <pivotField dataField="1" showAll="0"/>
    <pivotField showAll="0"/>
    <pivotField showAll="0"/>
    <pivotField showAll="0"/>
    <pivotField showAll="0"/>
    <pivotField showAll="0"/>
    <pivotField numFmtId="164" showAll="0"/>
    <pivotField axis="axisRow" showAll="0">
      <items count="15">
        <item h="1" sd="0" x="0"/>
        <item h="1" x="1"/>
        <item h="1" sd="0" x="2"/>
        <item h="1" sd="0" x="3"/>
        <item h="1" sd="0" x="4"/>
        <item h="1" sd="0" x="5"/>
        <item h="1" sd="0" x="6"/>
        <item h="1" sd="0" x="7"/>
        <item h="1" sd="0" x="8"/>
        <item sd="0" x="9"/>
        <item h="1" sd="0" x="10"/>
        <item h="1" sd="0" x="11"/>
        <item h="1" sd="0" x="12"/>
        <item h="1" sd="0" x="13"/>
        <item t="default"/>
      </items>
    </pivotField>
    <pivotField axis="axisRow" showAll="0">
      <items count="7">
        <item sd="0" x="0"/>
        <item x="1"/>
        <item sd="0" x="2"/>
        <item sd="0" x="3"/>
        <item sd="0" x="4"/>
        <item x="5"/>
        <item t="default"/>
      </items>
    </pivotField>
    <pivotField axis="axisRow" showAll="0">
      <items count="9">
        <item sd="0" x="0"/>
        <item sd="0" x="1"/>
        <item sd="0" x="2"/>
        <item sd="0" x="3"/>
        <item sd="0" x="4"/>
        <item sd="0" x="5"/>
        <item sd="0" x="6"/>
        <item x="7"/>
        <item t="default"/>
      </items>
    </pivotField>
  </pivotFields>
  <rowFields count="4">
    <field x="14"/>
    <field x="13"/>
    <field x="12"/>
    <field x="0"/>
  </rowFields>
  <rowItems count="6">
    <i>
      <x v="1"/>
    </i>
    <i>
      <x v="2"/>
    </i>
    <i>
      <x v="3"/>
    </i>
    <i>
      <x v="4"/>
    </i>
    <i>
      <x v="5"/>
    </i>
    <i t="grand">
      <x/>
    </i>
  </rowItems>
  <colItems count="1">
    <i/>
  </colItems>
  <dataFields count="1">
    <dataField name="Sum of Shares Traded " fld="5" baseField="0" baseItem="0"/>
  </dataFields>
  <formats count="12">
    <format dxfId="27">
      <pivotArea type="all" dataOnly="0" outline="0" fieldPosition="0"/>
    </format>
    <format dxfId="26">
      <pivotArea outline="0" collapsedLevelsAreSubtotals="1" fieldPosition="0"/>
    </format>
    <format dxfId="25">
      <pivotArea field="14" type="button" dataOnly="0" labelOnly="1" outline="0" axis="axisRow" fieldPosition="0"/>
    </format>
    <format dxfId="24">
      <pivotArea dataOnly="0" labelOnly="1" fieldPosition="0">
        <references count="1">
          <reference field="14" count="6">
            <x v="1"/>
            <x v="2"/>
            <x v="3"/>
            <x v="4"/>
            <x v="5"/>
            <x v="6"/>
          </reference>
        </references>
      </pivotArea>
    </format>
    <format dxfId="23">
      <pivotArea dataOnly="0" labelOnly="1" grandRow="1" outline="0"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14" type="button" dataOnly="0" labelOnly="1" outline="0" axis="axisRow" fieldPosition="0"/>
    </format>
    <format dxfId="18">
      <pivotArea dataOnly="0" labelOnly="1" fieldPosition="0">
        <references count="1">
          <reference field="14" count="6">
            <x v="1"/>
            <x v="2"/>
            <x v="3"/>
            <x v="4"/>
            <x v="5"/>
            <x v="6"/>
          </reference>
        </references>
      </pivotArea>
    </format>
    <format dxfId="17">
      <pivotArea dataOnly="0" labelOnly="1" grandRow="1" outline="0" fieldPosition="0"/>
    </format>
    <format dxfId="16">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F1BB6B49-853A-4F4F-8A9A-3084339895C7}" sourceName="Months (Date )">
  <pivotTables>
    <pivotTable tabId="5" name="PivotTable4"/>
  </pivotTables>
  <data>
    <tabular pivotCacheId="1319888497">
      <items count="14">
        <i x="1"/>
        <i x="2"/>
        <i x="3"/>
        <i x="4"/>
        <i x="5"/>
        <i x="6"/>
        <i x="7"/>
        <i x="8"/>
        <i x="9" s="1"/>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 xr10:uid="{99878A02-204D-4913-8FFB-65FBBB186C19}" cache="Slicer_Months__Date" caption="Months (Date )"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83132-ED57-4B77-A1BA-AFE2E050FD3C}">
  <dimension ref="A1:P1240"/>
  <sheetViews>
    <sheetView topLeftCell="A1216" zoomScaleNormal="100" workbookViewId="0">
      <selection activeCell="C1242" sqref="C1242"/>
    </sheetView>
  </sheetViews>
  <sheetFormatPr defaultRowHeight="14.4" x14ac:dyDescent="0.3"/>
  <cols>
    <col min="1" max="1" width="9.88671875" bestFit="1" customWidth="1"/>
    <col min="2" max="5" width="9" bestFit="1" customWidth="1"/>
    <col min="6" max="6" width="12.88671875" bestFit="1" customWidth="1"/>
    <col min="7" max="7" width="13.21875" bestFit="1" customWidth="1"/>
    <col min="8" max="9" width="20.77734375" bestFit="1" customWidth="1"/>
    <col min="10" max="10" width="21.88671875" bestFit="1" customWidth="1"/>
    <col min="11" max="11" width="11" customWidth="1"/>
    <col min="12" max="12" width="12.77734375" bestFit="1" customWidth="1"/>
    <col min="13" max="13" width="18.44140625" bestFit="1" customWidth="1"/>
    <col min="14" max="14" width="12.5546875" bestFit="1" customWidth="1"/>
    <col min="15" max="15" width="15.109375" bestFit="1" customWidth="1"/>
    <col min="16" max="16" width="19.21875" bestFit="1" customWidth="1"/>
  </cols>
  <sheetData>
    <row r="1" spans="1:16" x14ac:dyDescent="0.3">
      <c r="A1" s="4" t="s">
        <v>0</v>
      </c>
      <c r="B1" s="4" t="s">
        <v>1</v>
      </c>
      <c r="C1" s="4" t="s">
        <v>2</v>
      </c>
      <c r="D1" s="4" t="s">
        <v>3</v>
      </c>
      <c r="E1" s="4" t="s">
        <v>4</v>
      </c>
      <c r="F1" s="4" t="s">
        <v>5</v>
      </c>
      <c r="G1" s="4" t="s">
        <v>6</v>
      </c>
      <c r="H1" s="6" t="s">
        <v>28</v>
      </c>
      <c r="I1" s="6" t="s">
        <v>30</v>
      </c>
      <c r="J1" s="6" t="s">
        <v>39</v>
      </c>
      <c r="K1" s="6" t="s">
        <v>32</v>
      </c>
      <c r="L1" s="4" t="s">
        <v>33</v>
      </c>
      <c r="M1" s="11" t="s">
        <v>38</v>
      </c>
      <c r="N1" s="4" t="s">
        <v>35</v>
      </c>
      <c r="O1" s="4" t="s">
        <v>36</v>
      </c>
      <c r="P1" s="4" t="s">
        <v>37</v>
      </c>
    </row>
    <row r="2" spans="1:16" x14ac:dyDescent="0.3">
      <c r="A2" s="3">
        <v>44197</v>
      </c>
      <c r="B2" s="2">
        <v>13996.1</v>
      </c>
      <c r="C2" s="2">
        <v>14049.85</v>
      </c>
      <c r="D2" s="2">
        <v>13991.35</v>
      </c>
      <c r="E2" s="2">
        <v>14018.5</v>
      </c>
      <c r="F2" s="2">
        <v>258090905</v>
      </c>
      <c r="G2" s="2">
        <v>15873.75</v>
      </c>
      <c r="H2" s="2" t="s">
        <v>29</v>
      </c>
      <c r="I2" s="2" t="s">
        <v>29</v>
      </c>
      <c r="J2" s="2" t="s">
        <v>29</v>
      </c>
      <c r="K2" s="2" t="s">
        <v>29</v>
      </c>
      <c r="L2" s="7" t="s">
        <v>29</v>
      </c>
      <c r="M2" s="10">
        <f>_xlfn.STDEV.P(L2:L1240)</f>
        <v>8.7991906907909472E-3</v>
      </c>
      <c r="N2" s="2">
        <f>E2</f>
        <v>14018.5</v>
      </c>
      <c r="O2" s="2">
        <f>(E2/N2)-1</f>
        <v>0</v>
      </c>
      <c r="P2" s="12">
        <f>MIN(O2:O1240)</f>
        <v>-0.17229752584963509</v>
      </c>
    </row>
    <row r="3" spans="1:16" x14ac:dyDescent="0.3">
      <c r="A3" s="3">
        <v>44200</v>
      </c>
      <c r="B3" s="2">
        <v>14104.35</v>
      </c>
      <c r="C3" s="2">
        <v>14147.95</v>
      </c>
      <c r="D3" s="2">
        <v>13953.75</v>
      </c>
      <c r="E3" s="2">
        <v>14132.9</v>
      </c>
      <c r="F3" s="2">
        <v>494999295</v>
      </c>
      <c r="G3" s="2">
        <v>28705.09</v>
      </c>
      <c r="H3" s="2" t="s">
        <v>29</v>
      </c>
      <c r="I3" s="2" t="s">
        <v>29</v>
      </c>
      <c r="J3" s="2" t="s">
        <v>29</v>
      </c>
      <c r="K3" s="2">
        <f>E3-E2</f>
        <v>114.39999999999964</v>
      </c>
      <c r="L3" s="7">
        <f t="shared" ref="L3:L66" si="0">(K3/(B3))</f>
        <v>8.1109728558919503E-3</v>
      </c>
      <c r="M3" s="9"/>
      <c r="N3" s="2">
        <f>MAX(N2,E3)</f>
        <v>14132.9</v>
      </c>
      <c r="O3" s="2">
        <f t="shared" ref="O3:O66" si="1">(E3/N3)-1</f>
        <v>0</v>
      </c>
      <c r="P3" s="2"/>
    </row>
    <row r="4" spans="1:16" x14ac:dyDescent="0.3">
      <c r="A4" s="3">
        <v>44201</v>
      </c>
      <c r="B4" s="2">
        <v>14075.15</v>
      </c>
      <c r="C4" s="2">
        <v>14215.6</v>
      </c>
      <c r="D4" s="2">
        <v>14048.15</v>
      </c>
      <c r="E4" s="2">
        <v>14199.5</v>
      </c>
      <c r="F4" s="2">
        <v>492475349</v>
      </c>
      <c r="G4" s="2">
        <v>30872.87</v>
      </c>
      <c r="H4" s="2" t="s">
        <v>29</v>
      </c>
      <c r="I4" s="2" t="s">
        <v>29</v>
      </c>
      <c r="J4" s="2" t="s">
        <v>29</v>
      </c>
      <c r="K4" s="2">
        <f t="shared" ref="K4:K67" si="2">E4-E3</f>
        <v>66.600000000000364</v>
      </c>
      <c r="L4" s="7">
        <f t="shared" si="0"/>
        <v>4.7317435338167175E-3</v>
      </c>
      <c r="M4" s="9"/>
      <c r="N4" s="2">
        <f>MAX(N3,E4)</f>
        <v>14199.5</v>
      </c>
      <c r="O4" s="2">
        <f t="shared" si="1"/>
        <v>0</v>
      </c>
      <c r="P4" s="2"/>
    </row>
    <row r="5" spans="1:16" x14ac:dyDescent="0.3">
      <c r="A5" s="3">
        <v>44202</v>
      </c>
      <c r="B5" s="2">
        <v>14240.95</v>
      </c>
      <c r="C5" s="2">
        <v>14244.15</v>
      </c>
      <c r="D5" s="2">
        <v>14039.9</v>
      </c>
      <c r="E5" s="2">
        <v>14146.25</v>
      </c>
      <c r="F5" s="2">
        <v>632323316</v>
      </c>
      <c r="G5" s="2">
        <v>34615.550000000003</v>
      </c>
      <c r="H5" s="2" t="s">
        <v>29</v>
      </c>
      <c r="I5" s="2" t="s">
        <v>29</v>
      </c>
      <c r="J5" s="2" t="s">
        <v>29</v>
      </c>
      <c r="K5" s="2">
        <f t="shared" si="2"/>
        <v>-53.25</v>
      </c>
      <c r="L5" s="7">
        <f t="shared" si="0"/>
        <v>-3.7392168359554664E-3</v>
      </c>
      <c r="M5" s="9"/>
      <c r="N5" s="2">
        <f t="shared" ref="N5:N68" si="3">MAX(N4,E5)</f>
        <v>14199.5</v>
      </c>
      <c r="O5" s="2">
        <f t="shared" si="1"/>
        <v>-3.7501320469031096E-3</v>
      </c>
      <c r="P5" s="2"/>
    </row>
    <row r="6" spans="1:16" x14ac:dyDescent="0.3">
      <c r="A6" s="3">
        <v>44203</v>
      </c>
      <c r="B6" s="2">
        <v>14253.75</v>
      </c>
      <c r="C6" s="2">
        <v>14256.25</v>
      </c>
      <c r="D6" s="2">
        <v>14123.1</v>
      </c>
      <c r="E6" s="2">
        <v>14137.35</v>
      </c>
      <c r="F6" s="2">
        <v>559173512</v>
      </c>
      <c r="G6" s="2">
        <v>33446.47</v>
      </c>
      <c r="H6" s="2" t="s">
        <v>29</v>
      </c>
      <c r="I6" s="2" t="s">
        <v>29</v>
      </c>
      <c r="J6" s="2" t="s">
        <v>29</v>
      </c>
      <c r="K6" s="2">
        <f t="shared" si="2"/>
        <v>-8.8999999999996362</v>
      </c>
      <c r="L6" s="7">
        <f t="shared" si="0"/>
        <v>-6.2439708848546077E-4</v>
      </c>
      <c r="M6" s="9"/>
      <c r="N6" s="2">
        <f t="shared" si="3"/>
        <v>14199.5</v>
      </c>
      <c r="O6" s="2">
        <f t="shared" si="1"/>
        <v>-4.3769146800943792E-3</v>
      </c>
      <c r="P6" s="2"/>
    </row>
    <row r="7" spans="1:16" x14ac:dyDescent="0.3">
      <c r="A7" s="3">
        <v>44204</v>
      </c>
      <c r="B7" s="2">
        <v>14258.4</v>
      </c>
      <c r="C7" s="2">
        <v>14367.3</v>
      </c>
      <c r="D7" s="2">
        <v>14221.65</v>
      </c>
      <c r="E7" s="2">
        <v>14347.25</v>
      </c>
      <c r="F7" s="2">
        <v>613472067</v>
      </c>
      <c r="G7" s="2">
        <v>37615.19</v>
      </c>
      <c r="H7" s="2" t="s">
        <v>29</v>
      </c>
      <c r="I7" s="2" t="s">
        <v>29</v>
      </c>
      <c r="J7" s="2" t="s">
        <v>29</v>
      </c>
      <c r="K7" s="2">
        <f t="shared" si="2"/>
        <v>209.89999999999964</v>
      </c>
      <c r="L7" s="7">
        <f t="shared" si="0"/>
        <v>1.4721146832744182E-2</v>
      </c>
      <c r="M7" s="9"/>
      <c r="N7" s="2">
        <f t="shared" si="3"/>
        <v>14347.25</v>
      </c>
      <c r="O7" s="2">
        <f t="shared" si="1"/>
        <v>0</v>
      </c>
      <c r="P7" s="2"/>
    </row>
    <row r="8" spans="1:16" x14ac:dyDescent="0.3">
      <c r="A8" s="3">
        <v>44207</v>
      </c>
      <c r="B8" s="2">
        <v>14474.05</v>
      </c>
      <c r="C8" s="2">
        <v>14498.2</v>
      </c>
      <c r="D8" s="2">
        <v>14383.1</v>
      </c>
      <c r="E8" s="2">
        <v>14484.75</v>
      </c>
      <c r="F8" s="2">
        <v>672878543</v>
      </c>
      <c r="G8" s="2">
        <v>40186.21</v>
      </c>
      <c r="H8" s="2" t="s">
        <v>29</v>
      </c>
      <c r="I8" s="2" t="s">
        <v>29</v>
      </c>
      <c r="J8" s="2" t="s">
        <v>29</v>
      </c>
      <c r="K8" s="2">
        <f t="shared" si="2"/>
        <v>137.5</v>
      </c>
      <c r="L8" s="7">
        <f t="shared" si="0"/>
        <v>9.499759915158508E-3</v>
      </c>
      <c r="M8" s="9"/>
      <c r="N8" s="2">
        <f t="shared" si="3"/>
        <v>14484.75</v>
      </c>
      <c r="O8" s="2">
        <f t="shared" si="1"/>
        <v>0</v>
      </c>
      <c r="P8" s="2"/>
    </row>
    <row r="9" spans="1:16" x14ac:dyDescent="0.3">
      <c r="A9" s="3">
        <v>44208</v>
      </c>
      <c r="B9" s="2">
        <v>14473.8</v>
      </c>
      <c r="C9" s="2">
        <v>14590.65</v>
      </c>
      <c r="D9" s="2">
        <v>14432.85</v>
      </c>
      <c r="E9" s="2">
        <v>14563.45</v>
      </c>
      <c r="F9" s="2">
        <v>929566952</v>
      </c>
      <c r="G9" s="2">
        <v>44976.12</v>
      </c>
      <c r="H9" s="2" t="s">
        <v>29</v>
      </c>
      <c r="I9" s="2" t="s">
        <v>29</v>
      </c>
      <c r="J9" s="2" t="s">
        <v>29</v>
      </c>
      <c r="K9" s="2">
        <f t="shared" si="2"/>
        <v>78.700000000000728</v>
      </c>
      <c r="L9" s="7">
        <f t="shared" si="0"/>
        <v>5.4374110461662267E-3</v>
      </c>
      <c r="M9" s="9"/>
      <c r="N9" s="2">
        <f t="shared" si="3"/>
        <v>14563.45</v>
      </c>
      <c r="O9" s="2">
        <f t="shared" si="1"/>
        <v>0</v>
      </c>
      <c r="P9" s="2"/>
    </row>
    <row r="10" spans="1:16" x14ac:dyDescent="0.3">
      <c r="A10" s="3">
        <v>44209</v>
      </c>
      <c r="B10" s="2">
        <v>14639.8</v>
      </c>
      <c r="C10" s="2">
        <v>14653.35</v>
      </c>
      <c r="D10" s="2">
        <v>14435.7</v>
      </c>
      <c r="E10" s="2">
        <v>14564.85</v>
      </c>
      <c r="F10" s="2">
        <v>873956688</v>
      </c>
      <c r="G10" s="2">
        <v>44682.93</v>
      </c>
      <c r="H10" s="2" t="s">
        <v>29</v>
      </c>
      <c r="I10" s="2" t="s">
        <v>29</v>
      </c>
      <c r="J10" s="2" t="s">
        <v>29</v>
      </c>
      <c r="K10" s="2">
        <f t="shared" si="2"/>
        <v>1.3999999999996362</v>
      </c>
      <c r="L10" s="7">
        <f t="shared" si="0"/>
        <v>9.5629721717484958E-5</v>
      </c>
      <c r="M10" s="9"/>
      <c r="N10" s="2">
        <f t="shared" si="3"/>
        <v>14564.85</v>
      </c>
      <c r="O10" s="2">
        <f t="shared" si="1"/>
        <v>0</v>
      </c>
      <c r="P10" s="2"/>
    </row>
    <row r="11" spans="1:16" x14ac:dyDescent="0.3">
      <c r="A11" s="3">
        <v>44210</v>
      </c>
      <c r="B11" s="2">
        <v>14550.05</v>
      </c>
      <c r="C11" s="2">
        <v>14617.8</v>
      </c>
      <c r="D11" s="2">
        <v>14471.5</v>
      </c>
      <c r="E11" s="2">
        <v>14595.6</v>
      </c>
      <c r="F11" s="2">
        <v>620194977</v>
      </c>
      <c r="G11" s="2">
        <v>37534.370000000003</v>
      </c>
      <c r="H11" s="2" t="s">
        <v>29</v>
      </c>
      <c r="I11" s="2" t="s">
        <v>29</v>
      </c>
      <c r="J11" s="2" t="s">
        <v>29</v>
      </c>
      <c r="K11" s="2">
        <f t="shared" si="2"/>
        <v>30.75</v>
      </c>
      <c r="L11" s="7">
        <f t="shared" si="0"/>
        <v>2.1133947993305867E-3</v>
      </c>
      <c r="M11" s="9"/>
      <c r="N11" s="2">
        <f t="shared" si="3"/>
        <v>14595.6</v>
      </c>
      <c r="O11" s="2">
        <f t="shared" si="1"/>
        <v>0</v>
      </c>
      <c r="P11" s="2"/>
    </row>
    <row r="12" spans="1:16" x14ac:dyDescent="0.3">
      <c r="A12" s="3">
        <v>44211</v>
      </c>
      <c r="B12" s="2">
        <v>14594.35</v>
      </c>
      <c r="C12" s="2">
        <v>14617.45</v>
      </c>
      <c r="D12" s="2">
        <v>14357.85</v>
      </c>
      <c r="E12" s="2">
        <v>14433.7</v>
      </c>
      <c r="F12" s="2">
        <v>789557216</v>
      </c>
      <c r="G12" s="2">
        <v>39912.18</v>
      </c>
      <c r="H12" s="2" t="s">
        <v>29</v>
      </c>
      <c r="I12" s="2" t="s">
        <v>29</v>
      </c>
      <c r="J12" s="2" t="s">
        <v>29</v>
      </c>
      <c r="K12" s="2">
        <f t="shared" si="2"/>
        <v>-161.89999999999964</v>
      </c>
      <c r="L12" s="7">
        <f t="shared" si="0"/>
        <v>-1.1093334064209755E-2</v>
      </c>
      <c r="M12" s="9"/>
      <c r="N12" s="2">
        <f t="shared" si="3"/>
        <v>14595.6</v>
      </c>
      <c r="O12" s="2">
        <f t="shared" si="1"/>
        <v>-1.1092384006138767E-2</v>
      </c>
      <c r="P12" s="2"/>
    </row>
    <row r="13" spans="1:16" x14ac:dyDescent="0.3">
      <c r="A13" s="3">
        <v>44214</v>
      </c>
      <c r="B13" s="2">
        <v>14453.3</v>
      </c>
      <c r="C13" s="2">
        <v>14459.15</v>
      </c>
      <c r="D13" s="2">
        <v>14222.8</v>
      </c>
      <c r="E13" s="2">
        <v>14281.3</v>
      </c>
      <c r="F13" s="2">
        <v>762043554</v>
      </c>
      <c r="G13" s="2">
        <v>41716.22</v>
      </c>
      <c r="H13" s="2" t="s">
        <v>29</v>
      </c>
      <c r="I13" s="2" t="s">
        <v>29</v>
      </c>
      <c r="J13" s="2" t="s">
        <v>29</v>
      </c>
      <c r="K13" s="2">
        <f t="shared" si="2"/>
        <v>-152.40000000000146</v>
      </c>
      <c r="L13" s="7">
        <f t="shared" si="0"/>
        <v>-1.0544304760850564E-2</v>
      </c>
      <c r="M13" s="9"/>
      <c r="N13" s="2">
        <f t="shared" si="3"/>
        <v>14595.6</v>
      </c>
      <c r="O13" s="2">
        <f t="shared" si="1"/>
        <v>-2.1533886924826717E-2</v>
      </c>
      <c r="P13" s="2"/>
    </row>
    <row r="14" spans="1:16" x14ac:dyDescent="0.3">
      <c r="A14" s="3">
        <v>44215</v>
      </c>
      <c r="B14" s="2">
        <v>14371.65</v>
      </c>
      <c r="C14" s="2">
        <v>14546.05</v>
      </c>
      <c r="D14" s="2">
        <v>14350.85</v>
      </c>
      <c r="E14" s="2">
        <v>14521.15</v>
      </c>
      <c r="F14" s="2">
        <v>546108304</v>
      </c>
      <c r="G14" s="2">
        <v>33084.79</v>
      </c>
      <c r="H14" s="2" t="s">
        <v>29</v>
      </c>
      <c r="I14" s="2" t="s">
        <v>29</v>
      </c>
      <c r="J14" s="2" t="s">
        <v>29</v>
      </c>
      <c r="K14" s="2">
        <f t="shared" si="2"/>
        <v>239.85000000000036</v>
      </c>
      <c r="L14" s="7">
        <f t="shared" si="0"/>
        <v>1.6689106678773862E-2</v>
      </c>
      <c r="M14" s="9"/>
      <c r="N14" s="2">
        <f t="shared" si="3"/>
        <v>14595.6</v>
      </c>
      <c r="O14" s="2">
        <f t="shared" si="1"/>
        <v>-5.1008523116555793E-3</v>
      </c>
      <c r="P14" s="2"/>
    </row>
    <row r="15" spans="1:16" x14ac:dyDescent="0.3">
      <c r="A15" s="3">
        <v>44216</v>
      </c>
      <c r="B15" s="2">
        <v>14538.3</v>
      </c>
      <c r="C15" s="2">
        <v>14666.45</v>
      </c>
      <c r="D15" s="2">
        <v>14517.55</v>
      </c>
      <c r="E15" s="2">
        <v>14644.7</v>
      </c>
      <c r="F15" s="2">
        <v>623069963</v>
      </c>
      <c r="G15" s="2">
        <v>34639.360000000001</v>
      </c>
      <c r="H15" s="2" t="s">
        <v>29</v>
      </c>
      <c r="I15" s="2" t="s">
        <v>29</v>
      </c>
      <c r="J15" s="2" t="s">
        <v>29</v>
      </c>
      <c r="K15" s="2">
        <f t="shared" si="2"/>
        <v>123.55000000000109</v>
      </c>
      <c r="L15" s="7">
        <f t="shared" si="0"/>
        <v>8.4982425730657021E-3</v>
      </c>
      <c r="M15" s="9"/>
      <c r="N15" s="2">
        <f t="shared" si="3"/>
        <v>14644.7</v>
      </c>
      <c r="O15" s="2">
        <f t="shared" si="1"/>
        <v>0</v>
      </c>
      <c r="P15" s="2"/>
    </row>
    <row r="16" spans="1:16" x14ac:dyDescent="0.3">
      <c r="A16" s="3">
        <v>44217</v>
      </c>
      <c r="B16" s="2">
        <v>14730.95</v>
      </c>
      <c r="C16" s="2">
        <v>14753.55</v>
      </c>
      <c r="D16" s="2">
        <v>14517.25</v>
      </c>
      <c r="E16" s="2">
        <v>14590.35</v>
      </c>
      <c r="F16" s="2">
        <v>704646957</v>
      </c>
      <c r="G16" s="2">
        <v>41939.040000000001</v>
      </c>
      <c r="H16" s="2" t="s">
        <v>29</v>
      </c>
      <c r="I16" s="2" t="s">
        <v>29</v>
      </c>
      <c r="J16" s="2" t="s">
        <v>29</v>
      </c>
      <c r="K16" s="2">
        <f t="shared" si="2"/>
        <v>-54.350000000000364</v>
      </c>
      <c r="L16" s="7">
        <f t="shared" si="0"/>
        <v>-3.6895108597884293E-3</v>
      </c>
      <c r="M16" s="9"/>
      <c r="N16" s="2">
        <f t="shared" si="3"/>
        <v>14644.7</v>
      </c>
      <c r="O16" s="2">
        <f t="shared" si="1"/>
        <v>-3.711240243910785E-3</v>
      </c>
      <c r="P16" s="2"/>
    </row>
    <row r="17" spans="1:16" x14ac:dyDescent="0.3">
      <c r="A17" s="3">
        <v>44218</v>
      </c>
      <c r="B17" s="2">
        <v>14583.4</v>
      </c>
      <c r="C17" s="2">
        <v>14619.9</v>
      </c>
      <c r="D17" s="2">
        <v>14357.75</v>
      </c>
      <c r="E17" s="2">
        <v>14371.9</v>
      </c>
      <c r="F17" s="2">
        <v>776750347</v>
      </c>
      <c r="G17" s="2">
        <v>45322.54</v>
      </c>
      <c r="H17" s="2" t="s">
        <v>29</v>
      </c>
      <c r="I17" s="2" t="s">
        <v>29</v>
      </c>
      <c r="J17" s="2" t="s">
        <v>29</v>
      </c>
      <c r="K17" s="2">
        <f t="shared" si="2"/>
        <v>-218.45000000000073</v>
      </c>
      <c r="L17" s="7">
        <f t="shared" si="0"/>
        <v>-1.4979360094353905E-2</v>
      </c>
      <c r="M17" s="9"/>
      <c r="N17" s="2">
        <f t="shared" si="3"/>
        <v>14644.7</v>
      </c>
      <c r="O17" s="2">
        <f t="shared" si="1"/>
        <v>-1.8627899513134483E-2</v>
      </c>
      <c r="P17" s="2"/>
    </row>
    <row r="18" spans="1:16" x14ac:dyDescent="0.3">
      <c r="A18" s="3">
        <v>44221</v>
      </c>
      <c r="B18" s="2">
        <v>14477.8</v>
      </c>
      <c r="C18" s="2">
        <v>14491.1</v>
      </c>
      <c r="D18" s="2">
        <v>14218.6</v>
      </c>
      <c r="E18" s="2">
        <v>14238.9</v>
      </c>
      <c r="F18" s="2">
        <v>618631493</v>
      </c>
      <c r="G18" s="2">
        <v>42278.39</v>
      </c>
      <c r="H18" s="2" t="s">
        <v>29</v>
      </c>
      <c r="I18" s="2" t="s">
        <v>29</v>
      </c>
      <c r="J18" s="2" t="s">
        <v>29</v>
      </c>
      <c r="K18" s="2">
        <f t="shared" si="2"/>
        <v>-133</v>
      </c>
      <c r="L18" s="7">
        <f t="shared" si="0"/>
        <v>-9.1864786086283835E-3</v>
      </c>
      <c r="M18" s="9"/>
      <c r="N18" s="2">
        <f t="shared" si="3"/>
        <v>14644.7</v>
      </c>
      <c r="O18" s="2">
        <f t="shared" si="1"/>
        <v>-2.7709683366678783E-2</v>
      </c>
      <c r="P18" s="2"/>
    </row>
    <row r="19" spans="1:16" x14ac:dyDescent="0.3">
      <c r="A19" s="3">
        <v>44223</v>
      </c>
      <c r="B19" s="2">
        <v>14237.95</v>
      </c>
      <c r="C19" s="2">
        <v>14237.95</v>
      </c>
      <c r="D19" s="2">
        <v>13929.3</v>
      </c>
      <c r="E19" s="2">
        <v>13967.5</v>
      </c>
      <c r="F19" s="2">
        <v>660711117</v>
      </c>
      <c r="G19" s="2">
        <v>40579.24</v>
      </c>
      <c r="H19" s="2" t="s">
        <v>29</v>
      </c>
      <c r="I19" s="2" t="s">
        <v>29</v>
      </c>
      <c r="J19" s="2" t="s">
        <v>29</v>
      </c>
      <c r="K19" s="2">
        <f t="shared" si="2"/>
        <v>-271.39999999999964</v>
      </c>
      <c r="L19" s="7">
        <f t="shared" si="0"/>
        <v>-1.9061732903964377E-2</v>
      </c>
      <c r="M19" s="9"/>
      <c r="N19" s="2">
        <f t="shared" si="3"/>
        <v>14644.7</v>
      </c>
      <c r="O19" s="2">
        <f t="shared" si="1"/>
        <v>-4.6241985155039078E-2</v>
      </c>
      <c r="P19" s="2"/>
    </row>
    <row r="20" spans="1:16" x14ac:dyDescent="0.3">
      <c r="A20" s="3">
        <v>44224</v>
      </c>
      <c r="B20" s="2">
        <v>13810.4</v>
      </c>
      <c r="C20" s="2">
        <v>13898.25</v>
      </c>
      <c r="D20" s="2">
        <v>13713.25</v>
      </c>
      <c r="E20" s="2">
        <v>13817.55</v>
      </c>
      <c r="F20" s="2">
        <v>637871621</v>
      </c>
      <c r="G20" s="2">
        <v>39881.82</v>
      </c>
      <c r="H20" s="2" t="s">
        <v>29</v>
      </c>
      <c r="I20" s="2" t="s">
        <v>29</v>
      </c>
      <c r="J20" s="2" t="s">
        <v>29</v>
      </c>
      <c r="K20" s="2">
        <f t="shared" si="2"/>
        <v>-149.95000000000073</v>
      </c>
      <c r="L20" s="7">
        <f t="shared" si="0"/>
        <v>-1.0857759369750386E-2</v>
      </c>
      <c r="M20" s="9"/>
      <c r="N20" s="2">
        <f t="shared" si="3"/>
        <v>14644.7</v>
      </c>
      <c r="O20" s="2">
        <f t="shared" si="1"/>
        <v>-5.6481184319241873E-2</v>
      </c>
      <c r="P20" s="2"/>
    </row>
    <row r="21" spans="1:16" x14ac:dyDescent="0.3">
      <c r="A21" s="3">
        <v>44225</v>
      </c>
      <c r="B21" s="2">
        <v>13946.6</v>
      </c>
      <c r="C21" s="2">
        <v>13966.85</v>
      </c>
      <c r="D21" s="2">
        <v>13596.75</v>
      </c>
      <c r="E21" s="2">
        <v>13634.6</v>
      </c>
      <c r="F21" s="2">
        <v>753206122</v>
      </c>
      <c r="G21" s="2">
        <v>46918.29</v>
      </c>
      <c r="H21" s="2" t="s">
        <v>29</v>
      </c>
      <c r="I21" s="2" t="s">
        <v>29</v>
      </c>
      <c r="J21" s="2" t="s">
        <v>29</v>
      </c>
      <c r="K21" s="2">
        <f t="shared" si="2"/>
        <v>-182.94999999999891</v>
      </c>
      <c r="L21" s="7">
        <f t="shared" si="0"/>
        <v>-1.3117892532947019E-2</v>
      </c>
      <c r="M21" s="9"/>
      <c r="N21" s="2">
        <f t="shared" si="3"/>
        <v>14644.7</v>
      </c>
      <c r="O21" s="2">
        <f t="shared" si="1"/>
        <v>-6.8973758424549558E-2</v>
      </c>
      <c r="P21" s="2"/>
    </row>
    <row r="22" spans="1:16" x14ac:dyDescent="0.3">
      <c r="A22" s="3">
        <v>44228</v>
      </c>
      <c r="B22" s="2">
        <v>13758.6</v>
      </c>
      <c r="C22" s="2">
        <v>14336.35</v>
      </c>
      <c r="D22" s="2">
        <v>13661.75</v>
      </c>
      <c r="E22" s="2">
        <v>14281.2</v>
      </c>
      <c r="F22" s="2">
        <v>870529495</v>
      </c>
      <c r="G22" s="2">
        <v>51840.22</v>
      </c>
      <c r="H22" s="2">
        <f>AVERAGE(E2:E21)</f>
        <v>14284.602499999999</v>
      </c>
      <c r="I22" s="2" t="s">
        <v>29</v>
      </c>
      <c r="J22" s="2" t="s">
        <v>29</v>
      </c>
      <c r="K22" s="2">
        <f t="shared" si="2"/>
        <v>646.60000000000036</v>
      </c>
      <c r="L22" s="7">
        <f t="shared" si="0"/>
        <v>4.6996060645705259E-2</v>
      </c>
      <c r="M22" s="9"/>
      <c r="N22" s="2">
        <f t="shared" si="3"/>
        <v>14644.7</v>
      </c>
      <c r="O22" s="2">
        <f t="shared" si="1"/>
        <v>-2.482126639671689E-2</v>
      </c>
      <c r="P22" s="2"/>
    </row>
    <row r="23" spans="1:16" x14ac:dyDescent="0.3">
      <c r="A23" s="3">
        <v>44229</v>
      </c>
      <c r="B23" s="2">
        <v>14481.1</v>
      </c>
      <c r="C23" s="2">
        <v>14731.7</v>
      </c>
      <c r="D23" s="2">
        <v>14469.15</v>
      </c>
      <c r="E23" s="2">
        <v>14647.85</v>
      </c>
      <c r="F23" s="2">
        <v>914965225</v>
      </c>
      <c r="G23" s="2">
        <v>58177.74</v>
      </c>
      <c r="H23" s="2">
        <f t="shared" ref="H23:H86" si="4">AVERAGE(E3:E22)</f>
        <v>14297.737499999999</v>
      </c>
      <c r="I23" s="2" t="s">
        <v>29</v>
      </c>
      <c r="J23" s="2" t="s">
        <v>29</v>
      </c>
      <c r="K23" s="2">
        <f t="shared" si="2"/>
        <v>366.64999999999964</v>
      </c>
      <c r="L23" s="7">
        <f t="shared" si="0"/>
        <v>2.5319209176098475E-2</v>
      </c>
      <c r="M23" s="9"/>
      <c r="N23" s="2">
        <f t="shared" si="3"/>
        <v>14647.85</v>
      </c>
      <c r="O23" s="2">
        <f t="shared" si="1"/>
        <v>0</v>
      </c>
      <c r="P23" s="2"/>
    </row>
    <row r="24" spans="1:16" x14ac:dyDescent="0.3">
      <c r="A24" s="3">
        <v>44230</v>
      </c>
      <c r="B24" s="2">
        <v>14754.9</v>
      </c>
      <c r="C24" s="2">
        <v>14868.85</v>
      </c>
      <c r="D24" s="2">
        <v>14574.15</v>
      </c>
      <c r="E24" s="2">
        <v>14789.95</v>
      </c>
      <c r="F24" s="2">
        <v>869477087</v>
      </c>
      <c r="G24" s="2">
        <v>49312.35</v>
      </c>
      <c r="H24" s="2">
        <f t="shared" si="4"/>
        <v>14323.484999999997</v>
      </c>
      <c r="I24" s="2" t="s">
        <v>29</v>
      </c>
      <c r="J24" s="2" t="s">
        <v>29</v>
      </c>
      <c r="K24" s="2">
        <f t="shared" si="2"/>
        <v>142.10000000000036</v>
      </c>
      <c r="L24" s="7">
        <f t="shared" si="0"/>
        <v>9.6306989542457328E-3</v>
      </c>
      <c r="M24" s="9"/>
      <c r="N24" s="2">
        <f t="shared" si="3"/>
        <v>14789.95</v>
      </c>
      <c r="O24" s="2">
        <f t="shared" si="1"/>
        <v>0</v>
      </c>
      <c r="P24" s="2"/>
    </row>
    <row r="25" spans="1:16" x14ac:dyDescent="0.3">
      <c r="A25" s="3">
        <v>44231</v>
      </c>
      <c r="B25" s="2">
        <v>14789.05</v>
      </c>
      <c r="C25" s="2">
        <v>14913.7</v>
      </c>
      <c r="D25" s="2">
        <v>14714.75</v>
      </c>
      <c r="E25" s="2">
        <v>14895.65</v>
      </c>
      <c r="F25" s="2">
        <v>884686415</v>
      </c>
      <c r="G25" s="2">
        <v>47811.8</v>
      </c>
      <c r="H25" s="2">
        <f t="shared" si="4"/>
        <v>14353.007500000002</v>
      </c>
      <c r="I25" s="2" t="s">
        <v>29</v>
      </c>
      <c r="J25" s="2" t="s">
        <v>29</v>
      </c>
      <c r="K25" s="2">
        <f t="shared" si="2"/>
        <v>105.69999999999891</v>
      </c>
      <c r="L25" s="7">
        <f t="shared" si="0"/>
        <v>7.1471798391376674E-3</v>
      </c>
      <c r="M25" s="9"/>
      <c r="N25" s="2">
        <f t="shared" si="3"/>
        <v>14895.65</v>
      </c>
      <c r="O25" s="2">
        <f t="shared" si="1"/>
        <v>0</v>
      </c>
      <c r="P25" s="2"/>
    </row>
    <row r="26" spans="1:16" x14ac:dyDescent="0.3">
      <c r="A26" s="3">
        <v>44232</v>
      </c>
      <c r="B26" s="2">
        <v>14952.6</v>
      </c>
      <c r="C26" s="2">
        <v>15014.65</v>
      </c>
      <c r="D26" s="2">
        <v>14864.75</v>
      </c>
      <c r="E26" s="2">
        <v>14924.25</v>
      </c>
      <c r="F26" s="2">
        <v>935629058</v>
      </c>
      <c r="G26" s="2">
        <v>54394.63</v>
      </c>
      <c r="H26" s="2">
        <f t="shared" si="4"/>
        <v>14390.477500000003</v>
      </c>
      <c r="I26" s="2" t="s">
        <v>29</v>
      </c>
      <c r="J26" s="2" t="s">
        <v>29</v>
      </c>
      <c r="K26" s="2">
        <f t="shared" si="2"/>
        <v>28.600000000000364</v>
      </c>
      <c r="L26" s="7">
        <f t="shared" si="0"/>
        <v>1.9127108328986506E-3</v>
      </c>
      <c r="M26" s="9"/>
      <c r="N26" s="2">
        <f t="shared" si="3"/>
        <v>14924.25</v>
      </c>
      <c r="O26" s="2">
        <f t="shared" si="1"/>
        <v>0</v>
      </c>
      <c r="P26" s="2"/>
    </row>
    <row r="27" spans="1:16" x14ac:dyDescent="0.3">
      <c r="A27" s="3">
        <v>44235</v>
      </c>
      <c r="B27" s="2">
        <v>15064.3</v>
      </c>
      <c r="C27" s="2">
        <v>15159.9</v>
      </c>
      <c r="D27" s="2">
        <v>15041.05</v>
      </c>
      <c r="E27" s="2">
        <v>15115.8</v>
      </c>
      <c r="F27" s="2">
        <v>671242694</v>
      </c>
      <c r="G27" s="2">
        <v>40483.96</v>
      </c>
      <c r="H27" s="2">
        <f t="shared" si="4"/>
        <v>14429.8225</v>
      </c>
      <c r="I27" s="2" t="s">
        <v>29</v>
      </c>
      <c r="J27" s="2" t="s">
        <v>29</v>
      </c>
      <c r="K27" s="2">
        <f t="shared" si="2"/>
        <v>191.54999999999927</v>
      </c>
      <c r="L27" s="7">
        <f t="shared" si="0"/>
        <v>1.271549292034806E-2</v>
      </c>
      <c r="M27" s="9"/>
      <c r="N27" s="2">
        <f t="shared" si="3"/>
        <v>15115.8</v>
      </c>
      <c r="O27" s="2">
        <f t="shared" si="1"/>
        <v>0</v>
      </c>
      <c r="P27" s="2"/>
    </row>
    <row r="28" spans="1:16" x14ac:dyDescent="0.3">
      <c r="A28" s="3">
        <v>44236</v>
      </c>
      <c r="B28" s="2">
        <v>15164.15</v>
      </c>
      <c r="C28" s="2">
        <v>15257.1</v>
      </c>
      <c r="D28" s="2">
        <v>15064.3</v>
      </c>
      <c r="E28" s="2">
        <v>15109.3</v>
      </c>
      <c r="F28" s="2">
        <v>713279133</v>
      </c>
      <c r="G28" s="2">
        <v>41930.720000000001</v>
      </c>
      <c r="H28" s="2">
        <f t="shared" si="4"/>
        <v>14468.25</v>
      </c>
      <c r="I28" s="2" t="s">
        <v>29</v>
      </c>
      <c r="J28" s="2" t="s">
        <v>29</v>
      </c>
      <c r="K28" s="2">
        <f t="shared" si="2"/>
        <v>-6.5</v>
      </c>
      <c r="L28" s="7">
        <f t="shared" si="0"/>
        <v>-4.2864255497340769E-4</v>
      </c>
      <c r="M28" s="9"/>
      <c r="N28" s="2">
        <f t="shared" si="3"/>
        <v>15115.8</v>
      </c>
      <c r="O28" s="2">
        <f t="shared" si="1"/>
        <v>-4.3001362812422617E-4</v>
      </c>
      <c r="P28" s="2"/>
    </row>
    <row r="29" spans="1:16" x14ac:dyDescent="0.3">
      <c r="A29" s="3">
        <v>44237</v>
      </c>
      <c r="B29" s="2">
        <v>15119.05</v>
      </c>
      <c r="C29" s="2">
        <v>15168.25</v>
      </c>
      <c r="D29" s="2">
        <v>14977.2</v>
      </c>
      <c r="E29" s="2">
        <v>15106.5</v>
      </c>
      <c r="F29" s="2">
        <v>624791133</v>
      </c>
      <c r="G29" s="2">
        <v>40707.97</v>
      </c>
      <c r="H29" s="2">
        <f t="shared" si="4"/>
        <v>14499.477499999999</v>
      </c>
      <c r="I29" s="2" t="s">
        <v>29</v>
      </c>
      <c r="J29" s="2" t="s">
        <v>29</v>
      </c>
      <c r="K29" s="2">
        <f t="shared" si="2"/>
        <v>-2.7999999999992724</v>
      </c>
      <c r="L29" s="7">
        <f t="shared" si="0"/>
        <v>-1.8519682122879893E-4</v>
      </c>
      <c r="M29" s="9"/>
      <c r="N29" s="2">
        <f t="shared" si="3"/>
        <v>15115.8</v>
      </c>
      <c r="O29" s="2">
        <f t="shared" si="1"/>
        <v>-6.1525026793152193E-4</v>
      </c>
      <c r="P29" s="2"/>
    </row>
    <row r="30" spans="1:16" x14ac:dyDescent="0.3">
      <c r="A30" s="3">
        <v>44238</v>
      </c>
      <c r="B30" s="2">
        <v>15073.25</v>
      </c>
      <c r="C30" s="2">
        <v>15188.5</v>
      </c>
      <c r="D30" s="2">
        <v>15065.4</v>
      </c>
      <c r="E30" s="2">
        <v>15173.3</v>
      </c>
      <c r="F30" s="2">
        <v>500122414</v>
      </c>
      <c r="G30" s="2">
        <v>30933.439999999999</v>
      </c>
      <c r="H30" s="2">
        <f t="shared" si="4"/>
        <v>14526.63</v>
      </c>
      <c r="I30" s="2" t="s">
        <v>29</v>
      </c>
      <c r="J30" s="2" t="s">
        <v>29</v>
      </c>
      <c r="K30" s="2">
        <f t="shared" si="2"/>
        <v>66.799999999999272</v>
      </c>
      <c r="L30" s="7">
        <f t="shared" si="0"/>
        <v>4.4316919045328165E-3</v>
      </c>
      <c r="M30" s="9"/>
      <c r="N30" s="2">
        <f t="shared" si="3"/>
        <v>15173.3</v>
      </c>
      <c r="O30" s="2">
        <f t="shared" si="1"/>
        <v>0</v>
      </c>
      <c r="P30" s="2"/>
    </row>
    <row r="31" spans="1:16" x14ac:dyDescent="0.3">
      <c r="A31" s="3">
        <v>44239</v>
      </c>
      <c r="B31" s="2">
        <v>15186.2</v>
      </c>
      <c r="C31" s="2">
        <v>15243.5</v>
      </c>
      <c r="D31" s="2">
        <v>15081</v>
      </c>
      <c r="E31" s="2">
        <v>15163.3</v>
      </c>
      <c r="F31" s="2">
        <v>571808807</v>
      </c>
      <c r="G31" s="2">
        <v>32304.240000000002</v>
      </c>
      <c r="H31" s="2">
        <f t="shared" si="4"/>
        <v>14557.0525</v>
      </c>
      <c r="I31" s="2" t="s">
        <v>29</v>
      </c>
      <c r="J31" s="2" t="s">
        <v>29</v>
      </c>
      <c r="K31" s="2">
        <f t="shared" si="2"/>
        <v>-10</v>
      </c>
      <c r="L31" s="7">
        <f t="shared" si="0"/>
        <v>-6.5849257878863702E-4</v>
      </c>
      <c r="M31" s="9"/>
      <c r="N31" s="2">
        <f t="shared" si="3"/>
        <v>15173.3</v>
      </c>
      <c r="O31" s="2">
        <f t="shared" si="1"/>
        <v>-6.5905241443853235E-4</v>
      </c>
      <c r="P31" s="2"/>
    </row>
    <row r="32" spans="1:16" x14ac:dyDescent="0.3">
      <c r="A32" s="3">
        <v>44242</v>
      </c>
      <c r="B32" s="2">
        <v>15270.3</v>
      </c>
      <c r="C32" s="2">
        <v>15340.15</v>
      </c>
      <c r="D32" s="2">
        <v>15243.4</v>
      </c>
      <c r="E32" s="2">
        <v>15314.7</v>
      </c>
      <c r="F32" s="2">
        <v>455959720</v>
      </c>
      <c r="G32" s="2">
        <v>28955.29</v>
      </c>
      <c r="H32" s="2">
        <f t="shared" si="4"/>
        <v>14585.4375</v>
      </c>
      <c r="I32" s="2" t="s">
        <v>29</v>
      </c>
      <c r="J32" s="2" t="s">
        <v>29</v>
      </c>
      <c r="K32" s="2">
        <f t="shared" si="2"/>
        <v>151.40000000000146</v>
      </c>
      <c r="L32" s="7">
        <f t="shared" si="0"/>
        <v>9.9146709625876021E-3</v>
      </c>
      <c r="M32" s="9"/>
      <c r="N32" s="2">
        <f t="shared" si="3"/>
        <v>15314.7</v>
      </c>
      <c r="O32" s="2">
        <f t="shared" si="1"/>
        <v>0</v>
      </c>
      <c r="P32" s="2"/>
    </row>
    <row r="33" spans="1:16" x14ac:dyDescent="0.3">
      <c r="A33" s="3">
        <v>44243</v>
      </c>
      <c r="B33" s="2">
        <v>15371.45</v>
      </c>
      <c r="C33" s="2">
        <v>15431.75</v>
      </c>
      <c r="D33" s="2">
        <v>15242.2</v>
      </c>
      <c r="E33" s="2">
        <v>15313.45</v>
      </c>
      <c r="F33" s="2">
        <v>648545320</v>
      </c>
      <c r="G33" s="2">
        <v>36550.03</v>
      </c>
      <c r="H33" s="2">
        <f t="shared" si="4"/>
        <v>14629.487499999999</v>
      </c>
      <c r="I33" s="2" t="s">
        <v>29</v>
      </c>
      <c r="J33" s="2" t="s">
        <v>29</v>
      </c>
      <c r="K33" s="2">
        <f t="shared" si="2"/>
        <v>-1.25</v>
      </c>
      <c r="L33" s="7">
        <f t="shared" si="0"/>
        <v>-8.131958923849083E-5</v>
      </c>
      <c r="M33" s="9"/>
      <c r="N33" s="2">
        <f t="shared" si="3"/>
        <v>15314.7</v>
      </c>
      <c r="O33" s="2">
        <f t="shared" si="1"/>
        <v>-8.1620926299597052E-5</v>
      </c>
      <c r="P33" s="2"/>
    </row>
    <row r="34" spans="1:16" x14ac:dyDescent="0.3">
      <c r="A34" s="3">
        <v>44244</v>
      </c>
      <c r="B34" s="2">
        <v>15279.9</v>
      </c>
      <c r="C34" s="2">
        <v>15314.3</v>
      </c>
      <c r="D34" s="2">
        <v>15170.75</v>
      </c>
      <c r="E34" s="2">
        <v>15208.9</v>
      </c>
      <c r="F34" s="2">
        <v>504767226</v>
      </c>
      <c r="G34" s="2">
        <v>34073.120000000003</v>
      </c>
      <c r="H34" s="2">
        <f t="shared" si="4"/>
        <v>14681.095000000001</v>
      </c>
      <c r="I34" s="2" t="s">
        <v>29</v>
      </c>
      <c r="J34" s="2" t="s">
        <v>29</v>
      </c>
      <c r="K34" s="2">
        <f t="shared" si="2"/>
        <v>-104.55000000000109</v>
      </c>
      <c r="L34" s="7">
        <f t="shared" si="0"/>
        <v>-6.8423222665070513E-3</v>
      </c>
      <c r="M34" s="9"/>
      <c r="N34" s="2">
        <f t="shared" si="3"/>
        <v>15314.7</v>
      </c>
      <c r="O34" s="2">
        <f t="shared" si="1"/>
        <v>-6.9083952019954875E-3</v>
      </c>
      <c r="P34" s="2"/>
    </row>
    <row r="35" spans="1:16" x14ac:dyDescent="0.3">
      <c r="A35" s="3">
        <v>44245</v>
      </c>
      <c r="B35" s="2">
        <v>15238.7</v>
      </c>
      <c r="C35" s="2">
        <v>15250.75</v>
      </c>
      <c r="D35" s="2">
        <v>15078.05</v>
      </c>
      <c r="E35" s="2">
        <v>15118.95</v>
      </c>
      <c r="F35" s="2">
        <v>770629541</v>
      </c>
      <c r="G35" s="2">
        <v>37093.99</v>
      </c>
      <c r="H35" s="2">
        <f t="shared" si="4"/>
        <v>14715.482500000002</v>
      </c>
      <c r="I35" s="2" t="s">
        <v>29</v>
      </c>
      <c r="J35" s="2" t="s">
        <v>29</v>
      </c>
      <c r="K35" s="2">
        <f t="shared" si="2"/>
        <v>-89.949999999998909</v>
      </c>
      <c r="L35" s="7">
        <f t="shared" si="0"/>
        <v>-5.9027344852250457E-3</v>
      </c>
      <c r="M35" s="9"/>
      <c r="N35" s="2">
        <f t="shared" si="3"/>
        <v>15314.7</v>
      </c>
      <c r="O35" s="2">
        <f t="shared" si="1"/>
        <v>-1.2781837058512435E-2</v>
      </c>
      <c r="P35" s="2"/>
    </row>
    <row r="36" spans="1:16" x14ac:dyDescent="0.3">
      <c r="A36" s="3">
        <v>44246</v>
      </c>
      <c r="B36" s="2">
        <v>15074.8</v>
      </c>
      <c r="C36" s="2">
        <v>15144.05</v>
      </c>
      <c r="D36" s="2">
        <v>14898.2</v>
      </c>
      <c r="E36" s="2">
        <v>14981.75</v>
      </c>
      <c r="F36" s="2">
        <v>712213821</v>
      </c>
      <c r="G36" s="2">
        <v>37419.339999999997</v>
      </c>
      <c r="H36" s="2">
        <f t="shared" si="4"/>
        <v>14739.195000000002</v>
      </c>
      <c r="I36" s="2" t="s">
        <v>29</v>
      </c>
      <c r="J36" s="2" t="s">
        <v>29</v>
      </c>
      <c r="K36" s="2">
        <f t="shared" si="2"/>
        <v>-137.20000000000073</v>
      </c>
      <c r="L36" s="7">
        <f t="shared" si="0"/>
        <v>-9.1012816090429542E-3</v>
      </c>
      <c r="M36" s="9"/>
      <c r="N36" s="2">
        <f t="shared" si="3"/>
        <v>15314.7</v>
      </c>
      <c r="O36" s="2">
        <f t="shared" si="1"/>
        <v>-2.1740549929153086E-2</v>
      </c>
      <c r="P36" s="2"/>
    </row>
    <row r="37" spans="1:16" x14ac:dyDescent="0.3">
      <c r="A37" s="3">
        <v>44249</v>
      </c>
      <c r="B37" s="2">
        <v>14999.05</v>
      </c>
      <c r="C37" s="2">
        <v>15010.1</v>
      </c>
      <c r="D37" s="2">
        <v>14635.05</v>
      </c>
      <c r="E37" s="2">
        <v>14675.7</v>
      </c>
      <c r="F37" s="2">
        <v>609898454</v>
      </c>
      <c r="G37" s="2">
        <v>37578.07</v>
      </c>
      <c r="H37" s="2">
        <f t="shared" si="4"/>
        <v>14758.764999999999</v>
      </c>
      <c r="I37" s="2" t="s">
        <v>29</v>
      </c>
      <c r="J37" s="2" t="s">
        <v>29</v>
      </c>
      <c r="K37" s="2">
        <f t="shared" si="2"/>
        <v>-306.04999999999927</v>
      </c>
      <c r="L37" s="7">
        <f t="shared" si="0"/>
        <v>-2.0404625626289617E-2</v>
      </c>
      <c r="M37" s="9"/>
      <c r="N37" s="2">
        <f t="shared" si="3"/>
        <v>15314.7</v>
      </c>
      <c r="O37" s="2">
        <f t="shared" si="1"/>
        <v>-4.1724617524339314E-2</v>
      </c>
      <c r="P37" s="2"/>
    </row>
    <row r="38" spans="1:16" x14ac:dyDescent="0.3">
      <c r="A38" s="3">
        <v>44250</v>
      </c>
      <c r="B38" s="2">
        <v>14782.25</v>
      </c>
      <c r="C38" s="2">
        <v>14854.5</v>
      </c>
      <c r="D38" s="2">
        <v>14651.85</v>
      </c>
      <c r="E38" s="2">
        <v>14707.8</v>
      </c>
      <c r="F38" s="2">
        <v>744092809</v>
      </c>
      <c r="G38" s="2">
        <v>39508.089999999997</v>
      </c>
      <c r="H38" s="2">
        <f t="shared" si="4"/>
        <v>14773.954999999998</v>
      </c>
      <c r="I38" s="2" t="s">
        <v>29</v>
      </c>
      <c r="J38" s="2" t="s">
        <v>29</v>
      </c>
      <c r="K38" s="2">
        <f t="shared" si="2"/>
        <v>32.099999999998545</v>
      </c>
      <c r="L38" s="7">
        <f t="shared" si="0"/>
        <v>2.1715232796088919E-3</v>
      </c>
      <c r="M38" s="9"/>
      <c r="N38" s="2">
        <f t="shared" si="3"/>
        <v>15314.7</v>
      </c>
      <c r="O38" s="2">
        <f t="shared" si="1"/>
        <v>-3.9628592136966567E-2</v>
      </c>
      <c r="P38" s="2"/>
    </row>
    <row r="39" spans="1:16" x14ac:dyDescent="0.3">
      <c r="A39" s="3">
        <v>44251</v>
      </c>
      <c r="B39" s="2">
        <v>14729.15</v>
      </c>
      <c r="C39" s="2">
        <v>15008.8</v>
      </c>
      <c r="D39" s="2">
        <v>14723.05</v>
      </c>
      <c r="E39" s="2">
        <v>14982</v>
      </c>
      <c r="F39" s="2">
        <v>403754669</v>
      </c>
      <c r="G39" s="2">
        <v>23723.99</v>
      </c>
      <c r="H39" s="2">
        <f t="shared" si="4"/>
        <v>14797.4</v>
      </c>
      <c r="I39" s="2" t="s">
        <v>29</v>
      </c>
      <c r="J39" s="2" t="s">
        <v>29</v>
      </c>
      <c r="K39" s="2">
        <f t="shared" si="2"/>
        <v>274.20000000000073</v>
      </c>
      <c r="L39" s="7">
        <f t="shared" si="0"/>
        <v>1.8616145534535309E-2</v>
      </c>
      <c r="M39" s="9"/>
      <c r="N39" s="2">
        <f t="shared" si="3"/>
        <v>15314.7</v>
      </c>
      <c r="O39" s="2">
        <f t="shared" si="1"/>
        <v>-2.1724225743893211E-2</v>
      </c>
      <c r="P39" s="2"/>
    </row>
    <row r="40" spans="1:16" x14ac:dyDescent="0.3">
      <c r="A40" s="3">
        <v>44252</v>
      </c>
      <c r="B40" s="2">
        <v>15079.85</v>
      </c>
      <c r="C40" s="2">
        <v>15176.5</v>
      </c>
      <c r="D40" s="2">
        <v>15065.35</v>
      </c>
      <c r="E40" s="2">
        <v>15097.35</v>
      </c>
      <c r="F40" s="2">
        <v>803883875</v>
      </c>
      <c r="G40" s="2">
        <v>42983.07</v>
      </c>
      <c r="H40" s="2">
        <f t="shared" si="4"/>
        <v>14848.125</v>
      </c>
      <c r="I40" s="2" t="s">
        <v>29</v>
      </c>
      <c r="J40" s="2" t="s">
        <v>29</v>
      </c>
      <c r="K40" s="2">
        <f t="shared" si="2"/>
        <v>115.35000000000036</v>
      </c>
      <c r="L40" s="7">
        <f t="shared" si="0"/>
        <v>7.6492803310377992E-3</v>
      </c>
      <c r="M40" s="9"/>
      <c r="N40" s="2">
        <f t="shared" si="3"/>
        <v>15314.7</v>
      </c>
      <c r="O40" s="2">
        <f t="shared" si="1"/>
        <v>-1.4192246664968988E-2</v>
      </c>
      <c r="P40" s="2"/>
    </row>
    <row r="41" spans="1:16" x14ac:dyDescent="0.3">
      <c r="A41" s="3">
        <v>44253</v>
      </c>
      <c r="B41" s="2">
        <v>14888.6</v>
      </c>
      <c r="C41" s="2">
        <v>14919.45</v>
      </c>
      <c r="D41" s="2">
        <v>14467.75</v>
      </c>
      <c r="E41" s="2">
        <v>14529.15</v>
      </c>
      <c r="F41" s="2">
        <v>1103644519</v>
      </c>
      <c r="G41" s="2">
        <v>65012.959999999999</v>
      </c>
      <c r="H41" s="2">
        <f t="shared" si="4"/>
        <v>14912.115</v>
      </c>
      <c r="I41" s="2" t="s">
        <v>29</v>
      </c>
      <c r="J41" s="2" t="s">
        <v>29</v>
      </c>
      <c r="K41" s="2">
        <f t="shared" si="2"/>
        <v>-568.20000000000073</v>
      </c>
      <c r="L41" s="7">
        <f t="shared" si="0"/>
        <v>-3.8163427051569707E-2</v>
      </c>
      <c r="M41" s="9"/>
      <c r="N41" s="2">
        <f t="shared" si="3"/>
        <v>15314.7</v>
      </c>
      <c r="O41" s="2">
        <f t="shared" si="1"/>
        <v>-5.1293854923700866E-2</v>
      </c>
      <c r="P41" s="2"/>
    </row>
    <row r="42" spans="1:16" x14ac:dyDescent="0.3">
      <c r="A42" s="3">
        <v>44256</v>
      </c>
      <c r="B42" s="2">
        <v>14702.5</v>
      </c>
      <c r="C42" s="2">
        <v>14806.8</v>
      </c>
      <c r="D42" s="2">
        <v>14638.55</v>
      </c>
      <c r="E42" s="2">
        <v>14761.55</v>
      </c>
      <c r="F42" s="2">
        <v>507302977</v>
      </c>
      <c r="G42" s="2">
        <v>30030.57</v>
      </c>
      <c r="H42" s="2">
        <f t="shared" si="4"/>
        <v>14956.842499999999</v>
      </c>
      <c r="I42" s="2" t="s">
        <v>29</v>
      </c>
      <c r="J42" s="2" t="s">
        <v>29</v>
      </c>
      <c r="K42" s="2">
        <f t="shared" si="2"/>
        <v>232.39999999999964</v>
      </c>
      <c r="L42" s="7">
        <f t="shared" si="0"/>
        <v>1.5806835572181578E-2</v>
      </c>
      <c r="M42" s="9"/>
      <c r="N42" s="2">
        <f t="shared" si="3"/>
        <v>15314.7</v>
      </c>
      <c r="O42" s="2">
        <f t="shared" si="1"/>
        <v>-3.6118892306085115E-2</v>
      </c>
      <c r="P42" s="2"/>
    </row>
    <row r="43" spans="1:16" x14ac:dyDescent="0.3">
      <c r="A43" s="3">
        <v>44257</v>
      </c>
      <c r="B43" s="2">
        <v>14865.3</v>
      </c>
      <c r="C43" s="2">
        <v>14959.1</v>
      </c>
      <c r="D43" s="2">
        <v>14760.8</v>
      </c>
      <c r="E43" s="2">
        <v>14919.1</v>
      </c>
      <c r="F43" s="2">
        <v>621723916</v>
      </c>
      <c r="G43" s="2">
        <v>34647.26</v>
      </c>
      <c r="H43" s="2">
        <f t="shared" si="4"/>
        <v>14980.86</v>
      </c>
      <c r="I43" s="2" t="s">
        <v>29</v>
      </c>
      <c r="J43" s="2" t="s">
        <v>29</v>
      </c>
      <c r="K43" s="2">
        <f t="shared" si="2"/>
        <v>157.55000000000109</v>
      </c>
      <c r="L43" s="7">
        <f t="shared" si="0"/>
        <v>1.0598507934585989E-2</v>
      </c>
      <c r="M43" s="9"/>
      <c r="N43" s="2">
        <f t="shared" si="3"/>
        <v>15314.7</v>
      </c>
      <c r="O43" s="2">
        <f t="shared" si="1"/>
        <v>-2.5831390755287398E-2</v>
      </c>
      <c r="P43" s="2"/>
    </row>
    <row r="44" spans="1:16" x14ac:dyDescent="0.3">
      <c r="A44" s="3">
        <v>44258</v>
      </c>
      <c r="B44" s="2">
        <v>15064.4</v>
      </c>
      <c r="C44" s="2">
        <v>15273.15</v>
      </c>
      <c r="D44" s="2">
        <v>14995.8</v>
      </c>
      <c r="E44" s="2">
        <v>15245.6</v>
      </c>
      <c r="F44" s="2">
        <v>544205583</v>
      </c>
      <c r="G44" s="2">
        <v>34567.730000000003</v>
      </c>
      <c r="H44" s="2">
        <f t="shared" si="4"/>
        <v>14994.422500000001</v>
      </c>
      <c r="I44" s="2" t="s">
        <v>29</v>
      </c>
      <c r="J44" s="2" t="s">
        <v>29</v>
      </c>
      <c r="K44" s="2">
        <f t="shared" si="2"/>
        <v>326.5</v>
      </c>
      <c r="L44" s="7">
        <f t="shared" si="0"/>
        <v>2.1673614614588037E-2</v>
      </c>
      <c r="M44" s="9"/>
      <c r="N44" s="2">
        <f t="shared" si="3"/>
        <v>15314.7</v>
      </c>
      <c r="O44" s="2">
        <f t="shared" si="1"/>
        <v>-4.5120048058401308E-3</v>
      </c>
      <c r="P44" s="2"/>
    </row>
    <row r="45" spans="1:16" x14ac:dyDescent="0.3">
      <c r="A45" s="3">
        <v>44259</v>
      </c>
      <c r="B45" s="2">
        <v>15026.75</v>
      </c>
      <c r="C45" s="2">
        <v>15202.35</v>
      </c>
      <c r="D45" s="2">
        <v>14980.2</v>
      </c>
      <c r="E45" s="2">
        <v>15080.75</v>
      </c>
      <c r="F45" s="2">
        <v>534850447</v>
      </c>
      <c r="G45" s="2">
        <v>36036.019999999997</v>
      </c>
      <c r="H45" s="2">
        <f t="shared" si="4"/>
        <v>15017.204999999998</v>
      </c>
      <c r="I45" s="2" t="s">
        <v>29</v>
      </c>
      <c r="J45" s="2" t="s">
        <v>29</v>
      </c>
      <c r="K45" s="2">
        <f t="shared" si="2"/>
        <v>-164.85000000000036</v>
      </c>
      <c r="L45" s="7">
        <f t="shared" si="0"/>
        <v>-1.0970436055700691E-2</v>
      </c>
      <c r="M45" s="9"/>
      <c r="N45" s="2">
        <f t="shared" si="3"/>
        <v>15314.7</v>
      </c>
      <c r="O45" s="2">
        <f t="shared" si="1"/>
        <v>-1.5276172566227264E-2</v>
      </c>
      <c r="P45" s="2"/>
    </row>
    <row r="46" spans="1:16" x14ac:dyDescent="0.3">
      <c r="A46" s="3">
        <v>44260</v>
      </c>
      <c r="B46" s="2">
        <v>14977.95</v>
      </c>
      <c r="C46" s="2">
        <v>15092.35</v>
      </c>
      <c r="D46" s="2">
        <v>14862.1</v>
      </c>
      <c r="E46" s="2">
        <v>14938.1</v>
      </c>
      <c r="F46" s="2">
        <v>640700362</v>
      </c>
      <c r="G46" s="2">
        <v>37811.599999999999</v>
      </c>
      <c r="H46" s="2">
        <f t="shared" si="4"/>
        <v>15026.459999999997</v>
      </c>
      <c r="I46" s="2" t="s">
        <v>29</v>
      </c>
      <c r="J46" s="2" t="s">
        <v>29</v>
      </c>
      <c r="K46" s="2">
        <f t="shared" si="2"/>
        <v>-142.64999999999964</v>
      </c>
      <c r="L46" s="7">
        <f t="shared" si="0"/>
        <v>-9.5240002804121808E-3</v>
      </c>
      <c r="M46" s="9"/>
      <c r="N46" s="2">
        <f t="shared" si="3"/>
        <v>15314.7</v>
      </c>
      <c r="O46" s="2">
        <f t="shared" si="1"/>
        <v>-2.4590752675534011E-2</v>
      </c>
      <c r="P46" s="2"/>
    </row>
    <row r="47" spans="1:16" x14ac:dyDescent="0.3">
      <c r="A47" s="3">
        <v>44263</v>
      </c>
      <c r="B47" s="2">
        <v>15002.45</v>
      </c>
      <c r="C47" s="2">
        <v>15111.15</v>
      </c>
      <c r="D47" s="2">
        <v>14919.9</v>
      </c>
      <c r="E47" s="2">
        <v>14956.2</v>
      </c>
      <c r="F47" s="2">
        <v>580308065</v>
      </c>
      <c r="G47" s="2">
        <v>29518.07</v>
      </c>
      <c r="H47" s="2">
        <f t="shared" si="4"/>
        <v>15027.152499999997</v>
      </c>
      <c r="I47" s="2" t="s">
        <v>29</v>
      </c>
      <c r="J47" s="2" t="s">
        <v>29</v>
      </c>
      <c r="K47" s="2">
        <f t="shared" si="2"/>
        <v>18.100000000000364</v>
      </c>
      <c r="L47" s="7">
        <f t="shared" si="0"/>
        <v>1.2064696099637301E-3</v>
      </c>
      <c r="M47" s="9"/>
      <c r="N47" s="2">
        <f t="shared" si="3"/>
        <v>15314.7</v>
      </c>
      <c r="O47" s="2">
        <f t="shared" si="1"/>
        <v>-2.3408881662716263E-2</v>
      </c>
      <c r="P47" s="2"/>
    </row>
    <row r="48" spans="1:16" x14ac:dyDescent="0.3">
      <c r="A48" s="3">
        <v>44264</v>
      </c>
      <c r="B48" s="2">
        <v>15049.9</v>
      </c>
      <c r="C48" s="2">
        <v>15126.85</v>
      </c>
      <c r="D48" s="2">
        <v>14925.45</v>
      </c>
      <c r="E48" s="2">
        <v>15098.4</v>
      </c>
      <c r="F48" s="2">
        <v>675271251</v>
      </c>
      <c r="G48" s="2">
        <v>38365.480000000003</v>
      </c>
      <c r="H48" s="2">
        <f t="shared" si="4"/>
        <v>15019.172499999997</v>
      </c>
      <c r="I48" s="2" t="s">
        <v>29</v>
      </c>
      <c r="J48" s="2" t="s">
        <v>29</v>
      </c>
      <c r="K48" s="2">
        <f t="shared" si="2"/>
        <v>142.19999999999891</v>
      </c>
      <c r="L48" s="7">
        <f t="shared" si="0"/>
        <v>9.4485677645697926E-3</v>
      </c>
      <c r="M48" s="9"/>
      <c r="N48" s="2">
        <f t="shared" si="3"/>
        <v>15314.7</v>
      </c>
      <c r="O48" s="2">
        <f t="shared" si="1"/>
        <v>-1.4123685086877336E-2</v>
      </c>
      <c r="P48" s="2"/>
    </row>
    <row r="49" spans="1:16" x14ac:dyDescent="0.3">
      <c r="A49" s="3">
        <v>44265</v>
      </c>
      <c r="B49" s="2">
        <v>15202.15</v>
      </c>
      <c r="C49" s="2">
        <v>15218.45</v>
      </c>
      <c r="D49" s="2">
        <v>15100.85</v>
      </c>
      <c r="E49" s="2">
        <v>15174.8</v>
      </c>
      <c r="F49" s="2">
        <v>404585756</v>
      </c>
      <c r="G49" s="2">
        <v>25603.32</v>
      </c>
      <c r="H49" s="2">
        <f t="shared" si="4"/>
        <v>15018.627499999999</v>
      </c>
      <c r="I49" s="2" t="s">
        <v>29</v>
      </c>
      <c r="J49" s="2" t="s">
        <v>29</v>
      </c>
      <c r="K49" s="2">
        <f t="shared" si="2"/>
        <v>76.399999999999636</v>
      </c>
      <c r="L49" s="7">
        <f t="shared" si="0"/>
        <v>5.0256049308814634E-3</v>
      </c>
      <c r="M49" s="9"/>
      <c r="N49" s="2">
        <f t="shared" si="3"/>
        <v>15314.7</v>
      </c>
      <c r="O49" s="2">
        <f t="shared" si="1"/>
        <v>-9.135014071447789E-3</v>
      </c>
      <c r="P49" s="2"/>
    </row>
    <row r="50" spans="1:16" x14ac:dyDescent="0.3">
      <c r="A50" s="3">
        <v>44267</v>
      </c>
      <c r="B50" s="2">
        <v>15321.15</v>
      </c>
      <c r="C50" s="2">
        <v>15336.3</v>
      </c>
      <c r="D50" s="2">
        <v>14953.6</v>
      </c>
      <c r="E50" s="2">
        <v>15030.95</v>
      </c>
      <c r="F50" s="2">
        <v>493238854</v>
      </c>
      <c r="G50" s="2">
        <v>32195.96</v>
      </c>
      <c r="H50" s="2">
        <f t="shared" si="4"/>
        <v>15022.0425</v>
      </c>
      <c r="I50" s="2" t="s">
        <v>29</v>
      </c>
      <c r="J50" s="2" t="s">
        <v>29</v>
      </c>
      <c r="K50" s="2">
        <f t="shared" si="2"/>
        <v>-143.84999999999854</v>
      </c>
      <c r="L50" s="7">
        <f t="shared" si="0"/>
        <v>-9.3889818975728678E-3</v>
      </c>
      <c r="M50" s="9"/>
      <c r="N50" s="2">
        <f t="shared" si="3"/>
        <v>15314.7</v>
      </c>
      <c r="O50" s="2">
        <f t="shared" si="1"/>
        <v>-1.852795027000198E-2</v>
      </c>
      <c r="P50" s="2"/>
    </row>
    <row r="51" spans="1:16" x14ac:dyDescent="0.3">
      <c r="A51" s="3">
        <v>44270</v>
      </c>
      <c r="B51" s="2">
        <v>15048.4</v>
      </c>
      <c r="C51" s="2">
        <v>15048.4</v>
      </c>
      <c r="D51" s="2">
        <v>14745.85</v>
      </c>
      <c r="E51" s="2">
        <v>14929.5</v>
      </c>
      <c r="F51" s="2">
        <v>467473367</v>
      </c>
      <c r="G51" s="2">
        <v>28118</v>
      </c>
      <c r="H51" s="2">
        <f t="shared" si="4"/>
        <v>15014.924999999999</v>
      </c>
      <c r="I51" s="2" t="s">
        <v>29</v>
      </c>
      <c r="J51" s="2" t="s">
        <v>29</v>
      </c>
      <c r="K51" s="2">
        <f t="shared" si="2"/>
        <v>-101.45000000000073</v>
      </c>
      <c r="L51" s="7">
        <f t="shared" si="0"/>
        <v>-6.7415805002525673E-3</v>
      </c>
      <c r="M51" s="9"/>
      <c r="N51" s="2">
        <f t="shared" si="3"/>
        <v>15314.7</v>
      </c>
      <c r="O51" s="2">
        <f t="shared" si="1"/>
        <v>-2.5152304648475066E-2</v>
      </c>
      <c r="P51" s="2"/>
    </row>
    <row r="52" spans="1:16" x14ac:dyDescent="0.3">
      <c r="A52" s="3">
        <v>44271</v>
      </c>
      <c r="B52" s="2">
        <v>14996.1</v>
      </c>
      <c r="C52" s="2">
        <v>15051.6</v>
      </c>
      <c r="D52" s="2">
        <v>14890.65</v>
      </c>
      <c r="E52" s="2">
        <v>14910.45</v>
      </c>
      <c r="F52" s="2">
        <v>437651327</v>
      </c>
      <c r="G52" s="2">
        <v>27975.07</v>
      </c>
      <c r="H52" s="2">
        <f t="shared" si="4"/>
        <v>15003.235000000001</v>
      </c>
      <c r="I52" s="2">
        <f>AVERAGE(E2:E51)</f>
        <v>14699.277</v>
      </c>
      <c r="J52" s="2" t="s">
        <v>29</v>
      </c>
      <c r="K52" s="2">
        <f t="shared" si="2"/>
        <v>-19.049999999999272</v>
      </c>
      <c r="L52" s="7">
        <f t="shared" si="0"/>
        <v>-1.2703302858742787E-3</v>
      </c>
      <c r="M52" s="9"/>
      <c r="N52" s="2">
        <f t="shared" si="3"/>
        <v>15314.7</v>
      </c>
      <c r="O52" s="2">
        <f t="shared" si="1"/>
        <v>-2.6396207565280383E-2</v>
      </c>
      <c r="P52" s="2"/>
    </row>
    <row r="53" spans="1:16" x14ac:dyDescent="0.3">
      <c r="A53" s="3">
        <v>44272</v>
      </c>
      <c r="B53" s="2">
        <v>14946.55</v>
      </c>
      <c r="C53" s="2">
        <v>14956.55</v>
      </c>
      <c r="D53" s="2">
        <v>14696.05</v>
      </c>
      <c r="E53" s="2">
        <v>14721.3</v>
      </c>
      <c r="F53" s="2">
        <v>479352147</v>
      </c>
      <c r="G53" s="2">
        <v>27983.5</v>
      </c>
      <c r="H53" s="2">
        <f t="shared" si="4"/>
        <v>14983.022500000001</v>
      </c>
      <c r="I53" s="2">
        <f t="shared" ref="I53:I116" si="5">AVERAGE(E3:E52)</f>
        <v>14717.115999999998</v>
      </c>
      <c r="J53" s="2" t="s">
        <v>29</v>
      </c>
      <c r="K53" s="2">
        <f t="shared" si="2"/>
        <v>-189.15000000000146</v>
      </c>
      <c r="L53" s="7">
        <f t="shared" si="0"/>
        <v>-1.2655094319424982E-2</v>
      </c>
      <c r="M53" s="9"/>
      <c r="N53" s="2">
        <f t="shared" si="3"/>
        <v>15314.7</v>
      </c>
      <c r="O53" s="2">
        <f t="shared" si="1"/>
        <v>-3.8747086132931208E-2</v>
      </c>
      <c r="P53" s="2"/>
    </row>
    <row r="54" spans="1:16" x14ac:dyDescent="0.3">
      <c r="A54" s="3">
        <v>44273</v>
      </c>
      <c r="B54" s="2">
        <v>14855.5</v>
      </c>
      <c r="C54" s="2">
        <v>14875.2</v>
      </c>
      <c r="D54" s="2">
        <v>14478.6</v>
      </c>
      <c r="E54" s="2">
        <v>14557.85</v>
      </c>
      <c r="F54" s="2">
        <v>542216908</v>
      </c>
      <c r="G54" s="2">
        <v>31339.71</v>
      </c>
      <c r="H54" s="2">
        <f t="shared" si="4"/>
        <v>14953.415000000003</v>
      </c>
      <c r="I54" s="2">
        <f t="shared" si="5"/>
        <v>14728.883999999998</v>
      </c>
      <c r="J54" s="2" t="s">
        <v>29</v>
      </c>
      <c r="K54" s="2">
        <f t="shared" si="2"/>
        <v>-163.44999999999891</v>
      </c>
      <c r="L54" s="7">
        <f t="shared" si="0"/>
        <v>-1.1002658947864353E-2</v>
      </c>
      <c r="M54" s="9"/>
      <c r="N54" s="2">
        <f t="shared" si="3"/>
        <v>15314.7</v>
      </c>
      <c r="O54" s="2">
        <f t="shared" si="1"/>
        <v>-4.941983845586273E-2</v>
      </c>
      <c r="P54" s="2"/>
    </row>
    <row r="55" spans="1:16" x14ac:dyDescent="0.3">
      <c r="A55" s="3">
        <v>44274</v>
      </c>
      <c r="B55" s="2">
        <v>14471.15</v>
      </c>
      <c r="C55" s="2">
        <v>14788.25</v>
      </c>
      <c r="D55" s="2">
        <v>14350.1</v>
      </c>
      <c r="E55" s="2">
        <v>14744</v>
      </c>
      <c r="F55" s="2">
        <v>919178208</v>
      </c>
      <c r="G55" s="2">
        <v>49011.27</v>
      </c>
      <c r="H55" s="2">
        <f t="shared" si="4"/>
        <v>14920.862499999999</v>
      </c>
      <c r="I55" s="2">
        <f t="shared" si="5"/>
        <v>14736.051000000001</v>
      </c>
      <c r="J55" s="2" t="s">
        <v>29</v>
      </c>
      <c r="K55" s="2">
        <f t="shared" si="2"/>
        <v>186.14999999999964</v>
      </c>
      <c r="L55" s="7">
        <f t="shared" si="0"/>
        <v>1.2863525013561441E-2</v>
      </c>
      <c r="M55" s="9"/>
      <c r="N55" s="2">
        <f t="shared" si="3"/>
        <v>15314.7</v>
      </c>
      <c r="O55" s="2">
        <f t="shared" si="1"/>
        <v>-3.726485011133096E-2</v>
      </c>
      <c r="P55" s="2"/>
    </row>
    <row r="56" spans="1:16" x14ac:dyDescent="0.3">
      <c r="A56" s="3">
        <v>44277</v>
      </c>
      <c r="B56" s="2">
        <v>14736.3</v>
      </c>
      <c r="C56" s="2">
        <v>14763.9</v>
      </c>
      <c r="D56" s="2">
        <v>14597.85</v>
      </c>
      <c r="E56" s="2">
        <v>14736.4</v>
      </c>
      <c r="F56" s="2">
        <v>458997059</v>
      </c>
      <c r="G56" s="2">
        <v>27345.02</v>
      </c>
      <c r="H56" s="2">
        <f t="shared" si="4"/>
        <v>14902.115</v>
      </c>
      <c r="I56" s="2">
        <f t="shared" si="5"/>
        <v>14748.005999999999</v>
      </c>
      <c r="J56" s="2" t="s">
        <v>29</v>
      </c>
      <c r="K56" s="2">
        <f t="shared" si="2"/>
        <v>-7.6000000000003638</v>
      </c>
      <c r="L56" s="7">
        <f t="shared" si="0"/>
        <v>-5.1573325733056223E-4</v>
      </c>
      <c r="M56" s="9"/>
      <c r="N56" s="2">
        <f t="shared" si="3"/>
        <v>15314.7</v>
      </c>
      <c r="O56" s="2">
        <f t="shared" si="1"/>
        <v>-3.7761105343232404E-2</v>
      </c>
      <c r="P56" s="2"/>
    </row>
    <row r="57" spans="1:16" x14ac:dyDescent="0.3">
      <c r="A57" s="3">
        <v>44278</v>
      </c>
      <c r="B57" s="2">
        <v>14768.55</v>
      </c>
      <c r="C57" s="2">
        <v>14878.6</v>
      </c>
      <c r="D57" s="2">
        <v>14707</v>
      </c>
      <c r="E57" s="2">
        <v>14814.75</v>
      </c>
      <c r="F57" s="2">
        <v>474150088</v>
      </c>
      <c r="G57" s="2">
        <v>30322.09</v>
      </c>
      <c r="H57" s="2">
        <f t="shared" si="4"/>
        <v>14889.8475</v>
      </c>
      <c r="I57" s="2">
        <f t="shared" si="5"/>
        <v>14759.986999999999</v>
      </c>
      <c r="J57" s="2" t="s">
        <v>29</v>
      </c>
      <c r="K57" s="2">
        <f t="shared" si="2"/>
        <v>78.350000000000364</v>
      </c>
      <c r="L57" s="7">
        <f t="shared" si="0"/>
        <v>5.3051924528813169E-3</v>
      </c>
      <c r="M57" s="9"/>
      <c r="N57" s="2">
        <f t="shared" si="3"/>
        <v>15314.7</v>
      </c>
      <c r="O57" s="2">
        <f t="shared" si="1"/>
        <v>-3.2645105682775455E-2</v>
      </c>
      <c r="P57" s="2"/>
    </row>
    <row r="58" spans="1:16" x14ac:dyDescent="0.3">
      <c r="A58" s="3">
        <v>44279</v>
      </c>
      <c r="B58" s="2">
        <v>14712.45</v>
      </c>
      <c r="C58" s="2">
        <v>14752.35</v>
      </c>
      <c r="D58" s="2">
        <v>14535</v>
      </c>
      <c r="E58" s="2">
        <v>14549.4</v>
      </c>
      <c r="F58" s="2">
        <v>456403503</v>
      </c>
      <c r="G58" s="2">
        <v>27868.93</v>
      </c>
      <c r="H58" s="2">
        <f t="shared" si="4"/>
        <v>14896.800000000003</v>
      </c>
      <c r="I58" s="2">
        <f t="shared" si="5"/>
        <v>14769.337</v>
      </c>
      <c r="J58" s="2" t="s">
        <v>29</v>
      </c>
      <c r="K58" s="2">
        <f t="shared" si="2"/>
        <v>-265.35000000000036</v>
      </c>
      <c r="L58" s="7">
        <f t="shared" si="0"/>
        <v>-1.8035745236177549E-2</v>
      </c>
      <c r="M58" s="9"/>
      <c r="N58" s="2">
        <f t="shared" si="3"/>
        <v>15314.7</v>
      </c>
      <c r="O58" s="2">
        <f t="shared" si="1"/>
        <v>-4.9971595917647771E-2</v>
      </c>
      <c r="P58" s="2"/>
    </row>
    <row r="59" spans="1:16" x14ac:dyDescent="0.3">
      <c r="A59" s="3">
        <v>44280</v>
      </c>
      <c r="B59" s="2">
        <v>14570.9</v>
      </c>
      <c r="C59" s="2">
        <v>14575.6</v>
      </c>
      <c r="D59" s="2">
        <v>14264.4</v>
      </c>
      <c r="E59" s="2">
        <v>14324.9</v>
      </c>
      <c r="F59" s="2">
        <v>606820996</v>
      </c>
      <c r="G59" s="2">
        <v>35350.22</v>
      </c>
      <c r="H59" s="2">
        <f t="shared" si="4"/>
        <v>14888.880000000001</v>
      </c>
      <c r="I59" s="2">
        <f t="shared" si="5"/>
        <v>14770.63</v>
      </c>
      <c r="J59" s="2" t="s">
        <v>29</v>
      </c>
      <c r="K59" s="2">
        <f t="shared" si="2"/>
        <v>-224.5</v>
      </c>
      <c r="L59" s="7">
        <f t="shared" si="0"/>
        <v>-1.5407421641765437E-2</v>
      </c>
      <c r="M59" s="9"/>
      <c r="N59" s="2">
        <f t="shared" si="3"/>
        <v>15314.7</v>
      </c>
      <c r="O59" s="2">
        <f t="shared" si="1"/>
        <v>-6.4630714281050272E-2</v>
      </c>
      <c r="P59" s="2"/>
    </row>
    <row r="60" spans="1:16" x14ac:dyDescent="0.3">
      <c r="A60" s="3">
        <v>44281</v>
      </c>
      <c r="B60" s="2">
        <v>14506.3</v>
      </c>
      <c r="C60" s="2">
        <v>14572.9</v>
      </c>
      <c r="D60" s="2">
        <v>14414.25</v>
      </c>
      <c r="E60" s="2">
        <v>14507.3</v>
      </c>
      <c r="F60" s="2">
        <v>481000845</v>
      </c>
      <c r="G60" s="2">
        <v>29423.45</v>
      </c>
      <c r="H60" s="2">
        <f t="shared" si="4"/>
        <v>14856.025000000003</v>
      </c>
      <c r="I60" s="2">
        <f t="shared" si="5"/>
        <v>14765.858999999999</v>
      </c>
      <c r="J60" s="2" t="s">
        <v>29</v>
      </c>
      <c r="K60" s="2">
        <f t="shared" si="2"/>
        <v>182.39999999999964</v>
      </c>
      <c r="L60" s="7">
        <f t="shared" si="0"/>
        <v>1.2573847224998769E-2</v>
      </c>
      <c r="M60" s="9"/>
      <c r="N60" s="2">
        <f t="shared" si="3"/>
        <v>15314.7</v>
      </c>
      <c r="O60" s="2">
        <f t="shared" si="1"/>
        <v>-5.2720588715417294E-2</v>
      </c>
      <c r="P60" s="2"/>
    </row>
    <row r="61" spans="1:16" x14ac:dyDescent="0.3">
      <c r="A61" s="3">
        <v>44285</v>
      </c>
      <c r="B61" s="2">
        <v>14628.5</v>
      </c>
      <c r="C61" s="2">
        <v>14876.3</v>
      </c>
      <c r="D61" s="2">
        <v>14617.6</v>
      </c>
      <c r="E61" s="2">
        <v>14845.1</v>
      </c>
      <c r="F61" s="2">
        <v>594520567</v>
      </c>
      <c r="G61" s="2">
        <v>35117.93</v>
      </c>
      <c r="H61" s="2">
        <f t="shared" si="4"/>
        <v>14826.522500000001</v>
      </c>
      <c r="I61" s="2">
        <f t="shared" si="5"/>
        <v>14764.708000000001</v>
      </c>
      <c r="J61" s="2" t="s">
        <v>29</v>
      </c>
      <c r="K61" s="2">
        <f t="shared" si="2"/>
        <v>337.80000000000109</v>
      </c>
      <c r="L61" s="7">
        <f t="shared" si="0"/>
        <v>2.3091909628465059E-2</v>
      </c>
      <c r="M61" s="9"/>
      <c r="N61" s="2">
        <f t="shared" si="3"/>
        <v>15314.7</v>
      </c>
      <c r="O61" s="2">
        <f t="shared" si="1"/>
        <v>-3.0663349592221834E-2</v>
      </c>
      <c r="P61" s="2"/>
    </row>
    <row r="62" spans="1:16" x14ac:dyDescent="0.3">
      <c r="A62" s="3">
        <v>44286</v>
      </c>
      <c r="B62" s="2">
        <v>14811.85</v>
      </c>
      <c r="C62" s="2">
        <v>14813.75</v>
      </c>
      <c r="D62" s="2">
        <v>14670.25</v>
      </c>
      <c r="E62" s="2">
        <v>14690.7</v>
      </c>
      <c r="F62" s="2">
        <v>436874691</v>
      </c>
      <c r="G62" s="2">
        <v>29741.83</v>
      </c>
      <c r="H62" s="2">
        <f t="shared" si="4"/>
        <v>14842.319999999998</v>
      </c>
      <c r="I62" s="2">
        <f t="shared" si="5"/>
        <v>14769.698</v>
      </c>
      <c r="J62" s="2" t="s">
        <v>29</v>
      </c>
      <c r="K62" s="2">
        <f t="shared" si="2"/>
        <v>-154.39999999999964</v>
      </c>
      <c r="L62" s="7">
        <f t="shared" si="0"/>
        <v>-1.0424086120234786E-2</v>
      </c>
      <c r="M62" s="9"/>
      <c r="N62" s="2">
        <f t="shared" si="3"/>
        <v>15314.7</v>
      </c>
      <c r="O62" s="2">
        <f t="shared" si="1"/>
        <v>-4.0745166408744593E-2</v>
      </c>
      <c r="P62" s="2"/>
    </row>
    <row r="63" spans="1:16" x14ac:dyDescent="0.3">
      <c r="A63" s="3">
        <v>44287</v>
      </c>
      <c r="B63" s="2">
        <v>14798.4</v>
      </c>
      <c r="C63" s="2">
        <v>14883.2</v>
      </c>
      <c r="D63" s="2">
        <v>14692.45</v>
      </c>
      <c r="E63" s="2">
        <v>14867.35</v>
      </c>
      <c r="F63" s="2">
        <v>430028476</v>
      </c>
      <c r="G63" s="2">
        <v>29585.23</v>
      </c>
      <c r="H63" s="2">
        <f t="shared" si="4"/>
        <v>14838.7775</v>
      </c>
      <c r="I63" s="2">
        <f t="shared" si="5"/>
        <v>14774.838</v>
      </c>
      <c r="J63" s="2" t="s">
        <v>29</v>
      </c>
      <c r="K63" s="2">
        <f t="shared" si="2"/>
        <v>176.64999999999964</v>
      </c>
      <c r="L63" s="7">
        <f t="shared" si="0"/>
        <v>1.1937101308249516E-2</v>
      </c>
      <c r="M63" s="9"/>
      <c r="N63" s="2">
        <f t="shared" si="3"/>
        <v>15314.7</v>
      </c>
      <c r="O63" s="2">
        <f t="shared" si="1"/>
        <v>-2.9210497104089517E-2</v>
      </c>
      <c r="P63" s="2"/>
    </row>
    <row r="64" spans="1:16" x14ac:dyDescent="0.3">
      <c r="A64" s="3">
        <v>44291</v>
      </c>
      <c r="B64" s="2">
        <v>14837.7</v>
      </c>
      <c r="C64" s="2">
        <v>14849.85</v>
      </c>
      <c r="D64" s="2">
        <v>14459.5</v>
      </c>
      <c r="E64" s="2">
        <v>14637.8</v>
      </c>
      <c r="F64" s="2">
        <v>500476690</v>
      </c>
      <c r="G64" s="2">
        <v>33885.39</v>
      </c>
      <c r="H64" s="2">
        <f t="shared" si="4"/>
        <v>14836.189999999997</v>
      </c>
      <c r="I64" s="2">
        <f t="shared" si="5"/>
        <v>14786.558999999999</v>
      </c>
      <c r="J64" s="2" t="s">
        <v>29</v>
      </c>
      <c r="K64" s="2">
        <f t="shared" si="2"/>
        <v>-229.55000000000109</v>
      </c>
      <c r="L64" s="7">
        <f t="shared" si="0"/>
        <v>-1.5470726595092304E-2</v>
      </c>
      <c r="M64" s="9"/>
      <c r="N64" s="2">
        <f t="shared" si="3"/>
        <v>15314.7</v>
      </c>
      <c r="O64" s="2">
        <f t="shared" si="1"/>
        <v>-4.4199364009742337E-2</v>
      </c>
      <c r="P64" s="2"/>
    </row>
    <row r="65" spans="1:16" x14ac:dyDescent="0.3">
      <c r="A65" s="3">
        <v>44292</v>
      </c>
      <c r="B65" s="2">
        <v>14737</v>
      </c>
      <c r="C65" s="2">
        <v>14779.1</v>
      </c>
      <c r="D65" s="2">
        <v>14573.9</v>
      </c>
      <c r="E65" s="2">
        <v>14683.5</v>
      </c>
      <c r="F65" s="2">
        <v>474211156</v>
      </c>
      <c r="G65" s="2">
        <v>31885.97</v>
      </c>
      <c r="H65" s="2">
        <f t="shared" si="4"/>
        <v>14805.799999999997</v>
      </c>
      <c r="I65" s="2">
        <f t="shared" si="5"/>
        <v>14788.892</v>
      </c>
      <c r="J65" s="2" t="s">
        <v>29</v>
      </c>
      <c r="K65" s="2">
        <f t="shared" si="2"/>
        <v>45.700000000000728</v>
      </c>
      <c r="L65" s="7">
        <f t="shared" si="0"/>
        <v>3.1010382031621585E-3</v>
      </c>
      <c r="M65" s="9"/>
      <c r="N65" s="2">
        <f t="shared" si="3"/>
        <v>15314.7</v>
      </c>
      <c r="O65" s="2">
        <f t="shared" si="1"/>
        <v>-4.1215302944230148E-2</v>
      </c>
      <c r="P65" s="2"/>
    </row>
    <row r="66" spans="1:16" x14ac:dyDescent="0.3">
      <c r="A66" s="3">
        <v>44293</v>
      </c>
      <c r="B66" s="2">
        <v>14716.45</v>
      </c>
      <c r="C66" s="2">
        <v>14879.8</v>
      </c>
      <c r="D66" s="2">
        <v>14649.85</v>
      </c>
      <c r="E66" s="2">
        <v>14819.05</v>
      </c>
      <c r="F66" s="2">
        <v>476382016</v>
      </c>
      <c r="G66" s="2">
        <v>35184.959999999999</v>
      </c>
      <c r="H66" s="2">
        <f t="shared" si="4"/>
        <v>14785.937499999996</v>
      </c>
      <c r="I66" s="2">
        <f t="shared" si="5"/>
        <v>14789.668</v>
      </c>
      <c r="J66" s="2" t="s">
        <v>29</v>
      </c>
      <c r="K66" s="2">
        <f t="shared" si="2"/>
        <v>135.54999999999927</v>
      </c>
      <c r="L66" s="7">
        <f t="shared" si="0"/>
        <v>9.210781132678007E-3</v>
      </c>
      <c r="M66" s="9"/>
      <c r="N66" s="2">
        <f t="shared" si="3"/>
        <v>15314.7</v>
      </c>
      <c r="O66" s="2">
        <f t="shared" si="1"/>
        <v>-3.2364329696304983E-2</v>
      </c>
      <c r="P66" s="2"/>
    </row>
    <row r="67" spans="1:16" x14ac:dyDescent="0.3">
      <c r="A67" s="3">
        <v>44294</v>
      </c>
      <c r="B67" s="2">
        <v>14875.65</v>
      </c>
      <c r="C67" s="2">
        <v>14984.15</v>
      </c>
      <c r="D67" s="2">
        <v>14821.1</v>
      </c>
      <c r="E67" s="2">
        <v>14873.8</v>
      </c>
      <c r="F67" s="2">
        <v>503728173</v>
      </c>
      <c r="G67" s="2">
        <v>34444.559999999998</v>
      </c>
      <c r="H67" s="2">
        <f t="shared" si="4"/>
        <v>14779.985000000001</v>
      </c>
      <c r="I67" s="2">
        <f t="shared" si="5"/>
        <v>14794.242000000002</v>
      </c>
      <c r="J67" s="2" t="s">
        <v>29</v>
      </c>
      <c r="K67" s="2">
        <f t="shared" si="2"/>
        <v>54.75</v>
      </c>
      <c r="L67" s="7">
        <f t="shared" ref="L67:L130" si="6">(K67/(B67))</f>
        <v>3.6805114398362425E-3</v>
      </c>
      <c r="M67" s="9"/>
      <c r="N67" s="2">
        <f t="shared" si="3"/>
        <v>15314.7</v>
      </c>
      <c r="O67" s="2">
        <f t="shared" ref="O67:O130" si="7">(E67/N67)-1</f>
        <v>-2.8789333124383809E-2</v>
      </c>
      <c r="P67" s="2"/>
    </row>
    <row r="68" spans="1:16" x14ac:dyDescent="0.3">
      <c r="A68" s="3">
        <v>44295</v>
      </c>
      <c r="B68" s="2">
        <v>14882.65</v>
      </c>
      <c r="C68" s="2">
        <v>14918.45</v>
      </c>
      <c r="D68" s="2">
        <v>14785.65</v>
      </c>
      <c r="E68" s="2">
        <v>14834.85</v>
      </c>
      <c r="F68" s="2">
        <v>498347599</v>
      </c>
      <c r="G68" s="2">
        <v>35010.36</v>
      </c>
      <c r="H68" s="2">
        <f t="shared" si="4"/>
        <v>14775.864999999996</v>
      </c>
      <c r="I68" s="2">
        <f t="shared" si="5"/>
        <v>14804.280000000002</v>
      </c>
      <c r="J68" s="2" t="s">
        <v>29</v>
      </c>
      <c r="K68" s="2">
        <f t="shared" ref="K68:K131" si="8">E68-E67</f>
        <v>-38.949999999998909</v>
      </c>
      <c r="L68" s="7">
        <f t="shared" si="6"/>
        <v>-2.6171414365048504E-3</v>
      </c>
      <c r="M68" s="9"/>
      <c r="N68" s="2">
        <f t="shared" si="3"/>
        <v>15314.7</v>
      </c>
      <c r="O68" s="2">
        <f t="shared" si="7"/>
        <v>-3.1332641187878374E-2</v>
      </c>
      <c r="P68" s="2"/>
    </row>
    <row r="69" spans="1:16" x14ac:dyDescent="0.3">
      <c r="A69" s="3">
        <v>44298</v>
      </c>
      <c r="B69" s="2">
        <v>14644.65</v>
      </c>
      <c r="C69" s="2">
        <v>14652.5</v>
      </c>
      <c r="D69" s="2">
        <v>14248.7</v>
      </c>
      <c r="E69" s="2">
        <v>14310.8</v>
      </c>
      <c r="F69" s="2">
        <v>638475842</v>
      </c>
      <c r="G69" s="2">
        <v>43433.24</v>
      </c>
      <c r="H69" s="2">
        <f t="shared" si="4"/>
        <v>14762.687499999996</v>
      </c>
      <c r="I69" s="2">
        <f t="shared" si="5"/>
        <v>14816.199000000001</v>
      </c>
      <c r="J69" s="2" t="s">
        <v>29</v>
      </c>
      <c r="K69" s="2">
        <f t="shared" si="8"/>
        <v>-524.05000000000109</v>
      </c>
      <c r="L69" s="7">
        <f t="shared" si="6"/>
        <v>-3.5784399080893099E-2</v>
      </c>
      <c r="M69" s="9"/>
      <c r="N69" s="2">
        <f t="shared" ref="N69:N132" si="9">MAX(N68,E69)</f>
        <v>15314.7</v>
      </c>
      <c r="O69" s="2">
        <f t="shared" si="7"/>
        <v>-6.5551398329709465E-2</v>
      </c>
      <c r="P69" s="2"/>
    </row>
    <row r="70" spans="1:16" x14ac:dyDescent="0.3">
      <c r="A70" s="3">
        <v>44299</v>
      </c>
      <c r="B70" s="2">
        <v>14364.9</v>
      </c>
      <c r="C70" s="2">
        <v>14528.9</v>
      </c>
      <c r="D70" s="2">
        <v>14274.9</v>
      </c>
      <c r="E70" s="2">
        <v>14504.8</v>
      </c>
      <c r="F70" s="2">
        <v>588666016</v>
      </c>
      <c r="G70" s="2">
        <v>40846.57</v>
      </c>
      <c r="H70" s="2">
        <f t="shared" si="4"/>
        <v>14719.487499999997</v>
      </c>
      <c r="I70" s="2">
        <f t="shared" si="5"/>
        <v>14823.065000000002</v>
      </c>
      <c r="J70" s="2" t="s">
        <v>29</v>
      </c>
      <c r="K70" s="2">
        <f t="shared" si="8"/>
        <v>194</v>
      </c>
      <c r="L70" s="7">
        <f t="shared" si="6"/>
        <v>1.3505141003418054E-2</v>
      </c>
      <c r="M70" s="9"/>
      <c r="N70" s="2">
        <f t="shared" si="9"/>
        <v>15314.7</v>
      </c>
      <c r="O70" s="2">
        <f t="shared" si="7"/>
        <v>-5.2883830568016488E-2</v>
      </c>
      <c r="P70" s="2"/>
    </row>
    <row r="71" spans="1:16" x14ac:dyDescent="0.3">
      <c r="A71" s="3">
        <v>44301</v>
      </c>
      <c r="B71" s="2">
        <v>14522.4</v>
      </c>
      <c r="C71" s="2">
        <v>14597.55</v>
      </c>
      <c r="D71" s="2">
        <v>14353.2</v>
      </c>
      <c r="E71" s="2">
        <v>14581.45</v>
      </c>
      <c r="F71" s="2">
        <v>556851211</v>
      </c>
      <c r="G71" s="2">
        <v>40177.25</v>
      </c>
      <c r="H71" s="2">
        <f t="shared" si="4"/>
        <v>14693.179999999997</v>
      </c>
      <c r="I71" s="2">
        <f t="shared" si="5"/>
        <v>14836.810000000003</v>
      </c>
      <c r="J71" s="2" t="s">
        <v>29</v>
      </c>
      <c r="K71" s="2">
        <f t="shared" si="8"/>
        <v>76.650000000001455</v>
      </c>
      <c r="L71" s="7">
        <f t="shared" si="6"/>
        <v>5.2780532143448366E-3</v>
      </c>
      <c r="M71" s="9"/>
      <c r="N71" s="2">
        <f t="shared" si="9"/>
        <v>15314.7</v>
      </c>
      <c r="O71" s="2">
        <f t="shared" si="7"/>
        <v>-4.7878835367326844E-2</v>
      </c>
      <c r="P71" s="2"/>
    </row>
    <row r="72" spans="1:16" x14ac:dyDescent="0.3">
      <c r="A72" s="3">
        <v>44302</v>
      </c>
      <c r="B72" s="2">
        <v>14599.6</v>
      </c>
      <c r="C72" s="2">
        <v>14697.7</v>
      </c>
      <c r="D72" s="2">
        <v>14559</v>
      </c>
      <c r="E72" s="2">
        <v>14617.85</v>
      </c>
      <c r="F72" s="2">
        <v>568568743</v>
      </c>
      <c r="G72" s="2">
        <v>36653.65</v>
      </c>
      <c r="H72" s="2">
        <f t="shared" si="4"/>
        <v>14675.7775</v>
      </c>
      <c r="I72" s="2">
        <f t="shared" si="5"/>
        <v>14855.747000000001</v>
      </c>
      <c r="J72" s="2" t="s">
        <v>29</v>
      </c>
      <c r="K72" s="2">
        <f t="shared" si="8"/>
        <v>36.399999999999636</v>
      </c>
      <c r="L72" s="7">
        <f t="shared" si="6"/>
        <v>2.4932189923011338E-3</v>
      </c>
      <c r="M72" s="9"/>
      <c r="N72" s="2">
        <f t="shared" si="9"/>
        <v>15314.7</v>
      </c>
      <c r="O72" s="2">
        <f t="shared" si="7"/>
        <v>-4.5502033993483404E-2</v>
      </c>
      <c r="P72" s="2"/>
    </row>
    <row r="73" spans="1:16" x14ac:dyDescent="0.3">
      <c r="A73" s="3">
        <v>44305</v>
      </c>
      <c r="B73" s="2">
        <v>14306.6</v>
      </c>
      <c r="C73" s="2">
        <v>14382.3</v>
      </c>
      <c r="D73" s="2">
        <v>14191.4</v>
      </c>
      <c r="E73" s="2">
        <v>14359.45</v>
      </c>
      <c r="F73" s="2">
        <v>503142904</v>
      </c>
      <c r="G73" s="2">
        <v>34751.949999999997</v>
      </c>
      <c r="H73" s="2">
        <f t="shared" si="4"/>
        <v>14661.147499999997</v>
      </c>
      <c r="I73" s="2">
        <f t="shared" si="5"/>
        <v>14862.480000000003</v>
      </c>
      <c r="J73" s="2" t="s">
        <v>29</v>
      </c>
      <c r="K73" s="2">
        <f t="shared" si="8"/>
        <v>-258.39999999999964</v>
      </c>
      <c r="L73" s="7">
        <f t="shared" si="6"/>
        <v>-1.8061593949645592E-2</v>
      </c>
      <c r="M73" s="9"/>
      <c r="N73" s="2">
        <f t="shared" si="9"/>
        <v>15314.7</v>
      </c>
      <c r="O73" s="2">
        <f t="shared" si="7"/>
        <v>-6.2374711878130151E-2</v>
      </c>
      <c r="P73" s="2"/>
    </row>
    <row r="74" spans="1:16" x14ac:dyDescent="0.3">
      <c r="A74" s="3">
        <v>44306</v>
      </c>
      <c r="B74" s="2">
        <v>14526.7</v>
      </c>
      <c r="C74" s="2">
        <v>14526.95</v>
      </c>
      <c r="D74" s="2">
        <v>14207.3</v>
      </c>
      <c r="E74" s="2">
        <v>14296.4</v>
      </c>
      <c r="F74" s="2">
        <v>456704716</v>
      </c>
      <c r="G74" s="2">
        <v>34687.11</v>
      </c>
      <c r="H74" s="2">
        <f t="shared" si="4"/>
        <v>14643.054999999997</v>
      </c>
      <c r="I74" s="2">
        <f t="shared" si="5"/>
        <v>14856.712000000001</v>
      </c>
      <c r="J74" s="2" t="s">
        <v>29</v>
      </c>
      <c r="K74" s="2">
        <f t="shared" si="8"/>
        <v>-63.050000000001091</v>
      </c>
      <c r="L74" s="7">
        <f t="shared" si="6"/>
        <v>-4.340283753364569E-3</v>
      </c>
      <c r="M74" s="9"/>
      <c r="N74" s="2">
        <f t="shared" si="9"/>
        <v>15314.7</v>
      </c>
      <c r="O74" s="2">
        <f t="shared" si="7"/>
        <v>-6.6491671400680463E-2</v>
      </c>
      <c r="P74" s="2"/>
    </row>
    <row r="75" spans="1:16" x14ac:dyDescent="0.3">
      <c r="A75" s="3">
        <v>44308</v>
      </c>
      <c r="B75" s="2">
        <v>14219.15</v>
      </c>
      <c r="C75" s="2">
        <v>14424.75</v>
      </c>
      <c r="D75" s="2">
        <v>14151.4</v>
      </c>
      <c r="E75" s="2">
        <v>14406.15</v>
      </c>
      <c r="F75" s="2">
        <v>516985252</v>
      </c>
      <c r="G75" s="2">
        <v>37235.71</v>
      </c>
      <c r="H75" s="2">
        <f t="shared" si="4"/>
        <v>14629.982499999998</v>
      </c>
      <c r="I75" s="2">
        <f t="shared" si="5"/>
        <v>14846.841</v>
      </c>
      <c r="J75" s="2" t="s">
        <v>29</v>
      </c>
      <c r="K75" s="2">
        <f t="shared" si="8"/>
        <v>109.75</v>
      </c>
      <c r="L75" s="7">
        <f t="shared" si="6"/>
        <v>7.7184641838647181E-3</v>
      </c>
      <c r="M75" s="9"/>
      <c r="N75" s="2">
        <f t="shared" si="9"/>
        <v>15314.7</v>
      </c>
      <c r="O75" s="2">
        <f t="shared" si="7"/>
        <v>-5.9325354071578351E-2</v>
      </c>
      <c r="P75" s="2"/>
    </row>
    <row r="76" spans="1:16" x14ac:dyDescent="0.3">
      <c r="A76" s="3">
        <v>44309</v>
      </c>
      <c r="B76" s="2">
        <v>14326.35</v>
      </c>
      <c r="C76" s="2">
        <v>14461.15</v>
      </c>
      <c r="D76" s="2">
        <v>14273.3</v>
      </c>
      <c r="E76" s="2">
        <v>14341.35</v>
      </c>
      <c r="F76" s="2">
        <v>476613608</v>
      </c>
      <c r="G76" s="2">
        <v>31894.66</v>
      </c>
      <c r="H76" s="2">
        <f t="shared" si="4"/>
        <v>14613.090000000002</v>
      </c>
      <c r="I76" s="2">
        <f t="shared" si="5"/>
        <v>14837.051000000001</v>
      </c>
      <c r="J76" s="2" t="s">
        <v>29</v>
      </c>
      <c r="K76" s="2">
        <f t="shared" si="8"/>
        <v>-64.799999999999272</v>
      </c>
      <c r="L76" s="7">
        <f t="shared" si="6"/>
        <v>-4.5231339454919967E-3</v>
      </c>
      <c r="M76" s="9"/>
      <c r="N76" s="2">
        <f t="shared" si="9"/>
        <v>15314.7</v>
      </c>
      <c r="O76" s="2">
        <f t="shared" si="7"/>
        <v>-6.3556582890947899E-2</v>
      </c>
      <c r="P76" s="2"/>
    </row>
    <row r="77" spans="1:16" x14ac:dyDescent="0.3">
      <c r="A77" s="3">
        <v>44312</v>
      </c>
      <c r="B77" s="2">
        <v>14449.45</v>
      </c>
      <c r="C77" s="2">
        <v>14557.5</v>
      </c>
      <c r="D77" s="2">
        <v>14421.3</v>
      </c>
      <c r="E77" s="2">
        <v>14485</v>
      </c>
      <c r="F77" s="2">
        <v>448533329</v>
      </c>
      <c r="G77" s="2">
        <v>33156.160000000003</v>
      </c>
      <c r="H77" s="2">
        <f t="shared" si="4"/>
        <v>14593.3375</v>
      </c>
      <c r="I77" s="2">
        <f t="shared" si="5"/>
        <v>14825.393</v>
      </c>
      <c r="J77" s="2" t="s">
        <v>29</v>
      </c>
      <c r="K77" s="2">
        <f t="shared" si="8"/>
        <v>143.64999999999964</v>
      </c>
      <c r="L77" s="7">
        <f t="shared" si="6"/>
        <v>9.9415548688704166E-3</v>
      </c>
      <c r="M77" s="9"/>
      <c r="N77" s="2">
        <f t="shared" si="9"/>
        <v>15314.7</v>
      </c>
      <c r="O77" s="2">
        <f t="shared" si="7"/>
        <v>-5.4176706040601541E-2</v>
      </c>
      <c r="P77" s="2"/>
    </row>
    <row r="78" spans="1:16" x14ac:dyDescent="0.3">
      <c r="A78" s="3">
        <v>44313</v>
      </c>
      <c r="B78" s="2">
        <v>14493.8</v>
      </c>
      <c r="C78" s="2">
        <v>14667.55</v>
      </c>
      <c r="D78" s="2">
        <v>14484.85</v>
      </c>
      <c r="E78" s="2">
        <v>14653.05</v>
      </c>
      <c r="F78" s="2">
        <v>442211685</v>
      </c>
      <c r="G78" s="2">
        <v>32181.14</v>
      </c>
      <c r="H78" s="2">
        <f t="shared" si="4"/>
        <v>14576.85</v>
      </c>
      <c r="I78" s="2">
        <f t="shared" si="5"/>
        <v>14812.777000000002</v>
      </c>
      <c r="J78" s="2" t="s">
        <v>29</v>
      </c>
      <c r="K78" s="2">
        <f t="shared" si="8"/>
        <v>168.04999999999927</v>
      </c>
      <c r="L78" s="7">
        <f t="shared" si="6"/>
        <v>1.1594612868950811E-2</v>
      </c>
      <c r="M78" s="9"/>
      <c r="N78" s="2">
        <f t="shared" si="9"/>
        <v>15314.7</v>
      </c>
      <c r="O78" s="2">
        <f t="shared" si="7"/>
        <v>-4.320358870888763E-2</v>
      </c>
      <c r="P78" s="2"/>
    </row>
    <row r="79" spans="1:16" x14ac:dyDescent="0.3">
      <c r="A79" s="3">
        <v>44314</v>
      </c>
      <c r="B79" s="2">
        <v>14710.5</v>
      </c>
      <c r="C79" s="2">
        <v>14890.25</v>
      </c>
      <c r="D79" s="2">
        <v>14694.95</v>
      </c>
      <c r="E79" s="2">
        <v>14864.55</v>
      </c>
      <c r="F79" s="2">
        <v>453990807</v>
      </c>
      <c r="G79" s="2">
        <v>37650.11</v>
      </c>
      <c r="H79" s="2">
        <f t="shared" si="4"/>
        <v>14582.032499999998</v>
      </c>
      <c r="I79" s="2">
        <f t="shared" si="5"/>
        <v>14803.652000000002</v>
      </c>
      <c r="J79" s="2" t="s">
        <v>29</v>
      </c>
      <c r="K79" s="2">
        <f t="shared" si="8"/>
        <v>211.5</v>
      </c>
      <c r="L79" s="7">
        <f t="shared" si="6"/>
        <v>1.4377485469562558E-2</v>
      </c>
      <c r="M79" s="9"/>
      <c r="N79" s="2">
        <f t="shared" si="9"/>
        <v>15314.7</v>
      </c>
      <c r="O79" s="2">
        <f t="shared" si="7"/>
        <v>-2.9393327979000627E-2</v>
      </c>
      <c r="P79" s="2"/>
    </row>
    <row r="80" spans="1:16" x14ac:dyDescent="0.3">
      <c r="A80" s="3">
        <v>44315</v>
      </c>
      <c r="B80" s="2">
        <v>14979</v>
      </c>
      <c r="C80" s="2">
        <v>15044.35</v>
      </c>
      <c r="D80" s="2">
        <v>14814.45</v>
      </c>
      <c r="E80" s="2">
        <v>14894.9</v>
      </c>
      <c r="F80" s="2">
        <v>511466673</v>
      </c>
      <c r="G80" s="2">
        <v>41597.370000000003</v>
      </c>
      <c r="H80" s="2">
        <f t="shared" si="4"/>
        <v>14609.014999999999</v>
      </c>
      <c r="I80" s="2">
        <f t="shared" si="5"/>
        <v>14798.813000000002</v>
      </c>
      <c r="J80" s="2" t="s">
        <v>29</v>
      </c>
      <c r="K80" s="2">
        <f t="shared" si="8"/>
        <v>30.350000000000364</v>
      </c>
      <c r="L80" s="7">
        <f t="shared" si="6"/>
        <v>2.0261699712931678E-3</v>
      </c>
      <c r="M80" s="9"/>
      <c r="N80" s="2">
        <f t="shared" si="9"/>
        <v>15314.7</v>
      </c>
      <c r="O80" s="2">
        <f t="shared" si="7"/>
        <v>-2.7411571888447117E-2</v>
      </c>
      <c r="P80" s="2"/>
    </row>
    <row r="81" spans="1:16" x14ac:dyDescent="0.3">
      <c r="A81" s="3">
        <v>44316</v>
      </c>
      <c r="B81" s="2">
        <v>14747.35</v>
      </c>
      <c r="C81" s="2">
        <v>14855.45</v>
      </c>
      <c r="D81" s="2">
        <v>14601.7</v>
      </c>
      <c r="E81" s="2">
        <v>14631.1</v>
      </c>
      <c r="F81" s="2">
        <v>594744498</v>
      </c>
      <c r="G81" s="2">
        <v>40335.86</v>
      </c>
      <c r="H81" s="2">
        <f t="shared" si="4"/>
        <v>14628.395</v>
      </c>
      <c r="I81" s="2">
        <f t="shared" si="5"/>
        <v>14793.245000000003</v>
      </c>
      <c r="J81" s="2" t="s">
        <v>29</v>
      </c>
      <c r="K81" s="2">
        <f t="shared" si="8"/>
        <v>-263.79999999999927</v>
      </c>
      <c r="L81" s="7">
        <f t="shared" si="6"/>
        <v>-1.7887959531712426E-2</v>
      </c>
      <c r="M81" s="9"/>
      <c r="N81" s="2">
        <f t="shared" si="9"/>
        <v>15314.7</v>
      </c>
      <c r="O81" s="2">
        <f t="shared" si="7"/>
        <v>-4.463685217470803E-2</v>
      </c>
      <c r="P81" s="2"/>
    </row>
    <row r="82" spans="1:16" x14ac:dyDescent="0.3">
      <c r="A82" s="3">
        <v>44319</v>
      </c>
      <c r="B82" s="2">
        <v>14481.05</v>
      </c>
      <c r="C82" s="2">
        <v>14673.85</v>
      </c>
      <c r="D82" s="2">
        <v>14416.25</v>
      </c>
      <c r="E82" s="2">
        <v>14634.15</v>
      </c>
      <c r="F82" s="2">
        <v>443410846</v>
      </c>
      <c r="G82" s="2">
        <v>32538.97</v>
      </c>
      <c r="H82" s="2">
        <f t="shared" si="4"/>
        <v>14617.695000000002</v>
      </c>
      <c r="I82" s="2">
        <f t="shared" si="5"/>
        <v>14782.601000000001</v>
      </c>
      <c r="J82" s="2" t="s">
        <v>29</v>
      </c>
      <c r="K82" s="2">
        <f t="shared" si="8"/>
        <v>3.0499999999992724</v>
      </c>
      <c r="L82" s="7">
        <f t="shared" si="6"/>
        <v>2.1062008625060148E-4</v>
      </c>
      <c r="M82" s="9"/>
      <c r="N82" s="2">
        <f t="shared" si="9"/>
        <v>15314.7</v>
      </c>
      <c r="O82" s="2">
        <f t="shared" si="7"/>
        <v>-4.4437697114537045E-2</v>
      </c>
      <c r="P82" s="2"/>
    </row>
    <row r="83" spans="1:16" x14ac:dyDescent="0.3">
      <c r="A83" s="3">
        <v>44320</v>
      </c>
      <c r="B83" s="2">
        <v>14687.25</v>
      </c>
      <c r="C83" s="2">
        <v>14723.4</v>
      </c>
      <c r="D83" s="2">
        <v>14461.5</v>
      </c>
      <c r="E83" s="2">
        <v>14496.5</v>
      </c>
      <c r="F83" s="2">
        <v>479657079</v>
      </c>
      <c r="G83" s="2">
        <v>34024.769999999997</v>
      </c>
      <c r="H83" s="2">
        <f t="shared" si="4"/>
        <v>14614.867500000002</v>
      </c>
      <c r="I83" s="2">
        <f t="shared" si="5"/>
        <v>14768.990000000002</v>
      </c>
      <c r="J83" s="2" t="s">
        <v>29</v>
      </c>
      <c r="K83" s="2">
        <f t="shared" si="8"/>
        <v>-137.64999999999964</v>
      </c>
      <c r="L83" s="7">
        <f t="shared" si="6"/>
        <v>-9.3720744182879453E-3</v>
      </c>
      <c r="M83" s="9"/>
      <c r="N83" s="2">
        <f t="shared" si="9"/>
        <v>15314.7</v>
      </c>
      <c r="O83" s="2">
        <f t="shared" si="7"/>
        <v>-5.3425793518645515E-2</v>
      </c>
      <c r="P83" s="2"/>
    </row>
    <row r="84" spans="1:16" x14ac:dyDescent="0.3">
      <c r="A84" s="3">
        <v>44321</v>
      </c>
      <c r="B84" s="2">
        <v>14604.15</v>
      </c>
      <c r="C84" s="2">
        <v>14637.9</v>
      </c>
      <c r="D84" s="2">
        <v>14506.6</v>
      </c>
      <c r="E84" s="2">
        <v>14617.85</v>
      </c>
      <c r="F84" s="2">
        <v>437261063</v>
      </c>
      <c r="G84" s="2">
        <v>28942.47</v>
      </c>
      <c r="H84" s="2">
        <f t="shared" si="4"/>
        <v>14596.325000000001</v>
      </c>
      <c r="I84" s="2">
        <f t="shared" si="5"/>
        <v>14752.651000000002</v>
      </c>
      <c r="J84" s="2" t="s">
        <v>29</v>
      </c>
      <c r="K84" s="2">
        <f t="shared" si="8"/>
        <v>121.35000000000036</v>
      </c>
      <c r="L84" s="7">
        <f t="shared" si="6"/>
        <v>8.3092819506784283E-3</v>
      </c>
      <c r="M84" s="9"/>
      <c r="N84" s="2">
        <f t="shared" si="9"/>
        <v>15314.7</v>
      </c>
      <c r="O84" s="2">
        <f t="shared" si="7"/>
        <v>-4.5502033993483404E-2</v>
      </c>
      <c r="P84" s="2"/>
    </row>
    <row r="85" spans="1:16" x14ac:dyDescent="0.3">
      <c r="A85" s="3">
        <v>44322</v>
      </c>
      <c r="B85" s="2">
        <v>14668.35</v>
      </c>
      <c r="C85" s="2">
        <v>14743.9</v>
      </c>
      <c r="D85" s="2">
        <v>14611.5</v>
      </c>
      <c r="E85" s="2">
        <v>14724.8</v>
      </c>
      <c r="F85" s="2">
        <v>445281496</v>
      </c>
      <c r="G85" s="2">
        <v>31015.95</v>
      </c>
      <c r="H85" s="2">
        <f t="shared" si="4"/>
        <v>14595.327499999999</v>
      </c>
      <c r="I85" s="2">
        <f t="shared" si="5"/>
        <v>14740.83</v>
      </c>
      <c r="J85" s="2" t="s">
        <v>29</v>
      </c>
      <c r="K85" s="2">
        <f t="shared" si="8"/>
        <v>106.94999999999891</v>
      </c>
      <c r="L85" s="7">
        <f t="shared" si="6"/>
        <v>7.2912086226466447E-3</v>
      </c>
      <c r="M85" s="9"/>
      <c r="N85" s="2">
        <f t="shared" si="9"/>
        <v>15314.7</v>
      </c>
      <c r="O85" s="2">
        <f t="shared" si="7"/>
        <v>-3.8518547539292403E-2</v>
      </c>
      <c r="P85" s="2"/>
    </row>
    <row r="86" spans="1:16" x14ac:dyDescent="0.3">
      <c r="A86" s="3">
        <v>44323</v>
      </c>
      <c r="B86" s="2">
        <v>14816.85</v>
      </c>
      <c r="C86" s="2">
        <v>14863.05</v>
      </c>
      <c r="D86" s="2">
        <v>14765.5</v>
      </c>
      <c r="E86" s="2">
        <v>14823.15</v>
      </c>
      <c r="F86" s="2">
        <v>483677266</v>
      </c>
      <c r="G86" s="2">
        <v>33583.370000000003</v>
      </c>
      <c r="H86" s="2">
        <f t="shared" si="4"/>
        <v>14597.392499999996</v>
      </c>
      <c r="I86" s="2">
        <f t="shared" si="5"/>
        <v>14732.947</v>
      </c>
      <c r="J86" s="2" t="s">
        <v>29</v>
      </c>
      <c r="K86" s="2">
        <f t="shared" si="8"/>
        <v>98.350000000000364</v>
      </c>
      <c r="L86" s="7">
        <f t="shared" si="6"/>
        <v>6.6377131441568461E-3</v>
      </c>
      <c r="M86" s="9"/>
      <c r="N86" s="2">
        <f t="shared" si="9"/>
        <v>15314.7</v>
      </c>
      <c r="O86" s="2">
        <f t="shared" si="7"/>
        <v>-3.2096613058042345E-2</v>
      </c>
      <c r="P86" s="2"/>
    </row>
    <row r="87" spans="1:16" x14ac:dyDescent="0.3">
      <c r="A87" s="3">
        <v>44326</v>
      </c>
      <c r="B87" s="2">
        <v>14928.25</v>
      </c>
      <c r="C87" s="2">
        <v>14966.9</v>
      </c>
      <c r="D87" s="2">
        <v>14892.5</v>
      </c>
      <c r="E87" s="2">
        <v>14942.35</v>
      </c>
      <c r="F87" s="2">
        <v>510598577</v>
      </c>
      <c r="G87" s="2">
        <v>31620.639999999999</v>
      </c>
      <c r="H87" s="2">
        <f t="shared" ref="H87:H150" si="10">AVERAGE(E67:E86)</f>
        <v>14597.597499999998</v>
      </c>
      <c r="I87" s="2">
        <f t="shared" si="5"/>
        <v>14729.775000000001</v>
      </c>
      <c r="J87" s="2" t="s">
        <v>29</v>
      </c>
      <c r="K87" s="2">
        <f t="shared" si="8"/>
        <v>119.20000000000073</v>
      </c>
      <c r="L87" s="7">
        <f t="shared" si="6"/>
        <v>7.984860918058093E-3</v>
      </c>
      <c r="M87" s="9"/>
      <c r="N87" s="2">
        <f t="shared" si="9"/>
        <v>15314.7</v>
      </c>
      <c r="O87" s="2">
        <f t="shared" si="7"/>
        <v>-2.431324152611547E-2</v>
      </c>
      <c r="P87" s="2"/>
    </row>
    <row r="88" spans="1:16" x14ac:dyDescent="0.3">
      <c r="A88" s="3">
        <v>44327</v>
      </c>
      <c r="B88" s="2">
        <v>14789.7</v>
      </c>
      <c r="C88" s="2">
        <v>14900</v>
      </c>
      <c r="D88" s="2">
        <v>14771.4</v>
      </c>
      <c r="E88" s="2">
        <v>14850.75</v>
      </c>
      <c r="F88" s="2">
        <v>616204478</v>
      </c>
      <c r="G88" s="2">
        <v>32955.82</v>
      </c>
      <c r="H88" s="2">
        <f t="shared" si="10"/>
        <v>14601.024999999998</v>
      </c>
      <c r="I88" s="2">
        <f t="shared" si="5"/>
        <v>14735.108000000002</v>
      </c>
      <c r="J88" s="2" t="s">
        <v>29</v>
      </c>
      <c r="K88" s="2">
        <f t="shared" si="8"/>
        <v>-91.600000000000364</v>
      </c>
      <c r="L88" s="7">
        <f t="shared" si="6"/>
        <v>-6.1934995300783899E-3</v>
      </c>
      <c r="M88" s="9"/>
      <c r="N88" s="2">
        <f t="shared" si="9"/>
        <v>15314.7</v>
      </c>
      <c r="O88" s="2">
        <f t="shared" si="7"/>
        <v>-3.0294423005347904E-2</v>
      </c>
      <c r="P88" s="2"/>
    </row>
    <row r="89" spans="1:16" x14ac:dyDescent="0.3">
      <c r="A89" s="3">
        <v>44328</v>
      </c>
      <c r="B89" s="2">
        <v>14823.55</v>
      </c>
      <c r="C89" s="2">
        <v>14824.05</v>
      </c>
      <c r="D89" s="2">
        <v>14649.7</v>
      </c>
      <c r="E89" s="2">
        <v>14696.5</v>
      </c>
      <c r="F89" s="2">
        <v>620318215</v>
      </c>
      <c r="G89" s="2">
        <v>32035.23</v>
      </c>
      <c r="H89" s="2">
        <f t="shared" si="10"/>
        <v>14601.819999999998</v>
      </c>
      <c r="I89" s="2">
        <f t="shared" si="5"/>
        <v>14737.967000000002</v>
      </c>
      <c r="J89" s="2" t="s">
        <v>29</v>
      </c>
      <c r="K89" s="2">
        <f t="shared" si="8"/>
        <v>-154.25</v>
      </c>
      <c r="L89" s="7">
        <f t="shared" si="6"/>
        <v>-1.0405739515837974E-2</v>
      </c>
      <c r="M89" s="9"/>
      <c r="N89" s="2">
        <f t="shared" si="9"/>
        <v>15314.7</v>
      </c>
      <c r="O89" s="2">
        <f t="shared" si="7"/>
        <v>-4.0366445310714538E-2</v>
      </c>
      <c r="P89" s="2"/>
    </row>
    <row r="90" spans="1:16" x14ac:dyDescent="0.3">
      <c r="A90" s="3">
        <v>44330</v>
      </c>
      <c r="B90" s="2">
        <v>14749.4</v>
      </c>
      <c r="C90" s="2">
        <v>14749.65</v>
      </c>
      <c r="D90" s="2">
        <v>14591.9</v>
      </c>
      <c r="E90" s="2">
        <v>14677.8</v>
      </c>
      <c r="F90" s="2">
        <v>602738614</v>
      </c>
      <c r="G90" s="2">
        <v>39176.28</v>
      </c>
      <c r="H90" s="2">
        <f t="shared" si="10"/>
        <v>14621.105</v>
      </c>
      <c r="I90" s="2">
        <f t="shared" si="5"/>
        <v>14732.257000000001</v>
      </c>
      <c r="J90" s="2" t="s">
        <v>29</v>
      </c>
      <c r="K90" s="2">
        <f t="shared" si="8"/>
        <v>-18.700000000000728</v>
      </c>
      <c r="L90" s="7">
        <f t="shared" si="6"/>
        <v>-1.2678481836549777E-3</v>
      </c>
      <c r="M90" s="9"/>
      <c r="N90" s="2">
        <f t="shared" si="9"/>
        <v>15314.7</v>
      </c>
      <c r="O90" s="2">
        <f t="shared" si="7"/>
        <v>-4.158749436815623E-2</v>
      </c>
      <c r="P90" s="2"/>
    </row>
    <row r="91" spans="1:16" x14ac:dyDescent="0.3">
      <c r="A91" s="3">
        <v>44333</v>
      </c>
      <c r="B91" s="2">
        <v>14756.25</v>
      </c>
      <c r="C91" s="2">
        <v>14938</v>
      </c>
      <c r="D91" s="2">
        <v>14725.35</v>
      </c>
      <c r="E91" s="2">
        <v>14923.15</v>
      </c>
      <c r="F91" s="2">
        <v>534516176</v>
      </c>
      <c r="G91" s="2">
        <v>35571.279999999999</v>
      </c>
      <c r="H91" s="2">
        <f t="shared" si="10"/>
        <v>14629.755000000001</v>
      </c>
      <c r="I91" s="2">
        <f t="shared" si="5"/>
        <v>14723.866000000004</v>
      </c>
      <c r="J91" s="2" t="s">
        <v>29</v>
      </c>
      <c r="K91" s="2">
        <f t="shared" si="8"/>
        <v>245.35000000000036</v>
      </c>
      <c r="L91" s="7">
        <f t="shared" si="6"/>
        <v>1.6626853028377832E-2</v>
      </c>
      <c r="M91" s="9"/>
      <c r="N91" s="2">
        <f t="shared" si="9"/>
        <v>15314.7</v>
      </c>
      <c r="O91" s="2">
        <f t="shared" si="7"/>
        <v>-2.5566938954076912E-2</v>
      </c>
      <c r="P91" s="2"/>
    </row>
    <row r="92" spans="1:16" x14ac:dyDescent="0.3">
      <c r="A92" s="3">
        <v>44334</v>
      </c>
      <c r="B92" s="2">
        <v>15067.2</v>
      </c>
      <c r="C92" s="2">
        <v>15137.25</v>
      </c>
      <c r="D92" s="2">
        <v>15043.7</v>
      </c>
      <c r="E92" s="2">
        <v>15108.1</v>
      </c>
      <c r="F92" s="2">
        <v>571923125</v>
      </c>
      <c r="G92" s="2">
        <v>35634.730000000003</v>
      </c>
      <c r="H92" s="2">
        <f t="shared" si="10"/>
        <v>14646.84</v>
      </c>
      <c r="I92" s="2">
        <f t="shared" si="5"/>
        <v>14731.746000000003</v>
      </c>
      <c r="J92" s="2" t="s">
        <v>29</v>
      </c>
      <c r="K92" s="2">
        <f t="shared" si="8"/>
        <v>184.95000000000073</v>
      </c>
      <c r="L92" s="7">
        <f t="shared" si="6"/>
        <v>1.2275007964319894E-2</v>
      </c>
      <c r="M92" s="9"/>
      <c r="N92" s="2">
        <f t="shared" si="9"/>
        <v>15314.7</v>
      </c>
      <c r="O92" s="2">
        <f t="shared" si="7"/>
        <v>-1.3490306698792698E-2</v>
      </c>
      <c r="P92" s="2"/>
    </row>
    <row r="93" spans="1:16" x14ac:dyDescent="0.3">
      <c r="A93" s="3">
        <v>44335</v>
      </c>
      <c r="B93" s="2">
        <v>15058.6</v>
      </c>
      <c r="C93" s="2">
        <v>15133.4</v>
      </c>
      <c r="D93" s="2">
        <v>15008.85</v>
      </c>
      <c r="E93" s="2">
        <v>15030.15</v>
      </c>
      <c r="F93" s="2">
        <v>563293717</v>
      </c>
      <c r="G93" s="2">
        <v>31100.21</v>
      </c>
      <c r="H93" s="2">
        <f t="shared" si="10"/>
        <v>14671.352499999999</v>
      </c>
      <c r="I93" s="2">
        <f t="shared" si="5"/>
        <v>14738.677000000001</v>
      </c>
      <c r="J93" s="2" t="s">
        <v>29</v>
      </c>
      <c r="K93" s="2">
        <f t="shared" si="8"/>
        <v>-77.950000000000728</v>
      </c>
      <c r="L93" s="7">
        <f t="shared" si="6"/>
        <v>-5.1764440253410492E-3</v>
      </c>
      <c r="M93" s="9"/>
      <c r="N93" s="2">
        <f t="shared" si="9"/>
        <v>15314.7</v>
      </c>
      <c r="O93" s="2">
        <f t="shared" si="7"/>
        <v>-1.8580187662833869E-2</v>
      </c>
      <c r="P93" s="2"/>
    </row>
    <row r="94" spans="1:16" x14ac:dyDescent="0.3">
      <c r="A94" s="3">
        <v>44336</v>
      </c>
      <c r="B94" s="2">
        <v>15042.6</v>
      </c>
      <c r="C94" s="2">
        <v>15069.8</v>
      </c>
      <c r="D94" s="2">
        <v>14884.9</v>
      </c>
      <c r="E94" s="2">
        <v>14906.05</v>
      </c>
      <c r="F94" s="2">
        <v>467455658</v>
      </c>
      <c r="G94" s="2">
        <v>28002.53</v>
      </c>
      <c r="H94" s="2">
        <f t="shared" si="10"/>
        <v>14704.887500000001</v>
      </c>
      <c r="I94" s="2">
        <f t="shared" si="5"/>
        <v>14740.898000000001</v>
      </c>
      <c r="J94" s="2" t="s">
        <v>29</v>
      </c>
      <c r="K94" s="2">
        <f t="shared" si="8"/>
        <v>-124.10000000000036</v>
      </c>
      <c r="L94" s="7">
        <f t="shared" si="6"/>
        <v>-8.2499036070892238E-3</v>
      </c>
      <c r="M94" s="9"/>
      <c r="N94" s="2">
        <f t="shared" si="9"/>
        <v>15314.7</v>
      </c>
      <c r="O94" s="2">
        <f t="shared" si="7"/>
        <v>-2.6683513225854938E-2</v>
      </c>
      <c r="P94" s="2"/>
    </row>
    <row r="95" spans="1:16" x14ac:dyDescent="0.3">
      <c r="A95" s="3">
        <v>44337</v>
      </c>
      <c r="B95" s="2">
        <v>14987.8</v>
      </c>
      <c r="C95" s="2">
        <v>15190</v>
      </c>
      <c r="D95" s="2">
        <v>14985.85</v>
      </c>
      <c r="E95" s="2">
        <v>15175.3</v>
      </c>
      <c r="F95" s="2">
        <v>557730470</v>
      </c>
      <c r="G95" s="2">
        <v>31921.759999999998</v>
      </c>
      <c r="H95" s="2">
        <f t="shared" si="10"/>
        <v>14735.369999999999</v>
      </c>
      <c r="I95" s="2">
        <f t="shared" si="5"/>
        <v>14734.107</v>
      </c>
      <c r="J95" s="2" t="s">
        <v>29</v>
      </c>
      <c r="K95" s="2">
        <f t="shared" si="8"/>
        <v>269.25</v>
      </c>
      <c r="L95" s="7">
        <f t="shared" si="6"/>
        <v>1.7964611217123262E-2</v>
      </c>
      <c r="M95" s="9"/>
      <c r="N95" s="2">
        <f t="shared" si="9"/>
        <v>15314.7</v>
      </c>
      <c r="O95" s="2">
        <f t="shared" si="7"/>
        <v>-9.102365700927928E-3</v>
      </c>
      <c r="P95" s="2"/>
    </row>
    <row r="96" spans="1:16" x14ac:dyDescent="0.3">
      <c r="A96" s="3">
        <v>44340</v>
      </c>
      <c r="B96" s="2">
        <v>15211.35</v>
      </c>
      <c r="C96" s="2">
        <v>15256.25</v>
      </c>
      <c r="D96" s="2">
        <v>15145.45</v>
      </c>
      <c r="E96" s="2">
        <v>15197.7</v>
      </c>
      <c r="F96" s="2">
        <v>566722866</v>
      </c>
      <c r="G96" s="2">
        <v>32061.040000000001</v>
      </c>
      <c r="H96" s="2">
        <f t="shared" si="10"/>
        <v>14773.827499999996</v>
      </c>
      <c r="I96" s="2">
        <f t="shared" si="5"/>
        <v>14735.998000000003</v>
      </c>
      <c r="J96" s="2" t="s">
        <v>29</v>
      </c>
      <c r="K96" s="2">
        <f t="shared" si="8"/>
        <v>22.400000000001455</v>
      </c>
      <c r="L96" s="7">
        <f t="shared" si="6"/>
        <v>1.4725846160926843E-3</v>
      </c>
      <c r="M96" s="9"/>
      <c r="N96" s="2">
        <f t="shared" si="9"/>
        <v>15314.7</v>
      </c>
      <c r="O96" s="2">
        <f t="shared" si="7"/>
        <v>-7.6397187016395973E-3</v>
      </c>
      <c r="P96" s="2"/>
    </row>
    <row r="97" spans="1:16" x14ac:dyDescent="0.3">
      <c r="A97" s="3">
        <v>44341</v>
      </c>
      <c r="B97" s="2">
        <v>15291.75</v>
      </c>
      <c r="C97" s="2">
        <v>15293.85</v>
      </c>
      <c r="D97" s="2">
        <v>15163.4</v>
      </c>
      <c r="E97" s="2">
        <v>15208.45</v>
      </c>
      <c r="F97" s="2">
        <v>417323446</v>
      </c>
      <c r="G97" s="2">
        <v>26871.99</v>
      </c>
      <c r="H97" s="2">
        <f t="shared" si="10"/>
        <v>14816.644999999999</v>
      </c>
      <c r="I97" s="2">
        <f t="shared" si="5"/>
        <v>14741.190000000002</v>
      </c>
      <c r="J97" s="2" t="s">
        <v>29</v>
      </c>
      <c r="K97" s="2">
        <f t="shared" si="8"/>
        <v>10.75</v>
      </c>
      <c r="L97" s="7">
        <f t="shared" si="6"/>
        <v>7.0299344417741594E-4</v>
      </c>
      <c r="M97" s="9"/>
      <c r="N97" s="2">
        <f t="shared" si="9"/>
        <v>15314.7</v>
      </c>
      <c r="O97" s="2">
        <f t="shared" si="7"/>
        <v>-6.9377787354633069E-3</v>
      </c>
      <c r="P97" s="2"/>
    </row>
    <row r="98" spans="1:16" x14ac:dyDescent="0.3">
      <c r="A98" s="3">
        <v>44342</v>
      </c>
      <c r="B98" s="2">
        <v>15257.05</v>
      </c>
      <c r="C98" s="2">
        <v>15319.9</v>
      </c>
      <c r="D98" s="2">
        <v>15194.95</v>
      </c>
      <c r="E98" s="2">
        <v>15301.45</v>
      </c>
      <c r="F98" s="2">
        <v>377682051</v>
      </c>
      <c r="G98" s="2">
        <v>26187.83</v>
      </c>
      <c r="H98" s="2">
        <f t="shared" si="10"/>
        <v>14852.817500000001</v>
      </c>
      <c r="I98" s="2">
        <f t="shared" si="5"/>
        <v>14746.235000000001</v>
      </c>
      <c r="J98" s="2" t="s">
        <v>29</v>
      </c>
      <c r="K98" s="2">
        <f t="shared" si="8"/>
        <v>93</v>
      </c>
      <c r="L98" s="7">
        <f t="shared" si="6"/>
        <v>6.0955427163180307E-3</v>
      </c>
      <c r="M98" s="9"/>
      <c r="N98" s="2">
        <f t="shared" si="9"/>
        <v>15314.7</v>
      </c>
      <c r="O98" s="2">
        <f t="shared" si="7"/>
        <v>-8.6518181877537348E-4</v>
      </c>
      <c r="P98" s="2"/>
    </row>
    <row r="99" spans="1:16" x14ac:dyDescent="0.3">
      <c r="A99" s="3">
        <v>44343</v>
      </c>
      <c r="B99" s="2">
        <v>15323.95</v>
      </c>
      <c r="C99" s="2">
        <v>15384.55</v>
      </c>
      <c r="D99" s="2">
        <v>15272.5</v>
      </c>
      <c r="E99" s="2">
        <v>15337.85</v>
      </c>
      <c r="F99" s="2">
        <v>682374351</v>
      </c>
      <c r="G99" s="2">
        <v>48219.93</v>
      </c>
      <c r="H99" s="2">
        <f t="shared" si="10"/>
        <v>14885.237499999999</v>
      </c>
      <c r="I99" s="2">
        <f t="shared" si="5"/>
        <v>14750.296</v>
      </c>
      <c r="J99" s="2" t="s">
        <v>29</v>
      </c>
      <c r="K99" s="2">
        <f t="shared" si="8"/>
        <v>36.399999999999636</v>
      </c>
      <c r="L99" s="7">
        <f t="shared" si="6"/>
        <v>2.3753666646001608E-3</v>
      </c>
      <c r="M99" s="9"/>
      <c r="N99" s="2">
        <f t="shared" si="9"/>
        <v>15337.85</v>
      </c>
      <c r="O99" s="2">
        <f t="shared" si="7"/>
        <v>0</v>
      </c>
      <c r="P99" s="2"/>
    </row>
    <row r="100" spans="1:16" x14ac:dyDescent="0.3">
      <c r="A100" s="3">
        <v>44344</v>
      </c>
      <c r="B100" s="2">
        <v>15421.2</v>
      </c>
      <c r="C100" s="2">
        <v>15469.65</v>
      </c>
      <c r="D100" s="2">
        <v>15394.75</v>
      </c>
      <c r="E100" s="2">
        <v>15435.65</v>
      </c>
      <c r="F100" s="2">
        <v>455582440</v>
      </c>
      <c r="G100" s="2">
        <v>32992.080000000002</v>
      </c>
      <c r="H100" s="2">
        <f t="shared" si="10"/>
        <v>14908.902499999997</v>
      </c>
      <c r="I100" s="2">
        <f t="shared" si="5"/>
        <v>14753.556999999999</v>
      </c>
      <c r="J100" s="2" t="s">
        <v>29</v>
      </c>
      <c r="K100" s="2">
        <f t="shared" si="8"/>
        <v>97.799999999999272</v>
      </c>
      <c r="L100" s="7">
        <f t="shared" si="6"/>
        <v>6.3419189168157641E-3</v>
      </c>
      <c r="M100" s="9"/>
      <c r="N100" s="2">
        <f t="shared" si="9"/>
        <v>15435.65</v>
      </c>
      <c r="O100" s="2">
        <f t="shared" si="7"/>
        <v>0</v>
      </c>
      <c r="P100" s="2"/>
    </row>
    <row r="101" spans="1:16" x14ac:dyDescent="0.3">
      <c r="A101" s="3">
        <v>44347</v>
      </c>
      <c r="B101" s="2">
        <v>15437.75</v>
      </c>
      <c r="C101" s="2">
        <v>15606.35</v>
      </c>
      <c r="D101" s="2">
        <v>15374</v>
      </c>
      <c r="E101" s="2">
        <v>15582.8</v>
      </c>
      <c r="F101" s="2">
        <v>435999456</v>
      </c>
      <c r="G101" s="2">
        <v>32739.29</v>
      </c>
      <c r="H101" s="2">
        <f t="shared" si="10"/>
        <v>14935.939999999999</v>
      </c>
      <c r="I101" s="2">
        <f t="shared" si="5"/>
        <v>14761.650999999998</v>
      </c>
      <c r="J101" s="2" t="s">
        <v>29</v>
      </c>
      <c r="K101" s="2">
        <f t="shared" si="8"/>
        <v>147.14999999999964</v>
      </c>
      <c r="L101" s="7">
        <f t="shared" si="6"/>
        <v>9.5318294440575619E-3</v>
      </c>
      <c r="M101" s="9"/>
      <c r="N101" s="2">
        <f t="shared" si="9"/>
        <v>15582.8</v>
      </c>
      <c r="O101" s="2">
        <f t="shared" si="7"/>
        <v>0</v>
      </c>
      <c r="P101" s="2"/>
    </row>
    <row r="102" spans="1:16" x14ac:dyDescent="0.3">
      <c r="A102" s="3">
        <v>44348</v>
      </c>
      <c r="B102" s="2">
        <v>15629.65</v>
      </c>
      <c r="C102" s="2">
        <v>15660.75</v>
      </c>
      <c r="D102" s="2">
        <v>15528.3</v>
      </c>
      <c r="E102" s="2">
        <v>15574.85</v>
      </c>
      <c r="F102" s="2">
        <v>409562322</v>
      </c>
      <c r="G102" s="2">
        <v>27964.09</v>
      </c>
      <c r="H102" s="2">
        <f t="shared" si="10"/>
        <v>14983.525</v>
      </c>
      <c r="I102" s="2">
        <f t="shared" si="5"/>
        <v>14774.717000000002</v>
      </c>
      <c r="J102" s="2" t="s">
        <v>29</v>
      </c>
      <c r="K102" s="2">
        <f t="shared" si="8"/>
        <v>-7.9499999999989086</v>
      </c>
      <c r="L102" s="7">
        <f t="shared" si="6"/>
        <v>-5.086486261687823E-4</v>
      </c>
      <c r="M102" s="9"/>
      <c r="N102" s="2">
        <f t="shared" si="9"/>
        <v>15582.8</v>
      </c>
      <c r="O102" s="2">
        <f t="shared" si="7"/>
        <v>-5.1017788844098799E-4</v>
      </c>
      <c r="P102" s="2"/>
    </row>
    <row r="103" spans="1:16" x14ac:dyDescent="0.3">
      <c r="A103" s="3">
        <v>44349</v>
      </c>
      <c r="B103" s="2">
        <v>15520.35</v>
      </c>
      <c r="C103" s="2">
        <v>15597.45</v>
      </c>
      <c r="D103" s="2">
        <v>15459.85</v>
      </c>
      <c r="E103" s="2">
        <v>15576.2</v>
      </c>
      <c r="F103" s="2">
        <v>428641666</v>
      </c>
      <c r="G103" s="2">
        <v>28781.87</v>
      </c>
      <c r="H103" s="2">
        <f t="shared" si="10"/>
        <v>15030.560000000001</v>
      </c>
      <c r="I103" s="2">
        <f t="shared" si="5"/>
        <v>14788.004999999999</v>
      </c>
      <c r="J103" s="2" t="s">
        <v>29</v>
      </c>
      <c r="K103" s="2">
        <f t="shared" si="8"/>
        <v>1.3500000000003638</v>
      </c>
      <c r="L103" s="7">
        <f t="shared" si="6"/>
        <v>8.6982574490933762E-5</v>
      </c>
      <c r="M103" s="9"/>
      <c r="N103" s="2">
        <f t="shared" si="9"/>
        <v>15582.8</v>
      </c>
      <c r="O103" s="2">
        <f t="shared" si="7"/>
        <v>-4.2354390738497116E-4</v>
      </c>
      <c r="P103" s="2"/>
    </row>
    <row r="104" spans="1:16" x14ac:dyDescent="0.3">
      <c r="A104" s="3">
        <v>44350</v>
      </c>
      <c r="B104" s="2">
        <v>15655.55</v>
      </c>
      <c r="C104" s="2">
        <v>15705.1</v>
      </c>
      <c r="D104" s="2">
        <v>15611</v>
      </c>
      <c r="E104" s="2">
        <v>15690.35</v>
      </c>
      <c r="F104" s="2">
        <v>410240584</v>
      </c>
      <c r="G104" s="2">
        <v>27519.48</v>
      </c>
      <c r="H104" s="2">
        <f t="shared" si="10"/>
        <v>15084.544999999998</v>
      </c>
      <c r="I104" s="2">
        <f t="shared" si="5"/>
        <v>14805.102999999997</v>
      </c>
      <c r="J104" s="2" t="s">
        <v>29</v>
      </c>
      <c r="K104" s="2">
        <f t="shared" si="8"/>
        <v>114.14999999999964</v>
      </c>
      <c r="L104" s="7">
        <f t="shared" si="6"/>
        <v>7.2913439642810149E-3</v>
      </c>
      <c r="M104" s="9"/>
      <c r="N104" s="2">
        <f t="shared" si="9"/>
        <v>15690.35</v>
      </c>
      <c r="O104" s="2">
        <f t="shared" si="7"/>
        <v>0</v>
      </c>
      <c r="P104" s="2"/>
    </row>
    <row r="105" spans="1:16" x14ac:dyDescent="0.3">
      <c r="A105" s="3">
        <v>44351</v>
      </c>
      <c r="B105" s="2">
        <v>15712.5</v>
      </c>
      <c r="C105" s="2">
        <v>15733.6</v>
      </c>
      <c r="D105" s="2">
        <v>15622.35</v>
      </c>
      <c r="E105" s="2">
        <v>15670.25</v>
      </c>
      <c r="F105" s="2">
        <v>414162241</v>
      </c>
      <c r="G105" s="2">
        <v>25363.03</v>
      </c>
      <c r="H105" s="2">
        <f t="shared" si="10"/>
        <v>15138.169999999998</v>
      </c>
      <c r="I105" s="2">
        <f t="shared" si="5"/>
        <v>14827.752999999999</v>
      </c>
      <c r="J105" s="2" t="s">
        <v>29</v>
      </c>
      <c r="K105" s="2">
        <f t="shared" si="8"/>
        <v>-20.100000000000364</v>
      </c>
      <c r="L105" s="7">
        <f t="shared" si="6"/>
        <v>-1.2792362768496652E-3</v>
      </c>
      <c r="M105" s="9"/>
      <c r="N105" s="2">
        <f t="shared" si="9"/>
        <v>15690.35</v>
      </c>
      <c r="O105" s="2">
        <f t="shared" si="7"/>
        <v>-1.2810421692314167E-3</v>
      </c>
      <c r="P105" s="2"/>
    </row>
    <row r="106" spans="1:16" x14ac:dyDescent="0.3">
      <c r="A106" s="3">
        <v>44354</v>
      </c>
      <c r="B106" s="2">
        <v>15725.1</v>
      </c>
      <c r="C106" s="2">
        <v>15773.45</v>
      </c>
      <c r="D106" s="2">
        <v>15678.1</v>
      </c>
      <c r="E106" s="2">
        <v>15751.65</v>
      </c>
      <c r="F106" s="2">
        <v>393970049</v>
      </c>
      <c r="G106" s="2">
        <v>25411.48</v>
      </c>
      <c r="H106" s="2">
        <f t="shared" si="10"/>
        <v>15185.442499999999</v>
      </c>
      <c r="I106" s="2">
        <f t="shared" si="5"/>
        <v>14846.277999999998</v>
      </c>
      <c r="J106" s="2" t="s">
        <v>29</v>
      </c>
      <c r="K106" s="2">
        <f t="shared" si="8"/>
        <v>81.399999999999636</v>
      </c>
      <c r="L106" s="7">
        <f t="shared" si="6"/>
        <v>5.1764376697127287E-3</v>
      </c>
      <c r="M106" s="9"/>
      <c r="N106" s="2">
        <f t="shared" si="9"/>
        <v>15751.65</v>
      </c>
      <c r="O106" s="2">
        <f t="shared" si="7"/>
        <v>0</v>
      </c>
      <c r="P106" s="2"/>
    </row>
    <row r="107" spans="1:16" x14ac:dyDescent="0.3">
      <c r="A107" s="3">
        <v>44355</v>
      </c>
      <c r="B107" s="2">
        <v>15773.9</v>
      </c>
      <c r="C107" s="2">
        <v>15778.8</v>
      </c>
      <c r="D107" s="2">
        <v>15680</v>
      </c>
      <c r="E107" s="2">
        <v>15740.1</v>
      </c>
      <c r="F107" s="2">
        <v>378164658</v>
      </c>
      <c r="G107" s="2">
        <v>24172.13</v>
      </c>
      <c r="H107" s="2">
        <f t="shared" si="10"/>
        <v>15231.867500000002</v>
      </c>
      <c r="I107" s="2">
        <f t="shared" si="5"/>
        <v>14866.582999999999</v>
      </c>
      <c r="J107" s="2" t="s">
        <v>29</v>
      </c>
      <c r="K107" s="2">
        <f t="shared" si="8"/>
        <v>-11.549999999999272</v>
      </c>
      <c r="L107" s="7">
        <f t="shared" si="6"/>
        <v>-7.3222221517819138E-4</v>
      </c>
      <c r="M107" s="9"/>
      <c r="N107" s="2">
        <f t="shared" si="9"/>
        <v>15751.65</v>
      </c>
      <c r="O107" s="2">
        <f t="shared" si="7"/>
        <v>-7.3325651598399322E-4</v>
      </c>
      <c r="P107" s="2"/>
    </row>
    <row r="108" spans="1:16" x14ac:dyDescent="0.3">
      <c r="A108" s="3">
        <v>44356</v>
      </c>
      <c r="B108" s="2">
        <v>15766.3</v>
      </c>
      <c r="C108" s="2">
        <v>15800.45</v>
      </c>
      <c r="D108" s="2">
        <v>15566.9</v>
      </c>
      <c r="E108" s="2">
        <v>15635.35</v>
      </c>
      <c r="F108" s="2">
        <v>457855735</v>
      </c>
      <c r="G108" s="2">
        <v>26926.49</v>
      </c>
      <c r="H108" s="2">
        <f t="shared" si="10"/>
        <v>15271.755000000001</v>
      </c>
      <c r="I108" s="2">
        <f t="shared" si="5"/>
        <v>14885.089999999998</v>
      </c>
      <c r="J108" s="2" t="s">
        <v>29</v>
      </c>
      <c r="K108" s="2">
        <f t="shared" si="8"/>
        <v>-104.75</v>
      </c>
      <c r="L108" s="7">
        <f t="shared" si="6"/>
        <v>-6.6439177232451496E-3</v>
      </c>
      <c r="M108" s="9"/>
      <c r="N108" s="2">
        <f t="shared" si="9"/>
        <v>15751.65</v>
      </c>
      <c r="O108" s="2">
        <f t="shared" si="7"/>
        <v>-7.3833534899517828E-3</v>
      </c>
      <c r="P108" s="2"/>
    </row>
    <row r="109" spans="1:16" x14ac:dyDescent="0.3">
      <c r="A109" s="3">
        <v>44357</v>
      </c>
      <c r="B109" s="2">
        <v>15692.1</v>
      </c>
      <c r="C109" s="2">
        <v>15751.25</v>
      </c>
      <c r="D109" s="2">
        <v>15648.5</v>
      </c>
      <c r="E109" s="2">
        <v>15737.75</v>
      </c>
      <c r="F109" s="2">
        <v>298297041</v>
      </c>
      <c r="G109" s="2">
        <v>23032.9</v>
      </c>
      <c r="H109" s="2">
        <f t="shared" si="10"/>
        <v>15310.985000000001</v>
      </c>
      <c r="I109" s="2">
        <f t="shared" si="5"/>
        <v>14906.808999999997</v>
      </c>
      <c r="J109" s="2" t="s">
        <v>29</v>
      </c>
      <c r="K109" s="2">
        <f t="shared" si="8"/>
        <v>102.39999999999964</v>
      </c>
      <c r="L109" s="7">
        <f t="shared" si="6"/>
        <v>6.52557656400352E-3</v>
      </c>
      <c r="M109" s="9"/>
      <c r="N109" s="2">
        <f t="shared" si="9"/>
        <v>15751.65</v>
      </c>
      <c r="O109" s="2">
        <f t="shared" si="7"/>
        <v>-8.8244723568642325E-4</v>
      </c>
      <c r="P109" s="2"/>
    </row>
    <row r="110" spans="1:16" x14ac:dyDescent="0.3">
      <c r="A110" s="3">
        <v>44358</v>
      </c>
      <c r="B110" s="2">
        <v>15796.45</v>
      </c>
      <c r="C110" s="2">
        <v>15835.55</v>
      </c>
      <c r="D110" s="2">
        <v>15749.8</v>
      </c>
      <c r="E110" s="2">
        <v>15799.35</v>
      </c>
      <c r="F110" s="2">
        <v>363011297</v>
      </c>
      <c r="G110" s="2">
        <v>24591.69</v>
      </c>
      <c r="H110" s="2">
        <f t="shared" si="10"/>
        <v>15363.047499999997</v>
      </c>
      <c r="I110" s="2">
        <f t="shared" si="5"/>
        <v>14935.065999999997</v>
      </c>
      <c r="J110" s="2" t="s">
        <v>29</v>
      </c>
      <c r="K110" s="2">
        <f t="shared" si="8"/>
        <v>61.600000000000364</v>
      </c>
      <c r="L110" s="7">
        <f t="shared" si="6"/>
        <v>3.8996103554912883E-3</v>
      </c>
      <c r="M110" s="9"/>
      <c r="N110" s="2">
        <f t="shared" si="9"/>
        <v>15799.35</v>
      </c>
      <c r="O110" s="2">
        <f t="shared" si="7"/>
        <v>0</v>
      </c>
      <c r="P110" s="2"/>
    </row>
    <row r="111" spans="1:16" x14ac:dyDescent="0.3">
      <c r="A111" s="3">
        <v>44361</v>
      </c>
      <c r="B111" s="2">
        <v>15791.4</v>
      </c>
      <c r="C111" s="2">
        <v>15823.05</v>
      </c>
      <c r="D111" s="2">
        <v>15606.5</v>
      </c>
      <c r="E111" s="2">
        <v>15811.85</v>
      </c>
      <c r="F111" s="2">
        <v>392862037</v>
      </c>
      <c r="G111" s="2">
        <v>28001.5</v>
      </c>
      <c r="H111" s="2">
        <f t="shared" si="10"/>
        <v>15419.124999999996</v>
      </c>
      <c r="I111" s="2">
        <f t="shared" si="5"/>
        <v>14960.906999999996</v>
      </c>
      <c r="J111" s="2" t="s">
        <v>29</v>
      </c>
      <c r="K111" s="2">
        <f t="shared" si="8"/>
        <v>12.5</v>
      </c>
      <c r="L111" s="7">
        <f t="shared" si="6"/>
        <v>7.9157009511506265E-4</v>
      </c>
      <c r="M111" s="9"/>
      <c r="N111" s="2">
        <f t="shared" si="9"/>
        <v>15811.85</v>
      </c>
      <c r="O111" s="2">
        <f t="shared" si="7"/>
        <v>0</v>
      </c>
      <c r="P111" s="2"/>
    </row>
    <row r="112" spans="1:16" x14ac:dyDescent="0.3">
      <c r="A112" s="3">
        <v>44362</v>
      </c>
      <c r="B112" s="2">
        <v>15866.95</v>
      </c>
      <c r="C112" s="2">
        <v>15901.6</v>
      </c>
      <c r="D112" s="2">
        <v>15842.4</v>
      </c>
      <c r="E112" s="2">
        <v>15869.25</v>
      </c>
      <c r="F112" s="2">
        <v>323262818</v>
      </c>
      <c r="G112" s="2">
        <v>22181.26</v>
      </c>
      <c r="H112" s="2">
        <f t="shared" si="10"/>
        <v>15463.559999999998</v>
      </c>
      <c r="I112" s="2">
        <f t="shared" si="5"/>
        <v>14980.241999999997</v>
      </c>
      <c r="J112" s="2" t="s">
        <v>29</v>
      </c>
      <c r="K112" s="2">
        <f t="shared" si="8"/>
        <v>57.399999999999636</v>
      </c>
      <c r="L112" s="7">
        <f t="shared" si="6"/>
        <v>3.6175824591367358E-3</v>
      </c>
      <c r="M112" s="9"/>
      <c r="N112" s="2">
        <f t="shared" si="9"/>
        <v>15869.25</v>
      </c>
      <c r="O112" s="2">
        <f t="shared" si="7"/>
        <v>0</v>
      </c>
      <c r="P112" s="2"/>
    </row>
    <row r="113" spans="1:16" x14ac:dyDescent="0.3">
      <c r="A113" s="3">
        <v>44363</v>
      </c>
      <c r="B113" s="2">
        <v>15847.5</v>
      </c>
      <c r="C113" s="2">
        <v>15880.85</v>
      </c>
      <c r="D113" s="2">
        <v>15742.6</v>
      </c>
      <c r="E113" s="2">
        <v>15767.55</v>
      </c>
      <c r="F113" s="2">
        <v>340191175</v>
      </c>
      <c r="G113" s="2">
        <v>22505.95</v>
      </c>
      <c r="H113" s="2">
        <f t="shared" si="10"/>
        <v>15501.617499999998</v>
      </c>
      <c r="I113" s="2">
        <f t="shared" si="5"/>
        <v>15003.812999999998</v>
      </c>
      <c r="J113" s="2" t="s">
        <v>29</v>
      </c>
      <c r="K113" s="2">
        <f t="shared" si="8"/>
        <v>-101.70000000000073</v>
      </c>
      <c r="L113" s="7">
        <f t="shared" si="6"/>
        <v>-6.4174159962139595E-3</v>
      </c>
      <c r="M113" s="9"/>
      <c r="N113" s="2">
        <f t="shared" si="9"/>
        <v>15869.25</v>
      </c>
      <c r="O113" s="2">
        <f t="shared" si="7"/>
        <v>-6.4086204452006301E-3</v>
      </c>
      <c r="P113" s="2"/>
    </row>
    <row r="114" spans="1:16" x14ac:dyDescent="0.3">
      <c r="A114" s="3">
        <v>44364</v>
      </c>
      <c r="B114" s="2">
        <v>15648.3</v>
      </c>
      <c r="C114" s="2">
        <v>15769.35</v>
      </c>
      <c r="D114" s="2">
        <v>15616.75</v>
      </c>
      <c r="E114" s="2">
        <v>15691.4</v>
      </c>
      <c r="F114" s="2">
        <v>357649243</v>
      </c>
      <c r="G114" s="2">
        <v>26048.47</v>
      </c>
      <c r="H114" s="2">
        <f t="shared" si="10"/>
        <v>15538.487499999999</v>
      </c>
      <c r="I114" s="2">
        <f t="shared" si="5"/>
        <v>15021.816999999999</v>
      </c>
      <c r="J114" s="2" t="s">
        <v>29</v>
      </c>
      <c r="K114" s="2">
        <f t="shared" si="8"/>
        <v>-76.149999999999636</v>
      </c>
      <c r="L114" s="7">
        <f t="shared" si="6"/>
        <v>-4.8663433088578078E-3</v>
      </c>
      <c r="M114" s="9"/>
      <c r="N114" s="2">
        <f t="shared" si="9"/>
        <v>15869.25</v>
      </c>
      <c r="O114" s="2">
        <f t="shared" si="7"/>
        <v>-1.1207208910314015E-2</v>
      </c>
      <c r="P114" s="2"/>
    </row>
    <row r="115" spans="1:16" x14ac:dyDescent="0.3">
      <c r="A115" s="3">
        <v>44365</v>
      </c>
      <c r="B115" s="2">
        <v>15756.5</v>
      </c>
      <c r="C115" s="2">
        <v>15761.5</v>
      </c>
      <c r="D115" s="2">
        <v>15450.9</v>
      </c>
      <c r="E115" s="2">
        <v>15683.35</v>
      </c>
      <c r="F115" s="2">
        <v>640821642</v>
      </c>
      <c r="G115" s="2">
        <v>42024.55</v>
      </c>
      <c r="H115" s="2">
        <f t="shared" si="10"/>
        <v>15577.755000000001</v>
      </c>
      <c r="I115" s="2">
        <f t="shared" si="5"/>
        <v>15042.888999999999</v>
      </c>
      <c r="J115" s="2" t="s">
        <v>29</v>
      </c>
      <c r="K115" s="2">
        <f t="shared" si="8"/>
        <v>-8.0499999999992724</v>
      </c>
      <c r="L115" s="7">
        <f t="shared" si="6"/>
        <v>-5.1090026338331939E-4</v>
      </c>
      <c r="M115" s="9"/>
      <c r="N115" s="2">
        <f t="shared" si="9"/>
        <v>15869.25</v>
      </c>
      <c r="O115" s="2">
        <f t="shared" si="7"/>
        <v>-1.1714479260204413E-2</v>
      </c>
      <c r="P115" s="2"/>
    </row>
    <row r="116" spans="1:16" x14ac:dyDescent="0.3">
      <c r="A116" s="3">
        <v>44368</v>
      </c>
      <c r="B116" s="2">
        <v>15525.85</v>
      </c>
      <c r="C116" s="2">
        <v>15765.15</v>
      </c>
      <c r="D116" s="2">
        <v>15505.65</v>
      </c>
      <c r="E116" s="2">
        <v>15746.5</v>
      </c>
      <c r="F116" s="2">
        <v>351530072</v>
      </c>
      <c r="G116" s="2">
        <v>22525.89</v>
      </c>
      <c r="H116" s="2">
        <f t="shared" si="10"/>
        <v>15603.157500000001</v>
      </c>
      <c r="I116" s="2">
        <f t="shared" si="5"/>
        <v>15062.885999999997</v>
      </c>
      <c r="J116" s="2" t="s">
        <v>29</v>
      </c>
      <c r="K116" s="2">
        <f t="shared" si="8"/>
        <v>63.149999999999636</v>
      </c>
      <c r="L116" s="7">
        <f t="shared" si="6"/>
        <v>4.0674101578979339E-3</v>
      </c>
      <c r="M116" s="9"/>
      <c r="N116" s="2">
        <f t="shared" si="9"/>
        <v>15869.25</v>
      </c>
      <c r="O116" s="2">
        <f t="shared" si="7"/>
        <v>-7.7350851489516037E-3</v>
      </c>
      <c r="P116" s="2"/>
    </row>
    <row r="117" spans="1:16" x14ac:dyDescent="0.3">
      <c r="A117" s="3">
        <v>44369</v>
      </c>
      <c r="B117" s="2">
        <v>15840.5</v>
      </c>
      <c r="C117" s="2">
        <v>15895.75</v>
      </c>
      <c r="D117" s="2">
        <v>15752.1</v>
      </c>
      <c r="E117" s="2">
        <v>15772.75</v>
      </c>
      <c r="F117" s="2">
        <v>322237561</v>
      </c>
      <c r="G117" s="2">
        <v>24440.47</v>
      </c>
      <c r="H117" s="2">
        <f t="shared" si="10"/>
        <v>15630.5975</v>
      </c>
      <c r="I117" s="2">
        <f t="shared" ref="I117:I180" si="11">AVERAGE(E67:E116)</f>
        <v>15081.434999999998</v>
      </c>
      <c r="J117" s="2" t="s">
        <v>29</v>
      </c>
      <c r="K117" s="2">
        <f t="shared" si="8"/>
        <v>26.25</v>
      </c>
      <c r="L117" s="7">
        <f t="shared" si="6"/>
        <v>1.6571446608377261E-3</v>
      </c>
      <c r="M117" s="9"/>
      <c r="N117" s="2">
        <f t="shared" si="9"/>
        <v>15869.25</v>
      </c>
      <c r="O117" s="2">
        <f t="shared" si="7"/>
        <v>-6.0809427036564445E-3</v>
      </c>
      <c r="P117" s="2"/>
    </row>
    <row r="118" spans="1:16" x14ac:dyDescent="0.3">
      <c r="A118" s="3">
        <v>44370</v>
      </c>
      <c r="B118" s="2">
        <v>15862.8</v>
      </c>
      <c r="C118" s="2">
        <v>15862.95</v>
      </c>
      <c r="D118" s="2">
        <v>15673.95</v>
      </c>
      <c r="E118" s="2">
        <v>15686.95</v>
      </c>
      <c r="F118" s="2">
        <v>287536735</v>
      </c>
      <c r="G118" s="2">
        <v>23222.94</v>
      </c>
      <c r="H118" s="2">
        <f t="shared" si="10"/>
        <v>15658.8125</v>
      </c>
      <c r="I118" s="2">
        <f t="shared" si="11"/>
        <v>15099.413999999997</v>
      </c>
      <c r="J118" s="2" t="s">
        <v>29</v>
      </c>
      <c r="K118" s="2">
        <f t="shared" si="8"/>
        <v>-85.799999999999272</v>
      </c>
      <c r="L118" s="7">
        <f t="shared" si="6"/>
        <v>-5.4088811559118996E-3</v>
      </c>
      <c r="M118" s="9"/>
      <c r="N118" s="2">
        <f t="shared" si="9"/>
        <v>15869.25</v>
      </c>
      <c r="O118" s="2">
        <f t="shared" si="7"/>
        <v>-1.1487625439135396E-2</v>
      </c>
      <c r="P118" s="2"/>
    </row>
    <row r="119" spans="1:16" x14ac:dyDescent="0.3">
      <c r="A119" s="3">
        <v>44371</v>
      </c>
      <c r="B119" s="2">
        <v>15737.3</v>
      </c>
      <c r="C119" s="2">
        <v>15821.4</v>
      </c>
      <c r="D119" s="2">
        <v>15702.7</v>
      </c>
      <c r="E119" s="2">
        <v>15790.45</v>
      </c>
      <c r="F119" s="2">
        <v>316662241</v>
      </c>
      <c r="G119" s="2">
        <v>29623.58</v>
      </c>
      <c r="H119" s="2">
        <f t="shared" si="10"/>
        <v>15678.0875</v>
      </c>
      <c r="I119" s="2">
        <f t="shared" si="11"/>
        <v>15116.455999999998</v>
      </c>
      <c r="J119" s="2" t="s">
        <v>29</v>
      </c>
      <c r="K119" s="2">
        <f t="shared" si="8"/>
        <v>103.5</v>
      </c>
      <c r="L119" s="7">
        <f t="shared" si="6"/>
        <v>6.5767317138263875E-3</v>
      </c>
      <c r="M119" s="9"/>
      <c r="N119" s="2">
        <f t="shared" si="9"/>
        <v>15869.25</v>
      </c>
      <c r="O119" s="2">
        <f t="shared" si="7"/>
        <v>-4.9655780834002572E-3</v>
      </c>
      <c r="P119" s="2"/>
    </row>
    <row r="120" spans="1:16" x14ac:dyDescent="0.3">
      <c r="A120" s="3">
        <v>44372</v>
      </c>
      <c r="B120" s="2">
        <v>15839.35</v>
      </c>
      <c r="C120" s="2">
        <v>15870.8</v>
      </c>
      <c r="D120" s="2">
        <v>15772.3</v>
      </c>
      <c r="E120" s="2">
        <v>15860.35</v>
      </c>
      <c r="F120" s="2">
        <v>314614380</v>
      </c>
      <c r="G120" s="2">
        <v>26933.22</v>
      </c>
      <c r="H120" s="2">
        <f t="shared" si="10"/>
        <v>15700.717500000002</v>
      </c>
      <c r="I120" s="2">
        <f t="shared" si="11"/>
        <v>15146.048999999997</v>
      </c>
      <c r="J120" s="2" t="s">
        <v>29</v>
      </c>
      <c r="K120" s="2">
        <f t="shared" si="8"/>
        <v>69.899999999999636</v>
      </c>
      <c r="L120" s="7">
        <f t="shared" si="6"/>
        <v>4.4130598793510863E-3</v>
      </c>
      <c r="M120" s="9"/>
      <c r="N120" s="2">
        <f t="shared" si="9"/>
        <v>15869.25</v>
      </c>
      <c r="O120" s="2">
        <f t="shared" si="7"/>
        <v>-5.6083305764287328E-4</v>
      </c>
      <c r="P120" s="2"/>
    </row>
    <row r="121" spans="1:16" x14ac:dyDescent="0.3">
      <c r="A121" s="3">
        <v>44375</v>
      </c>
      <c r="B121" s="2">
        <v>15915.35</v>
      </c>
      <c r="C121" s="2">
        <v>15915.65</v>
      </c>
      <c r="D121" s="2">
        <v>15792.15</v>
      </c>
      <c r="E121" s="2">
        <v>15814.7</v>
      </c>
      <c r="F121" s="2">
        <v>255099272</v>
      </c>
      <c r="G121" s="2">
        <v>18713.41</v>
      </c>
      <c r="H121" s="2">
        <f t="shared" si="10"/>
        <v>15721.952500000003</v>
      </c>
      <c r="I121" s="2">
        <f t="shared" si="11"/>
        <v>15173.159999999998</v>
      </c>
      <c r="J121" s="2" t="s">
        <v>29</v>
      </c>
      <c r="K121" s="2">
        <f t="shared" si="8"/>
        <v>-45.649999999999636</v>
      </c>
      <c r="L121" s="7">
        <f t="shared" si="6"/>
        <v>-2.8683001002176916E-3</v>
      </c>
      <c r="M121" s="9"/>
      <c r="N121" s="2">
        <f t="shared" si="9"/>
        <v>15869.25</v>
      </c>
      <c r="O121" s="2">
        <f t="shared" si="7"/>
        <v>-3.4374655386990582E-3</v>
      </c>
      <c r="P121" s="2"/>
    </row>
    <row r="122" spans="1:16" x14ac:dyDescent="0.3">
      <c r="A122" s="3">
        <v>44376</v>
      </c>
      <c r="B122" s="2">
        <v>15807.5</v>
      </c>
      <c r="C122" s="2">
        <v>15835.9</v>
      </c>
      <c r="D122" s="2">
        <v>15724.05</v>
      </c>
      <c r="E122" s="2">
        <v>15748.45</v>
      </c>
      <c r="F122" s="2">
        <v>360334724</v>
      </c>
      <c r="G122" s="2">
        <v>24392.13</v>
      </c>
      <c r="H122" s="2">
        <f t="shared" si="10"/>
        <v>15733.547500000001</v>
      </c>
      <c r="I122" s="2">
        <f t="shared" si="11"/>
        <v>15197.824999999995</v>
      </c>
      <c r="J122" s="2" t="s">
        <v>29</v>
      </c>
      <c r="K122" s="2">
        <f t="shared" si="8"/>
        <v>-66.25</v>
      </c>
      <c r="L122" s="7">
        <f t="shared" si="6"/>
        <v>-4.1910485529021036E-3</v>
      </c>
      <c r="M122" s="9"/>
      <c r="N122" s="2">
        <f t="shared" si="9"/>
        <v>15869.25</v>
      </c>
      <c r="O122" s="2">
        <f t="shared" si="7"/>
        <v>-7.6122059958724231E-3</v>
      </c>
      <c r="P122" s="2"/>
    </row>
    <row r="123" spans="1:16" x14ac:dyDescent="0.3">
      <c r="A123" s="3">
        <v>44377</v>
      </c>
      <c r="B123" s="2">
        <v>15776.9</v>
      </c>
      <c r="C123" s="2">
        <v>15839.1</v>
      </c>
      <c r="D123" s="2">
        <v>15708.75</v>
      </c>
      <c r="E123" s="2">
        <v>15721.5</v>
      </c>
      <c r="F123" s="2">
        <v>262386323</v>
      </c>
      <c r="G123" s="2">
        <v>20379.759999999998</v>
      </c>
      <c r="H123" s="2">
        <f t="shared" si="10"/>
        <v>15742.227499999999</v>
      </c>
      <c r="I123" s="2">
        <f t="shared" si="11"/>
        <v>15220.436999999994</v>
      </c>
      <c r="J123" s="2" t="s">
        <v>29</v>
      </c>
      <c r="K123" s="2">
        <f t="shared" si="8"/>
        <v>-26.950000000000728</v>
      </c>
      <c r="L123" s="7">
        <f t="shared" si="6"/>
        <v>-1.7081936248566404E-3</v>
      </c>
      <c r="M123" s="9"/>
      <c r="N123" s="2">
        <f t="shared" si="9"/>
        <v>15869.25</v>
      </c>
      <c r="O123" s="2">
        <f t="shared" si="7"/>
        <v>-9.3104589063754961E-3</v>
      </c>
      <c r="P123" s="2"/>
    </row>
    <row r="124" spans="1:16" x14ac:dyDescent="0.3">
      <c r="A124" s="3">
        <v>44378</v>
      </c>
      <c r="B124" s="2">
        <v>15755.05</v>
      </c>
      <c r="C124" s="2">
        <v>15755.55</v>
      </c>
      <c r="D124" s="2">
        <v>15667.05</v>
      </c>
      <c r="E124" s="2">
        <v>15680</v>
      </c>
      <c r="F124" s="2">
        <v>224921644</v>
      </c>
      <c r="G124" s="2">
        <v>17359.97</v>
      </c>
      <c r="H124" s="2">
        <f t="shared" si="10"/>
        <v>15749.492500000002</v>
      </c>
      <c r="I124" s="2">
        <f t="shared" si="11"/>
        <v>15247.677999999996</v>
      </c>
      <c r="J124" s="2" t="s">
        <v>29</v>
      </c>
      <c r="K124" s="2">
        <f t="shared" si="8"/>
        <v>-41.5</v>
      </c>
      <c r="L124" s="7">
        <f t="shared" si="6"/>
        <v>-2.6340760581527829E-3</v>
      </c>
      <c r="M124" s="9"/>
      <c r="N124" s="2">
        <f t="shared" si="9"/>
        <v>15869.25</v>
      </c>
      <c r="O124" s="2">
        <f t="shared" si="7"/>
        <v>-1.1925579343699311E-2</v>
      </c>
      <c r="P124" s="2"/>
    </row>
    <row r="125" spans="1:16" x14ac:dyDescent="0.3">
      <c r="A125" s="3">
        <v>44379</v>
      </c>
      <c r="B125" s="2">
        <v>15705.85</v>
      </c>
      <c r="C125" s="2">
        <v>15738.35</v>
      </c>
      <c r="D125" s="2">
        <v>15635.95</v>
      </c>
      <c r="E125" s="2">
        <v>15722.2</v>
      </c>
      <c r="F125" s="2">
        <v>254808999</v>
      </c>
      <c r="G125" s="2">
        <v>18015.419999999998</v>
      </c>
      <c r="H125" s="2">
        <f t="shared" si="10"/>
        <v>15748.975000000002</v>
      </c>
      <c r="I125" s="2">
        <f t="shared" si="11"/>
        <v>15275.349999999993</v>
      </c>
      <c r="J125" s="2" t="s">
        <v>29</v>
      </c>
      <c r="K125" s="2">
        <f t="shared" si="8"/>
        <v>42.200000000000728</v>
      </c>
      <c r="L125" s="7">
        <f t="shared" si="6"/>
        <v>2.6868969205742273E-3</v>
      </c>
      <c r="M125" s="9"/>
      <c r="N125" s="2">
        <f t="shared" si="9"/>
        <v>15869.25</v>
      </c>
      <c r="O125" s="2">
        <f t="shared" si="7"/>
        <v>-9.2663484411675823E-3</v>
      </c>
      <c r="P125" s="2"/>
    </row>
    <row r="126" spans="1:16" x14ac:dyDescent="0.3">
      <c r="A126" s="3">
        <v>44382</v>
      </c>
      <c r="B126" s="2">
        <v>15793.4</v>
      </c>
      <c r="C126" s="2">
        <v>15845.95</v>
      </c>
      <c r="D126" s="2">
        <v>15762.05</v>
      </c>
      <c r="E126" s="2">
        <v>15834.35</v>
      </c>
      <c r="F126" s="2">
        <v>207032153</v>
      </c>
      <c r="G126" s="2">
        <v>14976.54</v>
      </c>
      <c r="H126" s="2">
        <f t="shared" si="10"/>
        <v>15751.572500000004</v>
      </c>
      <c r="I126" s="2">
        <f t="shared" si="11"/>
        <v>15301.670999999995</v>
      </c>
      <c r="J126" s="2" t="s">
        <v>29</v>
      </c>
      <c r="K126" s="2">
        <f t="shared" si="8"/>
        <v>112.14999999999964</v>
      </c>
      <c r="L126" s="7">
        <f t="shared" si="6"/>
        <v>7.1010675345397215E-3</v>
      </c>
      <c r="M126" s="9"/>
      <c r="N126" s="2">
        <f t="shared" si="9"/>
        <v>15869.25</v>
      </c>
      <c r="O126" s="2">
        <f t="shared" si="7"/>
        <v>-2.1992217653638013E-3</v>
      </c>
      <c r="P126" s="2"/>
    </row>
    <row r="127" spans="1:16" x14ac:dyDescent="0.3">
      <c r="A127" s="3">
        <v>44383</v>
      </c>
      <c r="B127" s="2">
        <v>15813.75</v>
      </c>
      <c r="C127" s="2">
        <v>15914.2</v>
      </c>
      <c r="D127" s="2">
        <v>15801</v>
      </c>
      <c r="E127" s="2">
        <v>15818.25</v>
      </c>
      <c r="F127" s="2">
        <v>391410742</v>
      </c>
      <c r="G127" s="2">
        <v>24456.05</v>
      </c>
      <c r="H127" s="2">
        <f t="shared" si="10"/>
        <v>15755.7075</v>
      </c>
      <c r="I127" s="2">
        <f t="shared" si="11"/>
        <v>15331.530999999994</v>
      </c>
      <c r="J127" s="2" t="s">
        <v>29</v>
      </c>
      <c r="K127" s="2">
        <f t="shared" si="8"/>
        <v>-16.100000000000364</v>
      </c>
      <c r="L127" s="7">
        <f t="shared" si="6"/>
        <v>-1.0181013358628007E-3</v>
      </c>
      <c r="M127" s="9"/>
      <c r="N127" s="2">
        <f t="shared" si="9"/>
        <v>15869.25</v>
      </c>
      <c r="O127" s="2">
        <f t="shared" si="7"/>
        <v>-3.2137624651448204E-3</v>
      </c>
      <c r="P127" s="2"/>
    </row>
    <row r="128" spans="1:16" x14ac:dyDescent="0.3">
      <c r="A128" s="3">
        <v>44384</v>
      </c>
      <c r="B128" s="2">
        <v>15819.6</v>
      </c>
      <c r="C128" s="2">
        <v>15893.55</v>
      </c>
      <c r="D128" s="2">
        <v>15779.7</v>
      </c>
      <c r="E128" s="2">
        <v>15879.65</v>
      </c>
      <c r="F128" s="2">
        <v>329308646</v>
      </c>
      <c r="G128" s="2">
        <v>22259.96</v>
      </c>
      <c r="H128" s="2">
        <f t="shared" si="10"/>
        <v>15759.615</v>
      </c>
      <c r="I128" s="2">
        <f t="shared" si="11"/>
        <v>15358.195999999994</v>
      </c>
      <c r="J128" s="2" t="s">
        <v>29</v>
      </c>
      <c r="K128" s="2">
        <f t="shared" si="8"/>
        <v>61.399999999999636</v>
      </c>
      <c r="L128" s="7">
        <f t="shared" si="6"/>
        <v>3.8812612202583905E-3</v>
      </c>
      <c r="M128" s="9"/>
      <c r="N128" s="2">
        <f t="shared" si="9"/>
        <v>15879.65</v>
      </c>
      <c r="O128" s="2">
        <f t="shared" si="7"/>
        <v>0</v>
      </c>
      <c r="P128" s="2"/>
    </row>
    <row r="129" spans="1:16" x14ac:dyDescent="0.3">
      <c r="A129" s="3">
        <v>44385</v>
      </c>
      <c r="B129" s="2">
        <v>15855.4</v>
      </c>
      <c r="C129" s="2">
        <v>15885.75</v>
      </c>
      <c r="D129" s="2">
        <v>15682.9</v>
      </c>
      <c r="E129" s="2">
        <v>15727.9</v>
      </c>
      <c r="F129" s="2">
        <v>307928495</v>
      </c>
      <c r="G129" s="2">
        <v>19597.95</v>
      </c>
      <c r="H129" s="2">
        <f t="shared" si="10"/>
        <v>15771.830000000002</v>
      </c>
      <c r="I129" s="2">
        <f t="shared" si="11"/>
        <v>15382.727999999994</v>
      </c>
      <c r="J129" s="2" t="s">
        <v>29</v>
      </c>
      <c r="K129" s="2">
        <f t="shared" si="8"/>
        <v>-151.75</v>
      </c>
      <c r="L129" s="7">
        <f t="shared" si="6"/>
        <v>-9.5708717534720034E-3</v>
      </c>
      <c r="M129" s="9"/>
      <c r="N129" s="2">
        <f t="shared" si="9"/>
        <v>15879.65</v>
      </c>
      <c r="O129" s="2">
        <f t="shared" si="7"/>
        <v>-9.5562559628203925E-3</v>
      </c>
      <c r="P129" s="2"/>
    </row>
    <row r="130" spans="1:16" x14ac:dyDescent="0.3">
      <c r="A130" s="3">
        <v>44386</v>
      </c>
      <c r="B130" s="2">
        <v>15688.25</v>
      </c>
      <c r="C130" s="2">
        <v>15730.85</v>
      </c>
      <c r="D130" s="2">
        <v>15632.75</v>
      </c>
      <c r="E130" s="2">
        <v>15689.8</v>
      </c>
      <c r="F130" s="2">
        <v>243249366</v>
      </c>
      <c r="G130" s="2">
        <v>19976.86</v>
      </c>
      <c r="H130" s="2">
        <f t="shared" si="10"/>
        <v>15771.337500000005</v>
      </c>
      <c r="I130" s="2">
        <f t="shared" si="11"/>
        <v>15399.99499999999</v>
      </c>
      <c r="J130" s="2" t="s">
        <v>29</v>
      </c>
      <c r="K130" s="2">
        <f t="shared" si="8"/>
        <v>-38.100000000000364</v>
      </c>
      <c r="L130" s="7">
        <f t="shared" si="6"/>
        <v>-2.4285691520724343E-3</v>
      </c>
      <c r="M130" s="9"/>
      <c r="N130" s="2">
        <f t="shared" si="9"/>
        <v>15879.65</v>
      </c>
      <c r="O130" s="2">
        <f t="shared" si="7"/>
        <v>-1.1955553176549838E-2</v>
      </c>
      <c r="P130" s="2"/>
    </row>
    <row r="131" spans="1:16" x14ac:dyDescent="0.3">
      <c r="A131" s="3">
        <v>44389</v>
      </c>
      <c r="B131" s="2">
        <v>15766.8</v>
      </c>
      <c r="C131" s="2">
        <v>15789.2</v>
      </c>
      <c r="D131" s="2">
        <v>15644.75</v>
      </c>
      <c r="E131" s="2">
        <v>15692.6</v>
      </c>
      <c r="F131" s="2">
        <v>216272488</v>
      </c>
      <c r="G131" s="2">
        <v>18482.89</v>
      </c>
      <c r="H131" s="2">
        <f t="shared" si="10"/>
        <v>15765.860000000004</v>
      </c>
      <c r="I131" s="2">
        <f t="shared" si="11"/>
        <v>15415.892999999993</v>
      </c>
      <c r="J131" s="2" t="s">
        <v>29</v>
      </c>
      <c r="K131" s="2">
        <f t="shared" si="8"/>
        <v>2.8000000000010914</v>
      </c>
      <c r="L131" s="7">
        <f t="shared" ref="L131:L194" si="12">(K131/(B131))</f>
        <v>1.7758835020429583E-4</v>
      </c>
      <c r="M131" s="9"/>
      <c r="N131" s="2">
        <f t="shared" si="9"/>
        <v>15879.65</v>
      </c>
      <c r="O131" s="2">
        <f t="shared" ref="O131:O194" si="13">(E131/N131)-1</f>
        <v>-1.1779226872128734E-2</v>
      </c>
      <c r="P131" s="2"/>
    </row>
    <row r="132" spans="1:16" x14ac:dyDescent="0.3">
      <c r="A132" s="3">
        <v>44390</v>
      </c>
      <c r="B132" s="2">
        <v>15794</v>
      </c>
      <c r="C132" s="2">
        <v>15820.8</v>
      </c>
      <c r="D132" s="2">
        <v>15744.6</v>
      </c>
      <c r="E132" s="2">
        <v>15812.35</v>
      </c>
      <c r="F132" s="2">
        <v>246676549</v>
      </c>
      <c r="G132" s="2">
        <v>18205.97</v>
      </c>
      <c r="H132" s="2">
        <f t="shared" si="10"/>
        <v>15759.897500000001</v>
      </c>
      <c r="I132" s="2">
        <f t="shared" si="11"/>
        <v>15437.122999999994</v>
      </c>
      <c r="J132" s="2" t="s">
        <v>29</v>
      </c>
      <c r="K132" s="2">
        <f t="shared" ref="K132:K195" si="14">E132-E131</f>
        <v>119.75</v>
      </c>
      <c r="L132" s="7">
        <f t="shared" si="12"/>
        <v>7.5819931619602382E-3</v>
      </c>
      <c r="M132" s="9"/>
      <c r="N132" s="2">
        <f t="shared" si="9"/>
        <v>15879.65</v>
      </c>
      <c r="O132" s="2">
        <f t="shared" si="13"/>
        <v>-4.2381286741206559E-3</v>
      </c>
      <c r="P132" s="2"/>
    </row>
    <row r="133" spans="1:16" x14ac:dyDescent="0.3">
      <c r="A133" s="3">
        <v>44391</v>
      </c>
      <c r="B133" s="2">
        <v>15808.7</v>
      </c>
      <c r="C133" s="2">
        <v>15877.35</v>
      </c>
      <c r="D133" s="2">
        <v>15764.2</v>
      </c>
      <c r="E133" s="2">
        <v>15853.95</v>
      </c>
      <c r="F133" s="2">
        <v>239924352</v>
      </c>
      <c r="G133" s="2">
        <v>18372.84</v>
      </c>
      <c r="H133" s="2">
        <f t="shared" si="10"/>
        <v>15757.0525</v>
      </c>
      <c r="I133" s="2">
        <f t="shared" si="11"/>
        <v>15460.686999999993</v>
      </c>
      <c r="J133" s="2" t="s">
        <v>29</v>
      </c>
      <c r="K133" s="2">
        <f t="shared" si="14"/>
        <v>41.600000000000364</v>
      </c>
      <c r="L133" s="7">
        <f t="shared" si="12"/>
        <v>2.6314624225901159E-3</v>
      </c>
      <c r="M133" s="9"/>
      <c r="N133" s="2">
        <f t="shared" ref="N133:N196" si="15">MAX(N132,E133)</f>
        <v>15879.65</v>
      </c>
      <c r="O133" s="2">
        <f t="shared" si="13"/>
        <v>-1.6184235798647473E-3</v>
      </c>
      <c r="P133" s="2"/>
    </row>
    <row r="134" spans="1:16" x14ac:dyDescent="0.3">
      <c r="A134" s="3">
        <v>44392</v>
      </c>
      <c r="B134" s="2">
        <v>15872.15</v>
      </c>
      <c r="C134" s="2">
        <v>15952.35</v>
      </c>
      <c r="D134" s="2">
        <v>15855</v>
      </c>
      <c r="E134" s="2">
        <v>15924.2</v>
      </c>
      <c r="F134" s="2">
        <v>284851049</v>
      </c>
      <c r="G134" s="2">
        <v>20961.37</v>
      </c>
      <c r="H134" s="2">
        <f t="shared" si="10"/>
        <v>15761.372499999998</v>
      </c>
      <c r="I134" s="2">
        <f t="shared" si="11"/>
        <v>15487.835999999992</v>
      </c>
      <c r="J134" s="2" t="s">
        <v>29</v>
      </c>
      <c r="K134" s="2">
        <f t="shared" si="14"/>
        <v>70.25</v>
      </c>
      <c r="L134" s="7">
        <f t="shared" si="12"/>
        <v>4.4259914378329338E-3</v>
      </c>
      <c r="M134" s="9"/>
      <c r="N134" s="2">
        <f t="shared" si="15"/>
        <v>15924.2</v>
      </c>
      <c r="O134" s="2">
        <f t="shared" si="13"/>
        <v>0</v>
      </c>
      <c r="P134" s="2"/>
    </row>
    <row r="135" spans="1:16" x14ac:dyDescent="0.3">
      <c r="A135" s="3">
        <v>44393</v>
      </c>
      <c r="B135" s="2">
        <v>15958.35</v>
      </c>
      <c r="C135" s="2">
        <v>15962.25</v>
      </c>
      <c r="D135" s="2">
        <v>15882.6</v>
      </c>
      <c r="E135" s="2">
        <v>15923.4</v>
      </c>
      <c r="F135" s="2">
        <v>276298105</v>
      </c>
      <c r="G135" s="2">
        <v>18758.13</v>
      </c>
      <c r="H135" s="2">
        <f t="shared" si="10"/>
        <v>15773.012500000001</v>
      </c>
      <c r="I135" s="2">
        <f t="shared" si="11"/>
        <v>15513.962999999994</v>
      </c>
      <c r="J135" s="2" t="s">
        <v>29</v>
      </c>
      <c r="K135" s="2">
        <f t="shared" si="14"/>
        <v>-0.80000000000109139</v>
      </c>
      <c r="L135" s="7">
        <f t="shared" si="12"/>
        <v>-5.0130495947331105E-5</v>
      </c>
      <c r="M135" s="9"/>
      <c r="N135" s="2">
        <f t="shared" si="15"/>
        <v>15924.2</v>
      </c>
      <c r="O135" s="2">
        <f t="shared" si="13"/>
        <v>-5.023800253711741E-5</v>
      </c>
      <c r="P135" s="2"/>
    </row>
    <row r="136" spans="1:16" x14ac:dyDescent="0.3">
      <c r="A136" s="3">
        <v>44396</v>
      </c>
      <c r="B136" s="2">
        <v>15754.5</v>
      </c>
      <c r="C136" s="2">
        <v>15836.9</v>
      </c>
      <c r="D136" s="2">
        <v>15707.5</v>
      </c>
      <c r="E136" s="2">
        <v>15752.4</v>
      </c>
      <c r="F136" s="2">
        <v>242131813</v>
      </c>
      <c r="G136" s="2">
        <v>18088.78</v>
      </c>
      <c r="H136" s="2">
        <f t="shared" si="10"/>
        <v>15785.015000000003</v>
      </c>
      <c r="I136" s="2">
        <f t="shared" si="11"/>
        <v>15537.934999999996</v>
      </c>
      <c r="J136" s="2" t="s">
        <v>29</v>
      </c>
      <c r="K136" s="2">
        <f t="shared" si="14"/>
        <v>-171</v>
      </c>
      <c r="L136" s="7">
        <f t="shared" si="12"/>
        <v>-1.0854041702370752E-2</v>
      </c>
      <c r="M136" s="9"/>
      <c r="N136" s="2">
        <f t="shared" si="15"/>
        <v>15924.2</v>
      </c>
      <c r="O136" s="2">
        <f t="shared" si="13"/>
        <v>-1.0788611044824981E-2</v>
      </c>
      <c r="P136" s="2"/>
    </row>
    <row r="137" spans="1:16" x14ac:dyDescent="0.3">
      <c r="A137" s="3">
        <v>44397</v>
      </c>
      <c r="B137" s="2">
        <v>15703.95</v>
      </c>
      <c r="C137" s="2">
        <v>15728.45</v>
      </c>
      <c r="D137" s="2">
        <v>15578.55</v>
      </c>
      <c r="E137" s="2">
        <v>15632.1</v>
      </c>
      <c r="F137" s="2">
        <v>274284165</v>
      </c>
      <c r="G137" s="2">
        <v>21329.55</v>
      </c>
      <c r="H137" s="2">
        <f t="shared" si="10"/>
        <v>15785.310000000003</v>
      </c>
      <c r="I137" s="2">
        <f t="shared" si="11"/>
        <v>15556.519999999995</v>
      </c>
      <c r="J137" s="2" t="s">
        <v>29</v>
      </c>
      <c r="K137" s="2">
        <f t="shared" si="14"/>
        <v>-120.29999999999927</v>
      </c>
      <c r="L137" s="7">
        <f t="shared" si="12"/>
        <v>-7.6604930606630345E-3</v>
      </c>
      <c r="M137" s="9"/>
      <c r="N137" s="2">
        <f t="shared" si="15"/>
        <v>15924.2</v>
      </c>
      <c r="O137" s="2">
        <f t="shared" si="13"/>
        <v>-1.8343150676329079E-2</v>
      </c>
      <c r="P137" s="2"/>
    </row>
    <row r="138" spans="1:16" x14ac:dyDescent="0.3">
      <c r="A138" s="3">
        <v>44399</v>
      </c>
      <c r="B138" s="2">
        <v>15736.6</v>
      </c>
      <c r="C138" s="2">
        <v>15834.8</v>
      </c>
      <c r="D138" s="2">
        <v>15726.4</v>
      </c>
      <c r="E138" s="2">
        <v>15824.05</v>
      </c>
      <c r="F138" s="2">
        <v>265250867</v>
      </c>
      <c r="G138" s="2">
        <v>23988.39</v>
      </c>
      <c r="H138" s="2">
        <f t="shared" si="10"/>
        <v>15778.2775</v>
      </c>
      <c r="I138" s="2">
        <f t="shared" si="11"/>
        <v>15570.314999999995</v>
      </c>
      <c r="J138" s="2" t="s">
        <v>29</v>
      </c>
      <c r="K138" s="2">
        <f t="shared" si="14"/>
        <v>191.94999999999891</v>
      </c>
      <c r="L138" s="7">
        <f t="shared" si="12"/>
        <v>1.2197679295400462E-2</v>
      </c>
      <c r="M138" s="9"/>
      <c r="N138" s="2">
        <f t="shared" si="15"/>
        <v>15924.2</v>
      </c>
      <c r="O138" s="2">
        <f t="shared" si="13"/>
        <v>-6.2891699426032011E-3</v>
      </c>
      <c r="P138" s="2"/>
    </row>
    <row r="139" spans="1:16" x14ac:dyDescent="0.3">
      <c r="A139" s="3">
        <v>44400</v>
      </c>
      <c r="B139" s="2">
        <v>15856.8</v>
      </c>
      <c r="C139" s="2">
        <v>15899.8</v>
      </c>
      <c r="D139" s="2">
        <v>15768.4</v>
      </c>
      <c r="E139" s="2">
        <v>15856.05</v>
      </c>
      <c r="F139" s="2">
        <v>294098244</v>
      </c>
      <c r="G139" s="2">
        <v>20685.82</v>
      </c>
      <c r="H139" s="2">
        <f t="shared" si="10"/>
        <v>15785.132500000002</v>
      </c>
      <c r="I139" s="2">
        <f t="shared" si="11"/>
        <v>15589.780999999999</v>
      </c>
      <c r="J139" s="2" t="s">
        <v>29</v>
      </c>
      <c r="K139" s="2">
        <f t="shared" si="14"/>
        <v>32</v>
      </c>
      <c r="L139" s="7">
        <f t="shared" si="12"/>
        <v>2.0180616517834621E-3</v>
      </c>
      <c r="M139" s="9"/>
      <c r="N139" s="2">
        <f t="shared" si="15"/>
        <v>15924.2</v>
      </c>
      <c r="O139" s="2">
        <f t="shared" si="13"/>
        <v>-4.2796498411223904E-3</v>
      </c>
      <c r="P139" s="2"/>
    </row>
    <row r="140" spans="1:16" x14ac:dyDescent="0.3">
      <c r="A140" s="3">
        <v>44403</v>
      </c>
      <c r="B140" s="2">
        <v>15849.3</v>
      </c>
      <c r="C140" s="2">
        <v>15893.35</v>
      </c>
      <c r="D140" s="2">
        <v>15797</v>
      </c>
      <c r="E140" s="2">
        <v>15824.45</v>
      </c>
      <c r="F140" s="2">
        <v>267076679</v>
      </c>
      <c r="G140" s="2">
        <v>19487.18</v>
      </c>
      <c r="H140" s="2">
        <f t="shared" si="10"/>
        <v>15788.4125</v>
      </c>
      <c r="I140" s="2">
        <f t="shared" si="11"/>
        <v>15612.971999999998</v>
      </c>
      <c r="J140" s="2" t="s">
        <v>29</v>
      </c>
      <c r="K140" s="2">
        <f t="shared" si="14"/>
        <v>-31.599999999998545</v>
      </c>
      <c r="L140" s="7">
        <f t="shared" si="12"/>
        <v>-1.9937789050619614E-3</v>
      </c>
      <c r="M140" s="9"/>
      <c r="N140" s="2">
        <f t="shared" si="15"/>
        <v>15924.2</v>
      </c>
      <c r="O140" s="2">
        <f t="shared" si="13"/>
        <v>-6.2640509413345313E-3</v>
      </c>
      <c r="P140" s="2"/>
    </row>
    <row r="141" spans="1:16" x14ac:dyDescent="0.3">
      <c r="A141" s="3">
        <v>44404</v>
      </c>
      <c r="B141" s="2">
        <v>15860.5</v>
      </c>
      <c r="C141" s="2">
        <v>15881.55</v>
      </c>
      <c r="D141" s="2">
        <v>15701</v>
      </c>
      <c r="E141" s="2">
        <v>15746.45</v>
      </c>
      <c r="F141" s="2">
        <v>311012065</v>
      </c>
      <c r="G141" s="2">
        <v>26117.34</v>
      </c>
      <c r="H141" s="2">
        <f t="shared" si="10"/>
        <v>15786.617499999998</v>
      </c>
      <c r="I141" s="2">
        <f t="shared" si="11"/>
        <v>15635.904999999997</v>
      </c>
      <c r="J141" s="2" t="s">
        <v>29</v>
      </c>
      <c r="K141" s="2">
        <f t="shared" si="14"/>
        <v>-78</v>
      </c>
      <c r="L141" s="7">
        <f t="shared" si="12"/>
        <v>-4.917877746603197E-3</v>
      </c>
      <c r="M141" s="9"/>
      <c r="N141" s="2">
        <f t="shared" si="15"/>
        <v>15924.2</v>
      </c>
      <c r="O141" s="2">
        <f t="shared" si="13"/>
        <v>-1.1162256188693931E-2</v>
      </c>
      <c r="P141" s="2"/>
    </row>
    <row r="142" spans="1:16" x14ac:dyDescent="0.3">
      <c r="A142" s="3">
        <v>44405</v>
      </c>
      <c r="B142" s="2">
        <v>15761.55</v>
      </c>
      <c r="C142" s="2">
        <v>15767.5</v>
      </c>
      <c r="D142" s="2">
        <v>15513.45</v>
      </c>
      <c r="E142" s="2">
        <v>15709.4</v>
      </c>
      <c r="F142" s="2">
        <v>318601589</v>
      </c>
      <c r="G142" s="2">
        <v>26090.48</v>
      </c>
      <c r="H142" s="2">
        <f t="shared" si="10"/>
        <v>15783.205000000002</v>
      </c>
      <c r="I142" s="2">
        <f t="shared" si="11"/>
        <v>15652.370999999999</v>
      </c>
      <c r="J142" s="2" t="s">
        <v>29</v>
      </c>
      <c r="K142" s="2">
        <f t="shared" si="14"/>
        <v>-37.050000000001091</v>
      </c>
      <c r="L142" s="7">
        <f t="shared" si="12"/>
        <v>-2.3506571371471139E-3</v>
      </c>
      <c r="M142" s="9"/>
      <c r="N142" s="2">
        <f t="shared" si="15"/>
        <v>15924.2</v>
      </c>
      <c r="O142" s="2">
        <f t="shared" si="13"/>
        <v>-1.3488903681189712E-2</v>
      </c>
      <c r="P142" s="2"/>
    </row>
    <row r="143" spans="1:16" x14ac:dyDescent="0.3">
      <c r="A143" s="3">
        <v>44406</v>
      </c>
      <c r="B143" s="2">
        <v>15762.7</v>
      </c>
      <c r="C143" s="2">
        <v>15817.35</v>
      </c>
      <c r="D143" s="2">
        <v>15737.8</v>
      </c>
      <c r="E143" s="2">
        <v>15778.45</v>
      </c>
      <c r="F143" s="2">
        <v>401584915</v>
      </c>
      <c r="G143" s="2">
        <v>29460.54</v>
      </c>
      <c r="H143" s="2">
        <f t="shared" si="10"/>
        <v>15781.252500000002</v>
      </c>
      <c r="I143" s="2">
        <f t="shared" si="11"/>
        <v>15664.396999999999</v>
      </c>
      <c r="J143" s="2" t="s">
        <v>29</v>
      </c>
      <c r="K143" s="2">
        <f t="shared" si="14"/>
        <v>69.050000000001091</v>
      </c>
      <c r="L143" s="7">
        <f t="shared" si="12"/>
        <v>4.3805946950713449E-3</v>
      </c>
      <c r="M143" s="9"/>
      <c r="N143" s="2">
        <f t="shared" si="15"/>
        <v>15924.2</v>
      </c>
      <c r="O143" s="2">
        <f t="shared" si="13"/>
        <v>-9.1527360872131203E-3</v>
      </c>
      <c r="P143" s="2"/>
    </row>
    <row r="144" spans="1:16" x14ac:dyDescent="0.3">
      <c r="A144" s="3">
        <v>44407</v>
      </c>
      <c r="B144" s="2">
        <v>15800.6</v>
      </c>
      <c r="C144" s="2">
        <v>15862.8</v>
      </c>
      <c r="D144" s="2">
        <v>15744.85</v>
      </c>
      <c r="E144" s="2">
        <v>15763.05</v>
      </c>
      <c r="F144" s="2">
        <v>400021237</v>
      </c>
      <c r="G144" s="2">
        <v>30539.63</v>
      </c>
      <c r="H144" s="2">
        <f t="shared" si="10"/>
        <v>15784.100000000002</v>
      </c>
      <c r="I144" s="2">
        <f t="shared" si="11"/>
        <v>15679.362999999998</v>
      </c>
      <c r="J144" s="2" t="s">
        <v>29</v>
      </c>
      <c r="K144" s="2">
        <f t="shared" si="14"/>
        <v>-15.400000000001455</v>
      </c>
      <c r="L144" s="7">
        <f t="shared" si="12"/>
        <v>-9.7464653241025371E-4</v>
      </c>
      <c r="M144" s="9"/>
      <c r="N144" s="2">
        <f t="shared" si="15"/>
        <v>15924.2</v>
      </c>
      <c r="O144" s="2">
        <f t="shared" si="13"/>
        <v>-1.0119817636050854E-2</v>
      </c>
      <c r="P144" s="2"/>
    </row>
    <row r="145" spans="1:16" x14ac:dyDescent="0.3">
      <c r="A145" s="3">
        <v>44410</v>
      </c>
      <c r="B145" s="2">
        <v>15874.9</v>
      </c>
      <c r="C145" s="2">
        <v>15892.9</v>
      </c>
      <c r="D145" s="2">
        <v>15834.65</v>
      </c>
      <c r="E145" s="2">
        <v>15885.15</v>
      </c>
      <c r="F145" s="2">
        <v>244847433</v>
      </c>
      <c r="G145" s="2">
        <v>20766.990000000002</v>
      </c>
      <c r="H145" s="2">
        <f t="shared" si="10"/>
        <v>15788.252500000002</v>
      </c>
      <c r="I145" s="2">
        <f t="shared" si="11"/>
        <v>15696.503000000001</v>
      </c>
      <c r="J145" s="2" t="s">
        <v>29</v>
      </c>
      <c r="K145" s="2">
        <f t="shared" si="14"/>
        <v>122.10000000000036</v>
      </c>
      <c r="L145" s="7">
        <f t="shared" si="12"/>
        <v>7.691387032359282E-3</v>
      </c>
      <c r="M145" s="9"/>
      <c r="N145" s="2">
        <f t="shared" si="15"/>
        <v>15924.2</v>
      </c>
      <c r="O145" s="2">
        <f t="shared" si="13"/>
        <v>-2.4522424988383529E-3</v>
      </c>
      <c r="P145" s="2"/>
    </row>
    <row r="146" spans="1:16" x14ac:dyDescent="0.3">
      <c r="A146" s="3">
        <v>44411</v>
      </c>
      <c r="B146" s="2">
        <v>15951.55</v>
      </c>
      <c r="C146" s="2">
        <v>16146.9</v>
      </c>
      <c r="D146" s="2">
        <v>15914.35</v>
      </c>
      <c r="E146" s="2">
        <v>16130.75</v>
      </c>
      <c r="F146" s="2">
        <v>341289658</v>
      </c>
      <c r="G146" s="2">
        <v>26373.24</v>
      </c>
      <c r="H146" s="2">
        <f t="shared" si="10"/>
        <v>15796.400000000003</v>
      </c>
      <c r="I146" s="2">
        <f t="shared" si="11"/>
        <v>15710.7</v>
      </c>
      <c r="J146" s="2" t="s">
        <v>29</v>
      </c>
      <c r="K146" s="2">
        <f t="shared" si="14"/>
        <v>245.60000000000036</v>
      </c>
      <c r="L146" s="7">
        <f t="shared" si="12"/>
        <v>1.5396622898715195E-2</v>
      </c>
      <c r="M146" s="9"/>
      <c r="N146" s="2">
        <f t="shared" si="15"/>
        <v>16130.75</v>
      </c>
      <c r="O146" s="2">
        <f t="shared" si="13"/>
        <v>0</v>
      </c>
      <c r="P146" s="2"/>
    </row>
    <row r="147" spans="1:16" x14ac:dyDescent="0.3">
      <c r="A147" s="3">
        <v>44412</v>
      </c>
      <c r="B147" s="2">
        <v>16195.25</v>
      </c>
      <c r="C147" s="2">
        <v>16290.2</v>
      </c>
      <c r="D147" s="2">
        <v>16176.15</v>
      </c>
      <c r="E147" s="2">
        <v>16258.8</v>
      </c>
      <c r="F147" s="2">
        <v>427337644</v>
      </c>
      <c r="G147" s="2">
        <v>32434.78</v>
      </c>
      <c r="H147" s="2">
        <f t="shared" si="10"/>
        <v>15811.220000000001</v>
      </c>
      <c r="I147" s="2">
        <f t="shared" si="11"/>
        <v>15729.361000000001</v>
      </c>
      <c r="J147" s="2" t="s">
        <v>29</v>
      </c>
      <c r="K147" s="2">
        <f t="shared" si="14"/>
        <v>128.04999999999927</v>
      </c>
      <c r="L147" s="7">
        <f t="shared" si="12"/>
        <v>7.9066392923850676E-3</v>
      </c>
      <c r="M147" s="9"/>
      <c r="N147" s="2">
        <f t="shared" si="15"/>
        <v>16258.8</v>
      </c>
      <c r="O147" s="2">
        <f t="shared" si="13"/>
        <v>0</v>
      </c>
      <c r="P147" s="2"/>
    </row>
    <row r="148" spans="1:16" x14ac:dyDescent="0.3">
      <c r="A148" s="3">
        <v>44413</v>
      </c>
      <c r="B148" s="2">
        <v>16288.95</v>
      </c>
      <c r="C148" s="2">
        <v>16349.45</v>
      </c>
      <c r="D148" s="2">
        <v>16210.3</v>
      </c>
      <c r="E148" s="2">
        <v>16294.6</v>
      </c>
      <c r="F148" s="2">
        <v>418174517</v>
      </c>
      <c r="G148" s="2">
        <v>31386.78</v>
      </c>
      <c r="H148" s="2">
        <f t="shared" si="10"/>
        <v>15833.247500000001</v>
      </c>
      <c r="I148" s="2">
        <f t="shared" si="11"/>
        <v>15750.368</v>
      </c>
      <c r="J148" s="2" t="s">
        <v>29</v>
      </c>
      <c r="K148" s="2">
        <f t="shared" si="14"/>
        <v>35.800000000001091</v>
      </c>
      <c r="L148" s="7">
        <f t="shared" si="12"/>
        <v>2.1978089441002085E-3</v>
      </c>
      <c r="M148" s="9"/>
      <c r="N148" s="2">
        <f t="shared" si="15"/>
        <v>16294.6</v>
      </c>
      <c r="O148" s="2">
        <f t="shared" si="13"/>
        <v>0</v>
      </c>
      <c r="P148" s="2"/>
    </row>
    <row r="149" spans="1:16" x14ac:dyDescent="0.3">
      <c r="A149" s="3">
        <v>44414</v>
      </c>
      <c r="B149" s="2">
        <v>16304.4</v>
      </c>
      <c r="C149" s="2">
        <v>16336.75</v>
      </c>
      <c r="D149" s="2">
        <v>16223.3</v>
      </c>
      <c r="E149" s="2">
        <v>16238.2</v>
      </c>
      <c r="F149" s="2">
        <v>320087281</v>
      </c>
      <c r="G149" s="2">
        <v>24716.17</v>
      </c>
      <c r="H149" s="2">
        <f t="shared" si="10"/>
        <v>15853.994999999999</v>
      </c>
      <c r="I149" s="2">
        <f t="shared" si="11"/>
        <v>15770.231000000002</v>
      </c>
      <c r="J149" s="2" t="s">
        <v>29</v>
      </c>
      <c r="K149" s="2">
        <f t="shared" si="14"/>
        <v>-56.399999999999636</v>
      </c>
      <c r="L149" s="7">
        <f t="shared" si="12"/>
        <v>-3.4591889305954E-3</v>
      </c>
      <c r="M149" s="9"/>
      <c r="N149" s="2">
        <f t="shared" si="15"/>
        <v>16294.6</v>
      </c>
      <c r="O149" s="2">
        <f t="shared" si="13"/>
        <v>-3.4612693775851744E-3</v>
      </c>
      <c r="P149" s="2"/>
    </row>
    <row r="150" spans="1:16" x14ac:dyDescent="0.3">
      <c r="A150" s="3">
        <v>44417</v>
      </c>
      <c r="B150" s="2">
        <v>16281.35</v>
      </c>
      <c r="C150" s="2">
        <v>16320.75</v>
      </c>
      <c r="D150" s="2">
        <v>16179.05</v>
      </c>
      <c r="E150" s="2">
        <v>16258.25</v>
      </c>
      <c r="F150" s="2">
        <v>240452917</v>
      </c>
      <c r="G150" s="2">
        <v>18302.03</v>
      </c>
      <c r="H150" s="2">
        <f t="shared" si="10"/>
        <v>15879.509999999998</v>
      </c>
      <c r="I150" s="2">
        <f t="shared" si="11"/>
        <v>15788.238000000001</v>
      </c>
      <c r="J150" s="2" t="s">
        <v>29</v>
      </c>
      <c r="K150" s="2">
        <f t="shared" si="14"/>
        <v>20.049999999999272</v>
      </c>
      <c r="L150" s="7">
        <f t="shared" si="12"/>
        <v>1.2314703633297774E-3</v>
      </c>
      <c r="M150" s="9"/>
      <c r="N150" s="2">
        <f t="shared" si="15"/>
        <v>16294.6</v>
      </c>
      <c r="O150" s="2">
        <f t="shared" si="13"/>
        <v>-2.2308003878586113E-3</v>
      </c>
      <c r="P150" s="2"/>
    </row>
    <row r="151" spans="1:16" x14ac:dyDescent="0.3">
      <c r="A151" s="3">
        <v>44418</v>
      </c>
      <c r="B151" s="2">
        <v>16274.8</v>
      </c>
      <c r="C151" s="2">
        <v>16359.25</v>
      </c>
      <c r="D151" s="2">
        <v>16202.25</v>
      </c>
      <c r="E151" s="2">
        <v>16280.1</v>
      </c>
      <c r="F151" s="2">
        <v>287989486</v>
      </c>
      <c r="G151" s="2">
        <v>22600.38</v>
      </c>
      <c r="H151" s="2">
        <f t="shared" ref="H151:H214" si="16">AVERAGE(E131:E150)</f>
        <v>15907.932500000001</v>
      </c>
      <c r="I151" s="2">
        <f t="shared" si="11"/>
        <v>15804.690000000002</v>
      </c>
      <c r="J151" s="2" t="s">
        <v>29</v>
      </c>
      <c r="K151" s="2">
        <f t="shared" si="14"/>
        <v>21.850000000000364</v>
      </c>
      <c r="L151" s="7">
        <f t="shared" si="12"/>
        <v>1.3425664217072016E-3</v>
      </c>
      <c r="M151" s="9"/>
      <c r="N151" s="2">
        <f t="shared" si="15"/>
        <v>16294.6</v>
      </c>
      <c r="O151" s="2">
        <f t="shared" si="13"/>
        <v>-8.8986535416646362E-4</v>
      </c>
      <c r="P151" s="2"/>
    </row>
    <row r="152" spans="1:16" x14ac:dyDescent="0.3">
      <c r="A152" s="3">
        <v>44419</v>
      </c>
      <c r="B152" s="2">
        <v>16327.3</v>
      </c>
      <c r="C152" s="2">
        <v>16338.75</v>
      </c>
      <c r="D152" s="2">
        <v>16162.55</v>
      </c>
      <c r="E152" s="2">
        <v>16282.25</v>
      </c>
      <c r="F152" s="2">
        <v>277895886</v>
      </c>
      <c r="G152" s="2">
        <v>20306.59</v>
      </c>
      <c r="H152" s="2">
        <f t="shared" si="16"/>
        <v>15937.307499999999</v>
      </c>
      <c r="I152" s="2">
        <f t="shared" si="11"/>
        <v>15818.636</v>
      </c>
      <c r="J152" s="2" t="s">
        <v>29</v>
      </c>
      <c r="K152" s="2">
        <f t="shared" si="14"/>
        <v>2.1499999999996362</v>
      </c>
      <c r="L152" s="7">
        <f t="shared" si="12"/>
        <v>1.3168129451897353E-4</v>
      </c>
      <c r="M152" s="9"/>
      <c r="N152" s="2">
        <f t="shared" si="15"/>
        <v>16294.6</v>
      </c>
      <c r="O152" s="2">
        <f t="shared" si="13"/>
        <v>-7.5791980165207384E-4</v>
      </c>
      <c r="P152" s="2"/>
    </row>
    <row r="153" spans="1:16" x14ac:dyDescent="0.3">
      <c r="A153" s="3">
        <v>44420</v>
      </c>
      <c r="B153" s="2">
        <v>16303.65</v>
      </c>
      <c r="C153" s="2">
        <v>16375.5</v>
      </c>
      <c r="D153" s="2">
        <v>16286.9</v>
      </c>
      <c r="E153" s="2">
        <v>16364.4</v>
      </c>
      <c r="F153" s="2">
        <v>280181324</v>
      </c>
      <c r="G153" s="2">
        <v>18548.87</v>
      </c>
      <c r="H153" s="2">
        <f t="shared" si="16"/>
        <v>15960.8025</v>
      </c>
      <c r="I153" s="2">
        <f t="shared" si="11"/>
        <v>15832.784</v>
      </c>
      <c r="J153" s="2" t="s">
        <v>29</v>
      </c>
      <c r="K153" s="2">
        <f t="shared" si="14"/>
        <v>82.149999999999636</v>
      </c>
      <c r="L153" s="7">
        <f t="shared" si="12"/>
        <v>5.0387489917901596E-3</v>
      </c>
      <c r="M153" s="9"/>
      <c r="N153" s="2">
        <f t="shared" si="15"/>
        <v>16364.4</v>
      </c>
      <c r="O153" s="2">
        <f t="shared" si="13"/>
        <v>0</v>
      </c>
      <c r="P153" s="2"/>
    </row>
    <row r="154" spans="1:16" x14ac:dyDescent="0.3">
      <c r="A154" s="3">
        <v>44421</v>
      </c>
      <c r="B154" s="2">
        <v>16385.7</v>
      </c>
      <c r="C154" s="2">
        <v>16543.599999999999</v>
      </c>
      <c r="D154" s="2">
        <v>16376.3</v>
      </c>
      <c r="E154" s="2">
        <v>16529.099999999999</v>
      </c>
      <c r="F154" s="2">
        <v>321866286</v>
      </c>
      <c r="G154" s="2">
        <v>27163.08</v>
      </c>
      <c r="H154" s="2">
        <f t="shared" si="16"/>
        <v>15986.325000000001</v>
      </c>
      <c r="I154" s="2">
        <f t="shared" si="11"/>
        <v>15848.548000000003</v>
      </c>
      <c r="J154" s="2" t="s">
        <v>29</v>
      </c>
      <c r="K154" s="2">
        <f t="shared" si="14"/>
        <v>164.69999999999891</v>
      </c>
      <c r="L154" s="7">
        <f t="shared" si="12"/>
        <v>1.0051447298559042E-2</v>
      </c>
      <c r="M154" s="9"/>
      <c r="N154" s="2">
        <f t="shared" si="15"/>
        <v>16529.099999999999</v>
      </c>
      <c r="O154" s="2">
        <f t="shared" si="13"/>
        <v>0</v>
      </c>
      <c r="P154" s="2"/>
    </row>
    <row r="155" spans="1:16" x14ac:dyDescent="0.3">
      <c r="A155" s="3">
        <v>44424</v>
      </c>
      <c r="B155" s="2">
        <v>16518.400000000001</v>
      </c>
      <c r="C155" s="2">
        <v>16589.400000000001</v>
      </c>
      <c r="D155" s="2">
        <v>16480.75</v>
      </c>
      <c r="E155" s="2">
        <v>16563.05</v>
      </c>
      <c r="F155" s="2">
        <v>254049330</v>
      </c>
      <c r="G155" s="2">
        <v>21456.2</v>
      </c>
      <c r="H155" s="2">
        <f t="shared" si="16"/>
        <v>16016.569999999998</v>
      </c>
      <c r="I155" s="2">
        <f t="shared" si="11"/>
        <v>15865.323</v>
      </c>
      <c r="J155" s="2" t="s">
        <v>29</v>
      </c>
      <c r="K155" s="2">
        <f t="shared" si="14"/>
        <v>33.950000000000728</v>
      </c>
      <c r="L155" s="7">
        <f t="shared" si="12"/>
        <v>2.0552838047268938E-3</v>
      </c>
      <c r="M155" s="9"/>
      <c r="N155" s="2">
        <f t="shared" si="15"/>
        <v>16563.05</v>
      </c>
      <c r="O155" s="2">
        <f t="shared" si="13"/>
        <v>0</v>
      </c>
      <c r="P155" s="2"/>
    </row>
    <row r="156" spans="1:16" x14ac:dyDescent="0.3">
      <c r="A156" s="3">
        <v>44425</v>
      </c>
      <c r="B156" s="2">
        <v>16545.25</v>
      </c>
      <c r="C156" s="2">
        <v>16628.55</v>
      </c>
      <c r="D156" s="2">
        <v>16495.400000000001</v>
      </c>
      <c r="E156" s="2">
        <v>16614.599999999999</v>
      </c>
      <c r="F156" s="2">
        <v>297388470</v>
      </c>
      <c r="G156" s="2">
        <v>25696.44</v>
      </c>
      <c r="H156" s="2">
        <f t="shared" si="16"/>
        <v>16048.5525</v>
      </c>
      <c r="I156" s="2">
        <f t="shared" si="11"/>
        <v>15883.179000000002</v>
      </c>
      <c r="J156" s="2" t="s">
        <v>29</v>
      </c>
      <c r="K156" s="2">
        <f t="shared" si="14"/>
        <v>51.549999999999272</v>
      </c>
      <c r="L156" s="7">
        <f t="shared" si="12"/>
        <v>3.1156978589020577E-3</v>
      </c>
      <c r="M156" s="9"/>
      <c r="N156" s="2">
        <f t="shared" si="15"/>
        <v>16614.599999999999</v>
      </c>
      <c r="O156" s="2">
        <f t="shared" si="13"/>
        <v>0</v>
      </c>
      <c r="P156" s="2"/>
    </row>
    <row r="157" spans="1:16" x14ac:dyDescent="0.3">
      <c r="A157" s="3">
        <v>44426</v>
      </c>
      <c r="B157" s="2">
        <v>16691.95</v>
      </c>
      <c r="C157" s="2">
        <v>16701.849999999999</v>
      </c>
      <c r="D157" s="2">
        <v>16535.849999999999</v>
      </c>
      <c r="E157" s="2">
        <v>16568.849999999999</v>
      </c>
      <c r="F157" s="2">
        <v>251796822</v>
      </c>
      <c r="G157" s="2">
        <v>22721.54</v>
      </c>
      <c r="H157" s="2">
        <f t="shared" si="16"/>
        <v>16091.662499999997</v>
      </c>
      <c r="I157" s="2">
        <f t="shared" si="11"/>
        <v>15900.438</v>
      </c>
      <c r="J157" s="2" t="s">
        <v>29</v>
      </c>
      <c r="K157" s="2">
        <f t="shared" si="14"/>
        <v>-45.75</v>
      </c>
      <c r="L157" s="7">
        <f t="shared" si="12"/>
        <v>-2.740842142469873E-3</v>
      </c>
      <c r="M157" s="9"/>
      <c r="N157" s="2">
        <f t="shared" si="15"/>
        <v>16614.599999999999</v>
      </c>
      <c r="O157" s="2">
        <f t="shared" si="13"/>
        <v>-2.7536022534397908E-3</v>
      </c>
      <c r="P157" s="2"/>
    </row>
    <row r="158" spans="1:16" x14ac:dyDescent="0.3">
      <c r="A158" s="3">
        <v>44428</v>
      </c>
      <c r="B158" s="2">
        <v>16382.5</v>
      </c>
      <c r="C158" s="2">
        <v>16509.55</v>
      </c>
      <c r="D158" s="2">
        <v>16376.05</v>
      </c>
      <c r="E158" s="2">
        <v>16450.5</v>
      </c>
      <c r="F158" s="2">
        <v>350819323</v>
      </c>
      <c r="G158" s="2">
        <v>30118.23</v>
      </c>
      <c r="H158" s="2">
        <f t="shared" si="16"/>
        <v>16138.499999999996</v>
      </c>
      <c r="I158" s="2">
        <f t="shared" si="11"/>
        <v>15917.013000000001</v>
      </c>
      <c r="J158" s="2" t="s">
        <v>29</v>
      </c>
      <c r="K158" s="2">
        <f t="shared" si="14"/>
        <v>-118.34999999999854</v>
      </c>
      <c r="L158" s="7">
        <f t="shared" si="12"/>
        <v>-7.2241721348999567E-3</v>
      </c>
      <c r="M158" s="9"/>
      <c r="N158" s="2">
        <f t="shared" si="15"/>
        <v>16614.599999999999</v>
      </c>
      <c r="O158" s="2">
        <f t="shared" si="13"/>
        <v>-9.8768552959443978E-3</v>
      </c>
      <c r="P158" s="2"/>
    </row>
    <row r="159" spans="1:16" x14ac:dyDescent="0.3">
      <c r="A159" s="3">
        <v>44431</v>
      </c>
      <c r="B159" s="2">
        <v>16592.25</v>
      </c>
      <c r="C159" s="2">
        <v>16592.5</v>
      </c>
      <c r="D159" s="2">
        <v>16395.7</v>
      </c>
      <c r="E159" s="2">
        <v>16496.45</v>
      </c>
      <c r="F159" s="2">
        <v>275597782</v>
      </c>
      <c r="G159" s="2">
        <v>24355.77</v>
      </c>
      <c r="H159" s="2">
        <f t="shared" si="16"/>
        <v>16169.822499999998</v>
      </c>
      <c r="I159" s="2">
        <f t="shared" si="11"/>
        <v>15933.316000000001</v>
      </c>
      <c r="J159" s="2" t="s">
        <v>29</v>
      </c>
      <c r="K159" s="2">
        <f t="shared" si="14"/>
        <v>45.950000000000728</v>
      </c>
      <c r="L159" s="7">
        <f t="shared" si="12"/>
        <v>2.7693652156880908E-3</v>
      </c>
      <c r="M159" s="9"/>
      <c r="N159" s="2">
        <f t="shared" si="15"/>
        <v>16614.599999999999</v>
      </c>
      <c r="O159" s="2">
        <f t="shared" si="13"/>
        <v>-7.1112154370250868E-3</v>
      </c>
      <c r="P159" s="2"/>
    </row>
    <row r="160" spans="1:16" x14ac:dyDescent="0.3">
      <c r="A160" s="3">
        <v>44432</v>
      </c>
      <c r="B160" s="2">
        <v>16561.400000000001</v>
      </c>
      <c r="C160" s="2">
        <v>16647.099999999999</v>
      </c>
      <c r="D160" s="2">
        <v>16495.3</v>
      </c>
      <c r="E160" s="2">
        <v>16624.599999999999</v>
      </c>
      <c r="F160" s="2">
        <v>275362819</v>
      </c>
      <c r="G160" s="2">
        <v>24992.32</v>
      </c>
      <c r="H160" s="2">
        <f t="shared" si="16"/>
        <v>16201.842499999999</v>
      </c>
      <c r="I160" s="2">
        <f t="shared" si="11"/>
        <v>15948.490000000002</v>
      </c>
      <c r="J160" s="2" t="s">
        <v>29</v>
      </c>
      <c r="K160" s="2">
        <f t="shared" si="14"/>
        <v>128.14999999999782</v>
      </c>
      <c r="L160" s="7">
        <f t="shared" si="12"/>
        <v>7.737872402091478E-3</v>
      </c>
      <c r="M160" s="9"/>
      <c r="N160" s="2">
        <f t="shared" si="15"/>
        <v>16624.599999999999</v>
      </c>
      <c r="O160" s="2">
        <f t="shared" si="13"/>
        <v>0</v>
      </c>
      <c r="P160" s="2"/>
    </row>
    <row r="161" spans="1:16" x14ac:dyDescent="0.3">
      <c r="A161" s="3">
        <v>44433</v>
      </c>
      <c r="B161" s="2">
        <v>16654</v>
      </c>
      <c r="C161" s="2">
        <v>16712.45</v>
      </c>
      <c r="D161" s="2">
        <v>16617.5</v>
      </c>
      <c r="E161" s="2">
        <v>16634.650000000001</v>
      </c>
      <c r="F161" s="2">
        <v>265920141</v>
      </c>
      <c r="G161" s="2">
        <v>22210.6</v>
      </c>
      <c r="H161" s="2">
        <f t="shared" si="16"/>
        <v>16241.85</v>
      </c>
      <c r="I161" s="2">
        <f t="shared" si="11"/>
        <v>15964.995000000001</v>
      </c>
      <c r="J161" s="2" t="s">
        <v>29</v>
      </c>
      <c r="K161" s="2">
        <f t="shared" si="14"/>
        <v>10.05000000000291</v>
      </c>
      <c r="L161" s="7">
        <f t="shared" si="12"/>
        <v>6.0345862855787856E-4</v>
      </c>
      <c r="M161" s="9"/>
      <c r="N161" s="2">
        <f t="shared" si="15"/>
        <v>16634.650000000001</v>
      </c>
      <c r="O161" s="2">
        <f t="shared" si="13"/>
        <v>0</v>
      </c>
      <c r="P161" s="2"/>
    </row>
    <row r="162" spans="1:16" x14ac:dyDescent="0.3">
      <c r="A162" s="3">
        <v>44434</v>
      </c>
      <c r="B162" s="2">
        <v>16627.95</v>
      </c>
      <c r="C162" s="2">
        <v>16683.7</v>
      </c>
      <c r="D162" s="2">
        <v>16603.400000000001</v>
      </c>
      <c r="E162" s="2">
        <v>16636.900000000001</v>
      </c>
      <c r="F162" s="2">
        <v>253530997</v>
      </c>
      <c r="G162" s="2">
        <v>22320.21</v>
      </c>
      <c r="H162" s="2">
        <f t="shared" si="16"/>
        <v>16286.26</v>
      </c>
      <c r="I162" s="2">
        <f t="shared" si="11"/>
        <v>15981.450999999999</v>
      </c>
      <c r="J162" s="2" t="s">
        <v>29</v>
      </c>
      <c r="K162" s="2">
        <f t="shared" si="14"/>
        <v>2.25</v>
      </c>
      <c r="L162" s="7">
        <f t="shared" si="12"/>
        <v>1.3531433520067116E-4</v>
      </c>
      <c r="M162" s="9"/>
      <c r="N162" s="2">
        <f t="shared" si="15"/>
        <v>16636.900000000001</v>
      </c>
      <c r="O162" s="2">
        <f t="shared" si="13"/>
        <v>0</v>
      </c>
      <c r="P162" s="2"/>
    </row>
    <row r="163" spans="1:16" x14ac:dyDescent="0.3">
      <c r="A163" s="3">
        <v>44435</v>
      </c>
      <c r="B163" s="2">
        <v>16642.55</v>
      </c>
      <c r="C163" s="2">
        <v>16722.05</v>
      </c>
      <c r="D163" s="2">
        <v>16565.599999999999</v>
      </c>
      <c r="E163" s="2">
        <v>16705.2</v>
      </c>
      <c r="F163" s="2">
        <v>217405743</v>
      </c>
      <c r="G163" s="2">
        <v>20499.849999999999</v>
      </c>
      <c r="H163" s="2">
        <f t="shared" si="16"/>
        <v>16332.635</v>
      </c>
      <c r="I163" s="2">
        <f t="shared" si="11"/>
        <v>15996.804000000002</v>
      </c>
      <c r="J163" s="2" t="s">
        <v>29</v>
      </c>
      <c r="K163" s="2">
        <f t="shared" si="14"/>
        <v>68.299999999999272</v>
      </c>
      <c r="L163" s="7">
        <f t="shared" si="12"/>
        <v>4.1039383988631115E-3</v>
      </c>
      <c r="M163" s="9"/>
      <c r="N163" s="2">
        <f t="shared" si="15"/>
        <v>16705.2</v>
      </c>
      <c r="O163" s="2">
        <f t="shared" si="13"/>
        <v>0</v>
      </c>
      <c r="P163" s="2"/>
    </row>
    <row r="164" spans="1:16" x14ac:dyDescent="0.3">
      <c r="A164" s="3">
        <v>44438</v>
      </c>
      <c r="B164" s="2">
        <v>16775.849999999999</v>
      </c>
      <c r="C164" s="2">
        <v>16951.5</v>
      </c>
      <c r="D164" s="2">
        <v>16764.849999999999</v>
      </c>
      <c r="E164" s="2">
        <v>16931.05</v>
      </c>
      <c r="F164" s="2">
        <v>283483108</v>
      </c>
      <c r="G164" s="2">
        <v>23615.87</v>
      </c>
      <c r="H164" s="2">
        <f t="shared" si="16"/>
        <v>16378.972500000003</v>
      </c>
      <c r="I164" s="2">
        <f t="shared" si="11"/>
        <v>16015.556999999997</v>
      </c>
      <c r="J164" s="2" t="s">
        <v>29</v>
      </c>
      <c r="K164" s="2">
        <f t="shared" si="14"/>
        <v>225.84999999999854</v>
      </c>
      <c r="L164" s="7">
        <f t="shared" si="12"/>
        <v>1.3462805163374647E-2</v>
      </c>
      <c r="M164" s="9"/>
      <c r="N164" s="2">
        <f t="shared" si="15"/>
        <v>16931.05</v>
      </c>
      <c r="O164" s="2">
        <f t="shared" si="13"/>
        <v>0</v>
      </c>
      <c r="P164" s="2"/>
    </row>
    <row r="165" spans="1:16" x14ac:dyDescent="0.3">
      <c r="A165" s="3">
        <v>44439</v>
      </c>
      <c r="B165" s="2">
        <v>16947.5</v>
      </c>
      <c r="C165" s="2">
        <v>17153.5</v>
      </c>
      <c r="D165" s="2">
        <v>16915.849999999999</v>
      </c>
      <c r="E165" s="2">
        <v>17132.2</v>
      </c>
      <c r="F165" s="2">
        <v>464390247</v>
      </c>
      <c r="G165" s="2">
        <v>40147.89</v>
      </c>
      <c r="H165" s="2">
        <f t="shared" si="16"/>
        <v>16437.372500000005</v>
      </c>
      <c r="I165" s="2">
        <f t="shared" si="11"/>
        <v>16040.35</v>
      </c>
      <c r="J165" s="2" t="s">
        <v>29</v>
      </c>
      <c r="K165" s="2">
        <f t="shared" si="14"/>
        <v>201.15000000000146</v>
      </c>
      <c r="L165" s="7">
        <f t="shared" si="12"/>
        <v>1.1869007228204836E-2</v>
      </c>
      <c r="M165" s="9"/>
      <c r="N165" s="2">
        <f t="shared" si="15"/>
        <v>17132.2</v>
      </c>
      <c r="O165" s="2">
        <f t="shared" si="13"/>
        <v>0</v>
      </c>
      <c r="P165" s="2"/>
    </row>
    <row r="166" spans="1:16" x14ac:dyDescent="0.3">
      <c r="A166" s="3">
        <v>44440</v>
      </c>
      <c r="B166" s="2">
        <v>17185.599999999999</v>
      </c>
      <c r="C166" s="2">
        <v>17225.75</v>
      </c>
      <c r="D166" s="2">
        <v>17055.05</v>
      </c>
      <c r="E166" s="2">
        <v>17076.25</v>
      </c>
      <c r="F166" s="2">
        <v>301894634</v>
      </c>
      <c r="G166" s="2">
        <v>27691.93</v>
      </c>
      <c r="H166" s="2">
        <f t="shared" si="16"/>
        <v>16499.725000000002</v>
      </c>
      <c r="I166" s="2">
        <f t="shared" si="11"/>
        <v>16069.326999999999</v>
      </c>
      <c r="J166" s="2" t="s">
        <v>29</v>
      </c>
      <c r="K166" s="2">
        <f t="shared" si="14"/>
        <v>-55.950000000000728</v>
      </c>
      <c r="L166" s="7">
        <f t="shared" si="12"/>
        <v>-3.2556326226608747E-3</v>
      </c>
      <c r="M166" s="9"/>
      <c r="N166" s="2">
        <f t="shared" si="15"/>
        <v>17132.2</v>
      </c>
      <c r="O166" s="2">
        <f t="shared" si="13"/>
        <v>-3.2657802267076486E-3</v>
      </c>
      <c r="P166" s="2"/>
    </row>
    <row r="167" spans="1:16" x14ac:dyDescent="0.3">
      <c r="A167" s="3">
        <v>44441</v>
      </c>
      <c r="B167" s="2">
        <v>17095.400000000001</v>
      </c>
      <c r="C167" s="2">
        <v>17245.5</v>
      </c>
      <c r="D167" s="2">
        <v>17059.7</v>
      </c>
      <c r="E167" s="2">
        <v>17234.150000000001</v>
      </c>
      <c r="F167" s="2">
        <v>242377518</v>
      </c>
      <c r="G167" s="2">
        <v>22620.36</v>
      </c>
      <c r="H167" s="2">
        <f t="shared" si="16"/>
        <v>16547.000000000004</v>
      </c>
      <c r="I167" s="2">
        <f t="shared" si="11"/>
        <v>16095.921999999999</v>
      </c>
      <c r="J167" s="2" t="s">
        <v>29</v>
      </c>
      <c r="K167" s="2">
        <f t="shared" si="14"/>
        <v>157.90000000000146</v>
      </c>
      <c r="L167" s="7">
        <f t="shared" si="12"/>
        <v>9.2364027750155859E-3</v>
      </c>
      <c r="M167" s="9"/>
      <c r="N167" s="2">
        <f t="shared" si="15"/>
        <v>17234.150000000001</v>
      </c>
      <c r="O167" s="2">
        <f t="shared" si="13"/>
        <v>0</v>
      </c>
      <c r="P167" s="2"/>
    </row>
    <row r="168" spans="1:16" x14ac:dyDescent="0.3">
      <c r="A168" s="3">
        <v>44442</v>
      </c>
      <c r="B168" s="2">
        <v>17262.45</v>
      </c>
      <c r="C168" s="2">
        <v>17340.099999999999</v>
      </c>
      <c r="D168" s="2">
        <v>17212.2</v>
      </c>
      <c r="E168" s="2">
        <v>17323.599999999999</v>
      </c>
      <c r="F168" s="2">
        <v>261373795</v>
      </c>
      <c r="G168" s="2">
        <v>23579.17</v>
      </c>
      <c r="H168" s="2">
        <f t="shared" si="16"/>
        <v>16595.767500000002</v>
      </c>
      <c r="I168" s="2">
        <f t="shared" si="11"/>
        <v>16125.15</v>
      </c>
      <c r="J168" s="2" t="s">
        <v>29</v>
      </c>
      <c r="K168" s="2">
        <f t="shared" si="14"/>
        <v>89.44999999999709</v>
      </c>
      <c r="L168" s="7">
        <f t="shared" si="12"/>
        <v>5.1817673621066002E-3</v>
      </c>
      <c r="M168" s="9"/>
      <c r="N168" s="2">
        <f t="shared" si="15"/>
        <v>17323.599999999999</v>
      </c>
      <c r="O168" s="2">
        <f t="shared" si="13"/>
        <v>0</v>
      </c>
      <c r="P168" s="2"/>
    </row>
    <row r="169" spans="1:16" x14ac:dyDescent="0.3">
      <c r="A169" s="3">
        <v>44445</v>
      </c>
      <c r="B169" s="2">
        <v>17399.349999999999</v>
      </c>
      <c r="C169" s="2">
        <v>17429.55</v>
      </c>
      <c r="D169" s="2">
        <v>17345.55</v>
      </c>
      <c r="E169" s="2">
        <v>17377.8</v>
      </c>
      <c r="F169" s="2">
        <v>228045532</v>
      </c>
      <c r="G169" s="2">
        <v>21270.62</v>
      </c>
      <c r="H169" s="2">
        <f t="shared" si="16"/>
        <v>16647.217500000002</v>
      </c>
      <c r="I169" s="2">
        <f t="shared" si="11"/>
        <v>16157.883</v>
      </c>
      <c r="J169" s="2" t="s">
        <v>29</v>
      </c>
      <c r="K169" s="2">
        <f t="shared" si="14"/>
        <v>54.200000000000728</v>
      </c>
      <c r="L169" s="7">
        <f t="shared" si="12"/>
        <v>3.1150588958783363E-3</v>
      </c>
      <c r="M169" s="9"/>
      <c r="N169" s="2">
        <f t="shared" si="15"/>
        <v>17377.8</v>
      </c>
      <c r="O169" s="2">
        <f t="shared" si="13"/>
        <v>0</v>
      </c>
      <c r="P169" s="2"/>
    </row>
    <row r="170" spans="1:16" x14ac:dyDescent="0.3">
      <c r="A170" s="3">
        <v>44446</v>
      </c>
      <c r="B170" s="2">
        <v>17401.55</v>
      </c>
      <c r="C170" s="2">
        <v>17436.5</v>
      </c>
      <c r="D170" s="2">
        <v>17287</v>
      </c>
      <c r="E170" s="2">
        <v>17362.099999999999</v>
      </c>
      <c r="F170" s="2">
        <v>243417811</v>
      </c>
      <c r="G170" s="2">
        <v>19848.939999999999</v>
      </c>
      <c r="H170" s="2">
        <f t="shared" si="16"/>
        <v>16704.197500000002</v>
      </c>
      <c r="I170" s="2">
        <f t="shared" si="11"/>
        <v>16189.63</v>
      </c>
      <c r="J170" s="2" t="s">
        <v>29</v>
      </c>
      <c r="K170" s="2">
        <f t="shared" si="14"/>
        <v>-15.700000000000728</v>
      </c>
      <c r="L170" s="7">
        <f t="shared" si="12"/>
        <v>-9.0221848053769513E-4</v>
      </c>
      <c r="M170" s="9"/>
      <c r="N170" s="2">
        <f t="shared" si="15"/>
        <v>17377.8</v>
      </c>
      <c r="O170" s="2">
        <f t="shared" si="13"/>
        <v>-9.0345153011317514E-4</v>
      </c>
      <c r="P170" s="2"/>
    </row>
    <row r="171" spans="1:16" x14ac:dyDescent="0.3">
      <c r="A171" s="3">
        <v>44447</v>
      </c>
      <c r="B171" s="2">
        <v>17375.75</v>
      </c>
      <c r="C171" s="2">
        <v>17383.400000000001</v>
      </c>
      <c r="D171" s="2">
        <v>17254.2</v>
      </c>
      <c r="E171" s="2">
        <v>17353.5</v>
      </c>
      <c r="F171" s="2">
        <v>252652423</v>
      </c>
      <c r="G171" s="2">
        <v>22696.35</v>
      </c>
      <c r="H171" s="2">
        <f t="shared" si="16"/>
        <v>16759.39</v>
      </c>
      <c r="I171" s="2">
        <f t="shared" si="11"/>
        <v>16219.664999999997</v>
      </c>
      <c r="J171" s="2" t="s">
        <v>29</v>
      </c>
      <c r="K171" s="2">
        <f t="shared" si="14"/>
        <v>-8.5999999999985448</v>
      </c>
      <c r="L171" s="7">
        <f t="shared" si="12"/>
        <v>-4.9494266434534019E-4</v>
      </c>
      <c r="M171" s="9"/>
      <c r="N171" s="2">
        <f t="shared" si="15"/>
        <v>17377.8</v>
      </c>
      <c r="O171" s="2">
        <f t="shared" si="13"/>
        <v>-1.3983358077547248E-3</v>
      </c>
      <c r="P171" s="2"/>
    </row>
    <row r="172" spans="1:16" x14ac:dyDescent="0.3">
      <c r="A172" s="3">
        <v>44448</v>
      </c>
      <c r="B172" s="2">
        <v>17312.849999999999</v>
      </c>
      <c r="C172" s="2">
        <v>17379.650000000001</v>
      </c>
      <c r="D172" s="2">
        <v>17302.7</v>
      </c>
      <c r="E172" s="2">
        <v>17369.25</v>
      </c>
      <c r="F172" s="2">
        <v>241509352</v>
      </c>
      <c r="G172" s="2">
        <v>17719.78</v>
      </c>
      <c r="H172" s="2">
        <f t="shared" si="16"/>
        <v>16813.059999999998</v>
      </c>
      <c r="I172" s="2">
        <f t="shared" si="11"/>
        <v>16250.441000000001</v>
      </c>
      <c r="J172" s="2" t="s">
        <v>29</v>
      </c>
      <c r="K172" s="2">
        <f t="shared" si="14"/>
        <v>15.75</v>
      </c>
      <c r="L172" s="7">
        <f t="shared" si="12"/>
        <v>9.0972890078756536E-4</v>
      </c>
      <c r="M172" s="9"/>
      <c r="N172" s="2">
        <f t="shared" si="15"/>
        <v>17377.8</v>
      </c>
      <c r="O172" s="2">
        <f t="shared" si="13"/>
        <v>-4.9200704346918922E-4</v>
      </c>
      <c r="P172" s="2"/>
    </row>
    <row r="173" spans="1:16" x14ac:dyDescent="0.3">
      <c r="A173" s="3">
        <v>44452</v>
      </c>
      <c r="B173" s="2">
        <v>17363.55</v>
      </c>
      <c r="C173" s="2">
        <v>17378.349999999999</v>
      </c>
      <c r="D173" s="2">
        <v>17269.150000000001</v>
      </c>
      <c r="E173" s="2">
        <v>17355.3</v>
      </c>
      <c r="F173" s="2">
        <v>241053924</v>
      </c>
      <c r="G173" s="2">
        <v>18498.63</v>
      </c>
      <c r="H173" s="2">
        <f t="shared" si="16"/>
        <v>16867.409999999996</v>
      </c>
      <c r="I173" s="2">
        <f t="shared" si="11"/>
        <v>16282.857</v>
      </c>
      <c r="J173" s="2" t="s">
        <v>29</v>
      </c>
      <c r="K173" s="2">
        <f t="shared" si="14"/>
        <v>-13.950000000000728</v>
      </c>
      <c r="L173" s="7">
        <f t="shared" si="12"/>
        <v>-8.0340713736538481E-4</v>
      </c>
      <c r="M173" s="9"/>
      <c r="N173" s="2">
        <f t="shared" si="15"/>
        <v>17377.8</v>
      </c>
      <c r="O173" s="2">
        <f t="shared" si="13"/>
        <v>-1.2947553775506382E-3</v>
      </c>
      <c r="P173" s="2"/>
    </row>
    <row r="174" spans="1:16" x14ac:dyDescent="0.3">
      <c r="A174" s="3">
        <v>44453</v>
      </c>
      <c r="B174" s="2">
        <v>17420.349999999999</v>
      </c>
      <c r="C174" s="2">
        <v>17438.55</v>
      </c>
      <c r="D174" s="2">
        <v>17367.05</v>
      </c>
      <c r="E174" s="2">
        <v>17380</v>
      </c>
      <c r="F174" s="2">
        <v>230354386</v>
      </c>
      <c r="G174" s="2">
        <v>18702.82</v>
      </c>
      <c r="H174" s="2">
        <f t="shared" si="16"/>
        <v>16916.954999999998</v>
      </c>
      <c r="I174" s="2">
        <f t="shared" si="11"/>
        <v>16315.533000000001</v>
      </c>
      <c r="J174" s="2" t="s">
        <v>29</v>
      </c>
      <c r="K174" s="2">
        <f t="shared" si="14"/>
        <v>24.700000000000728</v>
      </c>
      <c r="L174" s="7">
        <f t="shared" si="12"/>
        <v>1.4178819598917778E-3</v>
      </c>
      <c r="M174" s="9"/>
      <c r="N174" s="2">
        <f t="shared" si="15"/>
        <v>17380</v>
      </c>
      <c r="O174" s="2">
        <f t="shared" si="13"/>
        <v>0</v>
      </c>
      <c r="P174" s="2"/>
    </row>
    <row r="175" spans="1:16" x14ac:dyDescent="0.3">
      <c r="A175" s="3">
        <v>44454</v>
      </c>
      <c r="B175" s="2">
        <v>17387.650000000001</v>
      </c>
      <c r="C175" s="2">
        <v>17532.7</v>
      </c>
      <c r="D175" s="2">
        <v>17386.900000000001</v>
      </c>
      <c r="E175" s="2">
        <v>17519.45</v>
      </c>
      <c r="F175" s="2">
        <v>388191629</v>
      </c>
      <c r="G175" s="2">
        <v>24256.799999999999</v>
      </c>
      <c r="H175" s="2">
        <f t="shared" si="16"/>
        <v>16959.499999999996</v>
      </c>
      <c r="I175" s="2">
        <f t="shared" si="11"/>
        <v>16349.533000000001</v>
      </c>
      <c r="J175" s="2" t="s">
        <v>29</v>
      </c>
      <c r="K175" s="2">
        <f t="shared" si="14"/>
        <v>139.45000000000073</v>
      </c>
      <c r="L175" s="7">
        <f t="shared" si="12"/>
        <v>8.0200602151527505E-3</v>
      </c>
      <c r="M175" s="9"/>
      <c r="N175" s="2">
        <f t="shared" si="15"/>
        <v>17519.45</v>
      </c>
      <c r="O175" s="2">
        <f t="shared" si="13"/>
        <v>0</v>
      </c>
      <c r="P175" s="2"/>
    </row>
    <row r="176" spans="1:16" x14ac:dyDescent="0.3">
      <c r="A176" s="3">
        <v>44455</v>
      </c>
      <c r="B176" s="2">
        <v>17539.2</v>
      </c>
      <c r="C176" s="2">
        <v>17644.599999999999</v>
      </c>
      <c r="D176" s="2">
        <v>17510.45</v>
      </c>
      <c r="E176" s="2">
        <v>17629.5</v>
      </c>
      <c r="F176" s="2">
        <v>503310763</v>
      </c>
      <c r="G176" s="2">
        <v>30189.77</v>
      </c>
      <c r="H176" s="2">
        <f t="shared" si="16"/>
        <v>17007.32</v>
      </c>
      <c r="I176" s="2">
        <f t="shared" si="11"/>
        <v>16385.477999999999</v>
      </c>
      <c r="J176" s="2" t="s">
        <v>29</v>
      </c>
      <c r="K176" s="2">
        <f t="shared" si="14"/>
        <v>110.04999999999927</v>
      </c>
      <c r="L176" s="7">
        <f t="shared" si="12"/>
        <v>6.2745165115854354E-3</v>
      </c>
      <c r="M176" s="9"/>
      <c r="N176" s="2">
        <f t="shared" si="15"/>
        <v>17629.5</v>
      </c>
      <c r="O176" s="2">
        <f t="shared" si="13"/>
        <v>0</v>
      </c>
      <c r="P176" s="2"/>
    </row>
    <row r="177" spans="1:16" x14ac:dyDescent="0.3">
      <c r="A177" s="3">
        <v>44456</v>
      </c>
      <c r="B177" s="2">
        <v>17709.650000000001</v>
      </c>
      <c r="C177" s="2">
        <v>17792.95</v>
      </c>
      <c r="D177" s="2">
        <v>17537.650000000001</v>
      </c>
      <c r="E177" s="2">
        <v>17585.150000000001</v>
      </c>
      <c r="F177" s="2">
        <v>508285916</v>
      </c>
      <c r="G177" s="2">
        <v>43345.58</v>
      </c>
      <c r="H177" s="2">
        <f t="shared" si="16"/>
        <v>17058.064999999999</v>
      </c>
      <c r="I177" s="2">
        <f t="shared" si="11"/>
        <v>16421.380999999998</v>
      </c>
      <c r="J177" s="2" t="s">
        <v>29</v>
      </c>
      <c r="K177" s="2">
        <f t="shared" si="14"/>
        <v>-44.349999999998545</v>
      </c>
      <c r="L177" s="7">
        <f t="shared" si="12"/>
        <v>-2.5042843873254719E-3</v>
      </c>
      <c r="M177" s="9"/>
      <c r="N177" s="2">
        <f t="shared" si="15"/>
        <v>17629.5</v>
      </c>
      <c r="O177" s="2">
        <f t="shared" si="13"/>
        <v>-2.5156697580758225E-3</v>
      </c>
      <c r="P177" s="2"/>
    </row>
    <row r="178" spans="1:16" x14ac:dyDescent="0.3">
      <c r="A178" s="3">
        <v>44459</v>
      </c>
      <c r="B178" s="2">
        <v>17443.849999999999</v>
      </c>
      <c r="C178" s="2">
        <v>17622.75</v>
      </c>
      <c r="D178" s="2">
        <v>17361.8</v>
      </c>
      <c r="E178" s="2">
        <v>17396.900000000001</v>
      </c>
      <c r="F178" s="2">
        <v>339102046</v>
      </c>
      <c r="G178" s="2">
        <v>25304.27</v>
      </c>
      <c r="H178" s="2">
        <f t="shared" si="16"/>
        <v>17108.88</v>
      </c>
      <c r="I178" s="2">
        <f t="shared" si="11"/>
        <v>16456.718999999997</v>
      </c>
      <c r="J178" s="2" t="s">
        <v>29</v>
      </c>
      <c r="K178" s="2">
        <f t="shared" si="14"/>
        <v>-188.25</v>
      </c>
      <c r="L178" s="7">
        <f t="shared" si="12"/>
        <v>-1.0791769018880581E-2</v>
      </c>
      <c r="M178" s="9"/>
      <c r="N178" s="2">
        <f t="shared" si="15"/>
        <v>17629.5</v>
      </c>
      <c r="O178" s="2">
        <f t="shared" si="13"/>
        <v>-1.3193794492186273E-2</v>
      </c>
      <c r="P178" s="2"/>
    </row>
    <row r="179" spans="1:16" x14ac:dyDescent="0.3">
      <c r="A179" s="3">
        <v>44460</v>
      </c>
      <c r="B179" s="2">
        <v>17450.5</v>
      </c>
      <c r="C179" s="2">
        <v>17578.349999999999</v>
      </c>
      <c r="D179" s="2">
        <v>17326.099999999999</v>
      </c>
      <c r="E179" s="2">
        <v>17562</v>
      </c>
      <c r="F179" s="2">
        <v>363578479</v>
      </c>
      <c r="G179" s="2">
        <v>26520.99</v>
      </c>
      <c r="H179" s="2">
        <f t="shared" si="16"/>
        <v>17156.200000000004</v>
      </c>
      <c r="I179" s="2">
        <f t="shared" si="11"/>
        <v>16487.063999999998</v>
      </c>
      <c r="J179" s="2" t="s">
        <v>29</v>
      </c>
      <c r="K179" s="2">
        <f t="shared" si="14"/>
        <v>165.09999999999854</v>
      </c>
      <c r="L179" s="7">
        <f t="shared" si="12"/>
        <v>9.4610469614050344E-3</v>
      </c>
      <c r="M179" s="9"/>
      <c r="N179" s="2">
        <f t="shared" si="15"/>
        <v>17629.5</v>
      </c>
      <c r="O179" s="2">
        <f t="shared" si="13"/>
        <v>-3.8288096656172721E-3</v>
      </c>
      <c r="P179" s="2"/>
    </row>
    <row r="180" spans="1:16" x14ac:dyDescent="0.3">
      <c r="A180" s="3">
        <v>44461</v>
      </c>
      <c r="B180" s="2">
        <v>17580.900000000001</v>
      </c>
      <c r="C180" s="2">
        <v>17610.45</v>
      </c>
      <c r="D180" s="2">
        <v>17524</v>
      </c>
      <c r="E180" s="2">
        <v>17546.650000000001</v>
      </c>
      <c r="F180" s="2">
        <v>295191136</v>
      </c>
      <c r="G180" s="2">
        <v>21772.23</v>
      </c>
      <c r="H180" s="2">
        <f t="shared" si="16"/>
        <v>17209.477500000001</v>
      </c>
      <c r="I180" s="2">
        <f t="shared" si="11"/>
        <v>16523.745999999999</v>
      </c>
      <c r="J180" s="2" t="s">
        <v>29</v>
      </c>
      <c r="K180" s="2">
        <f t="shared" si="14"/>
        <v>-15.349999999998545</v>
      </c>
      <c r="L180" s="7">
        <f t="shared" si="12"/>
        <v>-8.7310661001419401E-4</v>
      </c>
      <c r="M180" s="9"/>
      <c r="N180" s="2">
        <f t="shared" si="15"/>
        <v>17629.5</v>
      </c>
      <c r="O180" s="2">
        <f t="shared" si="13"/>
        <v>-4.6995093451316361E-3</v>
      </c>
      <c r="P180" s="2"/>
    </row>
    <row r="181" spans="1:16" x14ac:dyDescent="0.3">
      <c r="A181" s="3">
        <v>44462</v>
      </c>
      <c r="B181" s="2">
        <v>17670.849999999999</v>
      </c>
      <c r="C181" s="2">
        <v>17843.900000000001</v>
      </c>
      <c r="D181" s="2">
        <v>17646.55</v>
      </c>
      <c r="E181" s="2">
        <v>17822.95</v>
      </c>
      <c r="F181" s="2">
        <v>320514486</v>
      </c>
      <c r="G181" s="2">
        <v>25005.360000000001</v>
      </c>
      <c r="H181" s="2">
        <f t="shared" si="16"/>
        <v>17255.580000000005</v>
      </c>
      <c r="I181" s="2">
        <f t="shared" ref="I181:I244" si="17">AVERAGE(E131:E180)</f>
        <v>16560.883000000002</v>
      </c>
      <c r="J181" s="2" t="s">
        <v>29</v>
      </c>
      <c r="K181" s="2">
        <f t="shared" si="14"/>
        <v>276.29999999999927</v>
      </c>
      <c r="L181" s="7">
        <f t="shared" si="12"/>
        <v>1.5635920173619224E-2</v>
      </c>
      <c r="M181" s="9"/>
      <c r="N181" s="2">
        <f t="shared" si="15"/>
        <v>17822.95</v>
      </c>
      <c r="O181" s="2">
        <f t="shared" si="13"/>
        <v>0</v>
      </c>
      <c r="P181" s="2"/>
    </row>
    <row r="182" spans="1:16" x14ac:dyDescent="0.3">
      <c r="A182" s="3">
        <v>44463</v>
      </c>
      <c r="B182" s="2">
        <v>17897.45</v>
      </c>
      <c r="C182" s="2">
        <v>17947.650000000001</v>
      </c>
      <c r="D182" s="2">
        <v>17819.400000000001</v>
      </c>
      <c r="E182" s="2">
        <v>17853.2</v>
      </c>
      <c r="F182" s="2">
        <v>360130853</v>
      </c>
      <c r="G182" s="2">
        <v>30787.59</v>
      </c>
      <c r="H182" s="2">
        <f t="shared" si="16"/>
        <v>17314.995000000003</v>
      </c>
      <c r="I182" s="2">
        <f t="shared" si="17"/>
        <v>16603.490000000002</v>
      </c>
      <c r="J182" s="2" t="s">
        <v>29</v>
      </c>
      <c r="K182" s="2">
        <f t="shared" si="14"/>
        <v>30.25</v>
      </c>
      <c r="L182" s="7">
        <f t="shared" si="12"/>
        <v>1.6901849146107406E-3</v>
      </c>
      <c r="M182" s="9"/>
      <c r="N182" s="2">
        <f t="shared" si="15"/>
        <v>17853.2</v>
      </c>
      <c r="O182" s="2">
        <f t="shared" si="13"/>
        <v>0</v>
      </c>
      <c r="P182" s="2"/>
    </row>
    <row r="183" spans="1:16" x14ac:dyDescent="0.3">
      <c r="A183" s="3">
        <v>44466</v>
      </c>
      <c r="B183" s="2">
        <v>17932.2</v>
      </c>
      <c r="C183" s="2">
        <v>17943.5</v>
      </c>
      <c r="D183" s="2">
        <v>17802.900000000001</v>
      </c>
      <c r="E183" s="2">
        <v>17855.099999999999</v>
      </c>
      <c r="F183" s="2">
        <v>295714657</v>
      </c>
      <c r="G183" s="2">
        <v>24244.98</v>
      </c>
      <c r="H183" s="2">
        <f t="shared" si="16"/>
        <v>17375.810000000005</v>
      </c>
      <c r="I183" s="2">
        <f t="shared" si="17"/>
        <v>16644.307000000001</v>
      </c>
      <c r="J183" s="2" t="s">
        <v>29</v>
      </c>
      <c r="K183" s="2">
        <f t="shared" si="14"/>
        <v>1.8999999999978172</v>
      </c>
      <c r="L183" s="7">
        <f t="shared" si="12"/>
        <v>1.0595465140907514E-4</v>
      </c>
      <c r="M183" s="9"/>
      <c r="N183" s="2">
        <f t="shared" si="15"/>
        <v>17855.099999999999</v>
      </c>
      <c r="O183" s="2">
        <f t="shared" si="13"/>
        <v>0</v>
      </c>
      <c r="P183" s="2"/>
    </row>
    <row r="184" spans="1:16" x14ac:dyDescent="0.3">
      <c r="A184" s="3">
        <v>44467</v>
      </c>
      <c r="B184" s="2">
        <v>17906.45</v>
      </c>
      <c r="C184" s="2">
        <v>17912.849999999999</v>
      </c>
      <c r="D184" s="2">
        <v>17576.099999999999</v>
      </c>
      <c r="E184" s="2">
        <v>17748.599999999999</v>
      </c>
      <c r="F184" s="2">
        <v>397997281</v>
      </c>
      <c r="G184" s="2">
        <v>27055.360000000001</v>
      </c>
      <c r="H184" s="2">
        <f t="shared" si="16"/>
        <v>17433.305</v>
      </c>
      <c r="I184" s="2">
        <f t="shared" si="17"/>
        <v>16684.329999999998</v>
      </c>
      <c r="J184" s="2" t="s">
        <v>29</v>
      </c>
      <c r="K184" s="2">
        <f t="shared" si="14"/>
        <v>-106.5</v>
      </c>
      <c r="L184" s="7">
        <f t="shared" si="12"/>
        <v>-5.9475775488720545E-3</v>
      </c>
      <c r="M184" s="9"/>
      <c r="N184" s="2">
        <f t="shared" si="15"/>
        <v>17855.099999999999</v>
      </c>
      <c r="O184" s="2">
        <f t="shared" si="13"/>
        <v>-5.9646823596619658E-3</v>
      </c>
      <c r="P184" s="2"/>
    </row>
    <row r="185" spans="1:16" x14ac:dyDescent="0.3">
      <c r="A185" s="3">
        <v>44468</v>
      </c>
      <c r="B185" s="2">
        <v>17657.95</v>
      </c>
      <c r="C185" s="2">
        <v>17781.75</v>
      </c>
      <c r="D185" s="2">
        <v>17608.150000000001</v>
      </c>
      <c r="E185" s="2">
        <v>17711.3</v>
      </c>
      <c r="F185" s="2">
        <v>562237732</v>
      </c>
      <c r="G185" s="2">
        <v>30621.279999999999</v>
      </c>
      <c r="H185" s="2">
        <f t="shared" si="16"/>
        <v>17474.182499999999</v>
      </c>
      <c r="I185" s="2">
        <f t="shared" si="17"/>
        <v>16720.817999999999</v>
      </c>
      <c r="J185" s="2" t="s">
        <v>29</v>
      </c>
      <c r="K185" s="2">
        <f t="shared" si="14"/>
        <v>-37.299999999999272</v>
      </c>
      <c r="L185" s="7">
        <f t="shared" si="12"/>
        <v>-2.1123629866433686E-3</v>
      </c>
      <c r="M185" s="9"/>
      <c r="N185" s="2">
        <f t="shared" si="15"/>
        <v>17855.099999999999</v>
      </c>
      <c r="O185" s="2">
        <f t="shared" si="13"/>
        <v>-8.0537213457219092E-3</v>
      </c>
      <c r="P185" s="2"/>
    </row>
    <row r="186" spans="1:16" x14ac:dyDescent="0.3">
      <c r="A186" s="3">
        <v>44469</v>
      </c>
      <c r="B186" s="2">
        <v>17718.900000000001</v>
      </c>
      <c r="C186" s="2">
        <v>17742.150000000001</v>
      </c>
      <c r="D186" s="2">
        <v>17585.349999999999</v>
      </c>
      <c r="E186" s="2">
        <v>17618.150000000001</v>
      </c>
      <c r="F186" s="2">
        <v>378592721</v>
      </c>
      <c r="G186" s="2">
        <v>27167.19</v>
      </c>
      <c r="H186" s="2">
        <f t="shared" si="16"/>
        <v>17503.137499999997</v>
      </c>
      <c r="I186" s="2">
        <f t="shared" si="17"/>
        <v>16756.576000000001</v>
      </c>
      <c r="J186" s="2" t="s">
        <v>29</v>
      </c>
      <c r="K186" s="2">
        <f t="shared" si="14"/>
        <v>-93.149999999997817</v>
      </c>
      <c r="L186" s="7">
        <f t="shared" si="12"/>
        <v>-5.2570983526064154E-3</v>
      </c>
      <c r="M186" s="9"/>
      <c r="N186" s="2">
        <f t="shared" si="15"/>
        <v>17855.099999999999</v>
      </c>
      <c r="O186" s="2">
        <f t="shared" si="13"/>
        <v>-1.3270718170158458E-2</v>
      </c>
      <c r="P186" s="2"/>
    </row>
    <row r="187" spans="1:16" x14ac:dyDescent="0.3">
      <c r="A187" s="3">
        <v>44470</v>
      </c>
      <c r="B187" s="2">
        <v>17531.900000000001</v>
      </c>
      <c r="C187" s="2">
        <v>17557.150000000001</v>
      </c>
      <c r="D187" s="2">
        <v>17452.900000000001</v>
      </c>
      <c r="E187" s="2">
        <v>17532.05</v>
      </c>
      <c r="F187" s="2">
        <v>305763919</v>
      </c>
      <c r="G187" s="2">
        <v>20911.61</v>
      </c>
      <c r="H187" s="2">
        <f t="shared" si="16"/>
        <v>17530.232499999998</v>
      </c>
      <c r="I187" s="2">
        <f t="shared" si="17"/>
        <v>16793.891</v>
      </c>
      <c r="J187" s="2" t="s">
        <v>29</v>
      </c>
      <c r="K187" s="2">
        <f t="shared" si="14"/>
        <v>-86.100000000002183</v>
      </c>
      <c r="L187" s="7">
        <f t="shared" si="12"/>
        <v>-4.911047861327191E-3</v>
      </c>
      <c r="M187" s="9"/>
      <c r="N187" s="2">
        <f t="shared" si="15"/>
        <v>17855.099999999999</v>
      </c>
      <c r="O187" s="2">
        <f t="shared" si="13"/>
        <v>-1.8092869824307911E-2</v>
      </c>
      <c r="P187" s="2"/>
    </row>
    <row r="188" spans="1:16" x14ac:dyDescent="0.3">
      <c r="A188" s="3">
        <v>44473</v>
      </c>
      <c r="B188" s="2">
        <v>17615.55</v>
      </c>
      <c r="C188" s="2">
        <v>17750.900000000001</v>
      </c>
      <c r="D188" s="2">
        <v>17581.349999999999</v>
      </c>
      <c r="E188" s="2">
        <v>17691.25</v>
      </c>
      <c r="F188" s="2">
        <v>295761839</v>
      </c>
      <c r="G188" s="2">
        <v>21343.51</v>
      </c>
      <c r="H188" s="2">
        <f t="shared" si="16"/>
        <v>17545.127499999995</v>
      </c>
      <c r="I188" s="2">
        <f t="shared" si="17"/>
        <v>16831.89</v>
      </c>
      <c r="J188" s="2" t="s">
        <v>29</v>
      </c>
      <c r="K188" s="2">
        <f t="shared" si="14"/>
        <v>159.20000000000073</v>
      </c>
      <c r="L188" s="7">
        <f t="shared" si="12"/>
        <v>9.0374697355461928E-3</v>
      </c>
      <c r="M188" s="9"/>
      <c r="N188" s="2">
        <f t="shared" si="15"/>
        <v>17855.099999999999</v>
      </c>
      <c r="O188" s="2">
        <f t="shared" si="13"/>
        <v>-9.1766498087380022E-3</v>
      </c>
      <c r="P188" s="2"/>
    </row>
    <row r="189" spans="1:16" x14ac:dyDescent="0.3">
      <c r="A189" s="3">
        <v>44474</v>
      </c>
      <c r="B189" s="2">
        <v>17661.349999999999</v>
      </c>
      <c r="C189" s="2">
        <v>17833.45</v>
      </c>
      <c r="D189" s="2">
        <v>17640.900000000001</v>
      </c>
      <c r="E189" s="2">
        <v>17822.3</v>
      </c>
      <c r="F189" s="2">
        <v>427000191</v>
      </c>
      <c r="G189" s="2">
        <v>23066.799999999999</v>
      </c>
      <c r="H189" s="2">
        <f t="shared" si="16"/>
        <v>17563.509999999998</v>
      </c>
      <c r="I189" s="2">
        <f t="shared" si="17"/>
        <v>16869.234</v>
      </c>
      <c r="J189" s="2" t="s">
        <v>29</v>
      </c>
      <c r="K189" s="2">
        <f t="shared" si="14"/>
        <v>131.04999999999927</v>
      </c>
      <c r="L189" s="7">
        <f t="shared" si="12"/>
        <v>7.4201575757232192E-3</v>
      </c>
      <c r="M189" s="9"/>
      <c r="N189" s="2">
        <f t="shared" si="15"/>
        <v>17855.099999999999</v>
      </c>
      <c r="O189" s="2">
        <f t="shared" si="13"/>
        <v>-1.837010153961538E-3</v>
      </c>
      <c r="P189" s="2"/>
    </row>
    <row r="190" spans="1:16" x14ac:dyDescent="0.3">
      <c r="A190" s="3">
        <v>44475</v>
      </c>
      <c r="B190" s="2">
        <v>17861.5</v>
      </c>
      <c r="C190" s="2">
        <v>17884.599999999999</v>
      </c>
      <c r="D190" s="2">
        <v>17613.150000000001</v>
      </c>
      <c r="E190" s="2">
        <v>17646</v>
      </c>
      <c r="F190" s="2">
        <v>395833550</v>
      </c>
      <c r="G190" s="2">
        <v>24504.3</v>
      </c>
      <c r="H190" s="2">
        <f t="shared" si="16"/>
        <v>17585.735000000001</v>
      </c>
      <c r="I190" s="2">
        <f t="shared" si="17"/>
        <v>16908.559000000001</v>
      </c>
      <c r="J190" s="2" t="s">
        <v>29</v>
      </c>
      <c r="K190" s="2">
        <f t="shared" si="14"/>
        <v>-176.29999999999927</v>
      </c>
      <c r="L190" s="7">
        <f t="shared" si="12"/>
        <v>-9.870391624443595E-3</v>
      </c>
      <c r="M190" s="9"/>
      <c r="N190" s="2">
        <f t="shared" si="15"/>
        <v>17855.099999999999</v>
      </c>
      <c r="O190" s="2">
        <f t="shared" si="13"/>
        <v>-1.1710939731505166E-2</v>
      </c>
      <c r="P190" s="2"/>
    </row>
    <row r="191" spans="1:16" x14ac:dyDescent="0.3">
      <c r="A191" s="3">
        <v>44476</v>
      </c>
      <c r="B191" s="2">
        <v>17810.55</v>
      </c>
      <c r="C191" s="2">
        <v>17857.55</v>
      </c>
      <c r="D191" s="2">
        <v>17763.8</v>
      </c>
      <c r="E191" s="2">
        <v>17790.349999999999</v>
      </c>
      <c r="F191" s="2">
        <v>419890959</v>
      </c>
      <c r="G191" s="2">
        <v>27371.98</v>
      </c>
      <c r="H191" s="2">
        <f t="shared" si="16"/>
        <v>17599.93</v>
      </c>
      <c r="I191" s="2">
        <f t="shared" si="17"/>
        <v>16944.990000000002</v>
      </c>
      <c r="J191" s="2" t="s">
        <v>29</v>
      </c>
      <c r="K191" s="2">
        <f t="shared" si="14"/>
        <v>144.34999999999854</v>
      </c>
      <c r="L191" s="7">
        <f t="shared" si="12"/>
        <v>8.1047469056260788E-3</v>
      </c>
      <c r="M191" s="9"/>
      <c r="N191" s="2">
        <f t="shared" si="15"/>
        <v>17855.099999999999</v>
      </c>
      <c r="O191" s="2">
        <f t="shared" si="13"/>
        <v>-3.6264148618602166E-3</v>
      </c>
      <c r="P191" s="2"/>
    </row>
    <row r="192" spans="1:16" x14ac:dyDescent="0.3">
      <c r="A192" s="3">
        <v>44477</v>
      </c>
      <c r="B192" s="2">
        <v>17886.849999999999</v>
      </c>
      <c r="C192" s="2">
        <v>17941.849999999999</v>
      </c>
      <c r="D192" s="2">
        <v>17840.349999999999</v>
      </c>
      <c r="E192" s="2">
        <v>17895.2</v>
      </c>
      <c r="F192" s="2">
        <v>324066351</v>
      </c>
      <c r="G192" s="2">
        <v>22778.68</v>
      </c>
      <c r="H192" s="2">
        <f t="shared" si="16"/>
        <v>17621.772499999999</v>
      </c>
      <c r="I192" s="2">
        <f t="shared" si="17"/>
        <v>16985.868000000002</v>
      </c>
      <c r="J192" s="2" t="s">
        <v>29</v>
      </c>
      <c r="K192" s="2">
        <f t="shared" si="14"/>
        <v>104.85000000000218</v>
      </c>
      <c r="L192" s="7">
        <f t="shared" si="12"/>
        <v>5.861848229285883E-3</v>
      </c>
      <c r="M192" s="9"/>
      <c r="N192" s="2">
        <f t="shared" si="15"/>
        <v>17895.2</v>
      </c>
      <c r="O192" s="2">
        <f t="shared" si="13"/>
        <v>0</v>
      </c>
      <c r="P192" s="2"/>
    </row>
    <row r="193" spans="1:16" x14ac:dyDescent="0.3">
      <c r="A193" s="3">
        <v>44480</v>
      </c>
      <c r="B193" s="2">
        <v>17867.55</v>
      </c>
      <c r="C193" s="2">
        <v>18041.95</v>
      </c>
      <c r="D193" s="2">
        <v>17839.099999999999</v>
      </c>
      <c r="E193" s="2">
        <v>17945.95</v>
      </c>
      <c r="F193" s="2">
        <v>375756457</v>
      </c>
      <c r="G193" s="2">
        <v>29000.2</v>
      </c>
      <c r="H193" s="2">
        <f t="shared" si="16"/>
        <v>17648.07</v>
      </c>
      <c r="I193" s="2">
        <f t="shared" si="17"/>
        <v>17029.583999999999</v>
      </c>
      <c r="J193" s="2" t="s">
        <v>29</v>
      </c>
      <c r="K193" s="2">
        <f t="shared" si="14"/>
        <v>50.75</v>
      </c>
      <c r="L193" s="7">
        <f t="shared" si="12"/>
        <v>2.8403446471396473E-3</v>
      </c>
      <c r="M193" s="9"/>
      <c r="N193" s="2">
        <f t="shared" si="15"/>
        <v>17945.95</v>
      </c>
      <c r="O193" s="2">
        <f t="shared" si="13"/>
        <v>0</v>
      </c>
      <c r="P193" s="2"/>
    </row>
    <row r="194" spans="1:16" x14ac:dyDescent="0.3">
      <c r="A194" s="3">
        <v>44481</v>
      </c>
      <c r="B194" s="2">
        <v>17915.8</v>
      </c>
      <c r="C194" s="2">
        <v>18008.650000000001</v>
      </c>
      <c r="D194" s="2">
        <v>17864.95</v>
      </c>
      <c r="E194" s="2">
        <v>17991.95</v>
      </c>
      <c r="F194" s="2">
        <v>355568313</v>
      </c>
      <c r="G194" s="2">
        <v>26491.42</v>
      </c>
      <c r="H194" s="2">
        <f t="shared" si="16"/>
        <v>17677.602500000001</v>
      </c>
      <c r="I194" s="2">
        <f t="shared" si="17"/>
        <v>17072.933999999997</v>
      </c>
      <c r="J194" s="2" t="s">
        <v>29</v>
      </c>
      <c r="K194" s="2">
        <f t="shared" si="14"/>
        <v>46</v>
      </c>
      <c r="L194" s="7">
        <f t="shared" si="12"/>
        <v>2.5675660590093663E-3</v>
      </c>
      <c r="M194" s="9"/>
      <c r="N194" s="2">
        <f t="shared" si="15"/>
        <v>17991.95</v>
      </c>
      <c r="O194" s="2">
        <f t="shared" si="13"/>
        <v>0</v>
      </c>
      <c r="P194" s="2"/>
    </row>
    <row r="195" spans="1:16" x14ac:dyDescent="0.3">
      <c r="A195" s="3">
        <v>44482</v>
      </c>
      <c r="B195" s="2">
        <v>18097.849999999999</v>
      </c>
      <c r="C195" s="2">
        <v>18197.8</v>
      </c>
      <c r="D195" s="2">
        <v>18050.75</v>
      </c>
      <c r="E195" s="2">
        <v>18161.75</v>
      </c>
      <c r="F195" s="2">
        <v>506679748</v>
      </c>
      <c r="G195" s="2">
        <v>34503</v>
      </c>
      <c r="H195" s="2">
        <f t="shared" si="16"/>
        <v>17708.2</v>
      </c>
      <c r="I195" s="2">
        <f t="shared" si="17"/>
        <v>17117.511999999999</v>
      </c>
      <c r="J195" s="2" t="s">
        <v>29</v>
      </c>
      <c r="K195" s="2">
        <f t="shared" si="14"/>
        <v>169.79999999999927</v>
      </c>
      <c r="L195" s="7">
        <f t="shared" ref="L195:L258" si="18">(K195/(B195))</f>
        <v>9.3823299452697028E-3</v>
      </c>
      <c r="M195" s="9"/>
      <c r="N195" s="2">
        <f t="shared" si="15"/>
        <v>18161.75</v>
      </c>
      <c r="O195" s="2">
        <f t="shared" ref="O195:O258" si="19">(E195/N195)-1</f>
        <v>0</v>
      </c>
      <c r="P195" s="2"/>
    </row>
    <row r="196" spans="1:16" x14ac:dyDescent="0.3">
      <c r="A196" s="3">
        <v>44483</v>
      </c>
      <c r="B196" s="2">
        <v>18272.849999999999</v>
      </c>
      <c r="C196" s="2">
        <v>18350.75</v>
      </c>
      <c r="D196" s="2">
        <v>18248.7</v>
      </c>
      <c r="E196" s="2">
        <v>18338.55</v>
      </c>
      <c r="F196" s="2">
        <v>538714440</v>
      </c>
      <c r="G196" s="2">
        <v>38903.160000000003</v>
      </c>
      <c r="H196" s="2">
        <f t="shared" si="16"/>
        <v>17740.314999999999</v>
      </c>
      <c r="I196" s="2">
        <f t="shared" si="17"/>
        <v>17163.043999999998</v>
      </c>
      <c r="J196" s="2" t="s">
        <v>29</v>
      </c>
      <c r="K196" s="2">
        <f t="shared" ref="K196:K259" si="20">E196-E195</f>
        <v>176.79999999999927</v>
      </c>
      <c r="L196" s="7">
        <f t="shared" si="18"/>
        <v>9.6755569054635306E-3</v>
      </c>
      <c r="M196" s="9"/>
      <c r="N196" s="2">
        <f t="shared" si="15"/>
        <v>18338.55</v>
      </c>
      <c r="O196" s="2">
        <f t="shared" si="19"/>
        <v>0</v>
      </c>
      <c r="P196" s="2"/>
    </row>
    <row r="197" spans="1:16" x14ac:dyDescent="0.3">
      <c r="A197" s="3">
        <v>44487</v>
      </c>
      <c r="B197" s="2">
        <v>18500.099999999999</v>
      </c>
      <c r="C197" s="2">
        <v>18543.150000000001</v>
      </c>
      <c r="D197" s="2">
        <v>18445.3</v>
      </c>
      <c r="E197" s="2">
        <v>18477.05</v>
      </c>
      <c r="F197" s="2">
        <v>469883515</v>
      </c>
      <c r="G197" s="2">
        <v>36800.839999999997</v>
      </c>
      <c r="H197" s="2">
        <f t="shared" si="16"/>
        <v>17775.767499999998</v>
      </c>
      <c r="I197" s="2">
        <f t="shared" si="17"/>
        <v>17207.2</v>
      </c>
      <c r="J197" s="2" t="s">
        <v>29</v>
      </c>
      <c r="K197" s="2">
        <f t="shared" si="20"/>
        <v>138.5</v>
      </c>
      <c r="L197" s="7">
        <f t="shared" si="18"/>
        <v>7.4864460192107076E-3</v>
      </c>
      <c r="M197" s="9"/>
      <c r="N197" s="2">
        <f t="shared" ref="N197:N260" si="21">MAX(N196,E197)</f>
        <v>18477.05</v>
      </c>
      <c r="O197" s="2">
        <f t="shared" si="19"/>
        <v>0</v>
      </c>
      <c r="P197" s="2"/>
    </row>
    <row r="198" spans="1:16" x14ac:dyDescent="0.3">
      <c r="A198" s="3">
        <v>44488</v>
      </c>
      <c r="B198" s="2">
        <v>18602.349999999999</v>
      </c>
      <c r="C198" s="2">
        <v>18604.45</v>
      </c>
      <c r="D198" s="2">
        <v>18377.7</v>
      </c>
      <c r="E198" s="2">
        <v>18418.75</v>
      </c>
      <c r="F198" s="2">
        <v>368230309</v>
      </c>
      <c r="G198" s="2">
        <v>30505.86</v>
      </c>
      <c r="H198" s="2">
        <f t="shared" si="16"/>
        <v>17820.362499999996</v>
      </c>
      <c r="I198" s="2">
        <f t="shared" si="17"/>
        <v>17251.564999999999</v>
      </c>
      <c r="J198" s="2" t="s">
        <v>29</v>
      </c>
      <c r="K198" s="2">
        <f t="shared" si="20"/>
        <v>-58.299999999999272</v>
      </c>
      <c r="L198" s="7">
        <f t="shared" si="18"/>
        <v>-3.1340126381881471E-3</v>
      </c>
      <c r="M198" s="9"/>
      <c r="N198" s="2">
        <f t="shared" si="21"/>
        <v>18477.05</v>
      </c>
      <c r="O198" s="2">
        <f t="shared" si="19"/>
        <v>-3.1552655862272516E-3</v>
      </c>
      <c r="P198" s="2"/>
    </row>
    <row r="199" spans="1:16" x14ac:dyDescent="0.3">
      <c r="A199" s="3">
        <v>44489</v>
      </c>
      <c r="B199" s="2">
        <v>18439.900000000001</v>
      </c>
      <c r="C199" s="2">
        <v>18458.3</v>
      </c>
      <c r="D199" s="2">
        <v>18209.349999999999</v>
      </c>
      <c r="E199" s="2">
        <v>18266.599999999999</v>
      </c>
      <c r="F199" s="2">
        <v>371276478</v>
      </c>
      <c r="G199" s="2">
        <v>28968.42</v>
      </c>
      <c r="H199" s="2">
        <f t="shared" si="16"/>
        <v>17871.454999999998</v>
      </c>
      <c r="I199" s="2">
        <f t="shared" si="17"/>
        <v>17294.047999999999</v>
      </c>
      <c r="J199" s="2" t="s">
        <v>29</v>
      </c>
      <c r="K199" s="2">
        <f t="shared" si="20"/>
        <v>-152.15000000000146</v>
      </c>
      <c r="L199" s="7">
        <f t="shared" si="18"/>
        <v>-8.2511293445192996E-3</v>
      </c>
      <c r="M199" s="9"/>
      <c r="N199" s="2">
        <f t="shared" si="21"/>
        <v>18477.05</v>
      </c>
      <c r="O199" s="2">
        <f t="shared" si="19"/>
        <v>-1.1389805190763713E-2</v>
      </c>
      <c r="P199" s="2"/>
    </row>
    <row r="200" spans="1:16" x14ac:dyDescent="0.3">
      <c r="A200" s="3">
        <v>44490</v>
      </c>
      <c r="B200" s="2">
        <v>18382.7</v>
      </c>
      <c r="C200" s="2">
        <v>18384.2</v>
      </c>
      <c r="D200" s="2">
        <v>18048</v>
      </c>
      <c r="E200" s="2">
        <v>18178.099999999999</v>
      </c>
      <c r="F200" s="2">
        <v>365902008</v>
      </c>
      <c r="G200" s="2">
        <v>30839.79</v>
      </c>
      <c r="H200" s="2">
        <f t="shared" si="16"/>
        <v>17906.684999999998</v>
      </c>
      <c r="I200" s="2">
        <f t="shared" si="17"/>
        <v>17334.615999999998</v>
      </c>
      <c r="J200" s="2" t="s">
        <v>29</v>
      </c>
      <c r="K200" s="2">
        <f t="shared" si="20"/>
        <v>-88.5</v>
      </c>
      <c r="L200" s="7">
        <f t="shared" si="18"/>
        <v>-4.8143091058440819E-3</v>
      </c>
      <c r="M200" s="9"/>
      <c r="N200" s="2">
        <f t="shared" si="21"/>
        <v>18477.05</v>
      </c>
      <c r="O200" s="2">
        <f t="shared" si="19"/>
        <v>-1.6179530823372867E-2</v>
      </c>
      <c r="P200" s="2"/>
    </row>
    <row r="201" spans="1:16" x14ac:dyDescent="0.3">
      <c r="A201" s="3">
        <v>44491</v>
      </c>
      <c r="B201" s="2">
        <v>18230.7</v>
      </c>
      <c r="C201" s="2">
        <v>18314.25</v>
      </c>
      <c r="D201" s="2">
        <v>18034.349999999999</v>
      </c>
      <c r="E201" s="2">
        <v>18114.900000000001</v>
      </c>
      <c r="F201" s="2">
        <v>324748084</v>
      </c>
      <c r="G201" s="2">
        <v>26938.880000000001</v>
      </c>
      <c r="H201" s="2">
        <f t="shared" si="16"/>
        <v>17938.2575</v>
      </c>
      <c r="I201" s="2">
        <f t="shared" si="17"/>
        <v>17373.012999999999</v>
      </c>
      <c r="J201" s="2" t="s">
        <v>29</v>
      </c>
      <c r="K201" s="2">
        <f t="shared" si="20"/>
        <v>-63.19999999999709</v>
      </c>
      <c r="L201" s="7">
        <f t="shared" si="18"/>
        <v>-3.4666798312734609E-3</v>
      </c>
      <c r="M201" s="9"/>
      <c r="N201" s="2">
        <f t="shared" si="21"/>
        <v>18477.05</v>
      </c>
      <c r="O201" s="2">
        <f t="shared" si="19"/>
        <v>-1.959999025818504E-2</v>
      </c>
      <c r="P201" s="2"/>
    </row>
    <row r="202" spans="1:16" x14ac:dyDescent="0.3">
      <c r="A202" s="3">
        <v>44494</v>
      </c>
      <c r="B202" s="2">
        <v>18229.5</v>
      </c>
      <c r="C202" s="2">
        <v>18241.400000000001</v>
      </c>
      <c r="D202" s="2">
        <v>17968.5</v>
      </c>
      <c r="E202" s="2">
        <v>18125.400000000001</v>
      </c>
      <c r="F202" s="2">
        <v>418703647</v>
      </c>
      <c r="G202" s="2">
        <v>34572.339999999997</v>
      </c>
      <c r="H202" s="2">
        <f t="shared" si="16"/>
        <v>17952.855000000003</v>
      </c>
      <c r="I202" s="2">
        <f t="shared" si="17"/>
        <v>17409.709000000003</v>
      </c>
      <c r="J202" s="2">
        <f>AVERAGE(E2:E201)</f>
        <v>15675.584750000004</v>
      </c>
      <c r="K202" s="2">
        <f t="shared" si="20"/>
        <v>10.5</v>
      </c>
      <c r="L202" s="7">
        <f t="shared" si="18"/>
        <v>5.7598946762116353E-4</v>
      </c>
      <c r="M202" s="9"/>
      <c r="N202" s="2">
        <f t="shared" si="21"/>
        <v>18477.05</v>
      </c>
      <c r="O202" s="2">
        <f t="shared" si="19"/>
        <v>-1.9031717725502606E-2</v>
      </c>
      <c r="P202" s="2"/>
    </row>
    <row r="203" spans="1:16" x14ac:dyDescent="0.3">
      <c r="A203" s="3">
        <v>44495</v>
      </c>
      <c r="B203" s="2">
        <v>18154.5</v>
      </c>
      <c r="C203" s="2">
        <v>18310.45</v>
      </c>
      <c r="D203" s="2">
        <v>18099.3</v>
      </c>
      <c r="E203" s="2">
        <v>18268.400000000001</v>
      </c>
      <c r="F203" s="2">
        <v>341377869</v>
      </c>
      <c r="G203" s="2">
        <v>29764.61</v>
      </c>
      <c r="H203" s="2">
        <f t="shared" si="16"/>
        <v>17966.465000000004</v>
      </c>
      <c r="I203" s="2">
        <f t="shared" si="17"/>
        <v>17446.572</v>
      </c>
      <c r="J203" s="2">
        <f t="shared" ref="J203:J266" si="22">AVERAGE(E3:E202)</f>
        <v>15696.119250000003</v>
      </c>
      <c r="K203" s="2">
        <f t="shared" si="20"/>
        <v>143</v>
      </c>
      <c r="L203" s="7">
        <f t="shared" si="18"/>
        <v>7.8768349445041182E-3</v>
      </c>
      <c r="M203" s="9"/>
      <c r="N203" s="2">
        <f t="shared" si="21"/>
        <v>18477.05</v>
      </c>
      <c r="O203" s="2">
        <f t="shared" si="19"/>
        <v>-1.1292387042303731E-2</v>
      </c>
      <c r="P203" s="2"/>
    </row>
    <row r="204" spans="1:16" x14ac:dyDescent="0.3">
      <c r="A204" s="3">
        <v>44496</v>
      </c>
      <c r="B204" s="2">
        <v>18295.849999999999</v>
      </c>
      <c r="C204" s="2">
        <v>18342.05</v>
      </c>
      <c r="D204" s="2">
        <v>18167.900000000001</v>
      </c>
      <c r="E204" s="2">
        <v>18210.95</v>
      </c>
      <c r="F204" s="2">
        <v>335248487</v>
      </c>
      <c r="G204" s="2">
        <v>30823.75</v>
      </c>
      <c r="H204" s="2">
        <f t="shared" si="16"/>
        <v>17987.13</v>
      </c>
      <c r="I204" s="2">
        <f t="shared" si="17"/>
        <v>17484.652000000006</v>
      </c>
      <c r="J204" s="2">
        <f t="shared" si="22"/>
        <v>15716.796750000003</v>
      </c>
      <c r="K204" s="2">
        <f t="shared" si="20"/>
        <v>-57.450000000000728</v>
      </c>
      <c r="L204" s="7">
        <f t="shared" si="18"/>
        <v>-3.140056351577037E-3</v>
      </c>
      <c r="M204" s="9"/>
      <c r="N204" s="2">
        <f t="shared" si="21"/>
        <v>18477.05</v>
      </c>
      <c r="O204" s="2">
        <f t="shared" si="19"/>
        <v>-1.4401649613980494E-2</v>
      </c>
      <c r="P204" s="2"/>
    </row>
    <row r="205" spans="1:16" x14ac:dyDescent="0.3">
      <c r="A205" s="3">
        <v>44497</v>
      </c>
      <c r="B205" s="2">
        <v>18187.650000000001</v>
      </c>
      <c r="C205" s="2">
        <v>18190.7</v>
      </c>
      <c r="D205" s="2">
        <v>17799.45</v>
      </c>
      <c r="E205" s="2">
        <v>17857.25</v>
      </c>
      <c r="F205" s="2">
        <v>374205784</v>
      </c>
      <c r="G205" s="2">
        <v>30222.34</v>
      </c>
      <c r="H205" s="2">
        <f t="shared" si="16"/>
        <v>18010.247500000005</v>
      </c>
      <c r="I205" s="2">
        <f t="shared" si="17"/>
        <v>17518.289000000001</v>
      </c>
      <c r="J205" s="2">
        <f t="shared" si="22"/>
        <v>15736.854000000003</v>
      </c>
      <c r="K205" s="2">
        <f t="shared" si="20"/>
        <v>-353.70000000000073</v>
      </c>
      <c r="L205" s="7">
        <f t="shared" si="18"/>
        <v>-1.9447262290620323E-2</v>
      </c>
      <c r="M205" s="9"/>
      <c r="N205" s="2">
        <f t="shared" si="21"/>
        <v>18477.05</v>
      </c>
      <c r="O205" s="2">
        <f t="shared" si="19"/>
        <v>-3.3544315786340317E-2</v>
      </c>
      <c r="P205" s="2"/>
    </row>
    <row r="206" spans="1:16" x14ac:dyDescent="0.3">
      <c r="A206" s="3">
        <v>44498</v>
      </c>
      <c r="B206" s="2">
        <v>17833.05</v>
      </c>
      <c r="C206" s="2">
        <v>17915.849999999999</v>
      </c>
      <c r="D206" s="2">
        <v>17613.099999999999</v>
      </c>
      <c r="E206" s="2">
        <v>17671.650000000001</v>
      </c>
      <c r="F206" s="2">
        <v>336466864</v>
      </c>
      <c r="G206" s="2">
        <v>28136</v>
      </c>
      <c r="H206" s="2">
        <f t="shared" si="16"/>
        <v>18017.545000000006</v>
      </c>
      <c r="I206" s="2">
        <f t="shared" si="17"/>
        <v>17544.172999999999</v>
      </c>
      <c r="J206" s="2">
        <f t="shared" si="22"/>
        <v>15755.409000000003</v>
      </c>
      <c r="K206" s="2">
        <f t="shared" si="20"/>
        <v>-185.59999999999854</v>
      </c>
      <c r="L206" s="7">
        <f t="shared" si="18"/>
        <v>-1.0407641990573601E-2</v>
      </c>
      <c r="M206" s="9"/>
      <c r="N206" s="2">
        <f t="shared" si="21"/>
        <v>18477.05</v>
      </c>
      <c r="O206" s="2">
        <f t="shared" si="19"/>
        <v>-4.3589209316422184E-2</v>
      </c>
      <c r="P206" s="2"/>
    </row>
    <row r="207" spans="1:16" x14ac:dyDescent="0.3">
      <c r="A207" s="3">
        <v>44501</v>
      </c>
      <c r="B207" s="2">
        <v>17783.150000000001</v>
      </c>
      <c r="C207" s="2">
        <v>17954.099999999999</v>
      </c>
      <c r="D207" s="2">
        <v>17697.099999999999</v>
      </c>
      <c r="E207" s="2">
        <v>17929.650000000001</v>
      </c>
      <c r="F207" s="2">
        <v>281190130</v>
      </c>
      <c r="G207" s="2">
        <v>24354.38</v>
      </c>
      <c r="H207" s="2">
        <f t="shared" si="16"/>
        <v>18020.220000000005</v>
      </c>
      <c r="I207" s="2">
        <f t="shared" si="17"/>
        <v>17565.314000000002</v>
      </c>
      <c r="J207" s="2">
        <f t="shared" si="22"/>
        <v>15773.080500000004</v>
      </c>
      <c r="K207" s="2">
        <f t="shared" si="20"/>
        <v>258</v>
      </c>
      <c r="L207" s="7">
        <f t="shared" si="18"/>
        <v>1.4508115828747999E-2</v>
      </c>
      <c r="M207" s="9"/>
      <c r="N207" s="2">
        <f t="shared" si="21"/>
        <v>18477.05</v>
      </c>
      <c r="O207" s="2">
        <f t="shared" si="19"/>
        <v>-2.9625941370510889E-2</v>
      </c>
      <c r="P207" s="2"/>
    </row>
    <row r="208" spans="1:16" x14ac:dyDescent="0.3">
      <c r="A208" s="3">
        <v>44502</v>
      </c>
      <c r="B208" s="2">
        <v>17970.900000000001</v>
      </c>
      <c r="C208" s="2">
        <v>18012.25</v>
      </c>
      <c r="D208" s="2">
        <v>17847.599999999999</v>
      </c>
      <c r="E208" s="2">
        <v>17888.95</v>
      </c>
      <c r="F208" s="2">
        <v>296441997</v>
      </c>
      <c r="G208" s="2">
        <v>23371.51</v>
      </c>
      <c r="H208" s="2">
        <f t="shared" si="16"/>
        <v>18040.100000000002</v>
      </c>
      <c r="I208" s="2">
        <f t="shared" si="17"/>
        <v>17592.53</v>
      </c>
      <c r="J208" s="2">
        <f t="shared" si="22"/>
        <v>15790.992500000002</v>
      </c>
      <c r="K208" s="2">
        <f t="shared" si="20"/>
        <v>-40.700000000000728</v>
      </c>
      <c r="L208" s="7">
        <f t="shared" si="18"/>
        <v>-2.2647724933086669E-3</v>
      </c>
      <c r="M208" s="9"/>
      <c r="N208" s="2">
        <f t="shared" si="21"/>
        <v>18477.05</v>
      </c>
      <c r="O208" s="2">
        <f t="shared" si="19"/>
        <v>-3.1828673949575226E-2</v>
      </c>
      <c r="P208" s="2"/>
    </row>
    <row r="209" spans="1:16" x14ac:dyDescent="0.3">
      <c r="A209" s="3">
        <v>44503</v>
      </c>
      <c r="B209" s="2">
        <v>17947.95</v>
      </c>
      <c r="C209" s="2">
        <v>17988.75</v>
      </c>
      <c r="D209" s="2">
        <v>17757.95</v>
      </c>
      <c r="E209" s="2">
        <v>17829.2</v>
      </c>
      <c r="F209" s="2">
        <v>330995982</v>
      </c>
      <c r="G209" s="2">
        <v>26186.85</v>
      </c>
      <c r="H209" s="2">
        <f t="shared" si="16"/>
        <v>18049.985000000004</v>
      </c>
      <c r="I209" s="2">
        <f t="shared" si="17"/>
        <v>17621.298999999999</v>
      </c>
      <c r="J209" s="2">
        <f t="shared" si="22"/>
        <v>15808.013500000003</v>
      </c>
      <c r="K209" s="2">
        <f t="shared" si="20"/>
        <v>-59.75</v>
      </c>
      <c r="L209" s="7">
        <f t="shared" si="18"/>
        <v>-3.3290710081095611E-3</v>
      </c>
      <c r="M209" s="9"/>
      <c r="N209" s="2">
        <f t="shared" si="21"/>
        <v>18477.05</v>
      </c>
      <c r="O209" s="2">
        <f t="shared" si="19"/>
        <v>-3.5062415266506219E-2</v>
      </c>
      <c r="P209" s="2"/>
    </row>
    <row r="210" spans="1:16" x14ac:dyDescent="0.3">
      <c r="A210" s="3">
        <v>44504</v>
      </c>
      <c r="B210" s="2">
        <v>17935.05</v>
      </c>
      <c r="C210" s="2">
        <v>17947.55</v>
      </c>
      <c r="D210" s="2">
        <v>17900.599999999999</v>
      </c>
      <c r="E210" s="2">
        <v>17916.8</v>
      </c>
      <c r="F210" s="2">
        <v>48520856</v>
      </c>
      <c r="G210" s="2">
        <v>3637.06</v>
      </c>
      <c r="H210" s="2">
        <f t="shared" si="16"/>
        <v>18050.330000000002</v>
      </c>
      <c r="I210" s="2">
        <f t="shared" si="17"/>
        <v>17647.953999999998</v>
      </c>
      <c r="J210" s="2">
        <f t="shared" si="22"/>
        <v>15824.342250000005</v>
      </c>
      <c r="K210" s="2">
        <f t="shared" si="20"/>
        <v>87.599999999998545</v>
      </c>
      <c r="L210" s="7">
        <f t="shared" si="18"/>
        <v>4.8842908160277526E-3</v>
      </c>
      <c r="M210" s="9"/>
      <c r="N210" s="2">
        <f t="shared" si="21"/>
        <v>18477.05</v>
      </c>
      <c r="O210" s="2">
        <f t="shared" si="19"/>
        <v>-3.0321398708127112E-2</v>
      </c>
      <c r="P210" s="2"/>
    </row>
    <row r="211" spans="1:16" x14ac:dyDescent="0.3">
      <c r="A211" s="3">
        <v>44508</v>
      </c>
      <c r="B211" s="2">
        <v>18040.2</v>
      </c>
      <c r="C211" s="2">
        <v>18087.8</v>
      </c>
      <c r="D211" s="2">
        <v>17836.099999999999</v>
      </c>
      <c r="E211" s="2">
        <v>18068.55</v>
      </c>
      <c r="F211" s="2">
        <v>338919483</v>
      </c>
      <c r="G211" s="2">
        <v>30908.23</v>
      </c>
      <c r="H211" s="2">
        <f t="shared" si="16"/>
        <v>18063.870000000003</v>
      </c>
      <c r="I211" s="2">
        <f t="shared" si="17"/>
        <v>17673.797999999999</v>
      </c>
      <c r="J211" s="2">
        <f t="shared" si="22"/>
        <v>15841.102000000004</v>
      </c>
      <c r="K211" s="2">
        <f t="shared" si="20"/>
        <v>151.75</v>
      </c>
      <c r="L211" s="7">
        <f t="shared" si="18"/>
        <v>8.4117692708506556E-3</v>
      </c>
      <c r="M211" s="9"/>
      <c r="N211" s="2">
        <f t="shared" si="21"/>
        <v>18477.05</v>
      </c>
      <c r="O211" s="2">
        <f t="shared" si="19"/>
        <v>-2.2108507581026227E-2</v>
      </c>
      <c r="P211" s="2"/>
    </row>
    <row r="212" spans="1:16" x14ac:dyDescent="0.3">
      <c r="A212" s="3">
        <v>44509</v>
      </c>
      <c r="B212" s="2">
        <v>18084.349999999999</v>
      </c>
      <c r="C212" s="2">
        <v>18112.599999999999</v>
      </c>
      <c r="D212" s="2">
        <v>17983.05</v>
      </c>
      <c r="E212" s="2">
        <v>18044.25</v>
      </c>
      <c r="F212" s="2">
        <v>270197527</v>
      </c>
      <c r="G212" s="2">
        <v>23686.09</v>
      </c>
      <c r="H212" s="2">
        <f t="shared" si="16"/>
        <v>18077.780000000002</v>
      </c>
      <c r="I212" s="2">
        <f t="shared" si="17"/>
        <v>17702.476000000002</v>
      </c>
      <c r="J212" s="2">
        <f t="shared" si="22"/>
        <v>15858.466750000003</v>
      </c>
      <c r="K212" s="2">
        <f t="shared" si="20"/>
        <v>-24.299999999999272</v>
      </c>
      <c r="L212" s="7">
        <f t="shared" si="18"/>
        <v>-1.3437032572361891E-3</v>
      </c>
      <c r="M212" s="9"/>
      <c r="N212" s="2">
        <f t="shared" si="21"/>
        <v>18477.05</v>
      </c>
      <c r="O212" s="2">
        <f t="shared" si="19"/>
        <v>-2.3423652585234045E-2</v>
      </c>
      <c r="P212" s="2"/>
    </row>
    <row r="213" spans="1:16" x14ac:dyDescent="0.3">
      <c r="A213" s="3">
        <v>44510</v>
      </c>
      <c r="B213" s="2">
        <v>17973.45</v>
      </c>
      <c r="C213" s="2">
        <v>18061.25</v>
      </c>
      <c r="D213" s="2">
        <v>17915</v>
      </c>
      <c r="E213" s="2">
        <v>18017.2</v>
      </c>
      <c r="F213" s="2">
        <v>261446523</v>
      </c>
      <c r="G213" s="2">
        <v>22281.11</v>
      </c>
      <c r="H213" s="2">
        <f t="shared" si="16"/>
        <v>18085.232500000002</v>
      </c>
      <c r="I213" s="2">
        <f t="shared" si="17"/>
        <v>17730.623</v>
      </c>
      <c r="J213" s="2">
        <f t="shared" si="22"/>
        <v>15876.519500000002</v>
      </c>
      <c r="K213" s="2">
        <f t="shared" si="20"/>
        <v>-27.049999999999272</v>
      </c>
      <c r="L213" s="7">
        <f t="shared" si="18"/>
        <v>-1.5049976493104703E-3</v>
      </c>
      <c r="M213" s="9"/>
      <c r="N213" s="2">
        <f t="shared" si="21"/>
        <v>18477.05</v>
      </c>
      <c r="O213" s="2">
        <f t="shared" si="19"/>
        <v>-2.4887630871811117E-2</v>
      </c>
      <c r="P213" s="2"/>
    </row>
    <row r="214" spans="1:16" x14ac:dyDescent="0.3">
      <c r="A214" s="3">
        <v>44511</v>
      </c>
      <c r="B214" s="2">
        <v>17967.45</v>
      </c>
      <c r="C214" s="2">
        <v>17971.349999999999</v>
      </c>
      <c r="D214" s="2">
        <v>17798.2</v>
      </c>
      <c r="E214" s="2">
        <v>17873.599999999999</v>
      </c>
      <c r="F214" s="2">
        <v>232121151</v>
      </c>
      <c r="G214" s="2">
        <v>20074.78</v>
      </c>
      <c r="H214" s="2">
        <f t="shared" si="16"/>
        <v>18088.794999999998</v>
      </c>
      <c r="I214" s="2">
        <f t="shared" si="17"/>
        <v>17756.862999999998</v>
      </c>
      <c r="J214" s="2">
        <f t="shared" si="22"/>
        <v>15895.199000000004</v>
      </c>
      <c r="K214" s="2">
        <f t="shared" si="20"/>
        <v>-143.60000000000218</v>
      </c>
      <c r="L214" s="7">
        <f t="shared" si="18"/>
        <v>-7.9922303944077854E-3</v>
      </c>
      <c r="M214" s="9"/>
      <c r="N214" s="2">
        <f t="shared" si="21"/>
        <v>18477.05</v>
      </c>
      <c r="O214" s="2">
        <f t="shared" si="19"/>
        <v>-3.2659434271163468E-2</v>
      </c>
      <c r="P214" s="2"/>
    </row>
    <row r="215" spans="1:16" x14ac:dyDescent="0.3">
      <c r="A215" s="3">
        <v>44512</v>
      </c>
      <c r="B215" s="2">
        <v>17977.599999999999</v>
      </c>
      <c r="C215" s="2">
        <v>18123</v>
      </c>
      <c r="D215" s="2">
        <v>17905.900000000001</v>
      </c>
      <c r="E215" s="2">
        <v>18102.75</v>
      </c>
      <c r="F215" s="2">
        <v>249111898</v>
      </c>
      <c r="G215" s="2">
        <v>22164.33</v>
      </c>
      <c r="H215" s="2">
        <f t="shared" ref="H215:H278" si="23">AVERAGE(E195:E214)</f>
        <v>18082.877499999999</v>
      </c>
      <c r="I215" s="2">
        <f t="shared" si="17"/>
        <v>17775.714</v>
      </c>
      <c r="J215" s="2">
        <f t="shared" si="22"/>
        <v>15911.961250000004</v>
      </c>
      <c r="K215" s="2">
        <f t="shared" si="20"/>
        <v>229.15000000000146</v>
      </c>
      <c r="L215" s="7">
        <f t="shared" si="18"/>
        <v>1.2746417764329025E-2</v>
      </c>
      <c r="M215" s="9"/>
      <c r="N215" s="2">
        <f t="shared" si="21"/>
        <v>18477.05</v>
      </c>
      <c r="O215" s="2">
        <f t="shared" si="19"/>
        <v>-2.0257562760289116E-2</v>
      </c>
      <c r="P215" s="2"/>
    </row>
    <row r="216" spans="1:16" x14ac:dyDescent="0.3">
      <c r="A216" s="3">
        <v>44515</v>
      </c>
      <c r="B216" s="2">
        <v>18140.95</v>
      </c>
      <c r="C216" s="2">
        <v>18210.150000000001</v>
      </c>
      <c r="D216" s="2">
        <v>18071.3</v>
      </c>
      <c r="E216" s="2">
        <v>18109.45</v>
      </c>
      <c r="F216" s="2">
        <v>280428633</v>
      </c>
      <c r="G216" s="2">
        <v>19099.599999999999</v>
      </c>
      <c r="H216" s="2">
        <f t="shared" si="23"/>
        <v>18079.927499999998</v>
      </c>
      <c r="I216" s="2">
        <f t="shared" si="17"/>
        <v>17795.125</v>
      </c>
      <c r="J216" s="2">
        <f t="shared" si="22"/>
        <v>15929.251500000004</v>
      </c>
      <c r="K216" s="2">
        <f t="shared" si="20"/>
        <v>6.7000000000007276</v>
      </c>
      <c r="L216" s="7">
        <f t="shared" si="18"/>
        <v>3.6933016187138643E-4</v>
      </c>
      <c r="M216" s="9"/>
      <c r="N216" s="2">
        <f t="shared" si="21"/>
        <v>18477.05</v>
      </c>
      <c r="O216" s="2">
        <f t="shared" si="19"/>
        <v>-1.9894950763244101E-2</v>
      </c>
      <c r="P216" s="2"/>
    </row>
    <row r="217" spans="1:16" x14ac:dyDescent="0.3">
      <c r="A217" s="3">
        <v>44516</v>
      </c>
      <c r="B217" s="2">
        <v>18127.05</v>
      </c>
      <c r="C217" s="2">
        <v>18132.650000000001</v>
      </c>
      <c r="D217" s="2">
        <v>17958.8</v>
      </c>
      <c r="E217" s="2">
        <v>17999.2</v>
      </c>
      <c r="F217" s="2">
        <v>267431829</v>
      </c>
      <c r="G217" s="2">
        <v>24101.67</v>
      </c>
      <c r="H217" s="2">
        <f t="shared" si="23"/>
        <v>18068.4725</v>
      </c>
      <c r="I217" s="2">
        <f t="shared" si="17"/>
        <v>17815.789000000001</v>
      </c>
      <c r="J217" s="2">
        <f t="shared" si="22"/>
        <v>15946.847000000003</v>
      </c>
      <c r="K217" s="2">
        <f t="shared" si="20"/>
        <v>-110.25</v>
      </c>
      <c r="L217" s="7">
        <f t="shared" si="18"/>
        <v>-6.0820707175188466E-3</v>
      </c>
      <c r="M217" s="9"/>
      <c r="N217" s="2">
        <f t="shared" si="21"/>
        <v>18477.05</v>
      </c>
      <c r="O217" s="2">
        <f t="shared" si="19"/>
        <v>-2.5861812356409608E-2</v>
      </c>
      <c r="P217" s="2"/>
    </row>
    <row r="218" spans="1:16" x14ac:dyDescent="0.3">
      <c r="A218" s="3">
        <v>44517</v>
      </c>
      <c r="B218" s="2">
        <v>17939.349999999999</v>
      </c>
      <c r="C218" s="2">
        <v>18022.650000000001</v>
      </c>
      <c r="D218" s="2">
        <v>17879.25</v>
      </c>
      <c r="E218" s="2">
        <v>17898.650000000001</v>
      </c>
      <c r="F218" s="2">
        <v>295715938</v>
      </c>
      <c r="G218" s="2">
        <v>22950.84</v>
      </c>
      <c r="H218" s="2">
        <f t="shared" si="23"/>
        <v>18044.579999999998</v>
      </c>
      <c r="I218" s="2">
        <f t="shared" si="17"/>
        <v>17831.089999999997</v>
      </c>
      <c r="J218" s="2">
        <f t="shared" si="22"/>
        <v>15964.983500000006</v>
      </c>
      <c r="K218" s="2">
        <f t="shared" si="20"/>
        <v>-100.54999999999927</v>
      </c>
      <c r="L218" s="7">
        <f t="shared" si="18"/>
        <v>-5.6049968365631574E-3</v>
      </c>
      <c r="M218" s="9"/>
      <c r="N218" s="2">
        <f t="shared" si="21"/>
        <v>18477.05</v>
      </c>
      <c r="O218" s="2">
        <f t="shared" si="19"/>
        <v>-3.1303698371763722E-2</v>
      </c>
      <c r="P218" s="2"/>
    </row>
    <row r="219" spans="1:16" x14ac:dyDescent="0.3">
      <c r="A219" s="3">
        <v>44518</v>
      </c>
      <c r="B219" s="2">
        <v>17890.55</v>
      </c>
      <c r="C219" s="2">
        <v>17945.599999999999</v>
      </c>
      <c r="D219" s="2">
        <v>17688.5</v>
      </c>
      <c r="E219" s="2">
        <v>17764.8</v>
      </c>
      <c r="F219" s="2">
        <v>278425148</v>
      </c>
      <c r="G219" s="2">
        <v>22625.360000000001</v>
      </c>
      <c r="H219" s="2">
        <f t="shared" si="23"/>
        <v>18018.575000000001</v>
      </c>
      <c r="I219" s="2">
        <f t="shared" si="17"/>
        <v>17842.590999999997</v>
      </c>
      <c r="J219" s="2">
        <f t="shared" si="22"/>
        <v>15983.282250000006</v>
      </c>
      <c r="K219" s="2">
        <f t="shared" si="20"/>
        <v>-133.85000000000218</v>
      </c>
      <c r="L219" s="7">
        <f t="shared" si="18"/>
        <v>-7.4816034163288549E-3</v>
      </c>
      <c r="M219" s="9"/>
      <c r="N219" s="2">
        <f t="shared" si="21"/>
        <v>18477.05</v>
      </c>
      <c r="O219" s="2">
        <f t="shared" si="19"/>
        <v>-3.8547820133625232E-2</v>
      </c>
      <c r="P219" s="2"/>
    </row>
    <row r="220" spans="1:16" x14ac:dyDescent="0.3">
      <c r="A220" s="3">
        <v>44522</v>
      </c>
      <c r="B220" s="2">
        <v>17796.25</v>
      </c>
      <c r="C220" s="2">
        <v>17805.25</v>
      </c>
      <c r="D220" s="2">
        <v>17280.45</v>
      </c>
      <c r="E220" s="2">
        <v>17416.55</v>
      </c>
      <c r="F220" s="2">
        <v>356400425</v>
      </c>
      <c r="G220" s="2">
        <v>29570.57</v>
      </c>
      <c r="H220" s="2">
        <f t="shared" si="23"/>
        <v>17993.485000000001</v>
      </c>
      <c r="I220" s="2">
        <f t="shared" si="17"/>
        <v>17850.330999999998</v>
      </c>
      <c r="J220" s="2">
        <f t="shared" si="22"/>
        <v>16002.268750000005</v>
      </c>
      <c r="K220" s="2">
        <f t="shared" si="20"/>
        <v>-348.25</v>
      </c>
      <c r="L220" s="7">
        <f t="shared" si="18"/>
        <v>-1.9568729367141956E-2</v>
      </c>
      <c r="M220" s="9"/>
      <c r="N220" s="2">
        <f t="shared" si="21"/>
        <v>18477.05</v>
      </c>
      <c r="O220" s="2">
        <f t="shared" si="19"/>
        <v>-5.7395525800925995E-2</v>
      </c>
      <c r="P220" s="2"/>
    </row>
    <row r="221" spans="1:16" x14ac:dyDescent="0.3">
      <c r="A221" s="3">
        <v>44523</v>
      </c>
      <c r="B221" s="2">
        <v>17281.75</v>
      </c>
      <c r="C221" s="2">
        <v>17553.7</v>
      </c>
      <c r="D221" s="2">
        <v>17216.099999999999</v>
      </c>
      <c r="E221" s="2">
        <v>17503.349999999999</v>
      </c>
      <c r="F221" s="2">
        <v>308843255</v>
      </c>
      <c r="G221" s="2">
        <v>26240.41</v>
      </c>
      <c r="H221" s="2">
        <f t="shared" si="23"/>
        <v>17955.407500000001</v>
      </c>
      <c r="I221" s="2">
        <f t="shared" si="17"/>
        <v>17851.419999999998</v>
      </c>
      <c r="J221" s="2">
        <f t="shared" si="22"/>
        <v>16020.263750000006</v>
      </c>
      <c r="K221" s="2">
        <f t="shared" si="20"/>
        <v>86.799999999999272</v>
      </c>
      <c r="L221" s="7">
        <f t="shared" si="18"/>
        <v>5.0226394896349773E-3</v>
      </c>
      <c r="M221" s="9"/>
      <c r="N221" s="2">
        <f t="shared" si="21"/>
        <v>18477.05</v>
      </c>
      <c r="O221" s="2">
        <f t="shared" si="19"/>
        <v>-5.2697806197417929E-2</v>
      </c>
      <c r="P221" s="2"/>
    </row>
    <row r="222" spans="1:16" x14ac:dyDescent="0.3">
      <c r="A222" s="3">
        <v>44524</v>
      </c>
      <c r="B222" s="2">
        <v>17550.05</v>
      </c>
      <c r="C222" s="2">
        <v>17600.599999999999</v>
      </c>
      <c r="D222" s="2">
        <v>17354</v>
      </c>
      <c r="E222" s="2">
        <v>17415.05</v>
      </c>
      <c r="F222" s="2">
        <v>298052158</v>
      </c>
      <c r="G222" s="2">
        <v>23766.93</v>
      </c>
      <c r="H222" s="2">
        <f t="shared" si="23"/>
        <v>17924.829999999998</v>
      </c>
      <c r="I222" s="2">
        <f t="shared" si="17"/>
        <v>17854.416999999998</v>
      </c>
      <c r="J222" s="2">
        <f t="shared" si="22"/>
        <v>16039.607500000006</v>
      </c>
      <c r="K222" s="2">
        <f t="shared" si="20"/>
        <v>-88.299999999999272</v>
      </c>
      <c r="L222" s="7">
        <f t="shared" si="18"/>
        <v>-5.031324697080594E-3</v>
      </c>
      <c r="M222" s="9"/>
      <c r="N222" s="2">
        <f t="shared" si="21"/>
        <v>18477.05</v>
      </c>
      <c r="O222" s="2">
        <f t="shared" si="19"/>
        <v>-5.7476707591309184E-2</v>
      </c>
      <c r="P222" s="2"/>
    </row>
    <row r="223" spans="1:16" x14ac:dyDescent="0.3">
      <c r="A223" s="3">
        <v>44525</v>
      </c>
      <c r="B223" s="2">
        <v>17417.3</v>
      </c>
      <c r="C223" s="2">
        <v>17564.349999999999</v>
      </c>
      <c r="D223" s="2">
        <v>17351.7</v>
      </c>
      <c r="E223" s="2">
        <v>17536.25</v>
      </c>
      <c r="F223" s="2">
        <v>255947032</v>
      </c>
      <c r="G223" s="2">
        <v>21953.33</v>
      </c>
      <c r="H223" s="2">
        <f t="shared" si="23"/>
        <v>17889.312499999996</v>
      </c>
      <c r="I223" s="2">
        <f t="shared" si="17"/>
        <v>17855.332999999999</v>
      </c>
      <c r="J223" s="2">
        <f t="shared" si="22"/>
        <v>16055.276750000003</v>
      </c>
      <c r="K223" s="2">
        <f t="shared" si="20"/>
        <v>121.20000000000073</v>
      </c>
      <c r="L223" s="7">
        <f t="shared" si="18"/>
        <v>6.9585986346908379E-3</v>
      </c>
      <c r="M223" s="9"/>
      <c r="N223" s="2">
        <f t="shared" si="21"/>
        <v>18477.05</v>
      </c>
      <c r="O223" s="2">
        <f t="shared" si="19"/>
        <v>-5.091721892834622E-2</v>
      </c>
      <c r="P223" s="2"/>
    </row>
    <row r="224" spans="1:16" x14ac:dyDescent="0.3">
      <c r="A224" s="3">
        <v>44526</v>
      </c>
      <c r="B224" s="2">
        <v>17338.75</v>
      </c>
      <c r="C224" s="2">
        <v>17355.400000000001</v>
      </c>
      <c r="D224" s="2">
        <v>16985.7</v>
      </c>
      <c r="E224" s="2">
        <v>17026.45</v>
      </c>
      <c r="F224" s="2">
        <v>356330009</v>
      </c>
      <c r="G224" s="2">
        <v>28485.53</v>
      </c>
      <c r="H224" s="2">
        <f t="shared" si="23"/>
        <v>17852.704999999998</v>
      </c>
      <c r="I224" s="2">
        <f t="shared" si="17"/>
        <v>17858.952000000001</v>
      </c>
      <c r="J224" s="2">
        <f t="shared" si="22"/>
        <v>16069.718750000002</v>
      </c>
      <c r="K224" s="2">
        <f t="shared" si="20"/>
        <v>-509.79999999999927</v>
      </c>
      <c r="L224" s="7">
        <f t="shared" si="18"/>
        <v>-2.9402350227092453E-2</v>
      </c>
      <c r="M224" s="9"/>
      <c r="N224" s="2">
        <f t="shared" si="21"/>
        <v>18477.05</v>
      </c>
      <c r="O224" s="2">
        <f t="shared" si="19"/>
        <v>-7.8508203419918154E-2</v>
      </c>
      <c r="P224" s="2"/>
    </row>
    <row r="225" spans="1:16" x14ac:dyDescent="0.3">
      <c r="A225" s="3">
        <v>44529</v>
      </c>
      <c r="B225" s="2">
        <v>17055.8</v>
      </c>
      <c r="C225" s="2">
        <v>17160.7</v>
      </c>
      <c r="D225" s="2">
        <v>16782.400000000001</v>
      </c>
      <c r="E225" s="2">
        <v>17053.95</v>
      </c>
      <c r="F225" s="2">
        <v>348888750</v>
      </c>
      <c r="G225" s="2">
        <v>27428.2</v>
      </c>
      <c r="H225" s="2">
        <f t="shared" si="23"/>
        <v>17793.48</v>
      </c>
      <c r="I225" s="2">
        <f t="shared" si="17"/>
        <v>17851.880999999998</v>
      </c>
      <c r="J225" s="2">
        <f t="shared" si="22"/>
        <v>16080.901250000004</v>
      </c>
      <c r="K225" s="2">
        <f t="shared" si="20"/>
        <v>27.5</v>
      </c>
      <c r="L225" s="7">
        <f t="shared" si="18"/>
        <v>1.6123547414955617E-3</v>
      </c>
      <c r="M225" s="9"/>
      <c r="N225" s="2">
        <f t="shared" si="21"/>
        <v>18477.05</v>
      </c>
      <c r="O225" s="2">
        <f t="shared" si="19"/>
        <v>-7.7019870596226059E-2</v>
      </c>
      <c r="P225" s="2"/>
    </row>
    <row r="226" spans="1:16" x14ac:dyDescent="0.3">
      <c r="A226" s="3">
        <v>44530</v>
      </c>
      <c r="B226" s="2">
        <v>17051.150000000001</v>
      </c>
      <c r="C226" s="2">
        <v>17324.650000000001</v>
      </c>
      <c r="D226" s="2">
        <v>16931.400000000001</v>
      </c>
      <c r="E226" s="2">
        <v>16983.2</v>
      </c>
      <c r="F226" s="2">
        <v>497999836</v>
      </c>
      <c r="G226" s="2">
        <v>41494.9</v>
      </c>
      <c r="H226" s="2">
        <f t="shared" si="23"/>
        <v>17753.314999999999</v>
      </c>
      <c r="I226" s="2">
        <f t="shared" si="17"/>
        <v>17842.571</v>
      </c>
      <c r="J226" s="2">
        <f t="shared" si="22"/>
        <v>16091.692750000006</v>
      </c>
      <c r="K226" s="2">
        <f t="shared" si="20"/>
        <v>-70.75</v>
      </c>
      <c r="L226" s="7">
        <f t="shared" si="18"/>
        <v>-4.1492802538245221E-3</v>
      </c>
      <c r="M226" s="9"/>
      <c r="N226" s="2">
        <f t="shared" si="21"/>
        <v>18477.05</v>
      </c>
      <c r="O226" s="2">
        <f t="shared" si="19"/>
        <v>-8.0848945042633846E-2</v>
      </c>
      <c r="P226" s="2"/>
    </row>
    <row r="227" spans="1:16" x14ac:dyDescent="0.3">
      <c r="A227" s="3">
        <v>44531</v>
      </c>
      <c r="B227" s="2">
        <v>17104.400000000001</v>
      </c>
      <c r="C227" s="2">
        <v>17213.05</v>
      </c>
      <c r="D227" s="2">
        <v>17064.25</v>
      </c>
      <c r="E227" s="2">
        <v>17166.900000000001</v>
      </c>
      <c r="F227" s="2">
        <v>295542125</v>
      </c>
      <c r="G227" s="2">
        <v>24098.73</v>
      </c>
      <c r="H227" s="2">
        <f t="shared" si="23"/>
        <v>17718.892500000002</v>
      </c>
      <c r="I227" s="2">
        <f t="shared" si="17"/>
        <v>17829.644999999997</v>
      </c>
      <c r="J227" s="2">
        <f t="shared" si="22"/>
        <v>16101.987500000005</v>
      </c>
      <c r="K227" s="2">
        <f t="shared" si="20"/>
        <v>183.70000000000073</v>
      </c>
      <c r="L227" s="7">
        <f t="shared" si="18"/>
        <v>1.0739926568602273E-2</v>
      </c>
      <c r="M227" s="9"/>
      <c r="N227" s="2">
        <f t="shared" si="21"/>
        <v>18477.05</v>
      </c>
      <c r="O227" s="2">
        <f t="shared" si="19"/>
        <v>-7.0906881780370634E-2</v>
      </c>
      <c r="P227" s="2"/>
    </row>
    <row r="228" spans="1:16" x14ac:dyDescent="0.3">
      <c r="A228" s="3">
        <v>44532</v>
      </c>
      <c r="B228" s="2">
        <v>17183.2</v>
      </c>
      <c r="C228" s="2">
        <v>17420.349999999999</v>
      </c>
      <c r="D228" s="2">
        <v>17149.3</v>
      </c>
      <c r="E228" s="2">
        <v>17401.650000000001</v>
      </c>
      <c r="F228" s="2">
        <v>279867500</v>
      </c>
      <c r="G228" s="2">
        <v>22473.64</v>
      </c>
      <c r="H228" s="2">
        <f t="shared" si="23"/>
        <v>17680.755000000001</v>
      </c>
      <c r="I228" s="2">
        <f t="shared" si="17"/>
        <v>17821.28</v>
      </c>
      <c r="J228" s="2">
        <f t="shared" si="22"/>
        <v>16112.243000000006</v>
      </c>
      <c r="K228" s="2">
        <f t="shared" si="20"/>
        <v>234.75</v>
      </c>
      <c r="L228" s="7">
        <f t="shared" si="18"/>
        <v>1.3661599702034545E-2</v>
      </c>
      <c r="M228" s="9"/>
      <c r="N228" s="2">
        <f t="shared" si="21"/>
        <v>18477.05</v>
      </c>
      <c r="O228" s="2">
        <f t="shared" si="19"/>
        <v>-5.8201931585399103E-2</v>
      </c>
      <c r="P228" s="2"/>
    </row>
    <row r="229" spans="1:16" x14ac:dyDescent="0.3">
      <c r="A229" s="3">
        <v>44533</v>
      </c>
      <c r="B229" s="2">
        <v>17424.900000000001</v>
      </c>
      <c r="C229" s="2">
        <v>17489.8</v>
      </c>
      <c r="D229" s="2">
        <v>17180.8</v>
      </c>
      <c r="E229" s="2">
        <v>17196.7</v>
      </c>
      <c r="F229" s="2">
        <v>292526485</v>
      </c>
      <c r="G229" s="2">
        <v>23100.57</v>
      </c>
      <c r="H229" s="2">
        <f t="shared" si="23"/>
        <v>17656.390000000007</v>
      </c>
      <c r="I229" s="2">
        <f t="shared" si="17"/>
        <v>17821.375</v>
      </c>
      <c r="J229" s="2">
        <f t="shared" si="22"/>
        <v>16123.704750000003</v>
      </c>
      <c r="K229" s="2">
        <f t="shared" si="20"/>
        <v>-204.95000000000073</v>
      </c>
      <c r="L229" s="7">
        <f t="shared" si="18"/>
        <v>-1.1761903942059967E-2</v>
      </c>
      <c r="M229" s="9"/>
      <c r="N229" s="2">
        <f t="shared" si="21"/>
        <v>18477.05</v>
      </c>
      <c r="O229" s="2">
        <f t="shared" si="19"/>
        <v>-6.9294070211424419E-2</v>
      </c>
      <c r="P229" s="2"/>
    </row>
    <row r="230" spans="1:16" x14ac:dyDescent="0.3">
      <c r="A230" s="3">
        <v>44536</v>
      </c>
      <c r="B230" s="2">
        <v>17209.05</v>
      </c>
      <c r="C230" s="2">
        <v>17216.75</v>
      </c>
      <c r="D230" s="2">
        <v>16891.7</v>
      </c>
      <c r="E230" s="2">
        <v>16912.25</v>
      </c>
      <c r="F230" s="2">
        <v>231716681</v>
      </c>
      <c r="G230" s="2">
        <v>17912.150000000001</v>
      </c>
      <c r="H230" s="2">
        <f t="shared" si="23"/>
        <v>17624.765000000003</v>
      </c>
      <c r="I230" s="2">
        <f t="shared" si="17"/>
        <v>17814.069</v>
      </c>
      <c r="J230" s="2">
        <f t="shared" si="22"/>
        <v>16134.155750000004</v>
      </c>
      <c r="K230" s="2">
        <f t="shared" si="20"/>
        <v>-284.45000000000073</v>
      </c>
      <c r="L230" s="7">
        <f t="shared" si="18"/>
        <v>-1.652909370360367E-2</v>
      </c>
      <c r="M230" s="9"/>
      <c r="N230" s="2">
        <f t="shared" si="21"/>
        <v>18477.05</v>
      </c>
      <c r="O230" s="2">
        <f t="shared" si="19"/>
        <v>-8.4688843727759533E-2</v>
      </c>
      <c r="P230" s="2"/>
    </row>
    <row r="231" spans="1:16" x14ac:dyDescent="0.3">
      <c r="A231" s="3">
        <v>44537</v>
      </c>
      <c r="B231" s="2">
        <v>17044.099999999999</v>
      </c>
      <c r="C231" s="2">
        <v>17251.650000000001</v>
      </c>
      <c r="D231" s="2">
        <v>16987.75</v>
      </c>
      <c r="E231" s="2">
        <v>17176.7</v>
      </c>
      <c r="F231" s="2">
        <v>254144221</v>
      </c>
      <c r="G231" s="2">
        <v>21693.69</v>
      </c>
      <c r="H231" s="2">
        <f t="shared" si="23"/>
        <v>17574.537500000002</v>
      </c>
      <c r="I231" s="2">
        <f t="shared" si="17"/>
        <v>17801.381000000001</v>
      </c>
      <c r="J231" s="2">
        <f t="shared" si="22"/>
        <v>16142.850500000006</v>
      </c>
      <c r="K231" s="2">
        <f t="shared" si="20"/>
        <v>264.45000000000073</v>
      </c>
      <c r="L231" s="7">
        <f t="shared" si="18"/>
        <v>1.5515632975633841E-2</v>
      </c>
      <c r="M231" s="9"/>
      <c r="N231" s="2">
        <f t="shared" si="21"/>
        <v>18477.05</v>
      </c>
      <c r="O231" s="2">
        <f t="shared" si="19"/>
        <v>-7.0376494083200458E-2</v>
      </c>
      <c r="P231" s="2"/>
    </row>
    <row r="232" spans="1:16" x14ac:dyDescent="0.3">
      <c r="A232" s="3">
        <v>44538</v>
      </c>
      <c r="B232" s="2">
        <v>17315.25</v>
      </c>
      <c r="C232" s="2">
        <v>17484.599999999999</v>
      </c>
      <c r="D232" s="2">
        <v>17308.95</v>
      </c>
      <c r="E232" s="2">
        <v>17469.75</v>
      </c>
      <c r="F232" s="2">
        <v>257791948</v>
      </c>
      <c r="G232" s="2">
        <v>21665.95</v>
      </c>
      <c r="H232" s="2">
        <f t="shared" si="23"/>
        <v>17529.945</v>
      </c>
      <c r="I232" s="2">
        <f t="shared" si="17"/>
        <v>17788.455999999998</v>
      </c>
      <c r="J232" s="2">
        <f t="shared" si="22"/>
        <v>16152.917500000005</v>
      </c>
      <c r="K232" s="2">
        <f t="shared" si="20"/>
        <v>293.04999999999927</v>
      </c>
      <c r="L232" s="7">
        <f t="shared" si="18"/>
        <v>1.6924387461919363E-2</v>
      </c>
      <c r="M232" s="9"/>
      <c r="N232" s="2">
        <f t="shared" si="21"/>
        <v>18477.05</v>
      </c>
      <c r="O232" s="2">
        <f t="shared" si="19"/>
        <v>-5.4516278302001675E-2</v>
      </c>
      <c r="P232" s="2"/>
    </row>
    <row r="233" spans="1:16" x14ac:dyDescent="0.3">
      <c r="A233" s="3">
        <v>44539</v>
      </c>
      <c r="B233" s="2">
        <v>17524.400000000001</v>
      </c>
      <c r="C233" s="2">
        <v>17543.25</v>
      </c>
      <c r="D233" s="2">
        <v>17379.599999999999</v>
      </c>
      <c r="E233" s="2">
        <v>17516.849999999999</v>
      </c>
      <c r="F233" s="2">
        <v>237170272</v>
      </c>
      <c r="G233" s="2">
        <v>18984.75</v>
      </c>
      <c r="H233" s="2">
        <f t="shared" si="23"/>
        <v>17501.220000000005</v>
      </c>
      <c r="I233" s="2">
        <f t="shared" si="17"/>
        <v>17780.787</v>
      </c>
      <c r="J233" s="2">
        <f t="shared" si="22"/>
        <v>16163.692750000004</v>
      </c>
      <c r="K233" s="2">
        <f t="shared" si="20"/>
        <v>47.099999999998545</v>
      </c>
      <c r="L233" s="7">
        <f t="shared" si="18"/>
        <v>2.6876811759602918E-3</v>
      </c>
      <c r="M233" s="9"/>
      <c r="N233" s="2">
        <f t="shared" si="21"/>
        <v>18477.05</v>
      </c>
      <c r="O233" s="2">
        <f t="shared" si="19"/>
        <v>-5.1967170083969116E-2</v>
      </c>
      <c r="P233" s="2"/>
    </row>
    <row r="234" spans="1:16" x14ac:dyDescent="0.3">
      <c r="A234" s="3">
        <v>44540</v>
      </c>
      <c r="B234" s="2">
        <v>17476.05</v>
      </c>
      <c r="C234" s="2">
        <v>17534.349999999999</v>
      </c>
      <c r="D234" s="2">
        <v>17405.25</v>
      </c>
      <c r="E234" s="2">
        <v>17511.3</v>
      </c>
      <c r="F234" s="2">
        <v>204467484</v>
      </c>
      <c r="G234" s="2">
        <v>16399.53</v>
      </c>
      <c r="H234" s="2">
        <f t="shared" si="23"/>
        <v>17476.202500000003</v>
      </c>
      <c r="I234" s="2">
        <f t="shared" si="17"/>
        <v>17774.021999999997</v>
      </c>
      <c r="J234" s="2">
        <f t="shared" si="22"/>
        <v>16174.709750000005</v>
      </c>
      <c r="K234" s="2">
        <f t="shared" si="20"/>
        <v>-5.5499999999992724</v>
      </c>
      <c r="L234" s="7">
        <f t="shared" si="18"/>
        <v>-3.175774846146167E-4</v>
      </c>
      <c r="M234" s="9"/>
      <c r="N234" s="2">
        <f t="shared" si="21"/>
        <v>18477.05</v>
      </c>
      <c r="O234" s="2">
        <f t="shared" si="19"/>
        <v>-5.2267542708386849E-2</v>
      </c>
      <c r="P234" s="2"/>
    </row>
    <row r="235" spans="1:16" x14ac:dyDescent="0.3">
      <c r="A235" s="3">
        <v>44543</v>
      </c>
      <c r="B235" s="2">
        <v>17619.099999999999</v>
      </c>
      <c r="C235" s="2">
        <v>17639.5</v>
      </c>
      <c r="D235" s="2">
        <v>17355.95</v>
      </c>
      <c r="E235" s="2">
        <v>17368.25</v>
      </c>
      <c r="F235" s="2">
        <v>256560534</v>
      </c>
      <c r="G235" s="2">
        <v>20592.03</v>
      </c>
      <c r="H235" s="2">
        <f t="shared" si="23"/>
        <v>17458.087500000001</v>
      </c>
      <c r="I235" s="2">
        <f t="shared" si="17"/>
        <v>17769.276000000002</v>
      </c>
      <c r="J235" s="2">
        <f t="shared" si="22"/>
        <v>16186.221750000002</v>
      </c>
      <c r="K235" s="2">
        <f t="shared" si="20"/>
        <v>-143.04999999999927</v>
      </c>
      <c r="L235" s="7">
        <f t="shared" si="18"/>
        <v>-8.1190299163975046E-3</v>
      </c>
      <c r="M235" s="9"/>
      <c r="N235" s="2">
        <f t="shared" si="21"/>
        <v>18477.05</v>
      </c>
      <c r="O235" s="2">
        <f t="shared" si="19"/>
        <v>-6.0009579451265171E-2</v>
      </c>
      <c r="P235" s="2"/>
    </row>
    <row r="236" spans="1:16" x14ac:dyDescent="0.3">
      <c r="A236" s="3">
        <v>44544</v>
      </c>
      <c r="B236" s="2">
        <v>17283.2</v>
      </c>
      <c r="C236" s="2">
        <v>17376.2</v>
      </c>
      <c r="D236" s="2">
        <v>17225.8</v>
      </c>
      <c r="E236" s="2">
        <v>17324.900000000001</v>
      </c>
      <c r="F236" s="2">
        <v>270965586</v>
      </c>
      <c r="G236" s="2">
        <v>20459.79</v>
      </c>
      <c r="H236" s="2">
        <f t="shared" si="23"/>
        <v>17421.362499999999</v>
      </c>
      <c r="I236" s="2">
        <f t="shared" si="17"/>
        <v>17762.415000000001</v>
      </c>
      <c r="J236" s="2">
        <f t="shared" si="22"/>
        <v>16197.468250000004</v>
      </c>
      <c r="K236" s="2">
        <f t="shared" si="20"/>
        <v>-43.349999999998545</v>
      </c>
      <c r="L236" s="7">
        <f t="shared" si="18"/>
        <v>-2.5082160710978604E-3</v>
      </c>
      <c r="M236" s="9"/>
      <c r="N236" s="2">
        <f t="shared" si="21"/>
        <v>18477.05</v>
      </c>
      <c r="O236" s="2">
        <f t="shared" si="19"/>
        <v>-6.2355733193339757E-2</v>
      </c>
      <c r="P236" s="2"/>
    </row>
    <row r="237" spans="1:16" x14ac:dyDescent="0.3">
      <c r="A237" s="3">
        <v>44545</v>
      </c>
      <c r="B237" s="2">
        <v>17323.650000000001</v>
      </c>
      <c r="C237" s="2">
        <v>17351.2</v>
      </c>
      <c r="D237" s="2">
        <v>17192.2</v>
      </c>
      <c r="E237" s="2">
        <v>17221.400000000001</v>
      </c>
      <c r="F237" s="2">
        <v>214972109</v>
      </c>
      <c r="G237" s="2">
        <v>17046.419999999998</v>
      </c>
      <c r="H237" s="2">
        <f t="shared" si="23"/>
        <v>17382.135000000002</v>
      </c>
      <c r="I237" s="2">
        <f t="shared" si="17"/>
        <v>17756.55</v>
      </c>
      <c r="J237" s="2">
        <f t="shared" si="22"/>
        <v>16209.184000000007</v>
      </c>
      <c r="K237" s="2">
        <f t="shared" si="20"/>
        <v>-103.5</v>
      </c>
      <c r="L237" s="7">
        <f t="shared" si="18"/>
        <v>-5.974491518819648E-3</v>
      </c>
      <c r="M237" s="9"/>
      <c r="N237" s="2">
        <f t="shared" si="21"/>
        <v>18477.05</v>
      </c>
      <c r="O237" s="2">
        <f t="shared" si="19"/>
        <v>-6.7957276729780913E-2</v>
      </c>
      <c r="P237" s="2"/>
    </row>
    <row r="238" spans="1:16" x14ac:dyDescent="0.3">
      <c r="A238" s="3">
        <v>44546</v>
      </c>
      <c r="B238" s="2">
        <v>17373</v>
      </c>
      <c r="C238" s="2">
        <v>17379.349999999999</v>
      </c>
      <c r="D238" s="2">
        <v>17184.95</v>
      </c>
      <c r="E238" s="2">
        <v>17248.400000000001</v>
      </c>
      <c r="F238" s="2">
        <v>219496063</v>
      </c>
      <c r="G238" s="2">
        <v>18493.54</v>
      </c>
      <c r="H238" s="2">
        <f t="shared" si="23"/>
        <v>17343.245000000003</v>
      </c>
      <c r="I238" s="2">
        <f t="shared" si="17"/>
        <v>17750.337000000003</v>
      </c>
      <c r="J238" s="2">
        <f t="shared" si="22"/>
        <v>16221.912500000004</v>
      </c>
      <c r="K238" s="2">
        <f t="shared" si="20"/>
        <v>27</v>
      </c>
      <c r="L238" s="7">
        <f t="shared" si="18"/>
        <v>1.5541357278535659E-3</v>
      </c>
      <c r="M238" s="9"/>
      <c r="N238" s="2">
        <f t="shared" si="21"/>
        <v>18477.05</v>
      </c>
      <c r="O238" s="2">
        <f t="shared" si="19"/>
        <v>-6.6496004502883177E-2</v>
      </c>
      <c r="P238" s="2"/>
    </row>
    <row r="239" spans="1:16" x14ac:dyDescent="0.3">
      <c r="A239" s="3">
        <v>44547</v>
      </c>
      <c r="B239" s="2">
        <v>17276</v>
      </c>
      <c r="C239" s="2">
        <v>17298.150000000001</v>
      </c>
      <c r="D239" s="2">
        <v>16966.45</v>
      </c>
      <c r="E239" s="2">
        <v>16985.2</v>
      </c>
      <c r="F239" s="2">
        <v>354591366</v>
      </c>
      <c r="G239" s="2">
        <v>31326.91</v>
      </c>
      <c r="H239" s="2">
        <f t="shared" si="23"/>
        <v>17310.732500000006</v>
      </c>
      <c r="I239" s="2">
        <f t="shared" si="17"/>
        <v>17741.480000000003</v>
      </c>
      <c r="J239" s="2">
        <f t="shared" si="22"/>
        <v>16234.615500000005</v>
      </c>
      <c r="K239" s="2">
        <f t="shared" si="20"/>
        <v>-263.20000000000073</v>
      </c>
      <c r="L239" s="7">
        <f t="shared" si="18"/>
        <v>-1.5235008103727757E-2</v>
      </c>
      <c r="M239" s="9"/>
      <c r="N239" s="2">
        <f t="shared" si="21"/>
        <v>18477.05</v>
      </c>
      <c r="O239" s="2">
        <f t="shared" si="19"/>
        <v>-8.0740702655456298E-2</v>
      </c>
      <c r="P239" s="2"/>
    </row>
    <row r="240" spans="1:16" x14ac:dyDescent="0.3">
      <c r="A240" s="3">
        <v>44550</v>
      </c>
      <c r="B240" s="2">
        <v>16824.25</v>
      </c>
      <c r="C240" s="2">
        <v>16840.099999999999</v>
      </c>
      <c r="D240" s="2">
        <v>16410.2</v>
      </c>
      <c r="E240" s="2">
        <v>16614.2</v>
      </c>
      <c r="F240" s="2">
        <v>330614079</v>
      </c>
      <c r="G240" s="2">
        <v>25123.59</v>
      </c>
      <c r="H240" s="2">
        <f t="shared" si="23"/>
        <v>17271.752500000006</v>
      </c>
      <c r="I240" s="2">
        <f t="shared" si="17"/>
        <v>17724.738000000001</v>
      </c>
      <c r="J240" s="2">
        <f t="shared" si="22"/>
        <v>16244.631500000007</v>
      </c>
      <c r="K240" s="2">
        <f t="shared" si="20"/>
        <v>-371</v>
      </c>
      <c r="L240" s="7">
        <f t="shared" si="18"/>
        <v>-2.2051503038768443E-2</v>
      </c>
      <c r="M240" s="9"/>
      <c r="N240" s="2">
        <f t="shared" si="21"/>
        <v>18477.05</v>
      </c>
      <c r="O240" s="2">
        <f t="shared" si="19"/>
        <v>-0.10081966547690235</v>
      </c>
      <c r="P240" s="2"/>
    </row>
    <row r="241" spans="1:16" x14ac:dyDescent="0.3">
      <c r="A241" s="3">
        <v>44551</v>
      </c>
      <c r="B241" s="2">
        <v>16773.150000000001</v>
      </c>
      <c r="C241" s="2">
        <v>16936.400000000001</v>
      </c>
      <c r="D241" s="2">
        <v>16688.25</v>
      </c>
      <c r="E241" s="2">
        <v>16770.849999999999</v>
      </c>
      <c r="F241" s="2">
        <v>241030834</v>
      </c>
      <c r="G241" s="2">
        <v>19783.04</v>
      </c>
      <c r="H241" s="2">
        <f t="shared" si="23"/>
        <v>17231.635000000002</v>
      </c>
      <c r="I241" s="2">
        <f t="shared" si="17"/>
        <v>17704.101999999999</v>
      </c>
      <c r="J241" s="2">
        <f t="shared" si="22"/>
        <v>16252.215750000005</v>
      </c>
      <c r="K241" s="2">
        <f t="shared" si="20"/>
        <v>156.64999999999782</v>
      </c>
      <c r="L241" s="7">
        <f t="shared" si="18"/>
        <v>9.3393310141504614E-3</v>
      </c>
      <c r="M241" s="9"/>
      <c r="N241" s="2">
        <f t="shared" si="21"/>
        <v>18477.05</v>
      </c>
      <c r="O241" s="2">
        <f t="shared" si="19"/>
        <v>-9.2341580501216436E-2</v>
      </c>
      <c r="P241" s="2"/>
    </row>
    <row r="242" spans="1:16" x14ac:dyDescent="0.3">
      <c r="A242" s="3">
        <v>44552</v>
      </c>
      <c r="B242" s="2">
        <v>16865.55</v>
      </c>
      <c r="C242" s="2">
        <v>16971</v>
      </c>
      <c r="D242" s="2">
        <v>16819.5</v>
      </c>
      <c r="E242" s="2">
        <v>16955.45</v>
      </c>
      <c r="F242" s="2">
        <v>207946105</v>
      </c>
      <c r="G242" s="2">
        <v>17443.939999999999</v>
      </c>
      <c r="H242" s="2">
        <f t="shared" si="23"/>
        <v>17195.010000000002</v>
      </c>
      <c r="I242" s="2">
        <f t="shared" si="17"/>
        <v>17683.711999999996</v>
      </c>
      <c r="J242" s="2">
        <f t="shared" si="22"/>
        <v>16263.424250000004</v>
      </c>
      <c r="K242" s="2">
        <f t="shared" si="20"/>
        <v>184.60000000000218</v>
      </c>
      <c r="L242" s="7">
        <f t="shared" si="18"/>
        <v>1.0945388676918463E-2</v>
      </c>
      <c r="M242" s="9"/>
      <c r="N242" s="2">
        <f t="shared" si="21"/>
        <v>18477.05</v>
      </c>
      <c r="O242" s="2">
        <f t="shared" si="19"/>
        <v>-8.2350808164723177E-2</v>
      </c>
      <c r="P242" s="2"/>
    </row>
    <row r="243" spans="1:16" x14ac:dyDescent="0.3">
      <c r="A243" s="3">
        <v>44553</v>
      </c>
      <c r="B243" s="2">
        <v>17066.8</v>
      </c>
      <c r="C243" s="2">
        <v>17118.650000000001</v>
      </c>
      <c r="D243" s="2">
        <v>17015.55</v>
      </c>
      <c r="E243" s="2">
        <v>17072.599999999999</v>
      </c>
      <c r="F243" s="2">
        <v>196965302</v>
      </c>
      <c r="G243" s="2">
        <v>15755.89</v>
      </c>
      <c r="H243" s="2">
        <f t="shared" si="23"/>
        <v>17172.03</v>
      </c>
      <c r="I243" s="2">
        <f t="shared" si="17"/>
        <v>17664.916999999994</v>
      </c>
      <c r="J243" s="2">
        <f t="shared" si="22"/>
        <v>16274.393750000005</v>
      </c>
      <c r="K243" s="2">
        <f t="shared" si="20"/>
        <v>117.14999999999782</v>
      </c>
      <c r="L243" s="7">
        <f t="shared" si="18"/>
        <v>6.8642041859046697E-3</v>
      </c>
      <c r="M243" s="9"/>
      <c r="N243" s="2">
        <f t="shared" si="21"/>
        <v>18477.05</v>
      </c>
      <c r="O243" s="2">
        <f t="shared" si="19"/>
        <v>-7.6010510335794979E-2</v>
      </c>
      <c r="P243" s="2"/>
    </row>
    <row r="244" spans="1:16" x14ac:dyDescent="0.3">
      <c r="A244" s="3">
        <v>44554</v>
      </c>
      <c r="B244" s="2">
        <v>17149.5</v>
      </c>
      <c r="C244" s="2">
        <v>17155.599999999999</v>
      </c>
      <c r="D244" s="2">
        <v>16909.599999999999</v>
      </c>
      <c r="E244" s="2">
        <v>17003.75</v>
      </c>
      <c r="F244" s="2">
        <v>182564833</v>
      </c>
      <c r="G244" s="2">
        <v>15435.01</v>
      </c>
      <c r="H244" s="2">
        <f t="shared" si="23"/>
        <v>17148.847499999996</v>
      </c>
      <c r="I244" s="2">
        <f t="shared" si="17"/>
        <v>17647.449999999993</v>
      </c>
      <c r="J244" s="2">
        <f t="shared" si="22"/>
        <v>16285.161250000005</v>
      </c>
      <c r="K244" s="2">
        <f t="shared" si="20"/>
        <v>-68.849999999998545</v>
      </c>
      <c r="L244" s="7">
        <f t="shared" si="18"/>
        <v>-4.0146943059563567E-3</v>
      </c>
      <c r="M244" s="9"/>
      <c r="N244" s="2">
        <f t="shared" si="21"/>
        <v>18477.05</v>
      </c>
      <c r="O244" s="2">
        <f t="shared" si="19"/>
        <v>-7.9736754514384001E-2</v>
      </c>
      <c r="P244" s="2"/>
    </row>
    <row r="245" spans="1:16" x14ac:dyDescent="0.3">
      <c r="A245" s="3">
        <v>44557</v>
      </c>
      <c r="B245" s="2">
        <v>16937.75</v>
      </c>
      <c r="C245" s="2">
        <v>17112.05</v>
      </c>
      <c r="D245" s="2">
        <v>16833.2</v>
      </c>
      <c r="E245" s="2">
        <v>17086.25</v>
      </c>
      <c r="F245" s="2">
        <v>144777457</v>
      </c>
      <c r="G245" s="2">
        <v>12567.03</v>
      </c>
      <c r="H245" s="2">
        <f t="shared" si="23"/>
        <v>17147.712499999998</v>
      </c>
      <c r="I245" s="2">
        <f t="shared" ref="I245:I308" si="24">AVERAGE(E195:E244)</f>
        <v>17627.685999999994</v>
      </c>
      <c r="J245" s="2">
        <f t="shared" si="22"/>
        <v>16293.952000000005</v>
      </c>
      <c r="K245" s="2">
        <f t="shared" si="20"/>
        <v>82.5</v>
      </c>
      <c r="L245" s="7">
        <f t="shared" si="18"/>
        <v>4.87077681510236E-3</v>
      </c>
      <c r="M245" s="9"/>
      <c r="N245" s="2">
        <f t="shared" si="21"/>
        <v>18477.05</v>
      </c>
      <c r="O245" s="2">
        <f t="shared" si="19"/>
        <v>-7.5271756043307714E-2</v>
      </c>
      <c r="P245" s="2"/>
    </row>
    <row r="246" spans="1:16" x14ac:dyDescent="0.3">
      <c r="A246" s="3">
        <v>44558</v>
      </c>
      <c r="B246" s="2">
        <v>17177.599999999999</v>
      </c>
      <c r="C246" s="2">
        <v>17250.25</v>
      </c>
      <c r="D246" s="2">
        <v>17161.150000000001</v>
      </c>
      <c r="E246" s="2">
        <v>17233.25</v>
      </c>
      <c r="F246" s="2">
        <v>176026100</v>
      </c>
      <c r="G246" s="2">
        <v>14553.76</v>
      </c>
      <c r="H246" s="2">
        <f t="shared" si="23"/>
        <v>17149.327499999999</v>
      </c>
      <c r="I246" s="2">
        <f t="shared" si="24"/>
        <v>17606.175999999996</v>
      </c>
      <c r="J246" s="2">
        <f t="shared" si="22"/>
        <v>16303.979500000007</v>
      </c>
      <c r="K246" s="2">
        <f t="shared" si="20"/>
        <v>147</v>
      </c>
      <c r="L246" s="7">
        <f t="shared" si="18"/>
        <v>8.5576564828614022E-3</v>
      </c>
      <c r="M246" s="9"/>
      <c r="N246" s="2">
        <f t="shared" si="21"/>
        <v>18477.05</v>
      </c>
      <c r="O246" s="2">
        <f t="shared" si="19"/>
        <v>-6.7315940585753631E-2</v>
      </c>
      <c r="P246" s="2"/>
    </row>
    <row r="247" spans="1:16" x14ac:dyDescent="0.3">
      <c r="A247" s="3">
        <v>44559</v>
      </c>
      <c r="B247" s="2">
        <v>17220.099999999999</v>
      </c>
      <c r="C247" s="2">
        <v>17285.95</v>
      </c>
      <c r="D247" s="2">
        <v>17176.650000000001</v>
      </c>
      <c r="E247" s="2">
        <v>17213.599999999999</v>
      </c>
      <c r="F247" s="2">
        <v>161679423</v>
      </c>
      <c r="G247" s="2">
        <v>14320.79</v>
      </c>
      <c r="H247" s="2">
        <f t="shared" si="23"/>
        <v>17161.829999999998</v>
      </c>
      <c r="I247" s="2">
        <f t="shared" si="24"/>
        <v>17584.069999999996</v>
      </c>
      <c r="J247" s="2">
        <f t="shared" si="22"/>
        <v>16315.455250000006</v>
      </c>
      <c r="K247" s="2">
        <f t="shared" si="20"/>
        <v>-19.650000000001455</v>
      </c>
      <c r="L247" s="7">
        <f t="shared" si="18"/>
        <v>-1.1411083559329769E-3</v>
      </c>
      <c r="M247" s="9"/>
      <c r="N247" s="2">
        <f t="shared" si="21"/>
        <v>18477.05</v>
      </c>
      <c r="O247" s="2">
        <f t="shared" si="19"/>
        <v>-6.8379422039773652E-2</v>
      </c>
      <c r="P247" s="2"/>
    </row>
    <row r="248" spans="1:16" x14ac:dyDescent="0.3">
      <c r="A248" s="3">
        <v>44560</v>
      </c>
      <c r="B248" s="2">
        <v>17201.45</v>
      </c>
      <c r="C248" s="2">
        <v>17264.05</v>
      </c>
      <c r="D248" s="2">
        <v>17146.349999999999</v>
      </c>
      <c r="E248" s="2">
        <v>17203.95</v>
      </c>
      <c r="F248" s="2">
        <v>320831676</v>
      </c>
      <c r="G248" s="2">
        <v>21929.19</v>
      </c>
      <c r="H248" s="2">
        <f t="shared" si="23"/>
        <v>17164.165000000001</v>
      </c>
      <c r="I248" s="2">
        <f t="shared" si="24"/>
        <v>17558.800999999996</v>
      </c>
      <c r="J248" s="2">
        <f t="shared" si="22"/>
        <v>16326.742250000005</v>
      </c>
      <c r="K248" s="2">
        <f t="shared" si="20"/>
        <v>-9.6499999999978172</v>
      </c>
      <c r="L248" s="7">
        <f t="shared" si="18"/>
        <v>-5.6099921808904581E-4</v>
      </c>
      <c r="M248" s="9"/>
      <c r="N248" s="2">
        <f t="shared" si="21"/>
        <v>18477.05</v>
      </c>
      <c r="O248" s="2">
        <f t="shared" si="19"/>
        <v>-6.8901691557905487E-2</v>
      </c>
      <c r="P248" s="2"/>
    </row>
    <row r="249" spans="1:16" x14ac:dyDescent="0.3">
      <c r="A249" s="3">
        <v>44561</v>
      </c>
      <c r="B249" s="2">
        <v>17244.5</v>
      </c>
      <c r="C249" s="2">
        <v>17400.8</v>
      </c>
      <c r="D249" s="2">
        <v>17238.5</v>
      </c>
      <c r="E249" s="2">
        <v>17354.05</v>
      </c>
      <c r="F249" s="2">
        <v>167025720</v>
      </c>
      <c r="G249" s="2">
        <v>14588.54</v>
      </c>
      <c r="H249" s="2">
        <f t="shared" si="23"/>
        <v>17154.280000000002</v>
      </c>
      <c r="I249" s="2">
        <f t="shared" si="24"/>
        <v>17534.504999999994</v>
      </c>
      <c r="J249" s="2">
        <f t="shared" si="22"/>
        <v>16337.270000000004</v>
      </c>
      <c r="K249" s="2">
        <f t="shared" si="20"/>
        <v>150.09999999999854</v>
      </c>
      <c r="L249" s="7">
        <f t="shared" si="18"/>
        <v>8.7042245353590158E-3</v>
      </c>
      <c r="M249" s="9"/>
      <c r="N249" s="2">
        <f t="shared" si="21"/>
        <v>18477.05</v>
      </c>
      <c r="O249" s="2">
        <f t="shared" si="19"/>
        <v>-6.0778100400226243E-2</v>
      </c>
      <c r="P249" s="2"/>
    </row>
    <row r="250" spans="1:16" x14ac:dyDescent="0.3">
      <c r="A250" s="3">
        <v>44564</v>
      </c>
      <c r="B250" s="2">
        <v>17387.150000000001</v>
      </c>
      <c r="C250" s="2">
        <v>17646.650000000001</v>
      </c>
      <c r="D250" s="2">
        <v>17383.3</v>
      </c>
      <c r="E250" s="2">
        <v>17625.7</v>
      </c>
      <c r="F250" s="2">
        <v>200456430</v>
      </c>
      <c r="G250" s="2">
        <v>16181.36</v>
      </c>
      <c r="H250" s="2">
        <f t="shared" si="23"/>
        <v>17162.147499999999</v>
      </c>
      <c r="I250" s="2">
        <f t="shared" si="24"/>
        <v>17516.253999999997</v>
      </c>
      <c r="J250" s="2">
        <f t="shared" si="22"/>
        <v>16348.166250000002</v>
      </c>
      <c r="K250" s="2">
        <f t="shared" si="20"/>
        <v>271.65000000000146</v>
      </c>
      <c r="L250" s="7">
        <f t="shared" si="18"/>
        <v>1.5623607089143501E-2</v>
      </c>
      <c r="M250" s="9"/>
      <c r="N250" s="2">
        <f t="shared" si="21"/>
        <v>18477.05</v>
      </c>
      <c r="O250" s="2">
        <f t="shared" si="19"/>
        <v>-4.6076078161827683E-2</v>
      </c>
      <c r="P250" s="2"/>
    </row>
    <row r="251" spans="1:16" x14ac:dyDescent="0.3">
      <c r="A251" s="3">
        <v>44565</v>
      </c>
      <c r="B251" s="2">
        <v>17681.400000000001</v>
      </c>
      <c r="C251" s="2">
        <v>17827.599999999999</v>
      </c>
      <c r="D251" s="2">
        <v>17593.55</v>
      </c>
      <c r="E251" s="2">
        <v>17805.25</v>
      </c>
      <c r="F251" s="2">
        <v>247437472</v>
      </c>
      <c r="G251" s="2">
        <v>18604.16</v>
      </c>
      <c r="H251" s="2">
        <f t="shared" si="23"/>
        <v>17197.82</v>
      </c>
      <c r="I251" s="2">
        <f t="shared" si="24"/>
        <v>17505.205999999998</v>
      </c>
      <c r="J251" s="2">
        <f t="shared" si="22"/>
        <v>16361.140000000003</v>
      </c>
      <c r="K251" s="2">
        <f t="shared" si="20"/>
        <v>179.54999999999927</v>
      </c>
      <c r="L251" s="7">
        <f t="shared" si="18"/>
        <v>1.0154738878143091E-2</v>
      </c>
      <c r="M251" s="9"/>
      <c r="N251" s="2">
        <f t="shared" si="21"/>
        <v>18477.05</v>
      </c>
      <c r="O251" s="2">
        <f t="shared" si="19"/>
        <v>-3.6358617852958131E-2</v>
      </c>
      <c r="P251" s="2"/>
    </row>
    <row r="252" spans="1:16" x14ac:dyDescent="0.3">
      <c r="A252" s="3">
        <v>44566</v>
      </c>
      <c r="B252" s="2">
        <v>17820.099999999999</v>
      </c>
      <c r="C252" s="2">
        <v>17944.7</v>
      </c>
      <c r="D252" s="2">
        <v>17748.849999999999</v>
      </c>
      <c r="E252" s="2">
        <v>17925.25</v>
      </c>
      <c r="F252" s="2">
        <v>251460038</v>
      </c>
      <c r="G252" s="2">
        <v>23737.31</v>
      </c>
      <c r="H252" s="2">
        <f t="shared" si="23"/>
        <v>17229.247500000001</v>
      </c>
      <c r="I252" s="2">
        <f t="shared" si="24"/>
        <v>17499.012999999999</v>
      </c>
      <c r="J252" s="2">
        <f t="shared" si="22"/>
        <v>16375.518750000005</v>
      </c>
      <c r="K252" s="2">
        <f t="shared" si="20"/>
        <v>120</v>
      </c>
      <c r="L252" s="7">
        <f t="shared" si="18"/>
        <v>6.7339689451798813E-3</v>
      </c>
      <c r="M252" s="9"/>
      <c r="N252" s="2">
        <f t="shared" si="21"/>
        <v>18477.05</v>
      </c>
      <c r="O252" s="2">
        <f t="shared" si="19"/>
        <v>-2.9864074622301673E-2</v>
      </c>
      <c r="P252" s="2"/>
    </row>
    <row r="253" spans="1:16" x14ac:dyDescent="0.3">
      <c r="A253" s="3">
        <v>44567</v>
      </c>
      <c r="B253" s="2">
        <v>17768.5</v>
      </c>
      <c r="C253" s="2">
        <v>17797.95</v>
      </c>
      <c r="D253" s="2">
        <v>17655.55</v>
      </c>
      <c r="E253" s="2">
        <v>17745.900000000001</v>
      </c>
      <c r="F253" s="2">
        <v>236454824</v>
      </c>
      <c r="G253" s="2">
        <v>22643.82</v>
      </c>
      <c r="H253" s="2">
        <f t="shared" si="23"/>
        <v>17252.022499999999</v>
      </c>
      <c r="I253" s="2">
        <f t="shared" si="24"/>
        <v>17495.009999999998</v>
      </c>
      <c r="J253" s="2">
        <f t="shared" si="22"/>
        <v>16390.592750000003</v>
      </c>
      <c r="K253" s="2">
        <f t="shared" si="20"/>
        <v>-179.34999999999854</v>
      </c>
      <c r="L253" s="7">
        <f t="shared" si="18"/>
        <v>-1.0093705152376314E-2</v>
      </c>
      <c r="M253" s="9"/>
      <c r="N253" s="2">
        <f t="shared" si="21"/>
        <v>18477.05</v>
      </c>
      <c r="O253" s="2">
        <f t="shared" si="19"/>
        <v>-3.9570710692453548E-2</v>
      </c>
      <c r="P253" s="2"/>
    </row>
    <row r="254" spans="1:16" x14ac:dyDescent="0.3">
      <c r="A254" s="3">
        <v>44568</v>
      </c>
      <c r="B254" s="2">
        <v>17797.599999999999</v>
      </c>
      <c r="C254" s="2">
        <v>17905</v>
      </c>
      <c r="D254" s="2">
        <v>17704.55</v>
      </c>
      <c r="E254" s="2">
        <v>17812.7</v>
      </c>
      <c r="F254" s="2">
        <v>239338015</v>
      </c>
      <c r="G254" s="2">
        <v>21447.89</v>
      </c>
      <c r="H254" s="2">
        <f t="shared" si="23"/>
        <v>17263.475000000002</v>
      </c>
      <c r="I254" s="2">
        <f t="shared" si="24"/>
        <v>17484.560000000001</v>
      </c>
      <c r="J254" s="2">
        <f t="shared" si="22"/>
        <v>16405.715750000003</v>
      </c>
      <c r="K254" s="2">
        <f t="shared" si="20"/>
        <v>66.799999999999272</v>
      </c>
      <c r="L254" s="7">
        <f t="shared" si="18"/>
        <v>3.7533150537150672E-3</v>
      </c>
      <c r="M254" s="9"/>
      <c r="N254" s="2">
        <f t="shared" si="21"/>
        <v>18477.05</v>
      </c>
      <c r="O254" s="2">
        <f t="shared" si="19"/>
        <v>-3.5955414960721521E-2</v>
      </c>
      <c r="P254" s="2"/>
    </row>
    <row r="255" spans="1:16" x14ac:dyDescent="0.3">
      <c r="A255" s="3">
        <v>44571</v>
      </c>
      <c r="B255" s="2">
        <v>17913.3</v>
      </c>
      <c r="C255" s="2">
        <v>18017.45</v>
      </c>
      <c r="D255" s="2">
        <v>17879.150000000001</v>
      </c>
      <c r="E255" s="2">
        <v>18003.3</v>
      </c>
      <c r="F255" s="2">
        <v>232418075</v>
      </c>
      <c r="G255" s="2">
        <v>20853.64</v>
      </c>
      <c r="H255" s="2">
        <f t="shared" si="23"/>
        <v>17278.545000000006</v>
      </c>
      <c r="I255" s="2">
        <f t="shared" si="24"/>
        <v>17476.594999999998</v>
      </c>
      <c r="J255" s="2">
        <f t="shared" si="22"/>
        <v>16421.990000000005</v>
      </c>
      <c r="K255" s="2">
        <f t="shared" si="20"/>
        <v>190.59999999999854</v>
      </c>
      <c r="L255" s="7">
        <f t="shared" si="18"/>
        <v>1.0640138891214826E-2</v>
      </c>
      <c r="M255" s="9"/>
      <c r="N255" s="2">
        <f t="shared" si="21"/>
        <v>18477.05</v>
      </c>
      <c r="O255" s="2">
        <f t="shared" si="19"/>
        <v>-2.5639915462695617E-2</v>
      </c>
      <c r="P255" s="2"/>
    </row>
    <row r="256" spans="1:16" x14ac:dyDescent="0.3">
      <c r="A256" s="3">
        <v>44572</v>
      </c>
      <c r="B256" s="2">
        <v>17997.75</v>
      </c>
      <c r="C256" s="2">
        <v>18081.25</v>
      </c>
      <c r="D256" s="2">
        <v>17964.400000000001</v>
      </c>
      <c r="E256" s="2">
        <v>18055.75</v>
      </c>
      <c r="F256" s="2">
        <v>220238796</v>
      </c>
      <c r="G256" s="2">
        <v>20781.46</v>
      </c>
      <c r="H256" s="2">
        <f t="shared" si="23"/>
        <v>17310.297500000004</v>
      </c>
      <c r="I256" s="2">
        <f t="shared" si="24"/>
        <v>17479.516</v>
      </c>
      <c r="J256" s="2">
        <f t="shared" si="22"/>
        <v>16438.286500000006</v>
      </c>
      <c r="K256" s="2">
        <f t="shared" si="20"/>
        <v>52.450000000000728</v>
      </c>
      <c r="L256" s="7">
        <f t="shared" si="18"/>
        <v>2.9142531705352464E-3</v>
      </c>
      <c r="M256" s="9"/>
      <c r="N256" s="2">
        <f t="shared" si="21"/>
        <v>18477.05</v>
      </c>
      <c r="O256" s="2">
        <f t="shared" si="19"/>
        <v>-2.2801258858962892E-2</v>
      </c>
      <c r="P256" s="2"/>
    </row>
    <row r="257" spans="1:16" x14ac:dyDescent="0.3">
      <c r="A257" s="3">
        <v>44573</v>
      </c>
      <c r="B257" s="2">
        <v>18170.400000000001</v>
      </c>
      <c r="C257" s="2">
        <v>18227.95</v>
      </c>
      <c r="D257" s="2">
        <v>18128.8</v>
      </c>
      <c r="E257" s="2">
        <v>18212.349999999999</v>
      </c>
      <c r="F257" s="2">
        <v>244974287</v>
      </c>
      <c r="G257" s="2">
        <v>22298.69</v>
      </c>
      <c r="H257" s="2">
        <f t="shared" si="23"/>
        <v>17346.840000000004</v>
      </c>
      <c r="I257" s="2">
        <f t="shared" si="24"/>
        <v>17487.197999999997</v>
      </c>
      <c r="J257" s="2">
        <f t="shared" si="22"/>
        <v>16454.883250000003</v>
      </c>
      <c r="K257" s="2">
        <f t="shared" si="20"/>
        <v>156.59999999999854</v>
      </c>
      <c r="L257" s="7">
        <f t="shared" si="18"/>
        <v>8.618412362963861E-3</v>
      </c>
      <c r="M257" s="9"/>
      <c r="N257" s="2">
        <f t="shared" si="21"/>
        <v>18477.05</v>
      </c>
      <c r="O257" s="2">
        <f t="shared" si="19"/>
        <v>-1.432587994295631E-2</v>
      </c>
      <c r="P257" s="2"/>
    </row>
    <row r="258" spans="1:16" x14ac:dyDescent="0.3">
      <c r="A258" s="3">
        <v>44574</v>
      </c>
      <c r="B258" s="2">
        <v>18257</v>
      </c>
      <c r="C258" s="2">
        <v>18272.25</v>
      </c>
      <c r="D258" s="2">
        <v>18163.8</v>
      </c>
      <c r="E258" s="2">
        <v>18257.8</v>
      </c>
      <c r="F258" s="2">
        <v>303700545</v>
      </c>
      <c r="G258" s="2">
        <v>28670.93</v>
      </c>
      <c r="H258" s="2">
        <f t="shared" si="23"/>
        <v>17396.387500000001</v>
      </c>
      <c r="I258" s="2">
        <f t="shared" si="24"/>
        <v>17492.851999999999</v>
      </c>
      <c r="J258" s="2">
        <f t="shared" si="22"/>
        <v>16471.871250000004</v>
      </c>
      <c r="K258" s="2">
        <f t="shared" si="20"/>
        <v>45.450000000000728</v>
      </c>
      <c r="L258" s="7">
        <f t="shared" si="18"/>
        <v>2.4894560990305487E-3</v>
      </c>
      <c r="M258" s="9"/>
      <c r="N258" s="2">
        <f t="shared" si="21"/>
        <v>18477.05</v>
      </c>
      <c r="O258" s="2">
        <f t="shared" si="19"/>
        <v>-1.1866071694345171E-2</v>
      </c>
      <c r="P258" s="2"/>
    </row>
    <row r="259" spans="1:16" x14ac:dyDescent="0.3">
      <c r="A259" s="3">
        <v>44575</v>
      </c>
      <c r="B259" s="2">
        <v>18185</v>
      </c>
      <c r="C259" s="2">
        <v>18286.95</v>
      </c>
      <c r="D259" s="2">
        <v>18119.650000000001</v>
      </c>
      <c r="E259" s="2">
        <v>18255.75</v>
      </c>
      <c r="F259" s="2">
        <v>229451608</v>
      </c>
      <c r="G259" s="2">
        <v>21024.51</v>
      </c>
      <c r="H259" s="2">
        <f t="shared" si="23"/>
        <v>17446.857499999998</v>
      </c>
      <c r="I259" s="2">
        <f t="shared" si="24"/>
        <v>17500.228999999999</v>
      </c>
      <c r="J259" s="2">
        <f t="shared" si="22"/>
        <v>16490.413250000005</v>
      </c>
      <c r="K259" s="2">
        <f t="shared" si="20"/>
        <v>-2.0499999999992724</v>
      </c>
      <c r="L259" s="7">
        <f t="shared" ref="L259:L322" si="25">(K259/(B259))</f>
        <v>-1.1273027220232458E-4</v>
      </c>
      <c r="M259" s="9"/>
      <c r="N259" s="2">
        <f t="shared" si="21"/>
        <v>18477.05</v>
      </c>
      <c r="O259" s="2">
        <f t="shared" ref="O259:O322" si="26">(E259/N259)-1</f>
        <v>-1.1977020141202166E-2</v>
      </c>
      <c r="P259" s="2"/>
    </row>
    <row r="260" spans="1:16" x14ac:dyDescent="0.3">
      <c r="A260" s="3">
        <v>44578</v>
      </c>
      <c r="B260" s="2">
        <v>18235.650000000001</v>
      </c>
      <c r="C260" s="2">
        <v>18321.55</v>
      </c>
      <c r="D260" s="2">
        <v>18228.75</v>
      </c>
      <c r="E260" s="2">
        <v>18308.099999999999</v>
      </c>
      <c r="F260" s="2">
        <v>266702919</v>
      </c>
      <c r="G260" s="2">
        <v>23859.38</v>
      </c>
      <c r="H260" s="2">
        <f t="shared" si="23"/>
        <v>17510.385000000002</v>
      </c>
      <c r="I260" s="2">
        <f t="shared" si="24"/>
        <v>17508.759999999998</v>
      </c>
      <c r="J260" s="2">
        <f t="shared" si="22"/>
        <v>16510.067500000005</v>
      </c>
      <c r="K260" s="2">
        <f t="shared" ref="K260:K323" si="27">E260-E259</f>
        <v>52.349999999998545</v>
      </c>
      <c r="L260" s="7">
        <f t="shared" si="25"/>
        <v>2.8707504256770965E-3</v>
      </c>
      <c r="M260" s="9"/>
      <c r="N260" s="2">
        <f t="shared" si="21"/>
        <v>18477.05</v>
      </c>
      <c r="O260" s="2">
        <f t="shared" si="26"/>
        <v>-9.1437756568283346E-3</v>
      </c>
      <c r="P260" s="2"/>
    </row>
    <row r="261" spans="1:16" x14ac:dyDescent="0.3">
      <c r="A261" s="3">
        <v>44579</v>
      </c>
      <c r="B261" s="2">
        <v>18337.2</v>
      </c>
      <c r="C261" s="2">
        <v>18350.95</v>
      </c>
      <c r="D261" s="2">
        <v>18085.900000000001</v>
      </c>
      <c r="E261" s="2">
        <v>18113.05</v>
      </c>
      <c r="F261" s="2">
        <v>227507319</v>
      </c>
      <c r="G261" s="2">
        <v>20852.669999999998</v>
      </c>
      <c r="H261" s="2">
        <f t="shared" si="23"/>
        <v>17595.079999999994</v>
      </c>
      <c r="I261" s="2">
        <f t="shared" si="24"/>
        <v>17516.585999999999</v>
      </c>
      <c r="J261" s="2">
        <f t="shared" si="22"/>
        <v>16529.071500000005</v>
      </c>
      <c r="K261" s="2">
        <f t="shared" si="27"/>
        <v>-195.04999999999927</v>
      </c>
      <c r="L261" s="7">
        <f t="shared" si="25"/>
        <v>-1.0636847501254241E-2</v>
      </c>
      <c r="M261" s="9"/>
      <c r="N261" s="2">
        <f t="shared" ref="N261:N324" si="28">MAX(N260,E261)</f>
        <v>18477.05</v>
      </c>
      <c r="O261" s="2">
        <f t="shared" si="26"/>
        <v>-1.970011446632447E-2</v>
      </c>
      <c r="P261" s="2"/>
    </row>
    <row r="262" spans="1:16" x14ac:dyDescent="0.3">
      <c r="A262" s="3">
        <v>44580</v>
      </c>
      <c r="B262" s="2">
        <v>18129.2</v>
      </c>
      <c r="C262" s="2">
        <v>18129.2</v>
      </c>
      <c r="D262" s="2">
        <v>17884.900000000001</v>
      </c>
      <c r="E262" s="2">
        <v>17938.400000000001</v>
      </c>
      <c r="F262" s="2">
        <v>276662654</v>
      </c>
      <c r="G262" s="2">
        <v>25310.19</v>
      </c>
      <c r="H262" s="2">
        <f t="shared" si="23"/>
        <v>17662.189999999995</v>
      </c>
      <c r="I262" s="2">
        <f t="shared" si="24"/>
        <v>17517.476000000002</v>
      </c>
      <c r="J262" s="2">
        <f t="shared" si="22"/>
        <v>16545.411250000005</v>
      </c>
      <c r="K262" s="2">
        <f t="shared" si="27"/>
        <v>-174.64999999999782</v>
      </c>
      <c r="L262" s="7">
        <f t="shared" si="25"/>
        <v>-9.6336297244223584E-3</v>
      </c>
      <c r="M262" s="9"/>
      <c r="N262" s="2">
        <f t="shared" si="28"/>
        <v>18477.05</v>
      </c>
      <c r="O262" s="2">
        <f t="shared" si="26"/>
        <v>-2.9152380926608878E-2</v>
      </c>
      <c r="P262" s="2"/>
    </row>
    <row r="263" spans="1:16" x14ac:dyDescent="0.3">
      <c r="A263" s="3">
        <v>44581</v>
      </c>
      <c r="B263" s="2">
        <v>17921</v>
      </c>
      <c r="C263" s="2">
        <v>17943.7</v>
      </c>
      <c r="D263" s="2">
        <v>17648.45</v>
      </c>
      <c r="E263" s="2">
        <v>17757</v>
      </c>
      <c r="F263" s="2">
        <v>258094246</v>
      </c>
      <c r="G263" s="2">
        <v>25863.29</v>
      </c>
      <c r="H263" s="2">
        <f t="shared" si="23"/>
        <v>17711.337500000001</v>
      </c>
      <c r="I263" s="2">
        <f t="shared" si="24"/>
        <v>17515.359000000004</v>
      </c>
      <c r="J263" s="2">
        <f t="shared" si="22"/>
        <v>16561.649750000004</v>
      </c>
      <c r="K263" s="2">
        <f t="shared" si="27"/>
        <v>-181.40000000000146</v>
      </c>
      <c r="L263" s="7">
        <f t="shared" si="25"/>
        <v>-1.0122203002064699E-2</v>
      </c>
      <c r="M263" s="9"/>
      <c r="N263" s="2">
        <f t="shared" si="28"/>
        <v>18477.05</v>
      </c>
      <c r="O263" s="2">
        <f t="shared" si="26"/>
        <v>-3.896996544361786E-2</v>
      </c>
      <c r="P263" s="2"/>
    </row>
    <row r="264" spans="1:16" x14ac:dyDescent="0.3">
      <c r="A264" s="3">
        <v>44582</v>
      </c>
      <c r="B264" s="2">
        <v>17613.7</v>
      </c>
      <c r="C264" s="2">
        <v>17707.599999999999</v>
      </c>
      <c r="D264" s="2">
        <v>17485.849999999999</v>
      </c>
      <c r="E264" s="2">
        <v>17617.150000000001</v>
      </c>
      <c r="F264" s="2">
        <v>277645373</v>
      </c>
      <c r="G264" s="2">
        <v>25941.64</v>
      </c>
      <c r="H264" s="2">
        <f t="shared" si="23"/>
        <v>17745.557499999999</v>
      </c>
      <c r="I264" s="2">
        <f t="shared" si="24"/>
        <v>17510.155000000002</v>
      </c>
      <c r="J264" s="2">
        <f t="shared" si="22"/>
        <v>16576.098000000002</v>
      </c>
      <c r="K264" s="2">
        <f t="shared" si="27"/>
        <v>-139.84999999999854</v>
      </c>
      <c r="L264" s="7">
        <f t="shared" si="25"/>
        <v>-7.9398422818600604E-3</v>
      </c>
      <c r="M264" s="9"/>
      <c r="N264" s="2">
        <f t="shared" si="28"/>
        <v>18477.05</v>
      </c>
      <c r="O264" s="2">
        <f t="shared" si="26"/>
        <v>-4.6538814367011905E-2</v>
      </c>
      <c r="P264" s="2"/>
    </row>
    <row r="265" spans="1:16" x14ac:dyDescent="0.3">
      <c r="A265" s="3">
        <v>44585</v>
      </c>
      <c r="B265" s="2">
        <v>17575.150000000001</v>
      </c>
      <c r="C265" s="2">
        <v>17599.400000000001</v>
      </c>
      <c r="D265" s="2">
        <v>16997.849999999999</v>
      </c>
      <c r="E265" s="2">
        <v>17149.099999999999</v>
      </c>
      <c r="F265" s="2">
        <v>323847388</v>
      </c>
      <c r="G265" s="2">
        <v>28387.73</v>
      </c>
      <c r="H265" s="2">
        <f t="shared" si="23"/>
        <v>17776.227500000001</v>
      </c>
      <c r="I265" s="2">
        <f t="shared" si="24"/>
        <v>17505.026000000002</v>
      </c>
      <c r="J265" s="2">
        <f t="shared" si="22"/>
        <v>16590.994750000002</v>
      </c>
      <c r="K265" s="2">
        <f t="shared" si="27"/>
        <v>-468.05000000000291</v>
      </c>
      <c r="L265" s="7">
        <f t="shared" si="25"/>
        <v>-2.6631351652759885E-2</v>
      </c>
      <c r="M265" s="9"/>
      <c r="N265" s="2">
        <f t="shared" si="28"/>
        <v>18477.05</v>
      </c>
      <c r="O265" s="2">
        <f t="shared" si="26"/>
        <v>-7.1870239026251559E-2</v>
      </c>
      <c r="P265" s="2"/>
    </row>
    <row r="266" spans="1:16" x14ac:dyDescent="0.3">
      <c r="A266" s="3">
        <v>44586</v>
      </c>
      <c r="B266" s="2">
        <v>17001.55</v>
      </c>
      <c r="C266" s="2">
        <v>17309.150000000001</v>
      </c>
      <c r="D266" s="2">
        <v>16836.8</v>
      </c>
      <c r="E266" s="2">
        <v>17277.95</v>
      </c>
      <c r="F266" s="2">
        <v>326515896</v>
      </c>
      <c r="G266" s="2">
        <v>31344.46</v>
      </c>
      <c r="H266" s="2">
        <f t="shared" si="23"/>
        <v>17779.370000000003</v>
      </c>
      <c r="I266" s="2">
        <f t="shared" si="24"/>
        <v>17485.953000000001</v>
      </c>
      <c r="J266" s="2">
        <f t="shared" si="22"/>
        <v>16603.322750000003</v>
      </c>
      <c r="K266" s="2">
        <f t="shared" si="27"/>
        <v>128.85000000000218</v>
      </c>
      <c r="L266" s="7">
        <f t="shared" si="25"/>
        <v>7.5787207636952032E-3</v>
      </c>
      <c r="M266" s="9"/>
      <c r="N266" s="2">
        <f t="shared" si="28"/>
        <v>18477.05</v>
      </c>
      <c r="O266" s="2">
        <f t="shared" si="26"/>
        <v>-6.4896723232334086E-2</v>
      </c>
      <c r="P266" s="2"/>
    </row>
    <row r="267" spans="1:16" x14ac:dyDescent="0.3">
      <c r="A267" s="3">
        <v>44588</v>
      </c>
      <c r="B267" s="2">
        <v>17062</v>
      </c>
      <c r="C267" s="2">
        <v>17182.5</v>
      </c>
      <c r="D267" s="2">
        <v>16866.75</v>
      </c>
      <c r="E267" s="2">
        <v>17110.150000000001</v>
      </c>
      <c r="F267" s="2">
        <v>395596577</v>
      </c>
      <c r="G267" s="2">
        <v>36296.639999999999</v>
      </c>
      <c r="H267" s="2">
        <f t="shared" si="23"/>
        <v>17781.605000000003</v>
      </c>
      <c r="I267" s="2">
        <f t="shared" si="24"/>
        <v>17469.323</v>
      </c>
      <c r="J267" s="2">
        <f t="shared" ref="J267:J330" si="29">AVERAGE(E67:E266)</f>
        <v>16615.617250000003</v>
      </c>
      <c r="K267" s="2">
        <f t="shared" si="27"/>
        <v>-167.79999999999927</v>
      </c>
      <c r="L267" s="7">
        <f t="shared" si="25"/>
        <v>-9.8347204313679101E-3</v>
      </c>
      <c r="M267" s="9"/>
      <c r="N267" s="2">
        <f t="shared" si="28"/>
        <v>18477.05</v>
      </c>
      <c r="O267" s="2">
        <f t="shared" si="26"/>
        <v>-7.397825951653525E-2</v>
      </c>
      <c r="P267" s="2"/>
    </row>
    <row r="268" spans="1:16" x14ac:dyDescent="0.3">
      <c r="A268" s="3">
        <v>44589</v>
      </c>
      <c r="B268" s="2">
        <v>17208.3</v>
      </c>
      <c r="C268" s="2">
        <v>17373.5</v>
      </c>
      <c r="D268" s="2">
        <v>17077.099999999999</v>
      </c>
      <c r="E268" s="2">
        <v>17101.95</v>
      </c>
      <c r="F268" s="2">
        <v>355284285</v>
      </c>
      <c r="G268" s="2">
        <v>29799.89</v>
      </c>
      <c r="H268" s="2">
        <f t="shared" si="23"/>
        <v>17776.432500000003</v>
      </c>
      <c r="I268" s="2">
        <f t="shared" si="24"/>
        <v>17451.542000000001</v>
      </c>
      <c r="J268" s="2">
        <f t="shared" si="29"/>
        <v>16626.799000000003</v>
      </c>
      <c r="K268" s="2">
        <f t="shared" si="27"/>
        <v>-8.2000000000007276</v>
      </c>
      <c r="L268" s="7">
        <f t="shared" si="25"/>
        <v>-4.7651424022133088E-4</v>
      </c>
      <c r="M268" s="9"/>
      <c r="N268" s="2">
        <f t="shared" si="28"/>
        <v>18477.05</v>
      </c>
      <c r="O268" s="2">
        <f t="shared" si="26"/>
        <v>-7.4422053303963454E-2</v>
      </c>
      <c r="P268" s="2"/>
    </row>
    <row r="269" spans="1:16" x14ac:dyDescent="0.3">
      <c r="A269" s="3">
        <v>44592</v>
      </c>
      <c r="B269" s="2">
        <v>17301.05</v>
      </c>
      <c r="C269" s="2">
        <v>17410</v>
      </c>
      <c r="D269" s="2">
        <v>17264.150000000001</v>
      </c>
      <c r="E269" s="2">
        <v>17339.849999999999</v>
      </c>
      <c r="F269" s="2">
        <v>321660346</v>
      </c>
      <c r="G269" s="2">
        <v>25474.13</v>
      </c>
      <c r="H269" s="2">
        <f t="shared" si="23"/>
        <v>17771.3325</v>
      </c>
      <c r="I269" s="2">
        <f t="shared" si="24"/>
        <v>17435.608</v>
      </c>
      <c r="J269" s="2">
        <f t="shared" si="29"/>
        <v>16638.134500000004</v>
      </c>
      <c r="K269" s="2">
        <f t="shared" si="27"/>
        <v>237.89999999999782</v>
      </c>
      <c r="L269" s="7">
        <f t="shared" si="25"/>
        <v>1.3750610512078621E-2</v>
      </c>
      <c r="M269" s="9"/>
      <c r="N269" s="2">
        <f t="shared" si="28"/>
        <v>18477.05</v>
      </c>
      <c r="O269" s="2">
        <f t="shared" si="26"/>
        <v>-6.1546621349187314E-2</v>
      </c>
      <c r="P269" s="2"/>
    </row>
    <row r="270" spans="1:16" x14ac:dyDescent="0.3">
      <c r="A270" s="3">
        <v>44593</v>
      </c>
      <c r="B270" s="2">
        <v>17529.45</v>
      </c>
      <c r="C270" s="2">
        <v>17622.400000000001</v>
      </c>
      <c r="D270" s="2">
        <v>17244.55</v>
      </c>
      <c r="E270" s="2">
        <v>17576.849999999999</v>
      </c>
      <c r="F270" s="2">
        <v>386391485</v>
      </c>
      <c r="G270" s="2">
        <v>30033.66</v>
      </c>
      <c r="H270" s="2">
        <f t="shared" si="23"/>
        <v>17770.622500000001</v>
      </c>
      <c r="I270" s="2">
        <f t="shared" si="24"/>
        <v>17427.109</v>
      </c>
      <c r="J270" s="2">
        <f t="shared" si="29"/>
        <v>16653.279750000005</v>
      </c>
      <c r="K270" s="2">
        <f t="shared" si="27"/>
        <v>237</v>
      </c>
      <c r="L270" s="7">
        <f t="shared" si="25"/>
        <v>1.3520104738026577E-2</v>
      </c>
      <c r="M270" s="9"/>
      <c r="N270" s="2">
        <f t="shared" si="28"/>
        <v>18477.05</v>
      </c>
      <c r="O270" s="2">
        <f t="shared" si="26"/>
        <v>-4.8719898468640888E-2</v>
      </c>
      <c r="P270" s="2"/>
    </row>
    <row r="271" spans="1:16" x14ac:dyDescent="0.3">
      <c r="A271" s="3">
        <v>44594</v>
      </c>
      <c r="B271" s="2">
        <v>17706.2</v>
      </c>
      <c r="C271" s="2">
        <v>17794.599999999999</v>
      </c>
      <c r="D271" s="2">
        <v>17674.8</v>
      </c>
      <c r="E271" s="2">
        <v>17780</v>
      </c>
      <c r="F271" s="2">
        <v>271205907</v>
      </c>
      <c r="G271" s="2">
        <v>23611.59</v>
      </c>
      <c r="H271" s="2">
        <f t="shared" si="23"/>
        <v>17768.18</v>
      </c>
      <c r="I271" s="2">
        <f t="shared" si="24"/>
        <v>17430.314999999999</v>
      </c>
      <c r="J271" s="2">
        <f t="shared" si="29"/>
        <v>16668.640000000003</v>
      </c>
      <c r="K271" s="2">
        <f t="shared" si="27"/>
        <v>203.15000000000146</v>
      </c>
      <c r="L271" s="7">
        <f t="shared" si="25"/>
        <v>1.1473382205103379E-2</v>
      </c>
      <c r="M271" s="9"/>
      <c r="N271" s="2">
        <f t="shared" si="28"/>
        <v>18477.05</v>
      </c>
      <c r="O271" s="2">
        <f t="shared" si="26"/>
        <v>-3.7725177991075332E-2</v>
      </c>
      <c r="P271" s="2"/>
    </row>
    <row r="272" spans="1:16" x14ac:dyDescent="0.3">
      <c r="A272" s="3">
        <v>44595</v>
      </c>
      <c r="B272" s="2">
        <v>17767.75</v>
      </c>
      <c r="C272" s="2">
        <v>17781.150000000001</v>
      </c>
      <c r="D272" s="2">
        <v>17511.150000000001</v>
      </c>
      <c r="E272" s="2">
        <v>17560.2</v>
      </c>
      <c r="F272" s="2">
        <v>226614989</v>
      </c>
      <c r="G272" s="2">
        <v>20373.060000000001</v>
      </c>
      <c r="H272" s="2">
        <f t="shared" si="23"/>
        <v>17766.9175</v>
      </c>
      <c r="I272" s="2">
        <f t="shared" si="24"/>
        <v>17435.848000000002</v>
      </c>
      <c r="J272" s="2">
        <f t="shared" si="29"/>
        <v>16684.632750000004</v>
      </c>
      <c r="K272" s="2">
        <f t="shared" si="27"/>
        <v>-219.79999999999927</v>
      </c>
      <c r="L272" s="7">
        <f t="shared" si="25"/>
        <v>-1.2370727863685569E-2</v>
      </c>
      <c r="M272" s="9"/>
      <c r="N272" s="2">
        <f t="shared" si="28"/>
        <v>18477.05</v>
      </c>
      <c r="O272" s="2">
        <f t="shared" si="26"/>
        <v>-4.9621016341894308E-2</v>
      </c>
      <c r="P272" s="2"/>
    </row>
    <row r="273" spans="1:16" x14ac:dyDescent="0.3">
      <c r="A273" s="3">
        <v>44596</v>
      </c>
      <c r="B273" s="2">
        <v>17590.2</v>
      </c>
      <c r="C273" s="2">
        <v>17617.8</v>
      </c>
      <c r="D273" s="2">
        <v>17462.55</v>
      </c>
      <c r="E273" s="2">
        <v>17516.3</v>
      </c>
      <c r="F273" s="2">
        <v>261434170</v>
      </c>
      <c r="G273" s="2">
        <v>20651.849999999999</v>
      </c>
      <c r="H273" s="2">
        <f t="shared" si="23"/>
        <v>17748.665000000001</v>
      </c>
      <c r="I273" s="2">
        <f t="shared" si="24"/>
        <v>17438.750999999997</v>
      </c>
      <c r="J273" s="2">
        <f t="shared" si="29"/>
        <v>16699.34450000001</v>
      </c>
      <c r="K273" s="2">
        <f t="shared" si="27"/>
        <v>-43.900000000001455</v>
      </c>
      <c r="L273" s="7">
        <f t="shared" si="25"/>
        <v>-2.4957078373185897E-3</v>
      </c>
      <c r="M273" s="9"/>
      <c r="N273" s="2">
        <f t="shared" si="28"/>
        <v>18477.05</v>
      </c>
      <c r="O273" s="2">
        <f t="shared" si="26"/>
        <v>-5.1996936740442923E-2</v>
      </c>
      <c r="P273" s="2"/>
    </row>
    <row r="274" spans="1:16" x14ac:dyDescent="0.3">
      <c r="A274" s="3">
        <v>44599</v>
      </c>
      <c r="B274" s="2">
        <v>17456.3</v>
      </c>
      <c r="C274" s="2">
        <v>17536.75</v>
      </c>
      <c r="D274" s="2">
        <v>17119.400000000001</v>
      </c>
      <c r="E274" s="2">
        <v>17213.599999999999</v>
      </c>
      <c r="F274" s="2">
        <v>265037933</v>
      </c>
      <c r="G274" s="2">
        <v>21925.11</v>
      </c>
      <c r="H274" s="2">
        <f t="shared" si="23"/>
        <v>17737.184999999998</v>
      </c>
      <c r="I274" s="2">
        <f t="shared" si="24"/>
        <v>17438.351999999999</v>
      </c>
      <c r="J274" s="2">
        <f t="shared" si="29"/>
        <v>16715.128750000007</v>
      </c>
      <c r="K274" s="2">
        <f t="shared" si="27"/>
        <v>-302.70000000000073</v>
      </c>
      <c r="L274" s="7">
        <f t="shared" si="25"/>
        <v>-1.7340444424076163E-2</v>
      </c>
      <c r="M274" s="9"/>
      <c r="N274" s="2">
        <f t="shared" si="28"/>
        <v>18477.05</v>
      </c>
      <c r="O274" s="2">
        <f t="shared" si="26"/>
        <v>-6.8379422039773652E-2</v>
      </c>
      <c r="P274" s="2"/>
    </row>
    <row r="275" spans="1:16" x14ac:dyDescent="0.3">
      <c r="A275" s="3">
        <v>44600</v>
      </c>
      <c r="B275" s="2">
        <v>17279.849999999999</v>
      </c>
      <c r="C275" s="2">
        <v>17306.45</v>
      </c>
      <c r="D275" s="2">
        <v>17043.650000000001</v>
      </c>
      <c r="E275" s="2">
        <v>17266.75</v>
      </c>
      <c r="F275" s="2">
        <v>268526210</v>
      </c>
      <c r="G275" s="2">
        <v>23846.16</v>
      </c>
      <c r="H275" s="2">
        <f t="shared" si="23"/>
        <v>17707.23</v>
      </c>
      <c r="I275" s="2">
        <f t="shared" si="24"/>
        <v>17442.094999999998</v>
      </c>
      <c r="J275" s="2">
        <f t="shared" si="29"/>
        <v>16729.714750000006</v>
      </c>
      <c r="K275" s="2">
        <f t="shared" si="27"/>
        <v>53.150000000001455</v>
      </c>
      <c r="L275" s="7">
        <f t="shared" si="25"/>
        <v>3.0758368851582312E-3</v>
      </c>
      <c r="M275" s="9"/>
      <c r="N275" s="2">
        <f t="shared" si="28"/>
        <v>18477.05</v>
      </c>
      <c r="O275" s="2">
        <f t="shared" si="26"/>
        <v>-6.5502880600528779E-2</v>
      </c>
      <c r="P275" s="2"/>
    </row>
    <row r="276" spans="1:16" x14ac:dyDescent="0.3">
      <c r="A276" s="3">
        <v>44601</v>
      </c>
      <c r="B276" s="2">
        <v>17370.099999999999</v>
      </c>
      <c r="C276" s="2">
        <v>17477.150000000001</v>
      </c>
      <c r="D276" s="2">
        <v>17339</v>
      </c>
      <c r="E276" s="2">
        <v>17463.8</v>
      </c>
      <c r="F276" s="2">
        <v>236350514</v>
      </c>
      <c r="G276" s="2">
        <v>19327.669999999998</v>
      </c>
      <c r="H276" s="2">
        <f t="shared" si="23"/>
        <v>17670.4025</v>
      </c>
      <c r="I276" s="2">
        <f t="shared" si="24"/>
        <v>17446.350999999999</v>
      </c>
      <c r="J276" s="2">
        <f t="shared" si="29"/>
        <v>16744.017750000006</v>
      </c>
      <c r="K276" s="2">
        <f t="shared" si="27"/>
        <v>197.04999999999927</v>
      </c>
      <c r="L276" s="7">
        <f t="shared" si="25"/>
        <v>1.1344206423682033E-2</v>
      </c>
      <c r="M276" s="9"/>
      <c r="N276" s="2">
        <f t="shared" si="28"/>
        <v>18477.05</v>
      </c>
      <c r="O276" s="2">
        <f t="shared" si="26"/>
        <v>-5.4838299403855095E-2</v>
      </c>
      <c r="P276" s="2"/>
    </row>
    <row r="277" spans="1:16" x14ac:dyDescent="0.3">
      <c r="A277" s="3">
        <v>44602</v>
      </c>
      <c r="B277" s="2">
        <v>17554.099999999999</v>
      </c>
      <c r="C277" s="2">
        <v>17639.45</v>
      </c>
      <c r="D277" s="2">
        <v>17427.150000000001</v>
      </c>
      <c r="E277" s="2">
        <v>17605.849999999999</v>
      </c>
      <c r="F277" s="2">
        <v>273606440</v>
      </c>
      <c r="G277" s="2">
        <v>22210.93</v>
      </c>
      <c r="H277" s="2">
        <f t="shared" si="23"/>
        <v>17640.805</v>
      </c>
      <c r="I277" s="2">
        <f t="shared" si="24"/>
        <v>17455.963</v>
      </c>
      <c r="J277" s="2">
        <f t="shared" si="29"/>
        <v>16759.630000000005</v>
      </c>
      <c r="K277" s="2">
        <f t="shared" si="27"/>
        <v>142.04999999999927</v>
      </c>
      <c r="L277" s="7">
        <f t="shared" si="25"/>
        <v>8.0921266256885442E-3</v>
      </c>
      <c r="M277" s="9"/>
      <c r="N277" s="2">
        <f t="shared" si="28"/>
        <v>18477.05</v>
      </c>
      <c r="O277" s="2">
        <f t="shared" si="26"/>
        <v>-4.7150383854565603E-2</v>
      </c>
      <c r="P277" s="2"/>
    </row>
    <row r="278" spans="1:16" x14ac:dyDescent="0.3">
      <c r="A278" s="3">
        <v>44603</v>
      </c>
      <c r="B278" s="2">
        <v>17451</v>
      </c>
      <c r="C278" s="2">
        <v>17454.75</v>
      </c>
      <c r="D278" s="2">
        <v>17303</v>
      </c>
      <c r="E278" s="2">
        <v>17374.75</v>
      </c>
      <c r="F278" s="2">
        <v>253141660</v>
      </c>
      <c r="G278" s="2">
        <v>23230.82</v>
      </c>
      <c r="H278" s="2">
        <f t="shared" si="23"/>
        <v>17610.48</v>
      </c>
      <c r="I278" s="2">
        <f t="shared" si="24"/>
        <v>17464.741999999998</v>
      </c>
      <c r="J278" s="2">
        <f t="shared" si="29"/>
        <v>16775.234250000009</v>
      </c>
      <c r="K278" s="2">
        <f t="shared" si="27"/>
        <v>-231.09999999999854</v>
      </c>
      <c r="L278" s="7">
        <f t="shared" si="25"/>
        <v>-1.3242794109220019E-2</v>
      </c>
      <c r="M278" s="9"/>
      <c r="N278" s="2">
        <f t="shared" si="28"/>
        <v>18477.05</v>
      </c>
      <c r="O278" s="2">
        <f t="shared" si="26"/>
        <v>-5.9657791692937945E-2</v>
      </c>
      <c r="P278" s="2"/>
    </row>
    <row r="279" spans="1:16" x14ac:dyDescent="0.3">
      <c r="A279" s="3">
        <v>44606</v>
      </c>
      <c r="B279" s="2">
        <v>17076.150000000001</v>
      </c>
      <c r="C279" s="2">
        <v>17099.5</v>
      </c>
      <c r="D279" s="2">
        <v>16809.650000000001</v>
      </c>
      <c r="E279" s="2">
        <v>16842.8</v>
      </c>
      <c r="F279" s="2">
        <v>305510740</v>
      </c>
      <c r="G279" s="2">
        <v>24976.16</v>
      </c>
      <c r="H279" s="2">
        <f t="shared" ref="H279:H342" si="30">AVERAGE(E259:E278)</f>
        <v>17566.327499999999</v>
      </c>
      <c r="I279" s="2">
        <f t="shared" si="24"/>
        <v>17464.203999999998</v>
      </c>
      <c r="J279" s="2">
        <f t="shared" si="29"/>
        <v>16788.842750000007</v>
      </c>
      <c r="K279" s="2">
        <f t="shared" si="27"/>
        <v>-531.95000000000073</v>
      </c>
      <c r="L279" s="7">
        <f t="shared" si="25"/>
        <v>-3.1151635468182271E-2</v>
      </c>
      <c r="M279" s="9"/>
      <c r="N279" s="2">
        <f t="shared" si="28"/>
        <v>18477.05</v>
      </c>
      <c r="O279" s="2">
        <f t="shared" si="26"/>
        <v>-8.844756062250192E-2</v>
      </c>
      <c r="P279" s="2"/>
    </row>
    <row r="280" spans="1:16" x14ac:dyDescent="0.3">
      <c r="A280" s="3">
        <v>44607</v>
      </c>
      <c r="B280" s="2">
        <v>16933.25</v>
      </c>
      <c r="C280" s="2">
        <v>17375</v>
      </c>
      <c r="D280" s="2">
        <v>16839.25</v>
      </c>
      <c r="E280" s="2">
        <v>17352.45</v>
      </c>
      <c r="F280" s="2">
        <v>298658142</v>
      </c>
      <c r="G280" s="2">
        <v>24765.67</v>
      </c>
      <c r="H280" s="2">
        <f t="shared" si="30"/>
        <v>17495.68</v>
      </c>
      <c r="I280" s="2">
        <f t="shared" si="24"/>
        <v>17457.126</v>
      </c>
      <c r="J280" s="2">
        <f t="shared" si="29"/>
        <v>16798.734000000004</v>
      </c>
      <c r="K280" s="2">
        <f t="shared" si="27"/>
        <v>509.65000000000146</v>
      </c>
      <c r="L280" s="7">
        <f t="shared" si="25"/>
        <v>3.0097589062938388E-2</v>
      </c>
      <c r="M280" s="9"/>
      <c r="N280" s="2">
        <f t="shared" si="28"/>
        <v>18477.05</v>
      </c>
      <c r="O280" s="2">
        <f t="shared" si="26"/>
        <v>-6.0864694309968215E-2</v>
      </c>
      <c r="P280" s="2"/>
    </row>
    <row r="281" spans="1:16" x14ac:dyDescent="0.3">
      <c r="A281" s="3">
        <v>44608</v>
      </c>
      <c r="B281" s="2">
        <v>17408.45</v>
      </c>
      <c r="C281" s="2">
        <v>17490.599999999999</v>
      </c>
      <c r="D281" s="2">
        <v>17257.7</v>
      </c>
      <c r="E281" s="2">
        <v>17322.2</v>
      </c>
      <c r="F281" s="2">
        <v>244549223</v>
      </c>
      <c r="G281" s="2">
        <v>21128.38</v>
      </c>
      <c r="H281" s="2">
        <f t="shared" si="30"/>
        <v>17447.897499999999</v>
      </c>
      <c r="I281" s="2">
        <f t="shared" si="24"/>
        <v>17465.93</v>
      </c>
      <c r="J281" s="2">
        <f t="shared" si="29"/>
        <v>16811.021750000004</v>
      </c>
      <c r="K281" s="2">
        <f t="shared" si="27"/>
        <v>-30.25</v>
      </c>
      <c r="L281" s="7">
        <f t="shared" si="25"/>
        <v>-1.7376618825915E-3</v>
      </c>
      <c r="M281" s="9"/>
      <c r="N281" s="2">
        <f t="shared" si="28"/>
        <v>18477.05</v>
      </c>
      <c r="O281" s="2">
        <f t="shared" si="26"/>
        <v>-6.2501860416029564E-2</v>
      </c>
      <c r="P281" s="2"/>
    </row>
    <row r="282" spans="1:16" x14ac:dyDescent="0.3">
      <c r="A282" s="3">
        <v>44609</v>
      </c>
      <c r="B282" s="2">
        <v>17396.55</v>
      </c>
      <c r="C282" s="2">
        <v>17442.900000000001</v>
      </c>
      <c r="D282" s="2">
        <v>17235.849999999999</v>
      </c>
      <c r="E282" s="2">
        <v>17304.599999999999</v>
      </c>
      <c r="F282" s="2">
        <v>232136131</v>
      </c>
      <c r="G282" s="2">
        <v>19381.259999999998</v>
      </c>
      <c r="H282" s="2">
        <f t="shared" si="30"/>
        <v>17408.355</v>
      </c>
      <c r="I282" s="2">
        <f t="shared" si="24"/>
        <v>17468.839999999997</v>
      </c>
      <c r="J282" s="2">
        <f t="shared" si="29"/>
        <v>16824.477250000007</v>
      </c>
      <c r="K282" s="2">
        <f t="shared" si="27"/>
        <v>-17.600000000002183</v>
      </c>
      <c r="L282" s="7">
        <f t="shared" si="25"/>
        <v>-1.0116948475417358E-3</v>
      </c>
      <c r="M282" s="9"/>
      <c r="N282" s="2">
        <f t="shared" si="28"/>
        <v>18477.05</v>
      </c>
      <c r="O282" s="2">
        <f t="shared" si="26"/>
        <v>-6.345439342319259E-2</v>
      </c>
      <c r="P282" s="2"/>
    </row>
    <row r="283" spans="1:16" x14ac:dyDescent="0.3">
      <c r="A283" s="3">
        <v>44610</v>
      </c>
      <c r="B283" s="2">
        <v>17236.05</v>
      </c>
      <c r="C283" s="2">
        <v>17380.8</v>
      </c>
      <c r="D283" s="2">
        <v>17219.2</v>
      </c>
      <c r="E283" s="2">
        <v>17276.3</v>
      </c>
      <c r="F283" s="2">
        <v>189620888</v>
      </c>
      <c r="G283" s="2">
        <v>16126.96</v>
      </c>
      <c r="H283" s="2">
        <f t="shared" si="30"/>
        <v>17376.665000000001</v>
      </c>
      <c r="I283" s="2">
        <f t="shared" si="24"/>
        <v>17465.536999999997</v>
      </c>
      <c r="J283" s="2">
        <f t="shared" si="29"/>
        <v>16837.829500000003</v>
      </c>
      <c r="K283" s="2">
        <f t="shared" si="27"/>
        <v>-28.299999999999272</v>
      </c>
      <c r="L283" s="7">
        <f t="shared" si="25"/>
        <v>-1.6419075136124154E-3</v>
      </c>
      <c r="M283" s="9"/>
      <c r="N283" s="2">
        <f t="shared" si="28"/>
        <v>18477.05</v>
      </c>
      <c r="O283" s="2">
        <f t="shared" si="26"/>
        <v>-6.4986023201755727E-2</v>
      </c>
      <c r="P283" s="2"/>
    </row>
    <row r="284" spans="1:16" x14ac:dyDescent="0.3">
      <c r="A284" s="3">
        <v>44613</v>
      </c>
      <c r="B284" s="2">
        <v>17192.25</v>
      </c>
      <c r="C284" s="2">
        <v>17351.05</v>
      </c>
      <c r="D284" s="2">
        <v>17070.7</v>
      </c>
      <c r="E284" s="2">
        <v>17206.650000000001</v>
      </c>
      <c r="F284" s="2">
        <v>215183301</v>
      </c>
      <c r="G284" s="2">
        <v>18725.57</v>
      </c>
      <c r="H284" s="2">
        <f t="shared" si="30"/>
        <v>17352.629999999997</v>
      </c>
      <c r="I284" s="2">
        <f t="shared" si="24"/>
        <v>17460.725999999995</v>
      </c>
      <c r="J284" s="2">
        <f t="shared" si="29"/>
        <v>16851.728500000005</v>
      </c>
      <c r="K284" s="2">
        <f t="shared" si="27"/>
        <v>-69.649999999997817</v>
      </c>
      <c r="L284" s="7">
        <f t="shared" si="25"/>
        <v>-4.0512440198343918E-3</v>
      </c>
      <c r="M284" s="9"/>
      <c r="N284" s="2">
        <f t="shared" si="28"/>
        <v>18477.05</v>
      </c>
      <c r="O284" s="2">
        <f t="shared" si="26"/>
        <v>-6.875556433521568E-2</v>
      </c>
      <c r="P284" s="2"/>
    </row>
    <row r="285" spans="1:16" x14ac:dyDescent="0.3">
      <c r="A285" s="3">
        <v>44614</v>
      </c>
      <c r="B285" s="2">
        <v>16847.95</v>
      </c>
      <c r="C285" s="2">
        <v>17148.55</v>
      </c>
      <c r="D285" s="2">
        <v>16843.8</v>
      </c>
      <c r="E285" s="2">
        <v>17092.2</v>
      </c>
      <c r="F285" s="2">
        <v>300131995</v>
      </c>
      <c r="G285" s="2">
        <v>24040.84</v>
      </c>
      <c r="H285" s="2">
        <f t="shared" si="30"/>
        <v>17332.105</v>
      </c>
      <c r="I285" s="2">
        <f t="shared" si="24"/>
        <v>17454.632999999998</v>
      </c>
      <c r="J285" s="2">
        <f t="shared" si="29"/>
        <v>16864.672500000008</v>
      </c>
      <c r="K285" s="2">
        <f t="shared" si="27"/>
        <v>-114.45000000000073</v>
      </c>
      <c r="L285" s="7">
        <f t="shared" si="25"/>
        <v>-6.7931113280844686E-3</v>
      </c>
      <c r="M285" s="9"/>
      <c r="N285" s="2">
        <f t="shared" si="28"/>
        <v>18477.05</v>
      </c>
      <c r="O285" s="2">
        <f t="shared" si="26"/>
        <v>-7.4949734941454293E-2</v>
      </c>
      <c r="P285" s="2"/>
    </row>
    <row r="286" spans="1:16" x14ac:dyDescent="0.3">
      <c r="A286" s="3">
        <v>44615</v>
      </c>
      <c r="B286" s="2">
        <v>17194.5</v>
      </c>
      <c r="C286" s="2">
        <v>17220.7</v>
      </c>
      <c r="D286" s="2">
        <v>17027.849999999999</v>
      </c>
      <c r="E286" s="2">
        <v>17063.25</v>
      </c>
      <c r="F286" s="2">
        <v>200229631</v>
      </c>
      <c r="G286" s="2">
        <v>17662.47</v>
      </c>
      <c r="H286" s="2">
        <f t="shared" si="30"/>
        <v>17329.260000000002</v>
      </c>
      <c r="I286" s="2">
        <f t="shared" si="24"/>
        <v>17449.111999999997</v>
      </c>
      <c r="J286" s="2">
        <f t="shared" si="29"/>
        <v>16876.509500000007</v>
      </c>
      <c r="K286" s="2">
        <f t="shared" si="27"/>
        <v>-28.950000000000728</v>
      </c>
      <c r="L286" s="7">
        <f t="shared" si="25"/>
        <v>-1.6836779202652433E-3</v>
      </c>
      <c r="M286" s="9"/>
      <c r="N286" s="2">
        <f t="shared" si="28"/>
        <v>18477.05</v>
      </c>
      <c r="O286" s="2">
        <f t="shared" si="26"/>
        <v>-7.6516543495850242E-2</v>
      </c>
      <c r="P286" s="2"/>
    </row>
    <row r="287" spans="1:16" x14ac:dyDescent="0.3">
      <c r="A287" s="3">
        <v>44616</v>
      </c>
      <c r="B287" s="2">
        <v>16548.900000000001</v>
      </c>
      <c r="C287" s="2">
        <v>16705.25</v>
      </c>
      <c r="D287" s="2">
        <v>16203.25</v>
      </c>
      <c r="E287" s="2">
        <v>16247.95</v>
      </c>
      <c r="F287" s="2">
        <v>457967874</v>
      </c>
      <c r="G287" s="2">
        <v>36650.83</v>
      </c>
      <c r="H287" s="2">
        <f t="shared" si="30"/>
        <v>17318.525000000001</v>
      </c>
      <c r="I287" s="2">
        <f t="shared" si="24"/>
        <v>17443.878999999997</v>
      </c>
      <c r="J287" s="2">
        <f t="shared" si="29"/>
        <v>16887.710000000006</v>
      </c>
      <c r="K287" s="2">
        <f t="shared" si="27"/>
        <v>-815.29999999999927</v>
      </c>
      <c r="L287" s="7">
        <f t="shared" si="25"/>
        <v>-4.9266114364096662E-2</v>
      </c>
      <c r="M287" s="9"/>
      <c r="N287" s="2">
        <f t="shared" si="28"/>
        <v>18477.05</v>
      </c>
      <c r="O287" s="2">
        <f t="shared" si="26"/>
        <v>-0.12064155262880161</v>
      </c>
      <c r="P287" s="2"/>
    </row>
    <row r="288" spans="1:16" x14ac:dyDescent="0.3">
      <c r="A288" s="3">
        <v>44617</v>
      </c>
      <c r="B288" s="2">
        <v>16515.650000000001</v>
      </c>
      <c r="C288" s="2">
        <v>16748.8</v>
      </c>
      <c r="D288" s="2">
        <v>16478.3</v>
      </c>
      <c r="E288" s="2">
        <v>16658.400000000001</v>
      </c>
      <c r="F288" s="2">
        <v>329780732</v>
      </c>
      <c r="G288" s="2">
        <v>25743.77</v>
      </c>
      <c r="H288" s="2">
        <f t="shared" si="30"/>
        <v>17275.415000000001</v>
      </c>
      <c r="I288" s="2">
        <f t="shared" si="24"/>
        <v>17424.409999999996</v>
      </c>
      <c r="J288" s="2">
        <f t="shared" si="29"/>
        <v>16894.238000000005</v>
      </c>
      <c r="K288" s="2">
        <f t="shared" si="27"/>
        <v>410.45000000000073</v>
      </c>
      <c r="L288" s="7">
        <f t="shared" si="25"/>
        <v>2.4852185654212863E-2</v>
      </c>
      <c r="M288" s="9"/>
      <c r="N288" s="2">
        <f t="shared" si="28"/>
        <v>18477.05</v>
      </c>
      <c r="O288" s="2">
        <f t="shared" si="26"/>
        <v>-9.8427508720277168E-2</v>
      </c>
      <c r="P288" s="2"/>
    </row>
    <row r="289" spans="1:16" x14ac:dyDescent="0.3">
      <c r="A289" s="3">
        <v>44620</v>
      </c>
      <c r="B289" s="2">
        <v>16481.599999999999</v>
      </c>
      <c r="C289" s="2">
        <v>16815.900000000001</v>
      </c>
      <c r="D289" s="2">
        <v>16356.3</v>
      </c>
      <c r="E289" s="2">
        <v>16793.900000000001</v>
      </c>
      <c r="F289" s="2">
        <v>404214666</v>
      </c>
      <c r="G289" s="2">
        <v>33831.57</v>
      </c>
      <c r="H289" s="2">
        <f t="shared" si="30"/>
        <v>17253.237500000003</v>
      </c>
      <c r="I289" s="2">
        <f t="shared" si="24"/>
        <v>17412.609999999997</v>
      </c>
      <c r="J289" s="2">
        <f t="shared" si="29"/>
        <v>16903.276250000006</v>
      </c>
      <c r="K289" s="2">
        <f t="shared" si="27"/>
        <v>135.5</v>
      </c>
      <c r="L289" s="7">
        <f t="shared" si="25"/>
        <v>8.2212891952237657E-3</v>
      </c>
      <c r="M289" s="9"/>
      <c r="N289" s="2">
        <f t="shared" si="28"/>
        <v>18477.05</v>
      </c>
      <c r="O289" s="2">
        <f t="shared" si="26"/>
        <v>-9.1094086988994349E-2</v>
      </c>
      <c r="P289" s="2"/>
    </row>
    <row r="290" spans="1:16" x14ac:dyDescent="0.3">
      <c r="A290" s="3">
        <v>44622</v>
      </c>
      <c r="B290" s="2">
        <v>16593.099999999999</v>
      </c>
      <c r="C290" s="2">
        <v>16678.5</v>
      </c>
      <c r="D290" s="2">
        <v>16478.650000000001</v>
      </c>
      <c r="E290" s="2">
        <v>16605.95</v>
      </c>
      <c r="F290" s="2">
        <v>517723542</v>
      </c>
      <c r="G290" s="2">
        <v>39407.440000000002</v>
      </c>
      <c r="H290" s="2">
        <f t="shared" si="30"/>
        <v>17225.940000000002</v>
      </c>
      <c r="I290" s="2">
        <f t="shared" si="24"/>
        <v>17408.784</v>
      </c>
      <c r="J290" s="2">
        <f t="shared" si="29"/>
        <v>16913.763250000004</v>
      </c>
      <c r="K290" s="2">
        <f t="shared" si="27"/>
        <v>-187.95000000000073</v>
      </c>
      <c r="L290" s="7">
        <f t="shared" si="25"/>
        <v>-1.1326997366375225E-2</v>
      </c>
      <c r="M290" s="9"/>
      <c r="N290" s="2">
        <f t="shared" si="28"/>
        <v>18477.05</v>
      </c>
      <c r="O290" s="2">
        <f t="shared" si="26"/>
        <v>-0.10126616532401</v>
      </c>
      <c r="P290" s="2"/>
    </row>
    <row r="291" spans="1:16" x14ac:dyDescent="0.3">
      <c r="A291" s="3">
        <v>44623</v>
      </c>
      <c r="B291" s="2">
        <v>16723.2</v>
      </c>
      <c r="C291" s="2">
        <v>16768.95</v>
      </c>
      <c r="D291" s="2">
        <v>16442.95</v>
      </c>
      <c r="E291" s="2">
        <v>16498.05</v>
      </c>
      <c r="F291" s="2">
        <v>442068263</v>
      </c>
      <c r="G291" s="2">
        <v>31413</v>
      </c>
      <c r="H291" s="2">
        <f t="shared" si="30"/>
        <v>17177.395000000004</v>
      </c>
      <c r="I291" s="2">
        <f t="shared" si="24"/>
        <v>17408.618999999995</v>
      </c>
      <c r="J291" s="2">
        <f t="shared" si="29"/>
        <v>16923.404000000006</v>
      </c>
      <c r="K291" s="2">
        <f t="shared" si="27"/>
        <v>-107.90000000000146</v>
      </c>
      <c r="L291" s="7">
        <f t="shared" si="25"/>
        <v>-6.4521144278607834E-3</v>
      </c>
      <c r="M291" s="9"/>
      <c r="N291" s="2">
        <f t="shared" si="28"/>
        <v>18477.05</v>
      </c>
      <c r="O291" s="2">
        <f t="shared" si="26"/>
        <v>-0.10710584211224194</v>
      </c>
      <c r="P291" s="2"/>
    </row>
    <row r="292" spans="1:16" x14ac:dyDescent="0.3">
      <c r="A292" s="3">
        <v>44624</v>
      </c>
      <c r="B292" s="2">
        <v>16339.45</v>
      </c>
      <c r="C292" s="2">
        <v>16456</v>
      </c>
      <c r="D292" s="2">
        <v>16133.8</v>
      </c>
      <c r="E292" s="2">
        <v>16245.35</v>
      </c>
      <c r="F292" s="2">
        <v>456143040</v>
      </c>
      <c r="G292" s="2">
        <v>34821.1</v>
      </c>
      <c r="H292" s="2">
        <f t="shared" si="30"/>
        <v>17113.297500000004</v>
      </c>
      <c r="I292" s="2">
        <f t="shared" si="24"/>
        <v>17403.162999999997</v>
      </c>
      <c r="J292" s="2">
        <f t="shared" si="29"/>
        <v>16931.278500000004</v>
      </c>
      <c r="K292" s="2">
        <f t="shared" si="27"/>
        <v>-252.69999999999891</v>
      </c>
      <c r="L292" s="7">
        <f t="shared" si="25"/>
        <v>-1.5465636848241458E-2</v>
      </c>
      <c r="M292" s="9"/>
      <c r="N292" s="2">
        <f t="shared" si="28"/>
        <v>18477.05</v>
      </c>
      <c r="O292" s="2">
        <f t="shared" si="26"/>
        <v>-0.12078226773213252</v>
      </c>
      <c r="P292" s="2"/>
    </row>
    <row r="293" spans="1:16" x14ac:dyDescent="0.3">
      <c r="A293" s="3">
        <v>44627</v>
      </c>
      <c r="B293" s="2">
        <v>15867.95</v>
      </c>
      <c r="C293" s="2">
        <v>15944.6</v>
      </c>
      <c r="D293" s="2">
        <v>15711.45</v>
      </c>
      <c r="E293" s="2">
        <v>15863.15</v>
      </c>
      <c r="F293" s="2">
        <v>585403660</v>
      </c>
      <c r="G293" s="2">
        <v>38038.75</v>
      </c>
      <c r="H293" s="2">
        <f t="shared" si="30"/>
        <v>17047.555</v>
      </c>
      <c r="I293" s="2">
        <f t="shared" si="24"/>
        <v>17388.960999999999</v>
      </c>
      <c r="J293" s="2">
        <f t="shared" si="29"/>
        <v>16936.964750000003</v>
      </c>
      <c r="K293" s="2">
        <f t="shared" si="27"/>
        <v>-382.20000000000073</v>
      </c>
      <c r="L293" s="7">
        <f t="shared" si="25"/>
        <v>-2.4086287138540309E-2</v>
      </c>
      <c r="M293" s="9"/>
      <c r="N293" s="2">
        <f t="shared" si="28"/>
        <v>18477.05</v>
      </c>
      <c r="O293" s="2">
        <f t="shared" si="26"/>
        <v>-0.14146738792177316</v>
      </c>
      <c r="P293" s="2"/>
    </row>
    <row r="294" spans="1:16" x14ac:dyDescent="0.3">
      <c r="A294" s="3">
        <v>44628</v>
      </c>
      <c r="B294" s="2">
        <v>15747.75</v>
      </c>
      <c r="C294" s="2">
        <v>16028.75</v>
      </c>
      <c r="D294" s="2">
        <v>15671.45</v>
      </c>
      <c r="E294" s="2">
        <v>16013.45</v>
      </c>
      <c r="F294" s="2">
        <v>543600673</v>
      </c>
      <c r="G294" s="2">
        <v>38704.400000000001</v>
      </c>
      <c r="H294" s="2">
        <f t="shared" si="30"/>
        <v>16964.897499999999</v>
      </c>
      <c r="I294" s="2">
        <f t="shared" si="24"/>
        <v>17364.772000000001</v>
      </c>
      <c r="J294" s="2">
        <f t="shared" si="29"/>
        <v>16941.129750000004</v>
      </c>
      <c r="K294" s="2">
        <f t="shared" si="27"/>
        <v>150.30000000000109</v>
      </c>
      <c r="L294" s="7">
        <f t="shared" si="25"/>
        <v>9.5442206029433471E-3</v>
      </c>
      <c r="M294" s="9"/>
      <c r="N294" s="2">
        <f t="shared" si="28"/>
        <v>18477.05</v>
      </c>
      <c r="O294" s="2">
        <f t="shared" si="26"/>
        <v>-0.13333297252537601</v>
      </c>
      <c r="P294" s="2"/>
    </row>
    <row r="295" spans="1:16" x14ac:dyDescent="0.3">
      <c r="A295" s="3">
        <v>44629</v>
      </c>
      <c r="B295" s="2">
        <v>16078</v>
      </c>
      <c r="C295" s="2">
        <v>16418.05</v>
      </c>
      <c r="D295" s="2">
        <v>15990</v>
      </c>
      <c r="E295" s="2">
        <v>16345.35</v>
      </c>
      <c r="F295" s="2">
        <v>462231428</v>
      </c>
      <c r="G295" s="2">
        <v>35329.339999999997</v>
      </c>
      <c r="H295" s="2">
        <f t="shared" si="30"/>
        <v>16904.89</v>
      </c>
      <c r="I295" s="2">
        <f t="shared" si="24"/>
        <v>17344.966</v>
      </c>
      <c r="J295" s="2">
        <f t="shared" si="29"/>
        <v>16946.666750000004</v>
      </c>
      <c r="K295" s="2">
        <f t="shared" si="27"/>
        <v>331.89999999999964</v>
      </c>
      <c r="L295" s="7">
        <f t="shared" si="25"/>
        <v>2.0643114815275507E-2</v>
      </c>
      <c r="M295" s="9"/>
      <c r="N295" s="2">
        <f t="shared" si="28"/>
        <v>18477.05</v>
      </c>
      <c r="O295" s="2">
        <f t="shared" si="26"/>
        <v>-0.11537014837325221</v>
      </c>
      <c r="P295" s="2"/>
    </row>
    <row r="296" spans="1:16" x14ac:dyDescent="0.3">
      <c r="A296" s="3">
        <v>44630</v>
      </c>
      <c r="B296" s="2">
        <v>16757.099999999999</v>
      </c>
      <c r="C296" s="2">
        <v>16757.3</v>
      </c>
      <c r="D296" s="2">
        <v>16447.900000000001</v>
      </c>
      <c r="E296" s="2">
        <v>16594.900000000001</v>
      </c>
      <c r="F296" s="2">
        <v>486445481</v>
      </c>
      <c r="G296" s="2">
        <v>35513.730000000003</v>
      </c>
      <c r="H296" s="2">
        <f t="shared" si="30"/>
        <v>16858.82</v>
      </c>
      <c r="I296" s="2">
        <f t="shared" si="24"/>
        <v>17330.147999999997</v>
      </c>
      <c r="J296" s="2">
        <f t="shared" si="29"/>
        <v>16952.517000000007</v>
      </c>
      <c r="K296" s="2">
        <f t="shared" si="27"/>
        <v>249.55000000000109</v>
      </c>
      <c r="L296" s="7">
        <f t="shared" si="25"/>
        <v>1.4892194950200281E-2</v>
      </c>
      <c r="M296" s="9"/>
      <c r="N296" s="2">
        <f t="shared" si="28"/>
        <v>18477.05</v>
      </c>
      <c r="O296" s="2">
        <f t="shared" si="26"/>
        <v>-0.10186420451316625</v>
      </c>
      <c r="P296" s="2"/>
    </row>
    <row r="297" spans="1:16" x14ac:dyDescent="0.3">
      <c r="A297" s="3">
        <v>44631</v>
      </c>
      <c r="B297" s="2">
        <v>16528.8</v>
      </c>
      <c r="C297" s="2">
        <v>16694.400000000001</v>
      </c>
      <c r="D297" s="2">
        <v>16470.900000000001</v>
      </c>
      <c r="E297" s="2">
        <v>16630.45</v>
      </c>
      <c r="F297" s="2">
        <v>343717045</v>
      </c>
      <c r="G297" s="2">
        <v>24720.34</v>
      </c>
      <c r="H297" s="2">
        <f t="shared" si="30"/>
        <v>16815.375000000004</v>
      </c>
      <c r="I297" s="2">
        <f t="shared" si="24"/>
        <v>17317.380999999998</v>
      </c>
      <c r="J297" s="2">
        <f t="shared" si="29"/>
        <v>16959.503000000008</v>
      </c>
      <c r="K297" s="2">
        <f t="shared" si="27"/>
        <v>35.549999999999272</v>
      </c>
      <c r="L297" s="7">
        <f t="shared" si="25"/>
        <v>2.1507913460141856E-3</v>
      </c>
      <c r="M297" s="9"/>
      <c r="N297" s="2">
        <f t="shared" si="28"/>
        <v>18477.05</v>
      </c>
      <c r="O297" s="2">
        <f t="shared" si="26"/>
        <v>-9.9940196081084287E-2</v>
      </c>
      <c r="P297" s="2"/>
    </row>
    <row r="298" spans="1:16" x14ac:dyDescent="0.3">
      <c r="A298" s="3">
        <v>44634</v>
      </c>
      <c r="B298" s="2">
        <v>16633.7</v>
      </c>
      <c r="C298" s="2">
        <v>16887.95</v>
      </c>
      <c r="D298" s="2">
        <v>16606.5</v>
      </c>
      <c r="E298" s="2">
        <v>16871.3</v>
      </c>
      <c r="F298" s="2">
        <v>314669685</v>
      </c>
      <c r="G298" s="2">
        <v>23824.02</v>
      </c>
      <c r="H298" s="2">
        <f t="shared" si="30"/>
        <v>16766.605000000003</v>
      </c>
      <c r="I298" s="2">
        <f t="shared" si="24"/>
        <v>17305.717999999997</v>
      </c>
      <c r="J298" s="2">
        <f t="shared" si="29"/>
        <v>16966.613000000008</v>
      </c>
      <c r="K298" s="2">
        <f t="shared" si="27"/>
        <v>240.84999999999854</v>
      </c>
      <c r="L298" s="7">
        <f t="shared" si="25"/>
        <v>1.4479640729362591E-2</v>
      </c>
      <c r="M298" s="9"/>
      <c r="N298" s="2">
        <f t="shared" si="28"/>
        <v>18477.05</v>
      </c>
      <c r="O298" s="2">
        <f t="shared" si="26"/>
        <v>-8.6905106605221105E-2</v>
      </c>
      <c r="P298" s="2"/>
    </row>
    <row r="299" spans="1:16" x14ac:dyDescent="0.3">
      <c r="A299" s="3">
        <v>44635</v>
      </c>
      <c r="B299" s="2">
        <v>16900.650000000001</v>
      </c>
      <c r="C299" s="2">
        <v>16927.75</v>
      </c>
      <c r="D299" s="2">
        <v>16555</v>
      </c>
      <c r="E299" s="2">
        <v>16663</v>
      </c>
      <c r="F299" s="2">
        <v>381631902</v>
      </c>
      <c r="G299" s="2">
        <v>29731.09</v>
      </c>
      <c r="H299" s="2">
        <f t="shared" si="30"/>
        <v>16741.432500000003</v>
      </c>
      <c r="I299" s="2">
        <f t="shared" si="24"/>
        <v>17299.064999999995</v>
      </c>
      <c r="J299" s="2">
        <f t="shared" si="29"/>
        <v>16974.462250000008</v>
      </c>
      <c r="K299" s="2">
        <f t="shared" si="27"/>
        <v>-208.29999999999927</v>
      </c>
      <c r="L299" s="7">
        <f t="shared" si="25"/>
        <v>-1.2324969749684139E-2</v>
      </c>
      <c r="M299" s="9"/>
      <c r="N299" s="2">
        <f t="shared" si="28"/>
        <v>18477.05</v>
      </c>
      <c r="O299" s="2">
        <f t="shared" si="26"/>
        <v>-9.8178551229768818E-2</v>
      </c>
      <c r="P299" s="2"/>
    </row>
    <row r="300" spans="1:16" x14ac:dyDescent="0.3">
      <c r="A300" s="3">
        <v>44636</v>
      </c>
      <c r="B300" s="2">
        <v>16876.650000000001</v>
      </c>
      <c r="C300" s="2">
        <v>16987.900000000001</v>
      </c>
      <c r="D300" s="2">
        <v>16837.849999999999</v>
      </c>
      <c r="E300" s="2">
        <v>16975.349999999999</v>
      </c>
      <c r="F300" s="2">
        <v>259973396</v>
      </c>
      <c r="G300" s="2">
        <v>21361.32</v>
      </c>
      <c r="H300" s="2">
        <f t="shared" si="30"/>
        <v>16732.442500000001</v>
      </c>
      <c r="I300" s="2">
        <f t="shared" si="24"/>
        <v>17285.243999999995</v>
      </c>
      <c r="J300" s="2">
        <f t="shared" si="29"/>
        <v>16981.088000000007</v>
      </c>
      <c r="K300" s="2">
        <f t="shared" si="27"/>
        <v>312.34999999999854</v>
      </c>
      <c r="L300" s="7">
        <f t="shared" si="25"/>
        <v>1.8507819976120766E-2</v>
      </c>
      <c r="M300" s="9"/>
      <c r="N300" s="2">
        <f t="shared" si="28"/>
        <v>18477.05</v>
      </c>
      <c r="O300" s="2">
        <f t="shared" si="26"/>
        <v>-8.1273796412306143E-2</v>
      </c>
      <c r="P300" s="2"/>
    </row>
    <row r="301" spans="1:16" x14ac:dyDescent="0.3">
      <c r="A301" s="3">
        <v>44637</v>
      </c>
      <c r="B301" s="2">
        <v>17202.900000000001</v>
      </c>
      <c r="C301" s="2">
        <v>17344.599999999999</v>
      </c>
      <c r="D301" s="2">
        <v>17175.75</v>
      </c>
      <c r="E301" s="2">
        <v>17287.05</v>
      </c>
      <c r="F301" s="2">
        <v>448335248</v>
      </c>
      <c r="G301" s="2">
        <v>35367.279999999999</v>
      </c>
      <c r="H301" s="2">
        <f t="shared" si="30"/>
        <v>16713.587500000001</v>
      </c>
      <c r="I301" s="2">
        <f t="shared" si="24"/>
        <v>17272.236999999994</v>
      </c>
      <c r="J301" s="2">
        <f t="shared" si="29"/>
        <v>16988.786500000006</v>
      </c>
      <c r="K301" s="2">
        <f t="shared" si="27"/>
        <v>311.70000000000073</v>
      </c>
      <c r="L301" s="7">
        <f t="shared" si="25"/>
        <v>1.8119038069162798E-2</v>
      </c>
      <c r="M301" s="9"/>
      <c r="N301" s="2">
        <f t="shared" si="28"/>
        <v>18477.05</v>
      </c>
      <c r="O301" s="2">
        <f t="shared" si="26"/>
        <v>-6.4404220370676057E-2</v>
      </c>
      <c r="P301" s="2"/>
    </row>
    <row r="302" spans="1:16" x14ac:dyDescent="0.3">
      <c r="A302" s="3">
        <v>44641</v>
      </c>
      <c r="B302" s="2">
        <v>17329.5</v>
      </c>
      <c r="C302" s="2">
        <v>17353.349999999999</v>
      </c>
      <c r="D302" s="2">
        <v>17096.400000000001</v>
      </c>
      <c r="E302" s="2">
        <v>17117.599999999999</v>
      </c>
      <c r="F302" s="2">
        <v>285451208</v>
      </c>
      <c r="G302" s="2">
        <v>22886.39</v>
      </c>
      <c r="H302" s="2">
        <f t="shared" si="30"/>
        <v>16711.829999999998</v>
      </c>
      <c r="I302" s="2">
        <f t="shared" si="24"/>
        <v>17261.873</v>
      </c>
      <c r="J302" s="2">
        <f t="shared" si="29"/>
        <v>16997.307750000007</v>
      </c>
      <c r="K302" s="2">
        <f t="shared" si="27"/>
        <v>-169.45000000000073</v>
      </c>
      <c r="L302" s="7">
        <f t="shared" si="25"/>
        <v>-9.7781240081941615E-3</v>
      </c>
      <c r="M302" s="9"/>
      <c r="N302" s="2">
        <f t="shared" si="28"/>
        <v>18477.05</v>
      </c>
      <c r="O302" s="2">
        <f t="shared" si="26"/>
        <v>-7.3575056624298862E-2</v>
      </c>
      <c r="P302" s="2"/>
    </row>
    <row r="303" spans="1:16" x14ac:dyDescent="0.3">
      <c r="A303" s="3">
        <v>44642</v>
      </c>
      <c r="B303" s="2">
        <v>17120.400000000001</v>
      </c>
      <c r="C303" s="2">
        <v>17334.400000000001</v>
      </c>
      <c r="D303" s="2">
        <v>17006.3</v>
      </c>
      <c r="E303" s="2">
        <v>17315.5</v>
      </c>
      <c r="F303" s="2">
        <v>338263468</v>
      </c>
      <c r="G303" s="2">
        <v>27347.599999999999</v>
      </c>
      <c r="H303" s="2">
        <f t="shared" si="30"/>
        <v>16702.48</v>
      </c>
      <c r="I303" s="2">
        <f t="shared" si="24"/>
        <v>17245.719999999998</v>
      </c>
      <c r="J303" s="2">
        <f t="shared" si="29"/>
        <v>17005.021500000006</v>
      </c>
      <c r="K303" s="2">
        <f t="shared" si="27"/>
        <v>197.90000000000146</v>
      </c>
      <c r="L303" s="7">
        <f t="shared" si="25"/>
        <v>1.155930936193088E-2</v>
      </c>
      <c r="M303" s="9"/>
      <c r="N303" s="2">
        <f t="shared" si="28"/>
        <v>18477.05</v>
      </c>
      <c r="O303" s="2">
        <f t="shared" si="26"/>
        <v>-6.2864472413074579E-2</v>
      </c>
      <c r="P303" s="2"/>
    </row>
    <row r="304" spans="1:16" x14ac:dyDescent="0.3">
      <c r="A304" s="3">
        <v>44643</v>
      </c>
      <c r="B304" s="2">
        <v>17405.05</v>
      </c>
      <c r="C304" s="2">
        <v>17442.400000000001</v>
      </c>
      <c r="D304" s="2">
        <v>17199.599999999999</v>
      </c>
      <c r="E304" s="2">
        <v>17245.650000000001</v>
      </c>
      <c r="F304" s="2">
        <v>292120348</v>
      </c>
      <c r="G304" s="2">
        <v>24705.279999999999</v>
      </c>
      <c r="H304" s="2">
        <f t="shared" si="30"/>
        <v>16704.439999999999</v>
      </c>
      <c r="I304" s="2">
        <f t="shared" si="24"/>
        <v>17237.111999999997</v>
      </c>
      <c r="J304" s="2">
        <f t="shared" si="29"/>
        <v>17013.718000000004</v>
      </c>
      <c r="K304" s="2">
        <f t="shared" si="27"/>
        <v>-69.849999999998545</v>
      </c>
      <c r="L304" s="7">
        <f t="shared" si="25"/>
        <v>-4.0132030646277111E-3</v>
      </c>
      <c r="M304" s="9"/>
      <c r="N304" s="2">
        <f t="shared" si="28"/>
        <v>18477.05</v>
      </c>
      <c r="O304" s="2">
        <f t="shared" si="26"/>
        <v>-6.6644837785252431E-2</v>
      </c>
      <c r="P304" s="2"/>
    </row>
    <row r="305" spans="1:16" x14ac:dyDescent="0.3">
      <c r="A305" s="3">
        <v>44644</v>
      </c>
      <c r="B305" s="2">
        <v>17094.95</v>
      </c>
      <c r="C305" s="2">
        <v>17291.75</v>
      </c>
      <c r="D305" s="2">
        <v>17091.150000000001</v>
      </c>
      <c r="E305" s="2">
        <v>17222.75</v>
      </c>
      <c r="F305" s="2">
        <v>290280124</v>
      </c>
      <c r="G305" s="2">
        <v>25011.72</v>
      </c>
      <c r="H305" s="2">
        <f t="shared" si="30"/>
        <v>16706.39</v>
      </c>
      <c r="I305" s="2">
        <f t="shared" si="24"/>
        <v>17225.770999999997</v>
      </c>
      <c r="J305" s="2">
        <f t="shared" si="29"/>
        <v>17021.494500000004</v>
      </c>
      <c r="K305" s="2">
        <f t="shared" si="27"/>
        <v>-22.900000000001455</v>
      </c>
      <c r="L305" s="7">
        <f t="shared" si="25"/>
        <v>-1.3395768925911719E-3</v>
      </c>
      <c r="M305" s="9"/>
      <c r="N305" s="2">
        <f t="shared" si="28"/>
        <v>18477.05</v>
      </c>
      <c r="O305" s="2">
        <f t="shared" si="26"/>
        <v>-6.7884213118436065E-2</v>
      </c>
      <c r="P305" s="2"/>
    </row>
    <row r="306" spans="1:16" x14ac:dyDescent="0.3">
      <c r="A306" s="3">
        <v>44645</v>
      </c>
      <c r="B306" s="2">
        <v>17289</v>
      </c>
      <c r="C306" s="2">
        <v>17294.900000000001</v>
      </c>
      <c r="D306" s="2">
        <v>17076.55</v>
      </c>
      <c r="E306" s="2">
        <v>17153</v>
      </c>
      <c r="F306" s="2">
        <v>237115741</v>
      </c>
      <c r="G306" s="2">
        <v>20031.39</v>
      </c>
      <c r="H306" s="2">
        <f t="shared" si="30"/>
        <v>16712.917500000003</v>
      </c>
      <c r="I306" s="2">
        <f t="shared" si="24"/>
        <v>17210.159999999996</v>
      </c>
      <c r="J306" s="2">
        <f t="shared" si="29"/>
        <v>17029.257000000005</v>
      </c>
      <c r="K306" s="2">
        <f t="shared" si="27"/>
        <v>-69.75</v>
      </c>
      <c r="L306" s="7">
        <f t="shared" si="25"/>
        <v>-4.034357105674128E-3</v>
      </c>
      <c r="M306" s="9"/>
      <c r="N306" s="2">
        <f t="shared" si="28"/>
        <v>18477.05</v>
      </c>
      <c r="O306" s="2">
        <f t="shared" si="26"/>
        <v>-7.1659166371255134E-2</v>
      </c>
      <c r="P306" s="2"/>
    </row>
    <row r="307" spans="1:16" x14ac:dyDescent="0.3">
      <c r="A307" s="3">
        <v>44648</v>
      </c>
      <c r="B307" s="2">
        <v>17181.849999999999</v>
      </c>
      <c r="C307" s="2">
        <v>17235.099999999999</v>
      </c>
      <c r="D307" s="2">
        <v>17003.900000000001</v>
      </c>
      <c r="E307" s="2">
        <v>17222</v>
      </c>
      <c r="F307" s="2">
        <v>253240837</v>
      </c>
      <c r="G307" s="2">
        <v>19976.259999999998</v>
      </c>
      <c r="H307" s="2">
        <f t="shared" si="30"/>
        <v>16717.405000000002</v>
      </c>
      <c r="I307" s="2">
        <f t="shared" si="24"/>
        <v>17192.105</v>
      </c>
      <c r="J307" s="2">
        <f t="shared" si="29"/>
        <v>17036.263750000002</v>
      </c>
      <c r="K307" s="2">
        <f t="shared" si="27"/>
        <v>69</v>
      </c>
      <c r="L307" s="7">
        <f t="shared" si="25"/>
        <v>4.0158655790849072E-3</v>
      </c>
      <c r="M307" s="9"/>
      <c r="N307" s="2">
        <f t="shared" si="28"/>
        <v>18477.05</v>
      </c>
      <c r="O307" s="2">
        <f t="shared" si="26"/>
        <v>-6.792480401362766E-2</v>
      </c>
      <c r="P307" s="2"/>
    </row>
    <row r="308" spans="1:16" x14ac:dyDescent="0.3">
      <c r="A308" s="3">
        <v>44649</v>
      </c>
      <c r="B308" s="2">
        <v>17297.2</v>
      </c>
      <c r="C308" s="2">
        <v>17343.650000000001</v>
      </c>
      <c r="D308" s="2">
        <v>17235.7</v>
      </c>
      <c r="E308" s="2">
        <v>17325.3</v>
      </c>
      <c r="F308" s="2">
        <v>235149625</v>
      </c>
      <c r="G308" s="2">
        <v>20305.78</v>
      </c>
      <c r="H308" s="2">
        <f t="shared" si="30"/>
        <v>16766.107500000002</v>
      </c>
      <c r="I308" s="2">
        <f t="shared" si="24"/>
        <v>17172.297999999999</v>
      </c>
      <c r="J308" s="2">
        <f t="shared" si="29"/>
        <v>17043.673250000003</v>
      </c>
      <c r="K308" s="2">
        <f t="shared" si="27"/>
        <v>103.29999999999927</v>
      </c>
      <c r="L308" s="7">
        <f t="shared" si="25"/>
        <v>5.9720648428646991E-3</v>
      </c>
      <c r="M308" s="9"/>
      <c r="N308" s="2">
        <f t="shared" si="28"/>
        <v>18477.05</v>
      </c>
      <c r="O308" s="2">
        <f t="shared" si="26"/>
        <v>-6.2334084715904292E-2</v>
      </c>
      <c r="P308" s="2"/>
    </row>
    <row r="309" spans="1:16" x14ac:dyDescent="0.3">
      <c r="A309" s="3">
        <v>44650</v>
      </c>
      <c r="B309" s="2">
        <v>17468.150000000001</v>
      </c>
      <c r="C309" s="2">
        <v>17522.5</v>
      </c>
      <c r="D309" s="2">
        <v>17387.2</v>
      </c>
      <c r="E309" s="2">
        <v>17498.25</v>
      </c>
      <c r="F309" s="2">
        <v>505031841</v>
      </c>
      <c r="G309" s="2">
        <v>28907.47</v>
      </c>
      <c r="H309" s="2">
        <f t="shared" si="30"/>
        <v>16799.452499999999</v>
      </c>
      <c r="I309" s="2">
        <f t="shared" ref="I309:I372" si="31">AVERAGE(E259:E308)</f>
        <v>17153.648000000001</v>
      </c>
      <c r="J309" s="2">
        <f t="shared" si="29"/>
        <v>17052.123</v>
      </c>
      <c r="K309" s="2">
        <f t="shared" si="27"/>
        <v>172.95000000000073</v>
      </c>
      <c r="L309" s="7">
        <f t="shared" si="25"/>
        <v>9.9008767385212922E-3</v>
      </c>
      <c r="M309" s="9"/>
      <c r="N309" s="2">
        <f t="shared" si="28"/>
        <v>18477.05</v>
      </c>
      <c r="O309" s="2">
        <f t="shared" si="26"/>
        <v>-5.297382428472075E-2</v>
      </c>
      <c r="P309" s="2"/>
    </row>
    <row r="310" spans="1:16" x14ac:dyDescent="0.3">
      <c r="A310" s="3">
        <v>44651</v>
      </c>
      <c r="B310" s="2">
        <v>17519.2</v>
      </c>
      <c r="C310" s="2">
        <v>17559.8</v>
      </c>
      <c r="D310" s="2">
        <v>17435.2</v>
      </c>
      <c r="E310" s="2">
        <v>17464.75</v>
      </c>
      <c r="F310" s="2">
        <v>281111679</v>
      </c>
      <c r="G310" s="2">
        <v>24032.07</v>
      </c>
      <c r="H310" s="2">
        <f t="shared" si="30"/>
        <v>16834.669999999998</v>
      </c>
      <c r="I310" s="2">
        <f t="shared" si="31"/>
        <v>17138.498000000003</v>
      </c>
      <c r="J310" s="2">
        <f t="shared" si="29"/>
        <v>17060.925500000001</v>
      </c>
      <c r="K310" s="2">
        <f t="shared" si="27"/>
        <v>-33.5</v>
      </c>
      <c r="L310" s="7">
        <f t="shared" si="25"/>
        <v>-1.9121877711311018E-3</v>
      </c>
      <c r="M310" s="9"/>
      <c r="N310" s="2">
        <f t="shared" si="28"/>
        <v>18477.05</v>
      </c>
      <c r="O310" s="2">
        <f t="shared" si="26"/>
        <v>-5.4786884269945602E-2</v>
      </c>
      <c r="P310" s="2"/>
    </row>
    <row r="311" spans="1:16" x14ac:dyDescent="0.3">
      <c r="A311" s="3">
        <v>44652</v>
      </c>
      <c r="B311" s="2">
        <v>17436.900000000001</v>
      </c>
      <c r="C311" s="2">
        <v>17703.7</v>
      </c>
      <c r="D311" s="2">
        <v>17422.7</v>
      </c>
      <c r="E311" s="2">
        <v>17670.45</v>
      </c>
      <c r="F311" s="2">
        <v>291773447</v>
      </c>
      <c r="G311" s="2">
        <v>21132.13</v>
      </c>
      <c r="H311" s="2">
        <f t="shared" si="30"/>
        <v>16877.61</v>
      </c>
      <c r="I311" s="2">
        <f t="shared" si="31"/>
        <v>17121.631000000005</v>
      </c>
      <c r="J311" s="2">
        <f t="shared" si="29"/>
        <v>17069.252500000002</v>
      </c>
      <c r="K311" s="2">
        <f t="shared" si="27"/>
        <v>205.70000000000073</v>
      </c>
      <c r="L311" s="7">
        <f t="shared" si="25"/>
        <v>1.1796821682753282E-2</v>
      </c>
      <c r="M311" s="9"/>
      <c r="N311" s="2">
        <f t="shared" si="28"/>
        <v>18477.05</v>
      </c>
      <c r="O311" s="2">
        <f t="shared" si="26"/>
        <v>-4.3654154748728802E-2</v>
      </c>
      <c r="P311" s="2"/>
    </row>
    <row r="312" spans="1:16" x14ac:dyDescent="0.3">
      <c r="A312" s="3">
        <v>44655</v>
      </c>
      <c r="B312" s="2">
        <v>17809.099999999999</v>
      </c>
      <c r="C312" s="2">
        <v>18114.650000000001</v>
      </c>
      <c r="D312" s="2">
        <v>17791.400000000001</v>
      </c>
      <c r="E312" s="2">
        <v>18053.400000000001</v>
      </c>
      <c r="F312" s="2">
        <v>345526502</v>
      </c>
      <c r="G312" s="2">
        <v>38623.94</v>
      </c>
      <c r="H312" s="2">
        <f t="shared" si="30"/>
        <v>16936.23</v>
      </c>
      <c r="I312" s="2">
        <f t="shared" si="31"/>
        <v>17112.779000000002</v>
      </c>
      <c r="J312" s="2">
        <f t="shared" si="29"/>
        <v>17078.545500000004</v>
      </c>
      <c r="K312" s="2">
        <f t="shared" si="27"/>
        <v>382.95000000000073</v>
      </c>
      <c r="L312" s="7">
        <f t="shared" si="25"/>
        <v>2.1503051810591256E-2</v>
      </c>
      <c r="M312" s="9"/>
      <c r="N312" s="2">
        <f t="shared" si="28"/>
        <v>18477.05</v>
      </c>
      <c r="O312" s="2">
        <f t="shared" si="26"/>
        <v>-2.2928443663896458E-2</v>
      </c>
      <c r="P312" s="2"/>
    </row>
    <row r="313" spans="1:16" x14ac:dyDescent="0.3">
      <c r="A313" s="3">
        <v>44656</v>
      </c>
      <c r="B313" s="2">
        <v>18080.599999999999</v>
      </c>
      <c r="C313" s="2">
        <v>18095.45</v>
      </c>
      <c r="D313" s="2">
        <v>17921.55</v>
      </c>
      <c r="E313" s="2">
        <v>17957.400000000001</v>
      </c>
      <c r="F313" s="2">
        <v>283453612</v>
      </c>
      <c r="G313" s="2">
        <v>25096.7</v>
      </c>
      <c r="H313" s="2">
        <f t="shared" si="30"/>
        <v>17026.6325</v>
      </c>
      <c r="I313" s="2">
        <f t="shared" si="31"/>
        <v>17115.079000000002</v>
      </c>
      <c r="J313" s="2">
        <f t="shared" si="29"/>
        <v>17089.466250000001</v>
      </c>
      <c r="K313" s="2">
        <f t="shared" si="27"/>
        <v>-96</v>
      </c>
      <c r="L313" s="7">
        <f t="shared" si="25"/>
        <v>-5.309558311117994E-3</v>
      </c>
      <c r="M313" s="9"/>
      <c r="N313" s="2">
        <f t="shared" si="28"/>
        <v>18477.05</v>
      </c>
      <c r="O313" s="2">
        <f t="shared" si="26"/>
        <v>-2.8124078248421558E-2</v>
      </c>
      <c r="P313" s="2"/>
    </row>
    <row r="314" spans="1:16" x14ac:dyDescent="0.3">
      <c r="A314" s="3">
        <v>44657</v>
      </c>
      <c r="B314" s="2">
        <v>17842.75</v>
      </c>
      <c r="C314" s="2">
        <v>17901</v>
      </c>
      <c r="D314" s="2">
        <v>17779.849999999999</v>
      </c>
      <c r="E314" s="2">
        <v>17807.650000000001</v>
      </c>
      <c r="F314" s="2">
        <v>328824420</v>
      </c>
      <c r="G314" s="2">
        <v>24252.48</v>
      </c>
      <c r="H314" s="2">
        <f t="shared" si="30"/>
        <v>17131.345000000005</v>
      </c>
      <c r="I314" s="2">
        <f t="shared" si="31"/>
        <v>17119.087000000003</v>
      </c>
      <c r="J314" s="2">
        <f t="shared" si="29"/>
        <v>17100.415500000003</v>
      </c>
      <c r="K314" s="2">
        <f t="shared" si="27"/>
        <v>-149.75</v>
      </c>
      <c r="L314" s="7">
        <f t="shared" si="25"/>
        <v>-8.3927645682420025E-3</v>
      </c>
      <c r="M314" s="9"/>
      <c r="N314" s="2">
        <f t="shared" si="28"/>
        <v>18477.05</v>
      </c>
      <c r="O314" s="2">
        <f t="shared" si="26"/>
        <v>-3.6228726988344895E-2</v>
      </c>
      <c r="P314" s="2"/>
    </row>
    <row r="315" spans="1:16" x14ac:dyDescent="0.3">
      <c r="A315" s="3">
        <v>44658</v>
      </c>
      <c r="B315" s="2">
        <v>17723.3</v>
      </c>
      <c r="C315" s="2">
        <v>17787.5</v>
      </c>
      <c r="D315" s="2">
        <v>17623.7</v>
      </c>
      <c r="E315" s="2">
        <v>17639.55</v>
      </c>
      <c r="F315" s="2">
        <v>308840215</v>
      </c>
      <c r="G315" s="2">
        <v>26236.91</v>
      </c>
      <c r="H315" s="2">
        <f t="shared" si="30"/>
        <v>17221.055</v>
      </c>
      <c r="I315" s="2">
        <f t="shared" si="31"/>
        <v>17122.897000000004</v>
      </c>
      <c r="J315" s="2">
        <f t="shared" si="29"/>
        <v>17110.996750000002</v>
      </c>
      <c r="K315" s="2">
        <f t="shared" si="27"/>
        <v>-168.10000000000218</v>
      </c>
      <c r="L315" s="7">
        <f t="shared" si="25"/>
        <v>-9.4846896458335751E-3</v>
      </c>
      <c r="M315" s="9"/>
      <c r="N315" s="2">
        <f t="shared" si="28"/>
        <v>18477.05</v>
      </c>
      <c r="O315" s="2">
        <f t="shared" si="26"/>
        <v>-4.5326499630622852E-2</v>
      </c>
      <c r="P315" s="2"/>
    </row>
    <row r="316" spans="1:16" x14ac:dyDescent="0.3">
      <c r="A316" s="3">
        <v>44659</v>
      </c>
      <c r="B316" s="2">
        <v>17698.150000000001</v>
      </c>
      <c r="C316" s="2">
        <v>17842.75</v>
      </c>
      <c r="D316" s="2">
        <v>17600.55</v>
      </c>
      <c r="E316" s="2">
        <v>17784.349999999999</v>
      </c>
      <c r="F316" s="2">
        <v>274447433</v>
      </c>
      <c r="G316" s="2">
        <v>25608.1</v>
      </c>
      <c r="H316" s="2">
        <f t="shared" si="30"/>
        <v>17285.765000000003</v>
      </c>
      <c r="I316" s="2">
        <f t="shared" si="31"/>
        <v>17132.706000000002</v>
      </c>
      <c r="J316" s="2">
        <f t="shared" si="29"/>
        <v>17120.777750000001</v>
      </c>
      <c r="K316" s="2">
        <f t="shared" si="27"/>
        <v>144.79999999999927</v>
      </c>
      <c r="L316" s="7">
        <f t="shared" si="25"/>
        <v>8.1816461042537921E-3</v>
      </c>
      <c r="M316" s="9"/>
      <c r="N316" s="2">
        <f t="shared" si="28"/>
        <v>18477.05</v>
      </c>
      <c r="O316" s="2">
        <f t="shared" si="26"/>
        <v>-3.7489750798964216E-2</v>
      </c>
      <c r="P316" s="2"/>
    </row>
    <row r="317" spans="1:16" x14ac:dyDescent="0.3">
      <c r="A317" s="3">
        <v>44662</v>
      </c>
      <c r="B317" s="2">
        <v>17740.900000000001</v>
      </c>
      <c r="C317" s="2">
        <v>17779.05</v>
      </c>
      <c r="D317" s="2">
        <v>17650.95</v>
      </c>
      <c r="E317" s="2">
        <v>17674.95</v>
      </c>
      <c r="F317" s="2">
        <v>251701846</v>
      </c>
      <c r="G317" s="2">
        <v>21001.58</v>
      </c>
      <c r="H317" s="2">
        <f t="shared" si="30"/>
        <v>17345.237499999999</v>
      </c>
      <c r="I317" s="2">
        <f t="shared" si="31"/>
        <v>17142.834000000003</v>
      </c>
      <c r="J317" s="2">
        <f t="shared" si="29"/>
        <v>17130.967000000001</v>
      </c>
      <c r="K317" s="2">
        <f t="shared" si="27"/>
        <v>-109.39999999999782</v>
      </c>
      <c r="L317" s="7">
        <f t="shared" si="25"/>
        <v>-6.1665417199802605E-3</v>
      </c>
      <c r="M317" s="9"/>
      <c r="N317" s="2">
        <f t="shared" si="28"/>
        <v>18477.05</v>
      </c>
      <c r="O317" s="2">
        <f t="shared" si="26"/>
        <v>-4.3410609377579124E-2</v>
      </c>
      <c r="P317" s="2"/>
    </row>
    <row r="318" spans="1:16" x14ac:dyDescent="0.3">
      <c r="A318" s="3">
        <v>44663</v>
      </c>
      <c r="B318" s="2">
        <v>17584.849999999999</v>
      </c>
      <c r="C318" s="2">
        <v>17595.3</v>
      </c>
      <c r="D318" s="2">
        <v>17442.349999999999</v>
      </c>
      <c r="E318" s="2">
        <v>17530.3</v>
      </c>
      <c r="F318" s="2">
        <v>266029060</v>
      </c>
      <c r="G318" s="2">
        <v>23958.77</v>
      </c>
      <c r="H318" s="2">
        <f t="shared" si="30"/>
        <v>17397.462500000001</v>
      </c>
      <c r="I318" s="2">
        <f t="shared" si="31"/>
        <v>17154.130000000005</v>
      </c>
      <c r="J318" s="2">
        <f t="shared" si="29"/>
        <v>17140.477999999999</v>
      </c>
      <c r="K318" s="2">
        <f t="shared" si="27"/>
        <v>-144.65000000000146</v>
      </c>
      <c r="L318" s="7">
        <f t="shared" si="25"/>
        <v>-8.2258307577261942E-3</v>
      </c>
      <c r="M318" s="9"/>
      <c r="N318" s="2">
        <f t="shared" si="28"/>
        <v>18477.05</v>
      </c>
      <c r="O318" s="2">
        <f t="shared" si="26"/>
        <v>-5.123924003019964E-2</v>
      </c>
      <c r="P318" s="2"/>
    </row>
    <row r="319" spans="1:16" x14ac:dyDescent="0.3">
      <c r="A319" s="3">
        <v>44664</v>
      </c>
      <c r="B319" s="2">
        <v>17599.900000000001</v>
      </c>
      <c r="C319" s="2">
        <v>17663.650000000001</v>
      </c>
      <c r="D319" s="2">
        <v>17457.400000000001</v>
      </c>
      <c r="E319" s="2">
        <v>17475.650000000001</v>
      </c>
      <c r="F319" s="2">
        <v>245061941</v>
      </c>
      <c r="G319" s="2">
        <v>20229.830000000002</v>
      </c>
      <c r="H319" s="2">
        <f t="shared" si="30"/>
        <v>17430.412499999999</v>
      </c>
      <c r="I319" s="2">
        <f t="shared" si="31"/>
        <v>17162.697000000004</v>
      </c>
      <c r="J319" s="2">
        <f t="shared" si="29"/>
        <v>17149.694750000002</v>
      </c>
      <c r="K319" s="2">
        <f t="shared" si="27"/>
        <v>-54.649999999997817</v>
      </c>
      <c r="L319" s="7">
        <f t="shared" si="25"/>
        <v>-3.1051312791548708E-3</v>
      </c>
      <c r="M319" s="9"/>
      <c r="N319" s="2">
        <f t="shared" si="28"/>
        <v>18477.05</v>
      </c>
      <c r="O319" s="2">
        <f t="shared" si="26"/>
        <v>-5.4196963259827591E-2</v>
      </c>
      <c r="P319" s="2"/>
    </row>
    <row r="320" spans="1:16" x14ac:dyDescent="0.3">
      <c r="A320" s="3">
        <v>44669</v>
      </c>
      <c r="B320" s="2">
        <v>17183.45</v>
      </c>
      <c r="C320" s="2">
        <v>17237.75</v>
      </c>
      <c r="D320" s="2">
        <v>17067.849999999999</v>
      </c>
      <c r="E320" s="2">
        <v>17173.650000000001</v>
      </c>
      <c r="F320" s="2">
        <v>376130248</v>
      </c>
      <c r="G320" s="2">
        <v>30154.62</v>
      </c>
      <c r="H320" s="2">
        <f t="shared" si="30"/>
        <v>17471.044999999998</v>
      </c>
      <c r="I320" s="2">
        <f t="shared" si="31"/>
        <v>17165.413000000004</v>
      </c>
      <c r="J320" s="2">
        <f t="shared" si="29"/>
        <v>17158.120749999998</v>
      </c>
      <c r="K320" s="2">
        <f t="shared" si="27"/>
        <v>-302</v>
      </c>
      <c r="L320" s="7">
        <f t="shared" si="25"/>
        <v>-1.757505041187887E-2</v>
      </c>
      <c r="M320" s="9"/>
      <c r="N320" s="2">
        <f t="shared" si="28"/>
        <v>18477.05</v>
      </c>
      <c r="O320" s="2">
        <f t="shared" si="26"/>
        <v>-7.0541563723646283E-2</v>
      </c>
      <c r="P320" s="2"/>
    </row>
    <row r="321" spans="1:16" x14ac:dyDescent="0.3">
      <c r="A321" s="3">
        <v>44670</v>
      </c>
      <c r="B321" s="2">
        <v>17258.95</v>
      </c>
      <c r="C321" s="2">
        <v>17275.650000000001</v>
      </c>
      <c r="D321" s="2">
        <v>16824.7</v>
      </c>
      <c r="E321" s="2">
        <v>16958.650000000001</v>
      </c>
      <c r="F321" s="2">
        <v>401399563</v>
      </c>
      <c r="G321" s="2">
        <v>35467.129999999997</v>
      </c>
      <c r="H321" s="2">
        <f t="shared" si="30"/>
        <v>17480.96</v>
      </c>
      <c r="I321" s="2">
        <f t="shared" si="31"/>
        <v>17157.349000000002</v>
      </c>
      <c r="J321" s="2">
        <f t="shared" si="29"/>
        <v>17164.687249999995</v>
      </c>
      <c r="K321" s="2">
        <f t="shared" si="27"/>
        <v>-215</v>
      </c>
      <c r="L321" s="7">
        <f t="shared" si="25"/>
        <v>-1.2457304760718352E-2</v>
      </c>
      <c r="M321" s="9"/>
      <c r="N321" s="2">
        <f t="shared" si="28"/>
        <v>18477.05</v>
      </c>
      <c r="O321" s="2">
        <f t="shared" si="26"/>
        <v>-8.2177620345239011E-2</v>
      </c>
      <c r="P321" s="2"/>
    </row>
    <row r="322" spans="1:16" x14ac:dyDescent="0.3">
      <c r="A322" s="3">
        <v>44671</v>
      </c>
      <c r="B322" s="2">
        <v>17045.25</v>
      </c>
      <c r="C322" s="2">
        <v>17186.900000000001</v>
      </c>
      <c r="D322" s="2">
        <v>16978.95</v>
      </c>
      <c r="E322" s="2">
        <v>17136.55</v>
      </c>
      <c r="F322" s="2">
        <v>286069736</v>
      </c>
      <c r="G322" s="2">
        <v>25972.15</v>
      </c>
      <c r="H322" s="2">
        <f t="shared" si="30"/>
        <v>17464.54</v>
      </c>
      <c r="I322" s="2">
        <f t="shared" si="31"/>
        <v>17140.922000000006</v>
      </c>
      <c r="J322" s="2">
        <f t="shared" si="29"/>
        <v>17170.406999999996</v>
      </c>
      <c r="K322" s="2">
        <f t="shared" si="27"/>
        <v>177.89999999999782</v>
      </c>
      <c r="L322" s="7">
        <f t="shared" si="25"/>
        <v>1.0436925243102789E-2</v>
      </c>
      <c r="M322" s="9"/>
      <c r="N322" s="2">
        <f t="shared" si="28"/>
        <v>18477.05</v>
      </c>
      <c r="O322" s="2">
        <f t="shared" si="26"/>
        <v>-7.2549460005790989E-2</v>
      </c>
      <c r="P322" s="2"/>
    </row>
    <row r="323" spans="1:16" x14ac:dyDescent="0.3">
      <c r="A323" s="3">
        <v>44672</v>
      </c>
      <c r="B323" s="2">
        <v>17234.599999999999</v>
      </c>
      <c r="C323" s="2">
        <v>17414.7</v>
      </c>
      <c r="D323" s="2">
        <v>17215.5</v>
      </c>
      <c r="E323" s="2">
        <v>17392.599999999999</v>
      </c>
      <c r="F323" s="2">
        <v>285200022</v>
      </c>
      <c r="G323" s="2">
        <v>24999.9</v>
      </c>
      <c r="H323" s="2">
        <f t="shared" si="30"/>
        <v>17465.487500000003</v>
      </c>
      <c r="I323" s="2">
        <f t="shared" si="31"/>
        <v>17132.449000000004</v>
      </c>
      <c r="J323" s="2">
        <f t="shared" si="29"/>
        <v>17177.347499999996</v>
      </c>
      <c r="K323" s="2">
        <f t="shared" si="27"/>
        <v>256.04999999999927</v>
      </c>
      <c r="L323" s="7">
        <f t="shared" ref="L323:L386" si="32">(K323/(B323))</f>
        <v>1.4856741670824927E-2</v>
      </c>
      <c r="M323" s="9"/>
      <c r="N323" s="2">
        <f t="shared" si="28"/>
        <v>18477.05</v>
      </c>
      <c r="O323" s="2">
        <f t="shared" ref="O323:O386" si="33">(E323/N323)-1</f>
        <v>-5.8691728387377906E-2</v>
      </c>
      <c r="P323" s="2"/>
    </row>
    <row r="324" spans="1:16" x14ac:dyDescent="0.3">
      <c r="A324" s="3">
        <v>44673</v>
      </c>
      <c r="B324" s="2">
        <v>17242.75</v>
      </c>
      <c r="C324" s="2">
        <v>17315.3</v>
      </c>
      <c r="D324" s="2">
        <v>17149.2</v>
      </c>
      <c r="E324" s="2">
        <v>17171.95</v>
      </c>
      <c r="F324" s="2">
        <v>262739740</v>
      </c>
      <c r="G324" s="2">
        <v>23371.7</v>
      </c>
      <c r="H324" s="2">
        <f t="shared" si="30"/>
        <v>17469.342500000002</v>
      </c>
      <c r="I324" s="2">
        <f t="shared" si="31"/>
        <v>17129.975000000002</v>
      </c>
      <c r="J324" s="2">
        <f t="shared" si="29"/>
        <v>17185.702999999994</v>
      </c>
      <c r="K324" s="2">
        <f t="shared" ref="K324:K387" si="34">E324-E323</f>
        <v>-220.64999999999782</v>
      </c>
      <c r="L324" s="7">
        <f t="shared" si="32"/>
        <v>-1.2796682663728107E-2</v>
      </c>
      <c r="M324" s="9"/>
      <c r="N324" s="2">
        <f t="shared" si="28"/>
        <v>18477.05</v>
      </c>
      <c r="O324" s="2">
        <f t="shared" si="33"/>
        <v>-7.0633569752747261E-2</v>
      </c>
      <c r="P324" s="2"/>
    </row>
    <row r="325" spans="1:16" x14ac:dyDescent="0.3">
      <c r="A325" s="3">
        <v>44676</v>
      </c>
      <c r="B325" s="2">
        <v>17009.05</v>
      </c>
      <c r="C325" s="2">
        <v>17054.3</v>
      </c>
      <c r="D325" s="2">
        <v>16888.7</v>
      </c>
      <c r="E325" s="2">
        <v>16953.95</v>
      </c>
      <c r="F325" s="2">
        <v>275685925</v>
      </c>
      <c r="G325" s="2">
        <v>22699.65</v>
      </c>
      <c r="H325" s="2">
        <f t="shared" si="30"/>
        <v>17465.657500000001</v>
      </c>
      <c r="I325" s="2">
        <f t="shared" si="31"/>
        <v>17129.142000000003</v>
      </c>
      <c r="J325" s="2">
        <f t="shared" si="29"/>
        <v>17193.162749999996</v>
      </c>
      <c r="K325" s="2">
        <f t="shared" si="34"/>
        <v>-218</v>
      </c>
      <c r="L325" s="7">
        <f t="shared" si="32"/>
        <v>-1.2816706400416249E-2</v>
      </c>
      <c r="M325" s="9"/>
      <c r="N325" s="2">
        <f t="shared" ref="N325:N388" si="35">MAX(N324,E325)</f>
        <v>18477.05</v>
      </c>
      <c r="O325" s="2">
        <f t="shared" si="33"/>
        <v>-8.2431989955106366E-2</v>
      </c>
      <c r="P325" s="2"/>
    </row>
    <row r="326" spans="1:16" x14ac:dyDescent="0.3">
      <c r="A326" s="3">
        <v>44677</v>
      </c>
      <c r="B326" s="2">
        <v>17121.3</v>
      </c>
      <c r="C326" s="2">
        <v>17223.849999999999</v>
      </c>
      <c r="D326" s="2">
        <v>17064.45</v>
      </c>
      <c r="E326" s="2">
        <v>17200.8</v>
      </c>
      <c r="F326" s="2">
        <v>261065753</v>
      </c>
      <c r="G326" s="2">
        <v>22079.919999999998</v>
      </c>
      <c r="H326" s="2">
        <f t="shared" si="30"/>
        <v>17452.217499999999</v>
      </c>
      <c r="I326" s="2">
        <f t="shared" si="31"/>
        <v>17122.886000000002</v>
      </c>
      <c r="J326" s="2">
        <f t="shared" si="29"/>
        <v>17199.321499999998</v>
      </c>
      <c r="K326" s="2">
        <f t="shared" si="34"/>
        <v>246.84999999999854</v>
      </c>
      <c r="L326" s="7">
        <f t="shared" si="32"/>
        <v>1.4417713608195555E-2</v>
      </c>
      <c r="M326" s="9"/>
      <c r="N326" s="2">
        <f t="shared" si="35"/>
        <v>18477.05</v>
      </c>
      <c r="O326" s="2">
        <f t="shared" si="33"/>
        <v>-6.9072173317710317E-2</v>
      </c>
      <c r="P326" s="2"/>
    </row>
    <row r="327" spans="1:16" x14ac:dyDescent="0.3">
      <c r="A327" s="3">
        <v>44678</v>
      </c>
      <c r="B327" s="2">
        <v>17073.349999999999</v>
      </c>
      <c r="C327" s="2">
        <v>17110.7</v>
      </c>
      <c r="D327" s="2">
        <v>16958.45</v>
      </c>
      <c r="E327" s="2">
        <v>17038.400000000001</v>
      </c>
      <c r="F327" s="2">
        <v>265140480</v>
      </c>
      <c r="G327" s="2">
        <v>25373.8</v>
      </c>
      <c r="H327" s="2">
        <f t="shared" si="30"/>
        <v>17454.607499999998</v>
      </c>
      <c r="I327" s="2">
        <f t="shared" si="31"/>
        <v>17117.626000000004</v>
      </c>
      <c r="J327" s="2">
        <f t="shared" si="29"/>
        <v>17206.153749999994</v>
      </c>
      <c r="K327" s="2">
        <f t="shared" si="34"/>
        <v>-162.39999999999782</v>
      </c>
      <c r="L327" s="7">
        <f t="shared" si="32"/>
        <v>-9.5119001250485603E-3</v>
      </c>
      <c r="M327" s="9"/>
      <c r="N327" s="2">
        <f t="shared" si="35"/>
        <v>18477.05</v>
      </c>
      <c r="O327" s="2">
        <f t="shared" si="33"/>
        <v>-7.7861455156531867E-2</v>
      </c>
      <c r="P327" s="2"/>
    </row>
    <row r="328" spans="1:16" x14ac:dyDescent="0.3">
      <c r="A328" s="3">
        <v>44679</v>
      </c>
      <c r="B328" s="2">
        <v>17189.5</v>
      </c>
      <c r="C328" s="2">
        <v>17322.5</v>
      </c>
      <c r="D328" s="2">
        <v>17071.05</v>
      </c>
      <c r="E328" s="2">
        <v>17245.05</v>
      </c>
      <c r="F328" s="2">
        <v>312914417</v>
      </c>
      <c r="G328" s="2">
        <v>28488.87</v>
      </c>
      <c r="H328" s="2">
        <f t="shared" si="30"/>
        <v>17445.427499999998</v>
      </c>
      <c r="I328" s="2">
        <f t="shared" si="31"/>
        <v>17106.277000000002</v>
      </c>
      <c r="J328" s="2">
        <f t="shared" si="29"/>
        <v>17212.254499999995</v>
      </c>
      <c r="K328" s="2">
        <f t="shared" si="34"/>
        <v>206.64999999999782</v>
      </c>
      <c r="L328" s="7">
        <f t="shared" si="32"/>
        <v>1.2021873818319196E-2</v>
      </c>
      <c r="M328" s="9"/>
      <c r="N328" s="2">
        <f t="shared" si="35"/>
        <v>18477.05</v>
      </c>
      <c r="O328" s="2">
        <f t="shared" si="33"/>
        <v>-6.6677310501405795E-2</v>
      </c>
      <c r="P328" s="2"/>
    </row>
    <row r="329" spans="1:16" x14ac:dyDescent="0.3">
      <c r="A329" s="3">
        <v>44680</v>
      </c>
      <c r="B329" s="2">
        <v>17329.25</v>
      </c>
      <c r="C329" s="2">
        <v>17377.650000000001</v>
      </c>
      <c r="D329" s="2">
        <v>17053.25</v>
      </c>
      <c r="E329" s="2">
        <v>17102.55</v>
      </c>
      <c r="F329" s="2">
        <v>336243642</v>
      </c>
      <c r="G329" s="2">
        <v>29582.86</v>
      </c>
      <c r="H329" s="2">
        <f t="shared" si="30"/>
        <v>17441.415000000001</v>
      </c>
      <c r="I329" s="2">
        <f t="shared" si="31"/>
        <v>17103.683000000005</v>
      </c>
      <c r="J329" s="2">
        <f t="shared" si="29"/>
        <v>17219.081499999993</v>
      </c>
      <c r="K329" s="2">
        <f t="shared" si="34"/>
        <v>-142.5</v>
      </c>
      <c r="L329" s="7">
        <f t="shared" si="32"/>
        <v>-8.2230910166337257E-3</v>
      </c>
      <c r="M329" s="9"/>
      <c r="N329" s="2">
        <f t="shared" si="35"/>
        <v>18477.05</v>
      </c>
      <c r="O329" s="2">
        <f t="shared" si="33"/>
        <v>-7.4389580587810311E-2</v>
      </c>
      <c r="P329" s="2"/>
    </row>
    <row r="330" spans="1:16" x14ac:dyDescent="0.3">
      <c r="A330" s="3">
        <v>44683</v>
      </c>
      <c r="B330" s="2">
        <v>16924.45</v>
      </c>
      <c r="C330" s="2">
        <v>17092.25</v>
      </c>
      <c r="D330" s="2">
        <v>16917.25</v>
      </c>
      <c r="E330" s="2">
        <v>17069.099999999999</v>
      </c>
      <c r="F330" s="2">
        <v>278155513</v>
      </c>
      <c r="G330" s="2">
        <v>21222.639999999999</v>
      </c>
      <c r="H330" s="2">
        <f t="shared" si="30"/>
        <v>17421.629999999997</v>
      </c>
      <c r="I330" s="2">
        <f t="shared" si="31"/>
        <v>17108.878000000004</v>
      </c>
      <c r="J330" s="2">
        <f t="shared" si="29"/>
        <v>17225.954749999994</v>
      </c>
      <c r="K330" s="2">
        <f t="shared" si="34"/>
        <v>-33.450000000000728</v>
      </c>
      <c r="L330" s="7">
        <f t="shared" si="32"/>
        <v>-1.9764305487032503E-3</v>
      </c>
      <c r="M330" s="9"/>
      <c r="N330" s="2">
        <f t="shared" si="35"/>
        <v>18477.05</v>
      </c>
      <c r="O330" s="2">
        <f t="shared" si="33"/>
        <v>-7.6199934513355827E-2</v>
      </c>
      <c r="P330" s="2"/>
    </row>
    <row r="331" spans="1:16" x14ac:dyDescent="0.3">
      <c r="A331" s="3">
        <v>44685</v>
      </c>
      <c r="B331" s="2">
        <v>17096.599999999999</v>
      </c>
      <c r="C331" s="2">
        <v>17132.849999999999</v>
      </c>
      <c r="D331" s="2">
        <v>16623.95</v>
      </c>
      <c r="E331" s="2">
        <v>16677.599999999999</v>
      </c>
      <c r="F331" s="2">
        <v>310632799</v>
      </c>
      <c r="G331" s="2">
        <v>27405.52</v>
      </c>
      <c r="H331" s="2">
        <f t="shared" si="30"/>
        <v>17401.847499999996</v>
      </c>
      <c r="I331" s="2">
        <f t="shared" si="31"/>
        <v>17103.211000000003</v>
      </c>
      <c r="J331" s="2">
        <f t="shared" ref="J331:J394" si="36">AVERAGE(E131:E330)</f>
        <v>17232.851249999996</v>
      </c>
      <c r="K331" s="2">
        <f t="shared" si="34"/>
        <v>-391.5</v>
      </c>
      <c r="L331" s="7">
        <f t="shared" si="32"/>
        <v>-2.2899289917293498E-2</v>
      </c>
      <c r="M331" s="9"/>
      <c r="N331" s="2">
        <f t="shared" si="35"/>
        <v>18477.05</v>
      </c>
      <c r="O331" s="2">
        <f t="shared" si="33"/>
        <v>-9.7388381803372281E-2</v>
      </c>
      <c r="P331" s="2"/>
    </row>
    <row r="332" spans="1:16" x14ac:dyDescent="0.3">
      <c r="A332" s="3">
        <v>44686</v>
      </c>
      <c r="B332" s="2">
        <v>16854.75</v>
      </c>
      <c r="C332" s="2">
        <v>16945.7</v>
      </c>
      <c r="D332" s="2">
        <v>16651.849999999999</v>
      </c>
      <c r="E332" s="2">
        <v>16682.650000000001</v>
      </c>
      <c r="F332" s="2">
        <v>265793403</v>
      </c>
      <c r="G332" s="2">
        <v>21792.91</v>
      </c>
      <c r="H332" s="2">
        <f t="shared" si="30"/>
        <v>17352.204999999994</v>
      </c>
      <c r="I332" s="2">
        <f t="shared" si="31"/>
        <v>17090.319000000003</v>
      </c>
      <c r="J332" s="2">
        <f t="shared" si="36"/>
        <v>17237.776249999995</v>
      </c>
      <c r="K332" s="2">
        <f t="shared" si="34"/>
        <v>5.0500000000029104</v>
      </c>
      <c r="L332" s="7">
        <f t="shared" si="32"/>
        <v>2.9961880182161765E-4</v>
      </c>
      <c r="M332" s="9"/>
      <c r="N332" s="2">
        <f t="shared" si="35"/>
        <v>18477.05</v>
      </c>
      <c r="O332" s="2">
        <f t="shared" si="33"/>
        <v>-9.7115069775748686E-2</v>
      </c>
      <c r="P332" s="2"/>
    </row>
    <row r="333" spans="1:16" x14ac:dyDescent="0.3">
      <c r="A333" s="3">
        <v>44687</v>
      </c>
      <c r="B333" s="2">
        <v>16415.55</v>
      </c>
      <c r="C333" s="2">
        <v>16484.2</v>
      </c>
      <c r="D333" s="2">
        <v>16340.9</v>
      </c>
      <c r="E333" s="2">
        <v>16411.25</v>
      </c>
      <c r="F333" s="2">
        <v>300527719</v>
      </c>
      <c r="G333" s="2">
        <v>25472.95</v>
      </c>
      <c r="H333" s="2">
        <f t="shared" si="30"/>
        <v>17283.6675</v>
      </c>
      <c r="I333" s="2">
        <f t="shared" si="31"/>
        <v>17077.880000000005</v>
      </c>
      <c r="J333" s="2">
        <f t="shared" si="36"/>
        <v>17242.127749999992</v>
      </c>
      <c r="K333" s="2">
        <f t="shared" si="34"/>
        <v>-271.40000000000146</v>
      </c>
      <c r="L333" s="7">
        <f t="shared" si="32"/>
        <v>-1.6533104282220303E-2</v>
      </c>
      <c r="M333" s="9"/>
      <c r="N333" s="2">
        <f t="shared" si="35"/>
        <v>18477.05</v>
      </c>
      <c r="O333" s="2">
        <f t="shared" si="33"/>
        <v>-0.11180356171575001</v>
      </c>
      <c r="P333" s="2"/>
    </row>
    <row r="334" spans="1:16" x14ac:dyDescent="0.3">
      <c r="A334" s="3">
        <v>44690</v>
      </c>
      <c r="B334" s="2">
        <v>16227.7</v>
      </c>
      <c r="C334" s="2">
        <v>16403.7</v>
      </c>
      <c r="D334" s="2">
        <v>16142.1</v>
      </c>
      <c r="E334" s="2">
        <v>16301.85</v>
      </c>
      <c r="F334" s="2">
        <v>288402950</v>
      </c>
      <c r="G334" s="2">
        <v>23274.74</v>
      </c>
      <c r="H334" s="2">
        <f t="shared" si="30"/>
        <v>17206.359999999997</v>
      </c>
      <c r="I334" s="2">
        <f t="shared" si="31"/>
        <v>17060.579000000005</v>
      </c>
      <c r="J334" s="2">
        <f t="shared" si="36"/>
        <v>17244.914249999994</v>
      </c>
      <c r="K334" s="2">
        <f t="shared" si="34"/>
        <v>-109.39999999999964</v>
      </c>
      <c r="L334" s="7">
        <f t="shared" si="32"/>
        <v>-6.7415591858365409E-3</v>
      </c>
      <c r="M334" s="9"/>
      <c r="N334" s="2">
        <f t="shared" si="35"/>
        <v>18477.05</v>
      </c>
      <c r="O334" s="2">
        <f t="shared" si="33"/>
        <v>-0.11772442029436514</v>
      </c>
      <c r="P334" s="2"/>
    </row>
    <row r="335" spans="1:16" x14ac:dyDescent="0.3">
      <c r="A335" s="3">
        <v>44691</v>
      </c>
      <c r="B335" s="2">
        <v>16248.9</v>
      </c>
      <c r="C335" s="2">
        <v>16404.55</v>
      </c>
      <c r="D335" s="2">
        <v>16197.3</v>
      </c>
      <c r="E335" s="2">
        <v>16240.05</v>
      </c>
      <c r="F335" s="2">
        <v>283061200</v>
      </c>
      <c r="G335" s="2">
        <v>22685.27</v>
      </c>
      <c r="H335" s="2">
        <f t="shared" si="30"/>
        <v>17131.069999999996</v>
      </c>
      <c r="I335" s="2">
        <f t="shared" si="31"/>
        <v>17042.483000000004</v>
      </c>
      <c r="J335" s="2">
        <f t="shared" si="36"/>
        <v>17246.802499999994</v>
      </c>
      <c r="K335" s="2">
        <f t="shared" si="34"/>
        <v>-61.800000000001091</v>
      </c>
      <c r="L335" s="7">
        <f t="shared" si="32"/>
        <v>-3.8033343795580679E-3</v>
      </c>
      <c r="M335" s="9"/>
      <c r="N335" s="2">
        <f t="shared" si="35"/>
        <v>18477.05</v>
      </c>
      <c r="O335" s="2">
        <f t="shared" si="33"/>
        <v>-0.12106911005815324</v>
      </c>
      <c r="P335" s="2"/>
    </row>
    <row r="336" spans="1:16" x14ac:dyDescent="0.3">
      <c r="A336" s="3">
        <v>44692</v>
      </c>
      <c r="B336" s="2">
        <v>16270.05</v>
      </c>
      <c r="C336" s="2">
        <v>16318.75</v>
      </c>
      <c r="D336" s="2">
        <v>15992.6</v>
      </c>
      <c r="E336" s="2">
        <v>16167.1</v>
      </c>
      <c r="F336" s="2">
        <v>284294438</v>
      </c>
      <c r="G336" s="2">
        <v>22994.38</v>
      </c>
      <c r="H336" s="2">
        <f t="shared" si="30"/>
        <v>17061.094999999998</v>
      </c>
      <c r="I336" s="2">
        <f t="shared" si="31"/>
        <v>17025.440000000006</v>
      </c>
      <c r="J336" s="2">
        <f t="shared" si="36"/>
        <v>17248.385749999994</v>
      </c>
      <c r="K336" s="2">
        <f t="shared" si="34"/>
        <v>-72.949999999998909</v>
      </c>
      <c r="L336" s="7">
        <f t="shared" si="32"/>
        <v>-4.4836985749889466E-3</v>
      </c>
      <c r="M336" s="9"/>
      <c r="N336" s="2">
        <f t="shared" si="35"/>
        <v>18477.05</v>
      </c>
      <c r="O336" s="2">
        <f t="shared" si="33"/>
        <v>-0.12501725113045636</v>
      </c>
      <c r="P336" s="2"/>
    </row>
    <row r="337" spans="1:16" x14ac:dyDescent="0.3">
      <c r="A337" s="3">
        <v>44693</v>
      </c>
      <c r="B337" s="2">
        <v>16021.1</v>
      </c>
      <c r="C337" s="2">
        <v>16041.95</v>
      </c>
      <c r="D337" s="2">
        <v>15735.75</v>
      </c>
      <c r="E337" s="2">
        <v>15808</v>
      </c>
      <c r="F337" s="2">
        <v>314921678</v>
      </c>
      <c r="G337" s="2">
        <v>25352.34</v>
      </c>
      <c r="H337" s="2">
        <f t="shared" si="30"/>
        <v>16980.232499999998</v>
      </c>
      <c r="I337" s="2">
        <f t="shared" si="31"/>
        <v>17007.517000000003</v>
      </c>
      <c r="J337" s="2">
        <f t="shared" si="36"/>
        <v>17250.459249999993</v>
      </c>
      <c r="K337" s="2">
        <f t="shared" si="34"/>
        <v>-359.10000000000036</v>
      </c>
      <c r="L337" s="7">
        <f t="shared" si="32"/>
        <v>-2.2414191285242607E-2</v>
      </c>
      <c r="M337" s="9"/>
      <c r="N337" s="2">
        <f t="shared" si="35"/>
        <v>18477.05</v>
      </c>
      <c r="O337" s="2">
        <f t="shared" si="33"/>
        <v>-0.14445217174819569</v>
      </c>
      <c r="P337" s="2"/>
    </row>
    <row r="338" spans="1:16" x14ac:dyDescent="0.3">
      <c r="A338" s="3">
        <v>44694</v>
      </c>
      <c r="B338" s="2">
        <v>15977</v>
      </c>
      <c r="C338" s="2">
        <v>16083.6</v>
      </c>
      <c r="D338" s="2">
        <v>15740.85</v>
      </c>
      <c r="E338" s="2">
        <v>15782.15</v>
      </c>
      <c r="F338" s="2">
        <v>369135540</v>
      </c>
      <c r="G338" s="2">
        <v>27454.12</v>
      </c>
      <c r="H338" s="2">
        <f t="shared" si="30"/>
        <v>16886.884999999995</v>
      </c>
      <c r="I338" s="2">
        <f t="shared" si="31"/>
        <v>16998.718000000004</v>
      </c>
      <c r="J338" s="2">
        <f t="shared" si="36"/>
        <v>17251.338749999995</v>
      </c>
      <c r="K338" s="2">
        <f t="shared" si="34"/>
        <v>-25.850000000000364</v>
      </c>
      <c r="L338" s="7">
        <f t="shared" si="32"/>
        <v>-1.617950804281177E-3</v>
      </c>
      <c r="M338" s="9"/>
      <c r="N338" s="2">
        <f t="shared" si="35"/>
        <v>18477.05</v>
      </c>
      <c r="O338" s="2">
        <f t="shared" si="33"/>
        <v>-0.14585120460246626</v>
      </c>
      <c r="P338" s="2"/>
    </row>
    <row r="339" spans="1:16" x14ac:dyDescent="0.3">
      <c r="A339" s="3">
        <v>44697</v>
      </c>
      <c r="B339" s="2">
        <v>15845.1</v>
      </c>
      <c r="C339" s="2">
        <v>15977.95</v>
      </c>
      <c r="D339" s="2">
        <v>15739.65</v>
      </c>
      <c r="E339" s="2">
        <v>15842.3</v>
      </c>
      <c r="F339" s="2">
        <v>217646558</v>
      </c>
      <c r="G339" s="2">
        <v>17852.189999999999</v>
      </c>
      <c r="H339" s="2">
        <f t="shared" si="30"/>
        <v>16799.477499999997</v>
      </c>
      <c r="I339" s="2">
        <f t="shared" si="31"/>
        <v>16981.193000000003</v>
      </c>
      <c r="J339" s="2">
        <f t="shared" si="36"/>
        <v>17251.129249999994</v>
      </c>
      <c r="K339" s="2">
        <f t="shared" si="34"/>
        <v>60.149999999999636</v>
      </c>
      <c r="L339" s="7">
        <f t="shared" si="32"/>
        <v>3.7961262472309821E-3</v>
      </c>
      <c r="M339" s="9"/>
      <c r="N339" s="2">
        <f t="shared" si="35"/>
        <v>18477.05</v>
      </c>
      <c r="O339" s="2">
        <f t="shared" si="33"/>
        <v>-0.1425958148080998</v>
      </c>
      <c r="P339" s="2"/>
    </row>
    <row r="340" spans="1:16" x14ac:dyDescent="0.3">
      <c r="A340" s="3">
        <v>44698</v>
      </c>
      <c r="B340" s="2">
        <v>15912.6</v>
      </c>
      <c r="C340" s="2">
        <v>16284.25</v>
      </c>
      <c r="D340" s="2">
        <v>15900.8</v>
      </c>
      <c r="E340" s="2">
        <v>16259.3</v>
      </c>
      <c r="F340" s="2">
        <v>295687774</v>
      </c>
      <c r="G340" s="2">
        <v>22782.99</v>
      </c>
      <c r="H340" s="2">
        <f t="shared" si="30"/>
        <v>16717.810000000001</v>
      </c>
      <c r="I340" s="2">
        <f t="shared" si="31"/>
        <v>16962.161000000004</v>
      </c>
      <c r="J340" s="2">
        <f t="shared" si="36"/>
        <v>17251.060499999992</v>
      </c>
      <c r="K340" s="2">
        <f t="shared" si="34"/>
        <v>417</v>
      </c>
      <c r="L340" s="7">
        <f t="shared" si="32"/>
        <v>2.6205648354134459E-2</v>
      </c>
      <c r="M340" s="9"/>
      <c r="N340" s="2">
        <f t="shared" si="35"/>
        <v>18477.05</v>
      </c>
      <c r="O340" s="2">
        <f t="shared" si="33"/>
        <v>-0.1200272770815688</v>
      </c>
      <c r="P340" s="2"/>
    </row>
    <row r="341" spans="1:16" x14ac:dyDescent="0.3">
      <c r="A341" s="3">
        <v>44699</v>
      </c>
      <c r="B341" s="2">
        <v>16318.15</v>
      </c>
      <c r="C341" s="2">
        <v>16399.8</v>
      </c>
      <c r="D341" s="2">
        <v>16211.2</v>
      </c>
      <c r="E341" s="2">
        <v>16240.3</v>
      </c>
      <c r="F341" s="2">
        <v>290441105</v>
      </c>
      <c r="G341" s="2">
        <v>23889.84</v>
      </c>
      <c r="H341" s="2">
        <f t="shared" si="30"/>
        <v>16672.092499999999</v>
      </c>
      <c r="I341" s="2">
        <f t="shared" si="31"/>
        <v>16955.228000000006</v>
      </c>
      <c r="J341" s="2">
        <f t="shared" si="36"/>
        <v>17253.234749999992</v>
      </c>
      <c r="K341" s="2">
        <f t="shared" si="34"/>
        <v>-19</v>
      </c>
      <c r="L341" s="7">
        <f t="shared" si="32"/>
        <v>-1.1643476742155207E-3</v>
      </c>
      <c r="M341" s="9"/>
      <c r="N341" s="2">
        <f t="shared" si="35"/>
        <v>18477.05</v>
      </c>
      <c r="O341" s="2">
        <f t="shared" si="33"/>
        <v>-0.121055579759756</v>
      </c>
      <c r="P341" s="2"/>
    </row>
    <row r="342" spans="1:16" x14ac:dyDescent="0.3">
      <c r="A342" s="3">
        <v>44700</v>
      </c>
      <c r="B342" s="2">
        <v>15917.4</v>
      </c>
      <c r="C342" s="2">
        <v>15984.75</v>
      </c>
      <c r="D342" s="2">
        <v>15775.2</v>
      </c>
      <c r="E342" s="2">
        <v>15809.4</v>
      </c>
      <c r="F342" s="2">
        <v>313876082</v>
      </c>
      <c r="G342" s="2">
        <v>24340.84</v>
      </c>
      <c r="H342" s="2">
        <f t="shared" si="30"/>
        <v>16636.174999999999</v>
      </c>
      <c r="I342" s="2">
        <f t="shared" si="31"/>
        <v>16950.073000000004</v>
      </c>
      <c r="J342" s="2">
        <f t="shared" si="36"/>
        <v>17255.703999999991</v>
      </c>
      <c r="K342" s="2">
        <f t="shared" si="34"/>
        <v>-430.89999999999964</v>
      </c>
      <c r="L342" s="7">
        <f t="shared" si="32"/>
        <v>-2.7071004058451736E-2</v>
      </c>
      <c r="M342" s="9"/>
      <c r="N342" s="2">
        <f t="shared" si="35"/>
        <v>18477.05</v>
      </c>
      <c r="O342" s="2">
        <f t="shared" si="33"/>
        <v>-0.1443764020771714</v>
      </c>
      <c r="P342" s="2"/>
    </row>
    <row r="343" spans="1:16" x14ac:dyDescent="0.3">
      <c r="A343" s="3">
        <v>44701</v>
      </c>
      <c r="B343" s="2">
        <v>16043.8</v>
      </c>
      <c r="C343" s="2">
        <v>16283.05</v>
      </c>
      <c r="D343" s="2">
        <v>16003.85</v>
      </c>
      <c r="E343" s="2">
        <v>16266.15</v>
      </c>
      <c r="F343" s="2">
        <v>252402013</v>
      </c>
      <c r="G343" s="2">
        <v>22806.69</v>
      </c>
      <c r="H343" s="2">
        <f t="shared" ref="H343:H406" si="37">AVERAGE(E323:E342)</f>
        <v>16569.817500000001</v>
      </c>
      <c r="I343" s="2">
        <f t="shared" si="31"/>
        <v>16941.354000000007</v>
      </c>
      <c r="J343" s="2">
        <f t="shared" si="36"/>
        <v>17256.203999999991</v>
      </c>
      <c r="K343" s="2">
        <f t="shared" si="34"/>
        <v>456.75</v>
      </c>
      <c r="L343" s="7">
        <f t="shared" si="32"/>
        <v>2.846894127326444E-2</v>
      </c>
      <c r="M343" s="9"/>
      <c r="N343" s="2">
        <f t="shared" si="35"/>
        <v>18477.05</v>
      </c>
      <c r="O343" s="2">
        <f t="shared" si="33"/>
        <v>-0.11965654690548544</v>
      </c>
      <c r="P343" s="2"/>
    </row>
    <row r="344" spans="1:16" x14ac:dyDescent="0.3">
      <c r="A344" s="3">
        <v>44704</v>
      </c>
      <c r="B344" s="2">
        <v>16290.95</v>
      </c>
      <c r="C344" s="2">
        <v>16414.7</v>
      </c>
      <c r="D344" s="2">
        <v>16185.75</v>
      </c>
      <c r="E344" s="2">
        <v>16214.7</v>
      </c>
      <c r="F344" s="2">
        <v>293829853</v>
      </c>
      <c r="G344" s="2">
        <v>25110.85</v>
      </c>
      <c r="H344" s="2">
        <f t="shared" si="37"/>
        <v>16513.495000000003</v>
      </c>
      <c r="I344" s="2">
        <f t="shared" si="31"/>
        <v>16949.414000000008</v>
      </c>
      <c r="J344" s="2">
        <f t="shared" si="36"/>
        <v>17258.642499999994</v>
      </c>
      <c r="K344" s="2">
        <f t="shared" si="34"/>
        <v>-51.449999999998909</v>
      </c>
      <c r="L344" s="7">
        <f t="shared" si="32"/>
        <v>-3.1581951942642331E-3</v>
      </c>
      <c r="M344" s="9"/>
      <c r="N344" s="2">
        <f t="shared" si="35"/>
        <v>18477.05</v>
      </c>
      <c r="O344" s="2">
        <f t="shared" si="33"/>
        <v>-0.12244108231562933</v>
      </c>
      <c r="P344" s="2"/>
    </row>
    <row r="345" spans="1:16" x14ac:dyDescent="0.3">
      <c r="A345" s="3">
        <v>44705</v>
      </c>
      <c r="B345" s="2">
        <v>16225.55</v>
      </c>
      <c r="C345" s="2">
        <v>16262.8</v>
      </c>
      <c r="D345" s="2">
        <v>16078.6</v>
      </c>
      <c r="E345" s="2">
        <v>16125.15</v>
      </c>
      <c r="F345" s="2">
        <v>249778296</v>
      </c>
      <c r="G345" s="2">
        <v>21895.75</v>
      </c>
      <c r="H345" s="2">
        <f t="shared" si="37"/>
        <v>16465.6325</v>
      </c>
      <c r="I345" s="2">
        <f t="shared" si="31"/>
        <v>16953.439000000006</v>
      </c>
      <c r="J345" s="2">
        <f t="shared" si="36"/>
        <v>17260.900749999993</v>
      </c>
      <c r="K345" s="2">
        <f t="shared" si="34"/>
        <v>-89.550000000001091</v>
      </c>
      <c r="L345" s="7">
        <f t="shared" si="32"/>
        <v>-5.5190733133854385E-3</v>
      </c>
      <c r="M345" s="9"/>
      <c r="N345" s="2">
        <f t="shared" si="35"/>
        <v>18477.05</v>
      </c>
      <c r="O345" s="2">
        <f t="shared" si="33"/>
        <v>-0.12728763520150677</v>
      </c>
      <c r="P345" s="2"/>
    </row>
    <row r="346" spans="1:16" x14ac:dyDescent="0.3">
      <c r="A346" s="3">
        <v>44706</v>
      </c>
      <c r="B346" s="2">
        <v>16196.35</v>
      </c>
      <c r="C346" s="2">
        <v>16223.35</v>
      </c>
      <c r="D346" s="2">
        <v>16006.95</v>
      </c>
      <c r="E346" s="2">
        <v>16025.8</v>
      </c>
      <c r="F346" s="2">
        <v>243342347</v>
      </c>
      <c r="G346" s="2">
        <v>21400.14</v>
      </c>
      <c r="H346" s="2">
        <f t="shared" si="37"/>
        <v>16424.192500000001</v>
      </c>
      <c r="I346" s="2">
        <f t="shared" si="31"/>
        <v>16949.035000000007</v>
      </c>
      <c r="J346" s="2">
        <f t="shared" si="36"/>
        <v>17262.100749999994</v>
      </c>
      <c r="K346" s="2">
        <f t="shared" si="34"/>
        <v>-99.350000000000364</v>
      </c>
      <c r="L346" s="7">
        <f t="shared" si="32"/>
        <v>-6.1340981146987047E-3</v>
      </c>
      <c r="M346" s="9"/>
      <c r="N346" s="2">
        <f t="shared" si="35"/>
        <v>18477.05</v>
      </c>
      <c r="O346" s="2">
        <f t="shared" si="33"/>
        <v>-0.13266457578455437</v>
      </c>
      <c r="P346" s="2"/>
    </row>
    <row r="347" spans="1:16" x14ac:dyDescent="0.3">
      <c r="A347" s="3">
        <v>44707</v>
      </c>
      <c r="B347" s="2">
        <v>16105</v>
      </c>
      <c r="C347" s="2">
        <v>16204.45</v>
      </c>
      <c r="D347" s="2">
        <v>15903.7</v>
      </c>
      <c r="E347" s="2">
        <v>16170.15</v>
      </c>
      <c r="F347" s="2">
        <v>314305739</v>
      </c>
      <c r="G347" s="2">
        <v>27721.21</v>
      </c>
      <c r="H347" s="2">
        <f t="shared" si="37"/>
        <v>16365.442500000001</v>
      </c>
      <c r="I347" s="2">
        <f t="shared" si="31"/>
        <v>16937.653000000006</v>
      </c>
      <c r="J347" s="2">
        <f t="shared" si="36"/>
        <v>17261.57599999999</v>
      </c>
      <c r="K347" s="2">
        <f t="shared" si="34"/>
        <v>144.35000000000036</v>
      </c>
      <c r="L347" s="7">
        <f t="shared" si="32"/>
        <v>8.9630549518783208E-3</v>
      </c>
      <c r="M347" s="9"/>
      <c r="N347" s="2">
        <f t="shared" si="35"/>
        <v>18477.05</v>
      </c>
      <c r="O347" s="2">
        <f t="shared" si="33"/>
        <v>-0.12485218149001054</v>
      </c>
      <c r="P347" s="2"/>
    </row>
    <row r="348" spans="1:16" x14ac:dyDescent="0.3">
      <c r="A348" s="3">
        <v>44708</v>
      </c>
      <c r="B348" s="2">
        <v>16296.6</v>
      </c>
      <c r="C348" s="2">
        <v>16370.6</v>
      </c>
      <c r="D348" s="2">
        <v>16221.95</v>
      </c>
      <c r="E348" s="2">
        <v>16352.45</v>
      </c>
      <c r="F348" s="2">
        <v>274064956</v>
      </c>
      <c r="G348" s="2">
        <v>21341.98</v>
      </c>
      <c r="H348" s="2">
        <f t="shared" si="37"/>
        <v>16322.029999999999</v>
      </c>
      <c r="I348" s="2">
        <f t="shared" si="31"/>
        <v>16928.447000000007</v>
      </c>
      <c r="J348" s="2">
        <f t="shared" si="36"/>
        <v>17261.132749999993</v>
      </c>
      <c r="K348" s="2">
        <f t="shared" si="34"/>
        <v>182.30000000000109</v>
      </c>
      <c r="L348" s="7">
        <f t="shared" si="32"/>
        <v>1.1186382435600131E-2</v>
      </c>
      <c r="M348" s="9"/>
      <c r="N348" s="2">
        <f t="shared" si="35"/>
        <v>18477.05</v>
      </c>
      <c r="O348" s="2">
        <f t="shared" si="33"/>
        <v>-0.11498588789877162</v>
      </c>
      <c r="P348" s="2"/>
    </row>
    <row r="349" spans="1:16" x14ac:dyDescent="0.3">
      <c r="A349" s="3">
        <v>44711</v>
      </c>
      <c r="B349" s="2">
        <v>16527.900000000001</v>
      </c>
      <c r="C349" s="2">
        <v>16695.5</v>
      </c>
      <c r="D349" s="2">
        <v>16506.150000000001</v>
      </c>
      <c r="E349" s="2">
        <v>16661.400000000001</v>
      </c>
      <c r="F349" s="2">
        <v>251400757</v>
      </c>
      <c r="G349" s="2">
        <v>21216.5</v>
      </c>
      <c r="H349" s="2">
        <f t="shared" si="37"/>
        <v>16277.4</v>
      </c>
      <c r="I349" s="2">
        <f t="shared" si="31"/>
        <v>16918.070000000003</v>
      </c>
      <c r="J349" s="2">
        <f t="shared" si="36"/>
        <v>17261.421999999991</v>
      </c>
      <c r="K349" s="2">
        <f t="shared" si="34"/>
        <v>308.95000000000073</v>
      </c>
      <c r="L349" s="7">
        <f t="shared" si="32"/>
        <v>1.8692634877994222E-2</v>
      </c>
      <c r="M349" s="9"/>
      <c r="N349" s="2">
        <f t="shared" si="35"/>
        <v>18477.05</v>
      </c>
      <c r="O349" s="2">
        <f t="shared" si="33"/>
        <v>-9.826514513951079E-2</v>
      </c>
      <c r="P349" s="2"/>
    </row>
    <row r="350" spans="1:16" x14ac:dyDescent="0.3">
      <c r="A350" s="3">
        <v>44712</v>
      </c>
      <c r="B350" s="2">
        <v>16578.45</v>
      </c>
      <c r="C350" s="2">
        <v>16690.75</v>
      </c>
      <c r="D350" s="2">
        <v>16521.900000000001</v>
      </c>
      <c r="E350" s="2">
        <v>16584.55</v>
      </c>
      <c r="F350" s="2">
        <v>651613610</v>
      </c>
      <c r="G350" s="2">
        <v>52929.35</v>
      </c>
      <c r="H350" s="2">
        <f t="shared" si="37"/>
        <v>16255.342500000002</v>
      </c>
      <c r="I350" s="2">
        <f t="shared" si="31"/>
        <v>16918.038000000004</v>
      </c>
      <c r="J350" s="2">
        <f t="shared" si="36"/>
        <v>17263.53799999999</v>
      </c>
      <c r="K350" s="2">
        <f t="shared" si="34"/>
        <v>-76.850000000002183</v>
      </c>
      <c r="L350" s="7">
        <f t="shared" si="32"/>
        <v>-4.6355358914737009E-3</v>
      </c>
      <c r="M350" s="9"/>
      <c r="N350" s="2">
        <f t="shared" si="35"/>
        <v>18477.05</v>
      </c>
      <c r="O350" s="2">
        <f t="shared" si="33"/>
        <v>-0.10242435886681045</v>
      </c>
      <c r="P350" s="2"/>
    </row>
    <row r="351" spans="1:16" x14ac:dyDescent="0.3">
      <c r="A351" s="3">
        <v>44713</v>
      </c>
      <c r="B351" s="2">
        <v>16594.400000000001</v>
      </c>
      <c r="C351" s="2">
        <v>16649.2</v>
      </c>
      <c r="D351" s="2">
        <v>16438.849999999999</v>
      </c>
      <c r="E351" s="2">
        <v>16522.75</v>
      </c>
      <c r="F351" s="2">
        <v>249619038</v>
      </c>
      <c r="G351" s="2">
        <v>19350.330000000002</v>
      </c>
      <c r="H351" s="2">
        <f t="shared" si="37"/>
        <v>16231.115</v>
      </c>
      <c r="I351" s="2">
        <f t="shared" si="31"/>
        <v>16910.222000000005</v>
      </c>
      <c r="J351" s="2">
        <f t="shared" si="36"/>
        <v>17265.169499999989</v>
      </c>
      <c r="K351" s="2">
        <f t="shared" si="34"/>
        <v>-61.799999999999272</v>
      </c>
      <c r="L351" s="7">
        <f t="shared" si="32"/>
        <v>-3.7241479053174123E-3</v>
      </c>
      <c r="M351" s="9"/>
      <c r="N351" s="2">
        <f t="shared" si="35"/>
        <v>18477.05</v>
      </c>
      <c r="O351" s="2">
        <f t="shared" si="33"/>
        <v>-0.10576904863059844</v>
      </c>
      <c r="P351" s="2"/>
    </row>
    <row r="352" spans="1:16" x14ac:dyDescent="0.3">
      <c r="A352" s="3">
        <v>44714</v>
      </c>
      <c r="B352" s="2">
        <v>16481.650000000001</v>
      </c>
      <c r="C352" s="2">
        <v>16646.400000000001</v>
      </c>
      <c r="D352" s="2">
        <v>16443.05</v>
      </c>
      <c r="E352" s="2">
        <v>16628</v>
      </c>
      <c r="F352" s="2">
        <v>235958283</v>
      </c>
      <c r="G352" s="2">
        <v>20055.84</v>
      </c>
      <c r="H352" s="2">
        <f t="shared" si="37"/>
        <v>16223.372499999998</v>
      </c>
      <c r="I352" s="2">
        <f t="shared" si="31"/>
        <v>16894.936000000005</v>
      </c>
      <c r="J352" s="2">
        <f t="shared" si="36"/>
        <v>17266.38274999999</v>
      </c>
      <c r="K352" s="2">
        <f t="shared" si="34"/>
        <v>105.25</v>
      </c>
      <c r="L352" s="7">
        <f t="shared" si="32"/>
        <v>6.3858897622507448E-3</v>
      </c>
      <c r="M352" s="9"/>
      <c r="N352" s="2">
        <f t="shared" si="35"/>
        <v>18477.05</v>
      </c>
      <c r="O352" s="2">
        <f t="shared" si="33"/>
        <v>-0.10007279300537686</v>
      </c>
      <c r="P352" s="2"/>
    </row>
    <row r="353" spans="1:16" x14ac:dyDescent="0.3">
      <c r="A353" s="3">
        <v>44715</v>
      </c>
      <c r="B353" s="2">
        <v>16761.650000000001</v>
      </c>
      <c r="C353" s="2">
        <v>16793.849999999999</v>
      </c>
      <c r="D353" s="2">
        <v>16567.900000000001</v>
      </c>
      <c r="E353" s="2">
        <v>16584.3</v>
      </c>
      <c r="F353" s="2">
        <v>245514871</v>
      </c>
      <c r="G353" s="2">
        <v>22249.29</v>
      </c>
      <c r="H353" s="2">
        <f t="shared" si="37"/>
        <v>16220.64</v>
      </c>
      <c r="I353" s="2">
        <f t="shared" si="31"/>
        <v>16885.144000000008</v>
      </c>
      <c r="J353" s="2">
        <f t="shared" si="36"/>
        <v>17268.111499999988</v>
      </c>
      <c r="K353" s="2">
        <f t="shared" si="34"/>
        <v>-43.700000000000728</v>
      </c>
      <c r="L353" s="7">
        <f t="shared" si="32"/>
        <v>-2.6071418983215091E-3</v>
      </c>
      <c r="M353" s="9"/>
      <c r="N353" s="2">
        <f t="shared" si="35"/>
        <v>18477.05</v>
      </c>
      <c r="O353" s="2">
        <f t="shared" si="33"/>
        <v>-0.10243788916520769</v>
      </c>
      <c r="P353" s="2"/>
    </row>
    <row r="354" spans="1:16" x14ac:dyDescent="0.3">
      <c r="A354" s="3">
        <v>44718</v>
      </c>
      <c r="B354" s="2">
        <v>16530.7</v>
      </c>
      <c r="C354" s="2">
        <v>16610.95</v>
      </c>
      <c r="D354" s="2">
        <v>16444.55</v>
      </c>
      <c r="E354" s="2">
        <v>16569.55</v>
      </c>
      <c r="F354" s="2">
        <v>233589132</v>
      </c>
      <c r="G354" s="2">
        <v>17999.41</v>
      </c>
      <c r="H354" s="2">
        <f t="shared" si="37"/>
        <v>16229.2925</v>
      </c>
      <c r="I354" s="2">
        <f t="shared" si="31"/>
        <v>16870.520000000008</v>
      </c>
      <c r="J354" s="2">
        <f t="shared" si="36"/>
        <v>17269.210999999988</v>
      </c>
      <c r="K354" s="2">
        <f t="shared" si="34"/>
        <v>-14.75</v>
      </c>
      <c r="L354" s="7">
        <f t="shared" si="32"/>
        <v>-8.9227921382639566E-4</v>
      </c>
      <c r="M354" s="9"/>
      <c r="N354" s="2">
        <f t="shared" si="35"/>
        <v>18477.05</v>
      </c>
      <c r="O354" s="2">
        <f t="shared" si="33"/>
        <v>-0.10323617677064245</v>
      </c>
      <c r="P354" s="2"/>
    </row>
    <row r="355" spans="1:16" x14ac:dyDescent="0.3">
      <c r="A355" s="3">
        <v>44719</v>
      </c>
      <c r="B355" s="2">
        <v>16469.599999999999</v>
      </c>
      <c r="C355" s="2">
        <v>16487.25</v>
      </c>
      <c r="D355" s="2">
        <v>16347.1</v>
      </c>
      <c r="E355" s="2">
        <v>16416.349999999999</v>
      </c>
      <c r="F355" s="2">
        <v>233814633</v>
      </c>
      <c r="G355" s="2">
        <v>17921.95</v>
      </c>
      <c r="H355" s="2">
        <f t="shared" si="37"/>
        <v>16242.677499999996</v>
      </c>
      <c r="I355" s="2">
        <f t="shared" si="31"/>
        <v>16856.998000000007</v>
      </c>
      <c r="J355" s="2">
        <f t="shared" si="36"/>
        <v>17269.413249999987</v>
      </c>
      <c r="K355" s="2">
        <f t="shared" si="34"/>
        <v>-153.20000000000073</v>
      </c>
      <c r="L355" s="7">
        <f t="shared" si="32"/>
        <v>-9.3019866906300548E-3</v>
      </c>
      <c r="M355" s="9"/>
      <c r="N355" s="2">
        <f t="shared" si="35"/>
        <v>18477.05</v>
      </c>
      <c r="O355" s="2">
        <f t="shared" si="33"/>
        <v>-0.11152754362844719</v>
      </c>
      <c r="P355" s="2"/>
    </row>
    <row r="356" spans="1:16" x14ac:dyDescent="0.3">
      <c r="A356" s="3">
        <v>44720</v>
      </c>
      <c r="B356" s="2">
        <v>16474.95</v>
      </c>
      <c r="C356" s="2">
        <v>16514.3</v>
      </c>
      <c r="D356" s="2">
        <v>16293.35</v>
      </c>
      <c r="E356" s="2">
        <v>16356.25</v>
      </c>
      <c r="F356" s="2">
        <v>243481044</v>
      </c>
      <c r="G356" s="2">
        <v>18336.150000000001</v>
      </c>
      <c r="H356" s="2">
        <f t="shared" si="37"/>
        <v>16251.492499999997</v>
      </c>
      <c r="I356" s="2">
        <f t="shared" si="31"/>
        <v>16840.870000000006</v>
      </c>
      <c r="J356" s="2">
        <f t="shared" si="36"/>
        <v>17268.679749999988</v>
      </c>
      <c r="K356" s="2">
        <f t="shared" si="34"/>
        <v>-60.099999999998545</v>
      </c>
      <c r="L356" s="7">
        <f t="shared" si="32"/>
        <v>-3.6479625127844723E-3</v>
      </c>
      <c r="M356" s="9"/>
      <c r="N356" s="2">
        <f t="shared" si="35"/>
        <v>18477.05</v>
      </c>
      <c r="O356" s="2">
        <f t="shared" si="33"/>
        <v>-0.1147802273631342</v>
      </c>
      <c r="P356" s="2"/>
    </row>
    <row r="357" spans="1:16" x14ac:dyDescent="0.3">
      <c r="A357" s="3">
        <v>44721</v>
      </c>
      <c r="B357" s="2">
        <v>16263.85</v>
      </c>
      <c r="C357" s="2">
        <v>16492.8</v>
      </c>
      <c r="D357" s="2">
        <v>16243.85</v>
      </c>
      <c r="E357" s="2">
        <v>16478.099999999999</v>
      </c>
      <c r="F357" s="2">
        <v>204954394</v>
      </c>
      <c r="G357" s="2">
        <v>16721.68</v>
      </c>
      <c r="H357" s="2">
        <f t="shared" si="37"/>
        <v>16260.949999999997</v>
      </c>
      <c r="I357" s="2">
        <f t="shared" si="31"/>
        <v>16824.935000000005</v>
      </c>
      <c r="J357" s="2">
        <f t="shared" si="36"/>
        <v>17267.387999999988</v>
      </c>
      <c r="K357" s="2">
        <f t="shared" si="34"/>
        <v>121.84999999999854</v>
      </c>
      <c r="L357" s="7">
        <f t="shared" si="32"/>
        <v>7.4920759844685327E-3</v>
      </c>
      <c r="M357" s="9"/>
      <c r="N357" s="2">
        <f t="shared" si="35"/>
        <v>18477.05</v>
      </c>
      <c r="O357" s="2">
        <f t="shared" si="33"/>
        <v>-0.10818555992433865</v>
      </c>
      <c r="P357" s="2"/>
    </row>
    <row r="358" spans="1:16" x14ac:dyDescent="0.3">
      <c r="A358" s="3">
        <v>44722</v>
      </c>
      <c r="B358" s="2">
        <v>16283.95</v>
      </c>
      <c r="C358" s="2">
        <v>16324.7</v>
      </c>
      <c r="D358" s="2">
        <v>16172.6</v>
      </c>
      <c r="E358" s="2">
        <v>16201.8</v>
      </c>
      <c r="F358" s="2">
        <v>189680523</v>
      </c>
      <c r="G358" s="2">
        <v>18388.03</v>
      </c>
      <c r="H358" s="2">
        <f t="shared" si="37"/>
        <v>16294.454999999996</v>
      </c>
      <c r="I358" s="2">
        <f t="shared" si="31"/>
        <v>16810.057000000004</v>
      </c>
      <c r="J358" s="2">
        <f t="shared" si="36"/>
        <v>17266.934249999988</v>
      </c>
      <c r="K358" s="2">
        <f t="shared" si="34"/>
        <v>-276.29999999999927</v>
      </c>
      <c r="L358" s="7">
        <f t="shared" si="32"/>
        <v>-1.6967627633344445E-2</v>
      </c>
      <c r="M358" s="9"/>
      <c r="N358" s="2">
        <f t="shared" si="35"/>
        <v>18477.05</v>
      </c>
      <c r="O358" s="2">
        <f t="shared" si="33"/>
        <v>-0.12313924571292501</v>
      </c>
      <c r="P358" s="2"/>
    </row>
    <row r="359" spans="1:16" x14ac:dyDescent="0.3">
      <c r="A359" s="3">
        <v>44725</v>
      </c>
      <c r="B359" s="2">
        <v>15877.55</v>
      </c>
      <c r="C359" s="2">
        <v>15886.15</v>
      </c>
      <c r="D359" s="2">
        <v>15684</v>
      </c>
      <c r="E359" s="2">
        <v>15774.4</v>
      </c>
      <c r="F359" s="2">
        <v>225534385</v>
      </c>
      <c r="G359" s="2">
        <v>20002.64</v>
      </c>
      <c r="H359" s="2">
        <f t="shared" si="37"/>
        <v>16315.437499999996</v>
      </c>
      <c r="I359" s="2">
        <f t="shared" si="31"/>
        <v>16787.587000000003</v>
      </c>
      <c r="J359" s="2">
        <f t="shared" si="36"/>
        <v>17265.690749999991</v>
      </c>
      <c r="K359" s="2">
        <f t="shared" si="34"/>
        <v>-427.39999999999964</v>
      </c>
      <c r="L359" s="7">
        <f t="shared" si="32"/>
        <v>-2.6918510727410694E-2</v>
      </c>
      <c r="M359" s="9"/>
      <c r="N359" s="2">
        <f t="shared" si="35"/>
        <v>18477.05</v>
      </c>
      <c r="O359" s="2">
        <f t="shared" si="33"/>
        <v>-0.14627064385277955</v>
      </c>
      <c r="P359" s="2"/>
    </row>
    <row r="360" spans="1:16" x14ac:dyDescent="0.3">
      <c r="A360" s="3">
        <v>44726</v>
      </c>
      <c r="B360" s="2">
        <v>15674.25</v>
      </c>
      <c r="C360" s="2">
        <v>15858</v>
      </c>
      <c r="D360" s="2">
        <v>15659.45</v>
      </c>
      <c r="E360" s="2">
        <v>15732.1</v>
      </c>
      <c r="F360" s="2">
        <v>225425862</v>
      </c>
      <c r="G360" s="2">
        <v>19825.41</v>
      </c>
      <c r="H360" s="2">
        <f t="shared" si="37"/>
        <v>16312.042499999996</v>
      </c>
      <c r="I360" s="2">
        <f t="shared" si="31"/>
        <v>16753.110000000004</v>
      </c>
      <c r="J360" s="2">
        <f t="shared" si="36"/>
        <v>17262.080499999989</v>
      </c>
      <c r="K360" s="2">
        <f t="shared" si="34"/>
        <v>-42.299999999999272</v>
      </c>
      <c r="L360" s="7">
        <f t="shared" si="32"/>
        <v>-2.6986937174027E-3</v>
      </c>
      <c r="M360" s="9"/>
      <c r="N360" s="2">
        <f t="shared" si="35"/>
        <v>18477.05</v>
      </c>
      <c r="O360" s="2">
        <f t="shared" si="33"/>
        <v>-0.14855997034158586</v>
      </c>
      <c r="P360" s="2"/>
    </row>
    <row r="361" spans="1:16" x14ac:dyDescent="0.3">
      <c r="A361" s="3">
        <v>44727</v>
      </c>
      <c r="B361" s="2">
        <v>15729.25</v>
      </c>
      <c r="C361" s="2">
        <v>15783.65</v>
      </c>
      <c r="D361" s="2">
        <v>15678.9</v>
      </c>
      <c r="E361" s="2">
        <v>15692.15</v>
      </c>
      <c r="F361" s="2">
        <v>183011236</v>
      </c>
      <c r="G361" s="2">
        <v>16063.24</v>
      </c>
      <c r="H361" s="2">
        <f t="shared" si="37"/>
        <v>16285.682499999999</v>
      </c>
      <c r="I361" s="2">
        <f t="shared" si="31"/>
        <v>16718.457000000002</v>
      </c>
      <c r="J361" s="2">
        <f t="shared" si="36"/>
        <v>17257.617999999988</v>
      </c>
      <c r="K361" s="2">
        <f t="shared" si="34"/>
        <v>-39.950000000000728</v>
      </c>
      <c r="L361" s="7">
        <f t="shared" si="32"/>
        <v>-2.5398540934882929E-3</v>
      </c>
      <c r="M361" s="9"/>
      <c r="N361" s="2">
        <f t="shared" si="35"/>
        <v>18477.05</v>
      </c>
      <c r="O361" s="2">
        <f t="shared" si="33"/>
        <v>-0.1507221120254586</v>
      </c>
      <c r="P361" s="2"/>
    </row>
    <row r="362" spans="1:16" x14ac:dyDescent="0.3">
      <c r="A362" s="3">
        <v>44728</v>
      </c>
      <c r="B362" s="2">
        <v>15832.25</v>
      </c>
      <c r="C362" s="2">
        <v>15863.15</v>
      </c>
      <c r="D362" s="2">
        <v>15335.1</v>
      </c>
      <c r="E362" s="2">
        <v>15360.6</v>
      </c>
      <c r="F362" s="2">
        <v>264735957</v>
      </c>
      <c r="G362" s="2">
        <v>21383.06</v>
      </c>
      <c r="H362" s="2">
        <f t="shared" si="37"/>
        <v>16258.275</v>
      </c>
      <c r="I362" s="2">
        <f t="shared" si="31"/>
        <v>16678.891</v>
      </c>
      <c r="J362" s="2">
        <f t="shared" si="36"/>
        <v>17252.90549999999</v>
      </c>
      <c r="K362" s="2">
        <f t="shared" si="34"/>
        <v>-331.54999999999927</v>
      </c>
      <c r="L362" s="7">
        <f t="shared" si="32"/>
        <v>-2.0941432834878131E-2</v>
      </c>
      <c r="M362" s="9"/>
      <c r="N362" s="2">
        <f t="shared" si="35"/>
        <v>18477.05</v>
      </c>
      <c r="O362" s="2">
        <f t="shared" si="33"/>
        <v>-0.16866599375982627</v>
      </c>
      <c r="P362" s="2"/>
    </row>
    <row r="363" spans="1:16" x14ac:dyDescent="0.3">
      <c r="A363" s="3">
        <v>44729</v>
      </c>
      <c r="B363" s="2">
        <v>15272.65</v>
      </c>
      <c r="C363" s="2">
        <v>15400.4</v>
      </c>
      <c r="D363" s="2">
        <v>15183.4</v>
      </c>
      <c r="E363" s="2">
        <v>15293.5</v>
      </c>
      <c r="F363" s="2">
        <v>342629997</v>
      </c>
      <c r="G363" s="2">
        <v>29074</v>
      </c>
      <c r="H363" s="2">
        <f t="shared" si="37"/>
        <v>16235.834999999997</v>
      </c>
      <c r="I363" s="2">
        <f t="shared" si="31"/>
        <v>16625.035000000003</v>
      </c>
      <c r="J363" s="2">
        <f t="shared" si="36"/>
        <v>17246.523999999987</v>
      </c>
      <c r="K363" s="2">
        <f t="shared" si="34"/>
        <v>-67.100000000000364</v>
      </c>
      <c r="L363" s="7">
        <f t="shared" si="32"/>
        <v>-4.3934746098418E-3</v>
      </c>
      <c r="M363" s="9"/>
      <c r="N363" s="2">
        <f t="shared" si="35"/>
        <v>18477.05</v>
      </c>
      <c r="O363" s="2">
        <f t="shared" si="33"/>
        <v>-0.17229752584963509</v>
      </c>
      <c r="P363" s="2"/>
    </row>
    <row r="364" spans="1:16" x14ac:dyDescent="0.3">
      <c r="A364" s="3">
        <v>44732</v>
      </c>
      <c r="B364" s="2">
        <v>15334.5</v>
      </c>
      <c r="C364" s="2">
        <v>15382.5</v>
      </c>
      <c r="D364" s="2">
        <v>15191.1</v>
      </c>
      <c r="E364" s="2">
        <v>15350.15</v>
      </c>
      <c r="F364" s="2">
        <v>260022438</v>
      </c>
      <c r="G364" s="2">
        <v>18531.78</v>
      </c>
      <c r="H364" s="2">
        <f t="shared" si="37"/>
        <v>16187.202499999999</v>
      </c>
      <c r="I364" s="2">
        <f t="shared" si="31"/>
        <v>16571.757000000001</v>
      </c>
      <c r="J364" s="2">
        <f t="shared" si="36"/>
        <v>17239.465499999988</v>
      </c>
      <c r="K364" s="2">
        <f t="shared" si="34"/>
        <v>56.649999999999636</v>
      </c>
      <c r="L364" s="7">
        <f t="shared" si="32"/>
        <v>3.6942841305552601E-3</v>
      </c>
      <c r="M364" s="9"/>
      <c r="N364" s="2">
        <f t="shared" si="35"/>
        <v>18477.05</v>
      </c>
      <c r="O364" s="2">
        <f t="shared" si="33"/>
        <v>-0.16923156023282937</v>
      </c>
      <c r="P364" s="2"/>
    </row>
    <row r="365" spans="1:16" x14ac:dyDescent="0.3">
      <c r="A365" s="3">
        <v>44733</v>
      </c>
      <c r="B365" s="2">
        <v>15455.95</v>
      </c>
      <c r="C365" s="2">
        <v>15707.25</v>
      </c>
      <c r="D365" s="2">
        <v>15419.85</v>
      </c>
      <c r="E365" s="2">
        <v>15638.8</v>
      </c>
      <c r="F365" s="2">
        <v>262794687</v>
      </c>
      <c r="G365" s="2">
        <v>18934.27</v>
      </c>
      <c r="H365" s="2">
        <f t="shared" si="37"/>
        <v>16143.975</v>
      </c>
      <c r="I365" s="2">
        <f t="shared" si="31"/>
        <v>16522.607000000004</v>
      </c>
      <c r="J365" s="2">
        <f t="shared" si="36"/>
        <v>17231.560999999991</v>
      </c>
      <c r="K365" s="2">
        <f t="shared" si="34"/>
        <v>288.64999999999964</v>
      </c>
      <c r="L365" s="7">
        <f t="shared" si="32"/>
        <v>1.8675655653647923E-2</v>
      </c>
      <c r="M365" s="9"/>
      <c r="N365" s="2">
        <f t="shared" si="35"/>
        <v>18477.05</v>
      </c>
      <c r="O365" s="2">
        <f t="shared" si="33"/>
        <v>-0.15360947770342126</v>
      </c>
      <c r="P365" s="2"/>
    </row>
    <row r="366" spans="1:16" x14ac:dyDescent="0.3">
      <c r="A366" s="3">
        <v>44734</v>
      </c>
      <c r="B366" s="2">
        <v>15545.65</v>
      </c>
      <c r="C366" s="2">
        <v>15565.4</v>
      </c>
      <c r="D366" s="2">
        <v>15385.95</v>
      </c>
      <c r="E366" s="2">
        <v>15413.3</v>
      </c>
      <c r="F366" s="2">
        <v>220889589</v>
      </c>
      <c r="G366" s="2">
        <v>16817.07</v>
      </c>
      <c r="H366" s="2">
        <f t="shared" si="37"/>
        <v>16119.657499999998</v>
      </c>
      <c r="I366" s="2">
        <f t="shared" si="31"/>
        <v>16482.592000000004</v>
      </c>
      <c r="J366" s="2">
        <f t="shared" si="36"/>
        <v>17224.093999999986</v>
      </c>
      <c r="K366" s="2">
        <f t="shared" si="34"/>
        <v>-225.5</v>
      </c>
      <c r="L366" s="7">
        <f t="shared" si="32"/>
        <v>-1.4505665572041054E-2</v>
      </c>
      <c r="M366" s="9"/>
      <c r="N366" s="2">
        <f t="shared" si="35"/>
        <v>18477.05</v>
      </c>
      <c r="O366" s="2">
        <f t="shared" si="33"/>
        <v>-0.16581380685769642</v>
      </c>
      <c r="P366" s="2"/>
    </row>
    <row r="367" spans="1:16" x14ac:dyDescent="0.3">
      <c r="A367" s="3">
        <v>44735</v>
      </c>
      <c r="B367" s="2">
        <v>15451.55</v>
      </c>
      <c r="C367" s="2">
        <v>15628.45</v>
      </c>
      <c r="D367" s="2">
        <v>15367.5</v>
      </c>
      <c r="E367" s="2">
        <v>15556.65</v>
      </c>
      <c r="F367" s="2">
        <v>259171810</v>
      </c>
      <c r="G367" s="2">
        <v>21722.06</v>
      </c>
      <c r="H367" s="2">
        <f t="shared" si="37"/>
        <v>16089.032500000001</v>
      </c>
      <c r="I367" s="2">
        <f t="shared" si="31"/>
        <v>16435.171000000006</v>
      </c>
      <c r="J367" s="2">
        <f t="shared" si="36"/>
        <v>17215.779249999985</v>
      </c>
      <c r="K367" s="2">
        <f t="shared" si="34"/>
        <v>143.35000000000036</v>
      </c>
      <c r="L367" s="7">
        <f t="shared" si="32"/>
        <v>9.2773864110720517E-3</v>
      </c>
      <c r="M367" s="9"/>
      <c r="N367" s="2">
        <f t="shared" si="35"/>
        <v>18477.05</v>
      </c>
      <c r="O367" s="2">
        <f t="shared" si="33"/>
        <v>-0.15805553375674142</v>
      </c>
      <c r="P367" s="2"/>
    </row>
    <row r="368" spans="1:16" x14ac:dyDescent="0.3">
      <c r="A368" s="3">
        <v>44736</v>
      </c>
      <c r="B368" s="2">
        <v>15657.4</v>
      </c>
      <c r="C368" s="2">
        <v>15749.25</v>
      </c>
      <c r="D368" s="2">
        <v>15619.45</v>
      </c>
      <c r="E368" s="2">
        <v>15699.25</v>
      </c>
      <c r="F368" s="2">
        <v>219599372</v>
      </c>
      <c r="G368" s="2">
        <v>18259.72</v>
      </c>
      <c r="H368" s="2">
        <f t="shared" si="37"/>
        <v>16058.357500000002</v>
      </c>
      <c r="I368" s="2">
        <f t="shared" si="31"/>
        <v>16392.805000000004</v>
      </c>
      <c r="J368" s="2">
        <f t="shared" si="36"/>
        <v>17207.391749999984</v>
      </c>
      <c r="K368" s="2">
        <f t="shared" si="34"/>
        <v>142.60000000000036</v>
      </c>
      <c r="L368" s="7">
        <f t="shared" si="32"/>
        <v>9.1075146576060119E-3</v>
      </c>
      <c r="M368" s="9"/>
      <c r="N368" s="2">
        <f t="shared" si="35"/>
        <v>18477.05</v>
      </c>
      <c r="O368" s="2">
        <f t="shared" si="33"/>
        <v>-0.15033785155097812</v>
      </c>
      <c r="P368" s="2"/>
    </row>
    <row r="369" spans="1:16" x14ac:dyDescent="0.3">
      <c r="A369" s="3">
        <v>44739</v>
      </c>
      <c r="B369" s="2">
        <v>15926.2</v>
      </c>
      <c r="C369" s="2">
        <v>15927.45</v>
      </c>
      <c r="D369" s="2">
        <v>15815.5</v>
      </c>
      <c r="E369" s="2">
        <v>15832.05</v>
      </c>
      <c r="F369" s="2">
        <v>210932505</v>
      </c>
      <c r="G369" s="2">
        <v>17770.419999999998</v>
      </c>
      <c r="H369" s="2">
        <f t="shared" si="37"/>
        <v>16025.6975</v>
      </c>
      <c r="I369" s="2">
        <f t="shared" si="31"/>
        <v>16356.184000000007</v>
      </c>
      <c r="J369" s="2">
        <f t="shared" si="36"/>
        <v>17199.269999999982</v>
      </c>
      <c r="K369" s="2">
        <f t="shared" si="34"/>
        <v>132.79999999999927</v>
      </c>
      <c r="L369" s="7">
        <f t="shared" si="32"/>
        <v>8.3384611520638495E-3</v>
      </c>
      <c r="M369" s="9"/>
      <c r="N369" s="2">
        <f t="shared" si="35"/>
        <v>18477.05</v>
      </c>
      <c r="O369" s="2">
        <f t="shared" si="33"/>
        <v>-0.143150557042385</v>
      </c>
      <c r="P369" s="2"/>
    </row>
    <row r="370" spans="1:16" x14ac:dyDescent="0.3">
      <c r="A370" s="3">
        <v>44740</v>
      </c>
      <c r="B370" s="2">
        <v>15757.45</v>
      </c>
      <c r="C370" s="2">
        <v>15892.1</v>
      </c>
      <c r="D370" s="2">
        <v>15710.15</v>
      </c>
      <c r="E370" s="2">
        <v>15850.2</v>
      </c>
      <c r="F370" s="2">
        <v>251865155</v>
      </c>
      <c r="G370" s="2">
        <v>18419.75</v>
      </c>
      <c r="H370" s="2">
        <f t="shared" si="37"/>
        <v>15984.23</v>
      </c>
      <c r="I370" s="2">
        <f t="shared" si="31"/>
        <v>16323.312000000007</v>
      </c>
      <c r="J370" s="2">
        <f t="shared" si="36"/>
        <v>17191.541249999984</v>
      </c>
      <c r="K370" s="2">
        <f t="shared" si="34"/>
        <v>18.150000000001455</v>
      </c>
      <c r="L370" s="7">
        <f t="shared" si="32"/>
        <v>1.1518361156152457E-3</v>
      </c>
      <c r="M370" s="9"/>
      <c r="N370" s="2">
        <f t="shared" si="35"/>
        <v>18477.05</v>
      </c>
      <c r="O370" s="2">
        <f t="shared" si="33"/>
        <v>-0.14216825737874816</v>
      </c>
      <c r="P370" s="2"/>
    </row>
    <row r="371" spans="1:16" x14ac:dyDescent="0.3">
      <c r="A371" s="3">
        <v>44741</v>
      </c>
      <c r="B371" s="2">
        <v>15701.7</v>
      </c>
      <c r="C371" s="2">
        <v>15861.6</v>
      </c>
      <c r="D371" s="2">
        <v>15687.8</v>
      </c>
      <c r="E371" s="2">
        <v>15799.1</v>
      </c>
      <c r="F371" s="2">
        <v>444949551</v>
      </c>
      <c r="G371" s="2">
        <v>22528.57</v>
      </c>
      <c r="H371" s="2">
        <f t="shared" si="37"/>
        <v>15947.512500000001</v>
      </c>
      <c r="I371" s="2">
        <f t="shared" si="31"/>
        <v>16296.843000000008</v>
      </c>
      <c r="J371" s="2">
        <f t="shared" si="36"/>
        <v>17183.981749999984</v>
      </c>
      <c r="K371" s="2">
        <f t="shared" si="34"/>
        <v>-51.100000000000364</v>
      </c>
      <c r="L371" s="7">
        <f t="shared" si="32"/>
        <v>-3.2544246801302001E-3</v>
      </c>
      <c r="M371" s="9"/>
      <c r="N371" s="2">
        <f t="shared" si="35"/>
        <v>18477.05</v>
      </c>
      <c r="O371" s="2">
        <f t="shared" si="33"/>
        <v>-0.14493385037113604</v>
      </c>
      <c r="P371" s="2"/>
    </row>
    <row r="372" spans="1:16" x14ac:dyDescent="0.3">
      <c r="A372" s="3">
        <v>44742</v>
      </c>
      <c r="B372" s="2">
        <v>15774.5</v>
      </c>
      <c r="C372" s="2">
        <v>15890</v>
      </c>
      <c r="D372" s="2">
        <v>15728.85</v>
      </c>
      <c r="E372" s="2">
        <v>15780.25</v>
      </c>
      <c r="F372" s="2">
        <v>306027777</v>
      </c>
      <c r="G372" s="2">
        <v>23970.65</v>
      </c>
      <c r="H372" s="2">
        <f t="shared" si="37"/>
        <v>15911.329999999998</v>
      </c>
      <c r="I372" s="2">
        <f t="shared" si="31"/>
        <v>16273.652000000007</v>
      </c>
      <c r="J372" s="2">
        <f t="shared" si="36"/>
        <v>17176.209749999984</v>
      </c>
      <c r="K372" s="2">
        <f t="shared" si="34"/>
        <v>-18.850000000000364</v>
      </c>
      <c r="L372" s="7">
        <f t="shared" si="32"/>
        <v>-1.1949665599543797E-3</v>
      </c>
      <c r="M372" s="9"/>
      <c r="N372" s="2">
        <f t="shared" si="35"/>
        <v>18477.05</v>
      </c>
      <c r="O372" s="2">
        <f t="shared" si="33"/>
        <v>-0.14595403487028502</v>
      </c>
      <c r="P372" s="2"/>
    </row>
    <row r="373" spans="1:16" x14ac:dyDescent="0.3">
      <c r="A373" s="3">
        <v>44743</v>
      </c>
      <c r="B373" s="2">
        <v>15703.7</v>
      </c>
      <c r="C373" s="2">
        <v>15793.95</v>
      </c>
      <c r="D373" s="2">
        <v>15511.05</v>
      </c>
      <c r="E373" s="2">
        <v>15752.05</v>
      </c>
      <c r="F373" s="2">
        <v>364090131</v>
      </c>
      <c r="G373" s="2">
        <v>25891.94</v>
      </c>
      <c r="H373" s="2">
        <f t="shared" si="37"/>
        <v>15868.942499999999</v>
      </c>
      <c r="I373" s="2">
        <f t="shared" ref="I373:I436" si="38">AVERAGE(E323:E372)</f>
        <v>16246.526000000005</v>
      </c>
      <c r="J373" s="2">
        <f t="shared" si="36"/>
        <v>17168.264749999984</v>
      </c>
      <c r="K373" s="2">
        <f t="shared" si="34"/>
        <v>-28.200000000000728</v>
      </c>
      <c r="L373" s="7">
        <f t="shared" si="32"/>
        <v>-1.7957551405083341E-3</v>
      </c>
      <c r="M373" s="9"/>
      <c r="N373" s="2">
        <f t="shared" si="35"/>
        <v>18477.05</v>
      </c>
      <c r="O373" s="2">
        <f t="shared" si="33"/>
        <v>-0.14748025252948926</v>
      </c>
      <c r="P373" s="2"/>
    </row>
    <row r="374" spans="1:16" x14ac:dyDescent="0.3">
      <c r="A374" s="3">
        <v>44746</v>
      </c>
      <c r="B374" s="2">
        <v>15710.5</v>
      </c>
      <c r="C374" s="2">
        <v>15852.35</v>
      </c>
      <c r="D374" s="2">
        <v>15661.8</v>
      </c>
      <c r="E374" s="2">
        <v>15835.35</v>
      </c>
      <c r="F374" s="2">
        <v>304328467</v>
      </c>
      <c r="G374" s="2">
        <v>19875.22</v>
      </c>
      <c r="H374" s="2">
        <f t="shared" si="37"/>
        <v>15827.329999999996</v>
      </c>
      <c r="I374" s="2">
        <f t="shared" si="38"/>
        <v>16213.715000000004</v>
      </c>
      <c r="J374" s="2">
        <f t="shared" si="36"/>
        <v>17160.248499999983</v>
      </c>
      <c r="K374" s="2">
        <f t="shared" si="34"/>
        <v>83.300000000001091</v>
      </c>
      <c r="L374" s="7">
        <f t="shared" si="32"/>
        <v>5.3021864358232451E-3</v>
      </c>
      <c r="M374" s="9"/>
      <c r="N374" s="2">
        <f t="shared" si="35"/>
        <v>18477.05</v>
      </c>
      <c r="O374" s="2">
        <f t="shared" si="33"/>
        <v>-0.14297195710354194</v>
      </c>
      <c r="P374" s="2"/>
    </row>
    <row r="375" spans="1:16" x14ac:dyDescent="0.3">
      <c r="A375" s="3">
        <v>44747</v>
      </c>
      <c r="B375" s="2">
        <v>15909.15</v>
      </c>
      <c r="C375" s="2">
        <v>16025.75</v>
      </c>
      <c r="D375" s="2">
        <v>15785.45</v>
      </c>
      <c r="E375" s="2">
        <v>15810.85</v>
      </c>
      <c r="F375" s="2">
        <v>254164463</v>
      </c>
      <c r="G375" s="2">
        <v>19129.599999999999</v>
      </c>
      <c r="H375" s="2">
        <f t="shared" si="37"/>
        <v>15790.619999999995</v>
      </c>
      <c r="I375" s="2">
        <f t="shared" si="38"/>
        <v>16186.983000000006</v>
      </c>
      <c r="J375" s="2">
        <f t="shared" si="36"/>
        <v>17152.525249999984</v>
      </c>
      <c r="K375" s="2">
        <f t="shared" si="34"/>
        <v>-24.5</v>
      </c>
      <c r="L375" s="7">
        <f t="shared" si="32"/>
        <v>-1.5399942800212456E-3</v>
      </c>
      <c r="M375" s="9"/>
      <c r="N375" s="2">
        <f t="shared" si="35"/>
        <v>18477.05</v>
      </c>
      <c r="O375" s="2">
        <f t="shared" si="33"/>
        <v>-0.14429792634646754</v>
      </c>
      <c r="P375" s="2"/>
    </row>
    <row r="376" spans="1:16" x14ac:dyDescent="0.3">
      <c r="A376" s="3">
        <v>44748</v>
      </c>
      <c r="B376" s="2">
        <v>15818.2</v>
      </c>
      <c r="C376" s="2">
        <v>16011.35</v>
      </c>
      <c r="D376" s="2">
        <v>15800.9</v>
      </c>
      <c r="E376" s="2">
        <v>15989.8</v>
      </c>
      <c r="F376" s="2">
        <v>288375300</v>
      </c>
      <c r="G376" s="2">
        <v>22836.77</v>
      </c>
      <c r="H376" s="2">
        <f t="shared" si="37"/>
        <v>15760.344999999996</v>
      </c>
      <c r="I376" s="2">
        <f t="shared" si="38"/>
        <v>16164.121000000003</v>
      </c>
      <c r="J376" s="2">
        <f t="shared" si="36"/>
        <v>17143.982249999983</v>
      </c>
      <c r="K376" s="2">
        <f t="shared" si="34"/>
        <v>178.94999999999891</v>
      </c>
      <c r="L376" s="7">
        <f t="shared" si="32"/>
        <v>1.1312918031128631E-2</v>
      </c>
      <c r="M376" s="9"/>
      <c r="N376" s="2">
        <f t="shared" si="35"/>
        <v>18477.05</v>
      </c>
      <c r="O376" s="2">
        <f t="shared" si="33"/>
        <v>-0.13461293875375124</v>
      </c>
      <c r="P376" s="2"/>
    </row>
    <row r="377" spans="1:16" x14ac:dyDescent="0.3">
      <c r="A377" s="3">
        <v>44749</v>
      </c>
      <c r="B377" s="2">
        <v>16113.75</v>
      </c>
      <c r="C377" s="2">
        <v>16150.5</v>
      </c>
      <c r="D377" s="2">
        <v>16045.95</v>
      </c>
      <c r="E377" s="2">
        <v>16132.9</v>
      </c>
      <c r="F377" s="2">
        <v>264615218</v>
      </c>
      <c r="G377" s="2">
        <v>21465.33</v>
      </c>
      <c r="H377" s="2">
        <f t="shared" si="37"/>
        <v>15742.022499999995</v>
      </c>
      <c r="I377" s="2">
        <f t="shared" si="38"/>
        <v>16139.901000000003</v>
      </c>
      <c r="J377" s="2">
        <f t="shared" si="36"/>
        <v>17135.783749999984</v>
      </c>
      <c r="K377" s="2">
        <f t="shared" si="34"/>
        <v>143.10000000000036</v>
      </c>
      <c r="L377" s="7">
        <f t="shared" si="32"/>
        <v>8.8806143821270871E-3</v>
      </c>
      <c r="M377" s="9"/>
      <c r="N377" s="2">
        <f t="shared" si="35"/>
        <v>18477.05</v>
      </c>
      <c r="O377" s="2">
        <f t="shared" si="33"/>
        <v>-0.12686819595119347</v>
      </c>
      <c r="P377" s="2"/>
    </row>
    <row r="378" spans="1:16" x14ac:dyDescent="0.3">
      <c r="A378" s="3">
        <v>44750</v>
      </c>
      <c r="B378" s="2">
        <v>16273.65</v>
      </c>
      <c r="C378" s="2">
        <v>16275.5</v>
      </c>
      <c r="D378" s="2">
        <v>16157.9</v>
      </c>
      <c r="E378" s="2">
        <v>16220.6</v>
      </c>
      <c r="F378" s="2">
        <v>281102369</v>
      </c>
      <c r="G378" s="2">
        <v>20990.69</v>
      </c>
      <c r="H378" s="2">
        <f t="shared" si="37"/>
        <v>15724.762499999997</v>
      </c>
      <c r="I378" s="2">
        <f t="shared" si="38"/>
        <v>16121.791000000003</v>
      </c>
      <c r="J378" s="2">
        <f t="shared" si="36"/>
        <v>17128.522499999981</v>
      </c>
      <c r="K378" s="2">
        <f t="shared" si="34"/>
        <v>87.700000000000728</v>
      </c>
      <c r="L378" s="7">
        <f t="shared" si="32"/>
        <v>5.3890798929558358E-3</v>
      </c>
      <c r="M378" s="9"/>
      <c r="N378" s="2">
        <f t="shared" si="35"/>
        <v>18477.05</v>
      </c>
      <c r="O378" s="2">
        <f t="shared" si="33"/>
        <v>-0.12212176727345536</v>
      </c>
      <c r="P378" s="2"/>
    </row>
    <row r="379" spans="1:16" x14ac:dyDescent="0.3">
      <c r="A379" s="3">
        <v>44753</v>
      </c>
      <c r="B379" s="2">
        <v>16136.15</v>
      </c>
      <c r="C379" s="2">
        <v>16248.55</v>
      </c>
      <c r="D379" s="2">
        <v>16115.5</v>
      </c>
      <c r="E379" s="2">
        <v>16216</v>
      </c>
      <c r="F379" s="2">
        <v>255915072</v>
      </c>
      <c r="G379" s="2">
        <v>20240.689999999999</v>
      </c>
      <c r="H379" s="2">
        <f t="shared" si="37"/>
        <v>15725.702499999999</v>
      </c>
      <c r="I379" s="2">
        <f t="shared" si="38"/>
        <v>16101.302000000001</v>
      </c>
      <c r="J379" s="2">
        <f t="shared" si="36"/>
        <v>17122.640999999985</v>
      </c>
      <c r="K379" s="2">
        <f t="shared" si="34"/>
        <v>-4.6000000000003638</v>
      </c>
      <c r="L379" s="7">
        <f t="shared" si="32"/>
        <v>-2.8507419675699369E-4</v>
      </c>
      <c r="M379" s="9"/>
      <c r="N379" s="2">
        <f t="shared" si="35"/>
        <v>18477.05</v>
      </c>
      <c r="O379" s="2">
        <f t="shared" si="33"/>
        <v>-0.12237072476396393</v>
      </c>
      <c r="P379" s="2"/>
    </row>
    <row r="380" spans="1:16" x14ac:dyDescent="0.3">
      <c r="A380" s="3">
        <v>44754</v>
      </c>
      <c r="B380" s="2">
        <v>16126.2</v>
      </c>
      <c r="C380" s="2">
        <v>16158.75</v>
      </c>
      <c r="D380" s="2">
        <v>16031.15</v>
      </c>
      <c r="E380" s="2">
        <v>16058.3</v>
      </c>
      <c r="F380" s="2">
        <v>208648707</v>
      </c>
      <c r="G380" s="2">
        <v>16042.52</v>
      </c>
      <c r="H380" s="2">
        <f t="shared" si="37"/>
        <v>15747.782500000001</v>
      </c>
      <c r="I380" s="2">
        <f t="shared" si="38"/>
        <v>16083.571000000004</v>
      </c>
      <c r="J380" s="2">
        <f t="shared" si="36"/>
        <v>17115.910999999986</v>
      </c>
      <c r="K380" s="2">
        <f t="shared" si="34"/>
        <v>-157.70000000000073</v>
      </c>
      <c r="L380" s="7">
        <f t="shared" si="32"/>
        <v>-9.779117212982644E-3</v>
      </c>
      <c r="M380" s="9"/>
      <c r="N380" s="2">
        <f t="shared" si="35"/>
        <v>18477.05</v>
      </c>
      <c r="O380" s="2">
        <f t="shared" si="33"/>
        <v>-0.13090563699291824</v>
      </c>
      <c r="P380" s="2"/>
    </row>
    <row r="381" spans="1:16" x14ac:dyDescent="0.3">
      <c r="A381" s="3">
        <v>44755</v>
      </c>
      <c r="B381" s="2">
        <v>16128.2</v>
      </c>
      <c r="C381" s="2">
        <v>16140</v>
      </c>
      <c r="D381" s="2">
        <v>15950.15</v>
      </c>
      <c r="E381" s="2">
        <v>15966.65</v>
      </c>
      <c r="F381" s="2">
        <v>233264100</v>
      </c>
      <c r="G381" s="2">
        <v>19649.66</v>
      </c>
      <c r="H381" s="2">
        <f t="shared" si="37"/>
        <v>15764.092499999999</v>
      </c>
      <c r="I381" s="2">
        <f t="shared" si="38"/>
        <v>16063.355000000003</v>
      </c>
      <c r="J381" s="2">
        <f t="shared" si="36"/>
        <v>17108.469249999984</v>
      </c>
      <c r="K381" s="2">
        <f t="shared" si="34"/>
        <v>-91.649999999999636</v>
      </c>
      <c r="L381" s="7">
        <f t="shared" si="32"/>
        <v>-5.6825932218102226E-3</v>
      </c>
      <c r="M381" s="9"/>
      <c r="N381" s="2">
        <f t="shared" si="35"/>
        <v>18477.05</v>
      </c>
      <c r="O381" s="2">
        <f t="shared" si="33"/>
        <v>-0.13586584438533211</v>
      </c>
      <c r="P381" s="2"/>
    </row>
    <row r="382" spans="1:16" x14ac:dyDescent="0.3">
      <c r="A382" s="3">
        <v>44756</v>
      </c>
      <c r="B382" s="2">
        <v>16018.85</v>
      </c>
      <c r="C382" s="2">
        <v>16070.85</v>
      </c>
      <c r="D382" s="2">
        <v>15858.2</v>
      </c>
      <c r="E382" s="2">
        <v>15938.65</v>
      </c>
      <c r="F382" s="2">
        <v>228603433</v>
      </c>
      <c r="G382" s="2">
        <v>18858.830000000002</v>
      </c>
      <c r="H382" s="2">
        <f t="shared" si="37"/>
        <v>15777.817499999999</v>
      </c>
      <c r="I382" s="2">
        <f t="shared" si="38"/>
        <v>16049.136</v>
      </c>
      <c r="J382" s="2">
        <f t="shared" si="36"/>
        <v>17099.187749999983</v>
      </c>
      <c r="K382" s="2">
        <f t="shared" si="34"/>
        <v>-28</v>
      </c>
      <c r="L382" s="7">
        <f t="shared" si="32"/>
        <v>-1.7479407073541483E-3</v>
      </c>
      <c r="M382" s="9"/>
      <c r="N382" s="2">
        <f t="shared" si="35"/>
        <v>18477.05</v>
      </c>
      <c r="O382" s="2">
        <f t="shared" si="33"/>
        <v>-0.13738123780581857</v>
      </c>
      <c r="P382" s="2"/>
    </row>
    <row r="383" spans="1:16" x14ac:dyDescent="0.3">
      <c r="A383" s="3">
        <v>44757</v>
      </c>
      <c r="B383" s="2">
        <v>16010.8</v>
      </c>
      <c r="C383" s="2">
        <v>16066.95</v>
      </c>
      <c r="D383" s="2">
        <v>15927.3</v>
      </c>
      <c r="E383" s="2">
        <v>16049.2</v>
      </c>
      <c r="F383" s="2">
        <v>205768079</v>
      </c>
      <c r="G383" s="2">
        <v>17031.43</v>
      </c>
      <c r="H383" s="2">
        <f t="shared" si="37"/>
        <v>15806.720000000001</v>
      </c>
      <c r="I383" s="2">
        <f t="shared" si="38"/>
        <v>16034.256000000003</v>
      </c>
      <c r="J383" s="2">
        <f t="shared" si="36"/>
        <v>17089.614999999983</v>
      </c>
      <c r="K383" s="2">
        <f t="shared" si="34"/>
        <v>110.55000000000109</v>
      </c>
      <c r="L383" s="7">
        <f t="shared" si="32"/>
        <v>6.9047143178355298E-3</v>
      </c>
      <c r="M383" s="9"/>
      <c r="N383" s="2">
        <f t="shared" si="35"/>
        <v>18477.05</v>
      </c>
      <c r="O383" s="2">
        <f t="shared" si="33"/>
        <v>-0.13139813985457627</v>
      </c>
      <c r="P383" s="2"/>
    </row>
    <row r="384" spans="1:16" x14ac:dyDescent="0.3">
      <c r="A384" s="3">
        <v>44760</v>
      </c>
      <c r="B384" s="2">
        <v>16151.4</v>
      </c>
      <c r="C384" s="2">
        <v>16287.95</v>
      </c>
      <c r="D384" s="2">
        <v>16142.2</v>
      </c>
      <c r="E384" s="2">
        <v>16278.5</v>
      </c>
      <c r="F384" s="2">
        <v>227744850</v>
      </c>
      <c r="G384" s="2">
        <v>19420.93</v>
      </c>
      <c r="H384" s="2">
        <f t="shared" si="37"/>
        <v>15844.505000000001</v>
      </c>
      <c r="I384" s="2">
        <f t="shared" si="38"/>
        <v>16027.014999999999</v>
      </c>
      <c r="J384" s="2">
        <f t="shared" si="36"/>
        <v>17080.585499999983</v>
      </c>
      <c r="K384" s="2">
        <f t="shared" si="34"/>
        <v>229.29999999999927</v>
      </c>
      <c r="L384" s="7">
        <f t="shared" si="32"/>
        <v>1.4196911722822744E-2</v>
      </c>
      <c r="M384" s="9"/>
      <c r="N384" s="2">
        <f t="shared" si="35"/>
        <v>18477.05</v>
      </c>
      <c r="O384" s="2">
        <f t="shared" si="33"/>
        <v>-0.11898815016466369</v>
      </c>
      <c r="P384" s="2"/>
    </row>
    <row r="385" spans="1:16" x14ac:dyDescent="0.3">
      <c r="A385" s="3">
        <v>44761</v>
      </c>
      <c r="B385" s="2">
        <v>16187.05</v>
      </c>
      <c r="C385" s="2">
        <v>16359.5</v>
      </c>
      <c r="D385" s="2">
        <v>16187.05</v>
      </c>
      <c r="E385" s="2">
        <v>16340.55</v>
      </c>
      <c r="F385" s="2">
        <v>222630928</v>
      </c>
      <c r="G385" s="2">
        <v>18068.59</v>
      </c>
      <c r="H385" s="2">
        <f t="shared" si="37"/>
        <v>15890.922500000001</v>
      </c>
      <c r="I385" s="2">
        <f t="shared" si="38"/>
        <v>16026.547999999999</v>
      </c>
      <c r="J385" s="2">
        <f t="shared" si="36"/>
        <v>17073.234999999982</v>
      </c>
      <c r="K385" s="2">
        <f t="shared" si="34"/>
        <v>62.049999999999272</v>
      </c>
      <c r="L385" s="7">
        <f t="shared" si="32"/>
        <v>3.8333111962957594E-3</v>
      </c>
      <c r="M385" s="9"/>
      <c r="N385" s="2">
        <f t="shared" si="35"/>
        <v>18477.05</v>
      </c>
      <c r="O385" s="2">
        <f t="shared" si="33"/>
        <v>-0.11562993010247846</v>
      </c>
      <c r="P385" s="2"/>
    </row>
    <row r="386" spans="1:16" x14ac:dyDescent="0.3">
      <c r="A386" s="3">
        <v>44762</v>
      </c>
      <c r="B386" s="2">
        <v>16562.8</v>
      </c>
      <c r="C386" s="2">
        <v>16588</v>
      </c>
      <c r="D386" s="2">
        <v>16490.95</v>
      </c>
      <c r="E386" s="2">
        <v>16520.849999999999</v>
      </c>
      <c r="F386" s="2">
        <v>284359582</v>
      </c>
      <c r="G386" s="2">
        <v>22061.81</v>
      </c>
      <c r="H386" s="2">
        <f t="shared" si="37"/>
        <v>15926.01</v>
      </c>
      <c r="I386" s="2">
        <f t="shared" si="38"/>
        <v>16028.558000000001</v>
      </c>
      <c r="J386" s="2">
        <f t="shared" si="36"/>
        <v>17066.381249999984</v>
      </c>
      <c r="K386" s="2">
        <f t="shared" si="34"/>
        <v>180.29999999999927</v>
      </c>
      <c r="L386" s="7">
        <f t="shared" si="32"/>
        <v>1.0885840558359654E-2</v>
      </c>
      <c r="M386" s="9"/>
      <c r="N386" s="2">
        <f t="shared" si="35"/>
        <v>18477.05</v>
      </c>
      <c r="O386" s="2">
        <f t="shared" si="33"/>
        <v>-0.10587187889841732</v>
      </c>
      <c r="P386" s="2"/>
    </row>
    <row r="387" spans="1:16" x14ac:dyDescent="0.3">
      <c r="A387" s="3">
        <v>44763</v>
      </c>
      <c r="B387" s="2">
        <v>16523.55</v>
      </c>
      <c r="C387" s="2">
        <v>16626.95</v>
      </c>
      <c r="D387" s="2">
        <v>16483.900000000001</v>
      </c>
      <c r="E387" s="2">
        <v>16605.25</v>
      </c>
      <c r="F387" s="2">
        <v>243625339</v>
      </c>
      <c r="G387" s="2">
        <v>20603.169999999998</v>
      </c>
      <c r="H387" s="2">
        <f t="shared" si="37"/>
        <v>15981.387499999997</v>
      </c>
      <c r="I387" s="2">
        <f t="shared" si="38"/>
        <v>16035.633</v>
      </c>
      <c r="J387" s="2">
        <f t="shared" si="36"/>
        <v>17060.894749999981</v>
      </c>
      <c r="K387" s="2">
        <f t="shared" si="34"/>
        <v>84.400000000001455</v>
      </c>
      <c r="L387" s="7">
        <f t="shared" ref="L387:L450" si="39">(K387/(B387))</f>
        <v>5.1078612041602113E-3</v>
      </c>
      <c r="M387" s="9"/>
      <c r="N387" s="2">
        <f t="shared" si="35"/>
        <v>18477.05</v>
      </c>
      <c r="O387" s="2">
        <f t="shared" ref="O387:O450" si="40">(E387/N387)-1</f>
        <v>-0.10130405015952215</v>
      </c>
      <c r="P387" s="2"/>
    </row>
    <row r="388" spans="1:16" x14ac:dyDescent="0.3">
      <c r="A388" s="3">
        <v>44764</v>
      </c>
      <c r="B388" s="2">
        <v>16661.25</v>
      </c>
      <c r="C388" s="2">
        <v>16752.25</v>
      </c>
      <c r="D388" s="2">
        <v>16610.900000000001</v>
      </c>
      <c r="E388" s="2">
        <v>16719.45</v>
      </c>
      <c r="F388" s="2">
        <v>190906776</v>
      </c>
      <c r="G388" s="2">
        <v>18600.11</v>
      </c>
      <c r="H388" s="2">
        <f t="shared" si="37"/>
        <v>16033.817499999999</v>
      </c>
      <c r="I388" s="2">
        <f t="shared" si="38"/>
        <v>16051.578000000001</v>
      </c>
      <c r="J388" s="2">
        <f t="shared" si="36"/>
        <v>17056.260749999983</v>
      </c>
      <c r="K388" s="2">
        <f t="shared" ref="K388:K451" si="41">E388-E387</f>
        <v>114.20000000000073</v>
      </c>
      <c r="L388" s="7">
        <f t="shared" si="39"/>
        <v>6.8542276239778365E-3</v>
      </c>
      <c r="M388" s="9"/>
      <c r="N388" s="2">
        <f t="shared" si="35"/>
        <v>18477.05</v>
      </c>
      <c r="O388" s="2">
        <f t="shared" si="40"/>
        <v>-9.5123409851680774E-2</v>
      </c>
      <c r="P388" s="2"/>
    </row>
    <row r="389" spans="1:16" x14ac:dyDescent="0.3">
      <c r="A389" s="3">
        <v>44767</v>
      </c>
      <c r="B389" s="2">
        <v>16662.55</v>
      </c>
      <c r="C389" s="2">
        <v>16706.05</v>
      </c>
      <c r="D389" s="2">
        <v>16564.25</v>
      </c>
      <c r="E389" s="2">
        <v>16631</v>
      </c>
      <c r="F389" s="2">
        <v>211392171</v>
      </c>
      <c r="G389" s="2">
        <v>19384.43</v>
      </c>
      <c r="H389" s="2">
        <f t="shared" si="37"/>
        <v>16084.827499999999</v>
      </c>
      <c r="I389" s="2">
        <f t="shared" si="38"/>
        <v>16070.324000000001</v>
      </c>
      <c r="J389" s="2">
        <f t="shared" si="36"/>
        <v>17051.401749999983</v>
      </c>
      <c r="K389" s="2">
        <f t="shared" si="41"/>
        <v>-88.450000000000728</v>
      </c>
      <c r="L389" s="7">
        <f t="shared" si="39"/>
        <v>-5.3083111528547987E-3</v>
      </c>
      <c r="M389" s="9"/>
      <c r="N389" s="2">
        <f t="shared" ref="N389:N452" si="42">MAX(N388,E389)</f>
        <v>18477.05</v>
      </c>
      <c r="O389" s="2">
        <f t="shared" si="40"/>
        <v>-9.9910429424610481E-2</v>
      </c>
      <c r="P389" s="2"/>
    </row>
    <row r="390" spans="1:16" x14ac:dyDescent="0.3">
      <c r="A390" s="3">
        <v>44768</v>
      </c>
      <c r="B390" s="2">
        <v>16632.900000000001</v>
      </c>
      <c r="C390" s="2">
        <v>16636.099999999999</v>
      </c>
      <c r="D390" s="2">
        <v>16463.3</v>
      </c>
      <c r="E390" s="2">
        <v>16483.849999999999</v>
      </c>
      <c r="F390" s="2">
        <v>208208122</v>
      </c>
      <c r="G390" s="2">
        <v>20087.54</v>
      </c>
      <c r="H390" s="2">
        <f t="shared" si="37"/>
        <v>16124.775</v>
      </c>
      <c r="I390" s="2">
        <f t="shared" si="38"/>
        <v>16086.098</v>
      </c>
      <c r="J390" s="2">
        <f t="shared" si="36"/>
        <v>17045.445249999986</v>
      </c>
      <c r="K390" s="2">
        <f t="shared" si="41"/>
        <v>-147.15000000000146</v>
      </c>
      <c r="L390" s="7">
        <f t="shared" si="39"/>
        <v>-8.8469238677561599E-3</v>
      </c>
      <c r="M390" s="9"/>
      <c r="N390" s="2">
        <f t="shared" si="42"/>
        <v>18477.05</v>
      </c>
      <c r="O390" s="2">
        <f t="shared" si="40"/>
        <v>-0.10787436306120302</v>
      </c>
      <c r="P390" s="2"/>
    </row>
    <row r="391" spans="1:16" x14ac:dyDescent="0.3">
      <c r="A391" s="3">
        <v>44769</v>
      </c>
      <c r="B391" s="2">
        <v>16475.349999999999</v>
      </c>
      <c r="C391" s="2">
        <v>16653.45</v>
      </c>
      <c r="D391" s="2">
        <v>16438.75</v>
      </c>
      <c r="E391" s="2">
        <v>16641.8</v>
      </c>
      <c r="F391" s="2">
        <v>185210970</v>
      </c>
      <c r="G391" s="2">
        <v>17608.03</v>
      </c>
      <c r="H391" s="2">
        <f t="shared" si="37"/>
        <v>16156.457499999999</v>
      </c>
      <c r="I391" s="2">
        <f t="shared" si="38"/>
        <v>16090.589</v>
      </c>
      <c r="J391" s="2">
        <f t="shared" si="36"/>
        <v>17039.634499999986</v>
      </c>
      <c r="K391" s="2">
        <f t="shared" si="41"/>
        <v>157.95000000000073</v>
      </c>
      <c r="L391" s="7">
        <f t="shared" si="39"/>
        <v>9.5870497440115523E-3</v>
      </c>
      <c r="M391" s="9"/>
      <c r="N391" s="2">
        <f t="shared" si="42"/>
        <v>18477.05</v>
      </c>
      <c r="O391" s="2">
        <f t="shared" si="40"/>
        <v>-9.9325920533851475E-2</v>
      </c>
      <c r="P391" s="2"/>
    </row>
    <row r="392" spans="1:16" x14ac:dyDescent="0.3">
      <c r="A392" s="3">
        <v>44770</v>
      </c>
      <c r="B392" s="2">
        <v>16774.849999999999</v>
      </c>
      <c r="C392" s="2">
        <v>16947.650000000001</v>
      </c>
      <c r="D392" s="2">
        <v>16746.25</v>
      </c>
      <c r="E392" s="2">
        <v>16929.599999999999</v>
      </c>
      <c r="F392" s="2">
        <v>376256315</v>
      </c>
      <c r="G392" s="2">
        <v>26674.28</v>
      </c>
      <c r="H392" s="2">
        <f t="shared" si="37"/>
        <v>16198.592499999999</v>
      </c>
      <c r="I392" s="2">
        <f t="shared" si="38"/>
        <v>16098.619000000001</v>
      </c>
      <c r="J392" s="2">
        <f t="shared" si="36"/>
        <v>17033.891749999984</v>
      </c>
      <c r="K392" s="2">
        <f t="shared" si="41"/>
        <v>287.79999999999927</v>
      </c>
      <c r="L392" s="7">
        <f t="shared" si="39"/>
        <v>1.7156636273945775E-2</v>
      </c>
      <c r="M392" s="9"/>
      <c r="N392" s="2">
        <f t="shared" si="42"/>
        <v>18477.05</v>
      </c>
      <c r="O392" s="2">
        <f t="shared" si="40"/>
        <v>-8.3749841018993854E-2</v>
      </c>
      <c r="P392" s="2"/>
    </row>
    <row r="393" spans="1:16" x14ac:dyDescent="0.3">
      <c r="A393" s="3">
        <v>44771</v>
      </c>
      <c r="B393" s="2">
        <v>17079.5</v>
      </c>
      <c r="C393" s="2">
        <v>17172.8</v>
      </c>
      <c r="D393" s="2">
        <v>17018.150000000001</v>
      </c>
      <c r="E393" s="2">
        <v>17158.25</v>
      </c>
      <c r="F393" s="2">
        <v>436059722</v>
      </c>
      <c r="G393" s="2">
        <v>28241.29</v>
      </c>
      <c r="H393" s="2">
        <f t="shared" si="37"/>
        <v>16256.059999999998</v>
      </c>
      <c r="I393" s="2">
        <f t="shared" si="38"/>
        <v>16121.023000000001</v>
      </c>
      <c r="J393" s="2">
        <f t="shared" si="36"/>
        <v>17029.063749999983</v>
      </c>
      <c r="K393" s="2">
        <f t="shared" si="41"/>
        <v>228.65000000000146</v>
      </c>
      <c r="L393" s="7">
        <f t="shared" si="39"/>
        <v>1.3387394244562279E-2</v>
      </c>
      <c r="M393" s="9"/>
      <c r="N393" s="2">
        <f t="shared" si="42"/>
        <v>18477.05</v>
      </c>
      <c r="O393" s="2">
        <f t="shared" si="40"/>
        <v>-7.1375030104913861E-2</v>
      </c>
      <c r="P393" s="2"/>
    </row>
    <row r="394" spans="1:16" x14ac:dyDescent="0.3">
      <c r="A394" s="3">
        <v>44774</v>
      </c>
      <c r="B394" s="2">
        <v>17243.2</v>
      </c>
      <c r="C394" s="2">
        <v>17356.25</v>
      </c>
      <c r="D394" s="2">
        <v>17154.8</v>
      </c>
      <c r="E394" s="2">
        <v>17340.05</v>
      </c>
      <c r="F394" s="2">
        <v>381532671</v>
      </c>
      <c r="G394" s="2">
        <v>23221.040000000001</v>
      </c>
      <c r="H394" s="2">
        <f t="shared" si="37"/>
        <v>16326.369999999999</v>
      </c>
      <c r="I394" s="2">
        <f t="shared" si="38"/>
        <v>16138.865</v>
      </c>
      <c r="J394" s="2">
        <f t="shared" si="36"/>
        <v>17025.125249999983</v>
      </c>
      <c r="K394" s="2">
        <f t="shared" si="41"/>
        <v>181.79999999999927</v>
      </c>
      <c r="L394" s="7">
        <f t="shared" si="39"/>
        <v>1.0543286628931942E-2</v>
      </c>
      <c r="M394" s="9"/>
      <c r="N394" s="2">
        <f t="shared" si="42"/>
        <v>18477.05</v>
      </c>
      <c r="O394" s="2">
        <f t="shared" si="40"/>
        <v>-6.1535797110469526E-2</v>
      </c>
      <c r="P394" s="2"/>
    </row>
    <row r="395" spans="1:16" x14ac:dyDescent="0.3">
      <c r="A395" s="3">
        <v>44775</v>
      </c>
      <c r="B395" s="2">
        <v>17310.150000000001</v>
      </c>
      <c r="C395" s="2">
        <v>17390.150000000001</v>
      </c>
      <c r="D395" s="2">
        <v>17215.849999999999</v>
      </c>
      <c r="E395" s="2">
        <v>17345.45</v>
      </c>
      <c r="F395" s="2">
        <v>333639093</v>
      </c>
      <c r="G395" s="2">
        <v>22576.94</v>
      </c>
      <c r="H395" s="2">
        <f t="shared" si="37"/>
        <v>16401.605</v>
      </c>
      <c r="I395" s="2">
        <f t="shared" si="38"/>
        <v>16161.371999999999</v>
      </c>
      <c r="J395" s="2">
        <f t="shared" ref="J395:J458" si="43">AVERAGE(E195:E394)</f>
        <v>17021.865749999983</v>
      </c>
      <c r="K395" s="2">
        <f t="shared" si="41"/>
        <v>5.4000000000014552</v>
      </c>
      <c r="L395" s="7">
        <f t="shared" si="39"/>
        <v>3.1195570229035883E-4</v>
      </c>
      <c r="M395" s="9"/>
      <c r="N395" s="2">
        <f t="shared" si="42"/>
        <v>18477.05</v>
      </c>
      <c r="O395" s="2">
        <f t="shared" si="40"/>
        <v>-6.1243542665089912E-2</v>
      </c>
      <c r="P395" s="2"/>
    </row>
    <row r="396" spans="1:16" x14ac:dyDescent="0.3">
      <c r="A396" s="3">
        <v>44776</v>
      </c>
      <c r="B396" s="2">
        <v>17349.25</v>
      </c>
      <c r="C396" s="2">
        <v>17407.5</v>
      </c>
      <c r="D396" s="2">
        <v>17225.849999999999</v>
      </c>
      <c r="E396" s="2">
        <v>17388.150000000001</v>
      </c>
      <c r="F396" s="2">
        <v>285414666</v>
      </c>
      <c r="G396" s="2">
        <v>20842.13</v>
      </c>
      <c r="H396" s="2">
        <f t="shared" si="37"/>
        <v>16478.334999999999</v>
      </c>
      <c r="I396" s="2">
        <f t="shared" si="38"/>
        <v>16185.777999999998</v>
      </c>
      <c r="J396" s="2">
        <f t="shared" si="43"/>
        <v>17017.784249999982</v>
      </c>
      <c r="K396" s="2">
        <f t="shared" si="41"/>
        <v>42.700000000000728</v>
      </c>
      <c r="L396" s="7">
        <f t="shared" si="39"/>
        <v>2.4612014928599639E-3</v>
      </c>
      <c r="M396" s="9"/>
      <c r="N396" s="2">
        <f t="shared" si="42"/>
        <v>18477.05</v>
      </c>
      <c r="O396" s="2">
        <f t="shared" si="40"/>
        <v>-5.8932567698847915E-2</v>
      </c>
      <c r="P396" s="2"/>
    </row>
    <row r="397" spans="1:16" x14ac:dyDescent="0.3">
      <c r="A397" s="3">
        <v>44777</v>
      </c>
      <c r="B397" s="2">
        <v>17463.099999999999</v>
      </c>
      <c r="C397" s="2">
        <v>17490.7</v>
      </c>
      <c r="D397" s="2">
        <v>17161.25</v>
      </c>
      <c r="E397" s="2">
        <v>17382</v>
      </c>
      <c r="F397" s="2">
        <v>324981426</v>
      </c>
      <c r="G397" s="2">
        <v>21848.21</v>
      </c>
      <c r="H397" s="2">
        <f t="shared" si="37"/>
        <v>16548.252500000002</v>
      </c>
      <c r="I397" s="2">
        <f t="shared" si="38"/>
        <v>16213.025</v>
      </c>
      <c r="J397" s="2">
        <f t="shared" si="43"/>
        <v>17013.032249999986</v>
      </c>
      <c r="K397" s="2">
        <f t="shared" si="41"/>
        <v>-6.1500000000014552</v>
      </c>
      <c r="L397" s="7">
        <f t="shared" si="39"/>
        <v>-3.5217114945235698E-4</v>
      </c>
      <c r="M397" s="9"/>
      <c r="N397" s="2">
        <f t="shared" si="42"/>
        <v>18477.05</v>
      </c>
      <c r="O397" s="2">
        <f t="shared" si="40"/>
        <v>-5.9265413039419124E-2</v>
      </c>
      <c r="P397" s="2"/>
    </row>
    <row r="398" spans="1:16" x14ac:dyDescent="0.3">
      <c r="A398" s="3">
        <v>44778</v>
      </c>
      <c r="B398" s="2">
        <v>17423.650000000001</v>
      </c>
      <c r="C398" s="2">
        <v>17474.400000000001</v>
      </c>
      <c r="D398" s="2">
        <v>17348.75</v>
      </c>
      <c r="E398" s="2">
        <v>17397.5</v>
      </c>
      <c r="F398" s="2">
        <v>355310802</v>
      </c>
      <c r="G398" s="2">
        <v>20013.14</v>
      </c>
      <c r="H398" s="2">
        <f t="shared" si="37"/>
        <v>16610.7075</v>
      </c>
      <c r="I398" s="2">
        <f t="shared" si="38"/>
        <v>16237.261999999999</v>
      </c>
      <c r="J398" s="2">
        <f t="shared" si="43"/>
        <v>17007.556999999983</v>
      </c>
      <c r="K398" s="2">
        <f t="shared" si="41"/>
        <v>15.5</v>
      </c>
      <c r="L398" s="7">
        <f t="shared" si="39"/>
        <v>8.8959546363706794E-4</v>
      </c>
      <c r="M398" s="9"/>
      <c r="N398" s="2">
        <f t="shared" si="42"/>
        <v>18477.05</v>
      </c>
      <c r="O398" s="2">
        <f t="shared" si="40"/>
        <v>-5.8426534538792652E-2</v>
      </c>
      <c r="P398" s="2"/>
    </row>
    <row r="399" spans="1:16" x14ac:dyDescent="0.3">
      <c r="A399" s="3">
        <v>44781</v>
      </c>
      <c r="B399" s="2">
        <v>17401.5</v>
      </c>
      <c r="C399" s="2">
        <v>17548.8</v>
      </c>
      <c r="D399" s="2">
        <v>17359.75</v>
      </c>
      <c r="E399" s="2">
        <v>17525.099999999999</v>
      </c>
      <c r="F399" s="2">
        <v>256994113</v>
      </c>
      <c r="G399" s="2">
        <v>18475.21</v>
      </c>
      <c r="H399" s="2">
        <f t="shared" si="37"/>
        <v>16669.552500000002</v>
      </c>
      <c r="I399" s="2">
        <f t="shared" si="38"/>
        <v>16258.162999999999</v>
      </c>
      <c r="J399" s="2">
        <f t="shared" si="43"/>
        <v>17002.450749999985</v>
      </c>
      <c r="K399" s="2">
        <f t="shared" si="41"/>
        <v>127.59999999999854</v>
      </c>
      <c r="L399" s="7">
        <f t="shared" si="39"/>
        <v>7.3327012039191191E-3</v>
      </c>
      <c r="M399" s="9"/>
      <c r="N399" s="2">
        <f t="shared" si="42"/>
        <v>18477.05</v>
      </c>
      <c r="O399" s="2">
        <f t="shared" si="40"/>
        <v>-5.1520670236861466E-2</v>
      </c>
      <c r="P399" s="2"/>
    </row>
    <row r="400" spans="1:16" x14ac:dyDescent="0.3">
      <c r="A400" s="3">
        <v>44783</v>
      </c>
      <c r="B400" s="2">
        <v>17566.099999999999</v>
      </c>
      <c r="C400" s="2">
        <v>17566.099999999999</v>
      </c>
      <c r="D400" s="2">
        <v>17442.8</v>
      </c>
      <c r="E400" s="2">
        <v>17534.75</v>
      </c>
      <c r="F400" s="2">
        <v>312716544</v>
      </c>
      <c r="G400" s="2">
        <v>21952.35</v>
      </c>
      <c r="H400" s="2">
        <f t="shared" si="37"/>
        <v>16735.0075</v>
      </c>
      <c r="I400" s="2">
        <f t="shared" si="38"/>
        <v>16275.436999999998</v>
      </c>
      <c r="J400" s="2">
        <f t="shared" si="43"/>
        <v>16998.743249999985</v>
      </c>
      <c r="K400" s="2">
        <f t="shared" si="41"/>
        <v>9.6500000000014552</v>
      </c>
      <c r="L400" s="7">
        <f t="shared" si="39"/>
        <v>5.4935358446106173E-4</v>
      </c>
      <c r="M400" s="9"/>
      <c r="N400" s="2">
        <f t="shared" si="42"/>
        <v>18477.05</v>
      </c>
      <c r="O400" s="2">
        <f t="shared" si="40"/>
        <v>-5.0998400718729409E-2</v>
      </c>
      <c r="P400" s="2"/>
    </row>
    <row r="401" spans="1:16" x14ac:dyDescent="0.3">
      <c r="A401" s="3">
        <v>44784</v>
      </c>
      <c r="B401" s="2">
        <v>17711.650000000001</v>
      </c>
      <c r="C401" s="2">
        <v>17719.3</v>
      </c>
      <c r="D401" s="2">
        <v>17631.95</v>
      </c>
      <c r="E401" s="2">
        <v>17659</v>
      </c>
      <c r="F401" s="2">
        <v>311247237</v>
      </c>
      <c r="G401" s="2">
        <v>20476.53</v>
      </c>
      <c r="H401" s="2">
        <f t="shared" si="37"/>
        <v>16808.829999999998</v>
      </c>
      <c r="I401" s="2">
        <f t="shared" si="38"/>
        <v>16294.440999999999</v>
      </c>
      <c r="J401" s="2">
        <f t="shared" si="43"/>
        <v>16995.526499999985</v>
      </c>
      <c r="K401" s="2">
        <f t="shared" si="41"/>
        <v>124.25</v>
      </c>
      <c r="L401" s="7">
        <f t="shared" si="39"/>
        <v>7.0151566906527622E-3</v>
      </c>
      <c r="M401" s="9"/>
      <c r="N401" s="2">
        <f t="shared" si="42"/>
        <v>18477.05</v>
      </c>
      <c r="O401" s="2">
        <f t="shared" si="40"/>
        <v>-4.4273842415320619E-2</v>
      </c>
      <c r="P401" s="2"/>
    </row>
    <row r="402" spans="1:16" x14ac:dyDescent="0.3">
      <c r="A402" s="3">
        <v>44785</v>
      </c>
      <c r="B402" s="2">
        <v>17659.650000000001</v>
      </c>
      <c r="C402" s="2">
        <v>17724.650000000001</v>
      </c>
      <c r="D402" s="2">
        <v>17597.849999999999</v>
      </c>
      <c r="E402" s="2">
        <v>17698.150000000001</v>
      </c>
      <c r="F402" s="2">
        <v>303872483</v>
      </c>
      <c r="G402" s="2">
        <v>18422.47</v>
      </c>
      <c r="H402" s="2">
        <f t="shared" si="37"/>
        <v>16893.447499999998</v>
      </c>
      <c r="I402" s="2">
        <f t="shared" si="38"/>
        <v>16317.165999999999</v>
      </c>
      <c r="J402" s="2">
        <f t="shared" si="43"/>
        <v>16993.246999999985</v>
      </c>
      <c r="K402" s="2">
        <f t="shared" si="41"/>
        <v>39.150000000001455</v>
      </c>
      <c r="L402" s="7">
        <f t="shared" si="39"/>
        <v>2.2169182288438024E-3</v>
      </c>
      <c r="M402" s="9"/>
      <c r="N402" s="2">
        <f t="shared" si="42"/>
        <v>18477.05</v>
      </c>
      <c r="O402" s="2">
        <f t="shared" si="40"/>
        <v>-4.2154997686318807E-2</v>
      </c>
      <c r="P402" s="2"/>
    </row>
    <row r="403" spans="1:16" x14ac:dyDescent="0.3">
      <c r="A403" s="3">
        <v>44789</v>
      </c>
      <c r="B403" s="2">
        <v>17797.2</v>
      </c>
      <c r="C403" s="2">
        <v>17839.099999999999</v>
      </c>
      <c r="D403" s="2">
        <v>17764.05</v>
      </c>
      <c r="E403" s="2">
        <v>17825.25</v>
      </c>
      <c r="F403" s="2">
        <v>278042725</v>
      </c>
      <c r="G403" s="2">
        <v>18495.27</v>
      </c>
      <c r="H403" s="2">
        <f t="shared" si="37"/>
        <v>16981.422499999997</v>
      </c>
      <c r="I403" s="2">
        <f t="shared" si="38"/>
        <v>16338.569</v>
      </c>
      <c r="J403" s="2">
        <f t="shared" si="43"/>
        <v>16991.110749999985</v>
      </c>
      <c r="K403" s="2">
        <f t="shared" si="41"/>
        <v>127.09999999999854</v>
      </c>
      <c r="L403" s="7">
        <f t="shared" si="39"/>
        <v>7.141572831681306E-3</v>
      </c>
      <c r="M403" s="9"/>
      <c r="N403" s="2">
        <f t="shared" si="42"/>
        <v>18477.05</v>
      </c>
      <c r="O403" s="2">
        <f t="shared" si="40"/>
        <v>-3.527619398118198E-2</v>
      </c>
      <c r="P403" s="2"/>
    </row>
    <row r="404" spans="1:16" x14ac:dyDescent="0.3">
      <c r="A404" s="3">
        <v>44790</v>
      </c>
      <c r="B404" s="2">
        <v>17868.150000000001</v>
      </c>
      <c r="C404" s="2">
        <v>17965.95</v>
      </c>
      <c r="D404" s="2">
        <v>17833.349999999999</v>
      </c>
      <c r="E404" s="2">
        <v>17944.25</v>
      </c>
      <c r="F404" s="2">
        <v>262768582</v>
      </c>
      <c r="G404" s="2">
        <v>21209.54</v>
      </c>
      <c r="H404" s="2">
        <f t="shared" si="37"/>
        <v>17070.224999999999</v>
      </c>
      <c r="I404" s="2">
        <f t="shared" si="38"/>
        <v>16363.387999999999</v>
      </c>
      <c r="J404" s="2">
        <f t="shared" si="43"/>
        <v>16988.894999999986</v>
      </c>
      <c r="K404" s="2">
        <f t="shared" si="41"/>
        <v>119</v>
      </c>
      <c r="L404" s="7">
        <f t="shared" si="39"/>
        <v>6.6598948408201179E-3</v>
      </c>
      <c r="M404" s="9"/>
      <c r="N404" s="2">
        <f t="shared" si="42"/>
        <v>18477.05</v>
      </c>
      <c r="O404" s="2">
        <f t="shared" si="40"/>
        <v>-2.8835771944114463E-2</v>
      </c>
      <c r="P404" s="2"/>
    </row>
    <row r="405" spans="1:16" x14ac:dyDescent="0.3">
      <c r="A405" s="3">
        <v>44791</v>
      </c>
      <c r="B405" s="2">
        <v>17898.650000000001</v>
      </c>
      <c r="C405" s="2">
        <v>17968.45</v>
      </c>
      <c r="D405" s="2">
        <v>17852.05</v>
      </c>
      <c r="E405" s="2">
        <v>17956.5</v>
      </c>
      <c r="F405" s="2">
        <v>263914197</v>
      </c>
      <c r="G405" s="2">
        <v>18441.68</v>
      </c>
      <c r="H405" s="2">
        <f t="shared" si="37"/>
        <v>17153.512500000001</v>
      </c>
      <c r="I405" s="2">
        <f t="shared" si="38"/>
        <v>16390.881999999998</v>
      </c>
      <c r="J405" s="2">
        <f t="shared" si="43"/>
        <v>16987.561499999985</v>
      </c>
      <c r="K405" s="2">
        <f t="shared" si="41"/>
        <v>12.25</v>
      </c>
      <c r="L405" s="7">
        <f t="shared" si="39"/>
        <v>6.8440915935000679E-4</v>
      </c>
      <c r="M405" s="9"/>
      <c r="N405" s="2">
        <f t="shared" si="42"/>
        <v>18477.05</v>
      </c>
      <c r="O405" s="2">
        <f t="shared" si="40"/>
        <v>-2.8172787322651605E-2</v>
      </c>
      <c r="P405" s="2"/>
    </row>
    <row r="406" spans="1:16" x14ac:dyDescent="0.3">
      <c r="A406" s="3">
        <v>44792</v>
      </c>
      <c r="B406" s="2">
        <v>17966.55</v>
      </c>
      <c r="C406" s="2">
        <v>17992.2</v>
      </c>
      <c r="D406" s="2">
        <v>17710.75</v>
      </c>
      <c r="E406" s="2">
        <v>17758.45</v>
      </c>
      <c r="F406" s="2">
        <v>295627263</v>
      </c>
      <c r="G406" s="2">
        <v>21531.99</v>
      </c>
      <c r="H406" s="2">
        <f t="shared" si="37"/>
        <v>17234.310000000001</v>
      </c>
      <c r="I406" s="2">
        <f t="shared" si="38"/>
        <v>16421.684999999998</v>
      </c>
      <c r="J406" s="2">
        <f t="shared" si="43"/>
        <v>16988.057749999985</v>
      </c>
      <c r="K406" s="2">
        <f t="shared" si="41"/>
        <v>-198.04999999999927</v>
      </c>
      <c r="L406" s="7">
        <f t="shared" si="39"/>
        <v>-1.1023262674247381E-2</v>
      </c>
      <c r="M406" s="9"/>
      <c r="N406" s="2">
        <f t="shared" si="42"/>
        <v>18477.05</v>
      </c>
      <c r="O406" s="2">
        <f t="shared" si="40"/>
        <v>-3.8891489712914007E-2</v>
      </c>
      <c r="P406" s="2"/>
    </row>
    <row r="407" spans="1:16" x14ac:dyDescent="0.3">
      <c r="A407" s="3">
        <v>44795</v>
      </c>
      <c r="B407" s="2">
        <v>17682.900000000001</v>
      </c>
      <c r="C407" s="2">
        <v>17690.05</v>
      </c>
      <c r="D407" s="2">
        <v>17467.349999999999</v>
      </c>
      <c r="E407" s="2">
        <v>17490.7</v>
      </c>
      <c r="F407" s="2">
        <v>287559133</v>
      </c>
      <c r="G407" s="2">
        <v>19605.439999999999</v>
      </c>
      <c r="H407" s="2">
        <f t="shared" ref="H407:H470" si="44">AVERAGE(E387:E406)</f>
        <v>17296.189999999999</v>
      </c>
      <c r="I407" s="2">
        <f t="shared" si="38"/>
        <v>16449.728999999996</v>
      </c>
      <c r="J407" s="2">
        <f t="shared" si="43"/>
        <v>16988.491749999986</v>
      </c>
      <c r="K407" s="2">
        <f t="shared" si="41"/>
        <v>-267.75</v>
      </c>
      <c r="L407" s="7">
        <f t="shared" si="39"/>
        <v>-1.5141747111616305E-2</v>
      </c>
      <c r="M407" s="9"/>
      <c r="N407" s="2">
        <f t="shared" si="42"/>
        <v>18477.05</v>
      </c>
      <c r="O407" s="2">
        <f t="shared" si="40"/>
        <v>-5.3382439296316142E-2</v>
      </c>
      <c r="P407" s="2"/>
    </row>
    <row r="408" spans="1:16" x14ac:dyDescent="0.3">
      <c r="A408" s="3">
        <v>44796</v>
      </c>
      <c r="B408" s="2">
        <v>17357.349999999999</v>
      </c>
      <c r="C408" s="2">
        <v>17625.55</v>
      </c>
      <c r="D408" s="2">
        <v>17345.2</v>
      </c>
      <c r="E408" s="2">
        <v>17577.5</v>
      </c>
      <c r="F408" s="2">
        <v>285616338</v>
      </c>
      <c r="G408" s="2">
        <v>20365.8</v>
      </c>
      <c r="H408" s="2">
        <f t="shared" si="44"/>
        <v>17340.462500000001</v>
      </c>
      <c r="I408" s="2">
        <f t="shared" si="38"/>
        <v>16469.981</v>
      </c>
      <c r="J408" s="2">
        <f t="shared" si="43"/>
        <v>16986.296999999988</v>
      </c>
      <c r="K408" s="2">
        <f t="shared" si="41"/>
        <v>86.799999999999272</v>
      </c>
      <c r="L408" s="7">
        <f t="shared" si="39"/>
        <v>5.0007633653754331E-3</v>
      </c>
      <c r="M408" s="9"/>
      <c r="N408" s="2">
        <f t="shared" si="42"/>
        <v>18477.05</v>
      </c>
      <c r="O408" s="2">
        <f t="shared" si="40"/>
        <v>-4.8684719692808076E-2</v>
      </c>
      <c r="P408" s="2"/>
    </row>
    <row r="409" spans="1:16" x14ac:dyDescent="0.3">
      <c r="A409" s="3">
        <v>44797</v>
      </c>
      <c r="B409" s="2">
        <v>17525.45</v>
      </c>
      <c r="C409" s="2">
        <v>17623.650000000001</v>
      </c>
      <c r="D409" s="2">
        <v>17499.25</v>
      </c>
      <c r="E409" s="2">
        <v>17604.95</v>
      </c>
      <c r="F409" s="2">
        <v>261953239</v>
      </c>
      <c r="G409" s="2">
        <v>17819.88</v>
      </c>
      <c r="H409" s="2">
        <f t="shared" si="44"/>
        <v>17383.365000000002</v>
      </c>
      <c r="I409" s="2">
        <f t="shared" si="38"/>
        <v>16497.494999999999</v>
      </c>
      <c r="J409" s="2">
        <f t="shared" si="43"/>
        <v>16984.73974999999</v>
      </c>
      <c r="K409" s="2">
        <f t="shared" si="41"/>
        <v>27.450000000000728</v>
      </c>
      <c r="L409" s="7">
        <f t="shared" si="39"/>
        <v>1.5662935901788956E-3</v>
      </c>
      <c r="M409" s="9"/>
      <c r="N409" s="2">
        <f t="shared" si="42"/>
        <v>18477.05</v>
      </c>
      <c r="O409" s="2">
        <f t="shared" si="40"/>
        <v>-4.7199092928795428E-2</v>
      </c>
      <c r="P409" s="2"/>
    </row>
    <row r="410" spans="1:16" x14ac:dyDescent="0.3">
      <c r="A410" s="3">
        <v>44798</v>
      </c>
      <c r="B410" s="2">
        <v>17679</v>
      </c>
      <c r="C410" s="2">
        <v>17726.5</v>
      </c>
      <c r="D410" s="2">
        <v>17487.45</v>
      </c>
      <c r="E410" s="2">
        <v>17522.45</v>
      </c>
      <c r="F410" s="2">
        <v>230181848</v>
      </c>
      <c r="G410" s="2">
        <v>17566.7</v>
      </c>
      <c r="H410" s="2">
        <f t="shared" si="44"/>
        <v>17432.062500000004</v>
      </c>
      <c r="I410" s="2">
        <f t="shared" si="38"/>
        <v>16534.106</v>
      </c>
      <c r="J410" s="2">
        <f t="shared" si="43"/>
        <v>16983.61849999999</v>
      </c>
      <c r="K410" s="2">
        <f t="shared" si="41"/>
        <v>-82.5</v>
      </c>
      <c r="L410" s="7">
        <f t="shared" si="39"/>
        <v>-4.6665535380960464E-3</v>
      </c>
      <c r="M410" s="9"/>
      <c r="N410" s="2">
        <f t="shared" si="42"/>
        <v>18477.05</v>
      </c>
      <c r="O410" s="2">
        <f t="shared" si="40"/>
        <v>-5.1664091399871603E-2</v>
      </c>
      <c r="P410" s="2"/>
    </row>
    <row r="411" spans="1:16" x14ac:dyDescent="0.3">
      <c r="A411" s="3">
        <v>44799</v>
      </c>
      <c r="B411" s="2">
        <v>17619.3</v>
      </c>
      <c r="C411" s="2">
        <v>17685.849999999999</v>
      </c>
      <c r="D411" s="2">
        <v>17519.349999999999</v>
      </c>
      <c r="E411" s="2">
        <v>17558.900000000001</v>
      </c>
      <c r="F411" s="2">
        <v>266636238</v>
      </c>
      <c r="G411" s="2">
        <v>17500.8</v>
      </c>
      <c r="H411" s="2">
        <f t="shared" si="44"/>
        <v>17483.9925</v>
      </c>
      <c r="I411" s="2">
        <f t="shared" si="38"/>
        <v>16569.912999999997</v>
      </c>
      <c r="J411" s="2">
        <f t="shared" si="43"/>
        <v>16981.646749999993</v>
      </c>
      <c r="K411" s="2">
        <f t="shared" si="41"/>
        <v>36.450000000000728</v>
      </c>
      <c r="L411" s="7">
        <f t="shared" si="39"/>
        <v>2.0687541502784294E-3</v>
      </c>
      <c r="M411" s="9"/>
      <c r="N411" s="2">
        <f t="shared" si="42"/>
        <v>18477.05</v>
      </c>
      <c r="O411" s="2">
        <f t="shared" si="40"/>
        <v>-4.9691373893559709E-2</v>
      </c>
      <c r="P411" s="2"/>
    </row>
    <row r="412" spans="1:16" x14ac:dyDescent="0.3">
      <c r="A412" s="3">
        <v>44802</v>
      </c>
      <c r="B412" s="2">
        <v>17188.650000000001</v>
      </c>
      <c r="C412" s="2">
        <v>17380.150000000001</v>
      </c>
      <c r="D412" s="2">
        <v>17166.2</v>
      </c>
      <c r="E412" s="2">
        <v>17312.900000000001</v>
      </c>
      <c r="F412" s="2">
        <v>244854637</v>
      </c>
      <c r="G412" s="2">
        <v>19351.5</v>
      </c>
      <c r="H412" s="2">
        <f t="shared" si="44"/>
        <v>17529.847500000003</v>
      </c>
      <c r="I412" s="2">
        <f t="shared" si="38"/>
        <v>16607.247999999996</v>
      </c>
      <c r="J412" s="2">
        <f t="shared" si="43"/>
        <v>16979.098499999993</v>
      </c>
      <c r="K412" s="2">
        <f t="shared" si="41"/>
        <v>-246</v>
      </c>
      <c r="L412" s="7">
        <f t="shared" si="39"/>
        <v>-1.4311769685228333E-2</v>
      </c>
      <c r="M412" s="9"/>
      <c r="N412" s="2">
        <f t="shared" si="42"/>
        <v>18477.05</v>
      </c>
      <c r="O412" s="2">
        <f t="shared" si="40"/>
        <v>-6.3005187516405381E-2</v>
      </c>
      <c r="P412" s="2"/>
    </row>
    <row r="413" spans="1:16" x14ac:dyDescent="0.3">
      <c r="A413" s="3">
        <v>44803</v>
      </c>
      <c r="B413" s="2">
        <v>17414.95</v>
      </c>
      <c r="C413" s="2">
        <v>17777.650000000001</v>
      </c>
      <c r="D413" s="2">
        <v>17401.5</v>
      </c>
      <c r="E413" s="2">
        <v>17759.3</v>
      </c>
      <c r="F413" s="2">
        <v>324687477</v>
      </c>
      <c r="G413" s="2">
        <v>26284.26</v>
      </c>
      <c r="H413" s="2">
        <f t="shared" si="44"/>
        <v>17549.012500000004</v>
      </c>
      <c r="I413" s="2">
        <f t="shared" si="38"/>
        <v>16646.293999999998</v>
      </c>
      <c r="J413" s="2">
        <f t="shared" si="43"/>
        <v>16975.441749999991</v>
      </c>
      <c r="K413" s="2">
        <f t="shared" si="41"/>
        <v>446.39999999999782</v>
      </c>
      <c r="L413" s="7">
        <f t="shared" si="39"/>
        <v>2.5633148530429188E-2</v>
      </c>
      <c r="M413" s="9"/>
      <c r="N413" s="2">
        <f t="shared" si="42"/>
        <v>18477.05</v>
      </c>
      <c r="O413" s="2">
        <f t="shared" si="40"/>
        <v>-3.8845486698363629E-2</v>
      </c>
      <c r="P413" s="2"/>
    </row>
    <row r="414" spans="1:16" x14ac:dyDescent="0.3">
      <c r="A414" s="3">
        <v>44805</v>
      </c>
      <c r="B414" s="2">
        <v>17485.7</v>
      </c>
      <c r="C414" s="2">
        <v>17695.599999999999</v>
      </c>
      <c r="D414" s="2">
        <v>17468.45</v>
      </c>
      <c r="E414" s="2">
        <v>17542.8</v>
      </c>
      <c r="F414" s="2">
        <v>308526598</v>
      </c>
      <c r="G414" s="2">
        <v>26813.95</v>
      </c>
      <c r="H414" s="2">
        <f t="shared" si="44"/>
        <v>17579.065000000006</v>
      </c>
      <c r="I414" s="2">
        <f t="shared" si="38"/>
        <v>16695.609999999997</v>
      </c>
      <c r="J414" s="2">
        <f t="shared" si="43"/>
        <v>16974.152249999988</v>
      </c>
      <c r="K414" s="2">
        <f t="shared" si="41"/>
        <v>-216.5</v>
      </c>
      <c r="L414" s="7">
        <f t="shared" si="39"/>
        <v>-1.2381546063354626E-2</v>
      </c>
      <c r="M414" s="9"/>
      <c r="N414" s="2">
        <f t="shared" si="42"/>
        <v>18477.05</v>
      </c>
      <c r="O414" s="2">
        <f t="shared" si="40"/>
        <v>-5.0562725110339546E-2</v>
      </c>
      <c r="P414" s="2"/>
    </row>
    <row r="415" spans="1:16" x14ac:dyDescent="0.3">
      <c r="A415" s="3">
        <v>44806</v>
      </c>
      <c r="B415" s="2">
        <v>17598.400000000001</v>
      </c>
      <c r="C415" s="2">
        <v>17643.849999999999</v>
      </c>
      <c r="D415" s="2">
        <v>17476.45</v>
      </c>
      <c r="E415" s="2">
        <v>17539.45</v>
      </c>
      <c r="F415" s="2">
        <v>256268616</v>
      </c>
      <c r="G415" s="2">
        <v>19548.88</v>
      </c>
      <c r="H415" s="2">
        <f t="shared" si="44"/>
        <v>17589.202500000003</v>
      </c>
      <c r="I415" s="2">
        <f t="shared" si="38"/>
        <v>16739.463</v>
      </c>
      <c r="J415" s="2">
        <f t="shared" si="43"/>
        <v>16972.49824999999</v>
      </c>
      <c r="K415" s="2">
        <f t="shared" si="41"/>
        <v>-3.3499999999985448</v>
      </c>
      <c r="L415" s="7">
        <f t="shared" si="39"/>
        <v>-1.9035821438304304E-4</v>
      </c>
      <c r="M415" s="9"/>
      <c r="N415" s="2">
        <f t="shared" si="42"/>
        <v>18477.05</v>
      </c>
      <c r="O415" s="2">
        <f t="shared" si="40"/>
        <v>-5.0744031108862053E-2</v>
      </c>
      <c r="P415" s="2"/>
    </row>
    <row r="416" spans="1:16" x14ac:dyDescent="0.3">
      <c r="A416" s="3">
        <v>44809</v>
      </c>
      <c r="B416" s="2">
        <v>17546.45</v>
      </c>
      <c r="C416" s="2">
        <v>17683.150000000001</v>
      </c>
      <c r="D416" s="2">
        <v>17540.349999999999</v>
      </c>
      <c r="E416" s="2">
        <v>17665.8</v>
      </c>
      <c r="F416" s="2">
        <v>230309013</v>
      </c>
      <c r="G416" s="2">
        <v>17011.259999999998</v>
      </c>
      <c r="H416" s="2">
        <f t="shared" si="44"/>
        <v>17598.902500000004</v>
      </c>
      <c r="I416" s="2">
        <f t="shared" si="38"/>
        <v>16777.475999999995</v>
      </c>
      <c r="J416" s="2">
        <f t="shared" si="43"/>
        <v>16969.681749999989</v>
      </c>
      <c r="K416" s="2">
        <f t="shared" si="41"/>
        <v>126.34999999999854</v>
      </c>
      <c r="L416" s="7">
        <f t="shared" si="39"/>
        <v>7.2008867890655109E-3</v>
      </c>
      <c r="M416" s="9"/>
      <c r="N416" s="2">
        <f t="shared" si="42"/>
        <v>18477.05</v>
      </c>
      <c r="O416" s="2">
        <f t="shared" si="40"/>
        <v>-4.3905818298916821E-2</v>
      </c>
      <c r="P416" s="2"/>
    </row>
    <row r="417" spans="1:16" x14ac:dyDescent="0.3">
      <c r="A417" s="3">
        <v>44810</v>
      </c>
      <c r="B417" s="2">
        <v>17695.7</v>
      </c>
      <c r="C417" s="2">
        <v>17764.650000000001</v>
      </c>
      <c r="D417" s="2">
        <v>17587.650000000001</v>
      </c>
      <c r="E417" s="2">
        <v>17655.599999999999</v>
      </c>
      <c r="F417" s="2">
        <v>251204527</v>
      </c>
      <c r="G417" s="2">
        <v>17521.09</v>
      </c>
      <c r="H417" s="2">
        <f t="shared" si="44"/>
        <v>17612.785000000003</v>
      </c>
      <c r="I417" s="2">
        <f t="shared" si="38"/>
        <v>16822.525999999998</v>
      </c>
      <c r="J417" s="2">
        <f t="shared" si="43"/>
        <v>16967.463499999991</v>
      </c>
      <c r="K417" s="2">
        <f t="shared" si="41"/>
        <v>-10.200000000000728</v>
      </c>
      <c r="L417" s="7">
        <f t="shared" si="39"/>
        <v>-5.7641121854465924E-4</v>
      </c>
      <c r="M417" s="9"/>
      <c r="N417" s="2">
        <f t="shared" si="42"/>
        <v>18477.05</v>
      </c>
      <c r="O417" s="2">
        <f t="shared" si="40"/>
        <v>-4.4457854473522573E-2</v>
      </c>
      <c r="P417" s="2"/>
    </row>
    <row r="418" spans="1:16" x14ac:dyDescent="0.3">
      <c r="A418" s="3">
        <v>44811</v>
      </c>
      <c r="B418" s="2">
        <v>17519.400000000001</v>
      </c>
      <c r="C418" s="2">
        <v>17650.75</v>
      </c>
      <c r="D418" s="2">
        <v>17484.3</v>
      </c>
      <c r="E418" s="2">
        <v>17624.400000000001</v>
      </c>
      <c r="F418" s="2">
        <v>354137885</v>
      </c>
      <c r="G418" s="2">
        <v>25419.5</v>
      </c>
      <c r="H418" s="2">
        <f t="shared" si="44"/>
        <v>17626.465</v>
      </c>
      <c r="I418" s="2">
        <f t="shared" si="38"/>
        <v>16864.504999999997</v>
      </c>
      <c r="J418" s="2">
        <f t="shared" si="43"/>
        <v>16965.74549999999</v>
      </c>
      <c r="K418" s="2">
        <f t="shared" si="41"/>
        <v>-31.19999999999709</v>
      </c>
      <c r="L418" s="7">
        <f t="shared" si="39"/>
        <v>-1.7808829069487018E-3</v>
      </c>
      <c r="M418" s="9"/>
      <c r="N418" s="2">
        <f t="shared" si="42"/>
        <v>18477.05</v>
      </c>
      <c r="O418" s="2">
        <f t="shared" si="40"/>
        <v>-4.6146435713493084E-2</v>
      </c>
      <c r="P418" s="2"/>
    </row>
    <row r="419" spans="1:16" x14ac:dyDescent="0.3">
      <c r="A419" s="3">
        <v>44812</v>
      </c>
      <c r="B419" s="2">
        <v>17748.150000000001</v>
      </c>
      <c r="C419" s="2">
        <v>17807.650000000001</v>
      </c>
      <c r="D419" s="2">
        <v>17691.95</v>
      </c>
      <c r="E419" s="2">
        <v>17798.75</v>
      </c>
      <c r="F419" s="2">
        <v>279845682</v>
      </c>
      <c r="G419" s="2">
        <v>19925.25</v>
      </c>
      <c r="H419" s="2">
        <f t="shared" si="44"/>
        <v>17637.810000000001</v>
      </c>
      <c r="I419" s="2">
        <f t="shared" si="38"/>
        <v>16903.007999999998</v>
      </c>
      <c r="J419" s="2">
        <f t="shared" si="43"/>
        <v>16964.37424999999</v>
      </c>
      <c r="K419" s="2">
        <f t="shared" si="41"/>
        <v>174.34999999999854</v>
      </c>
      <c r="L419" s="7">
        <f t="shared" si="39"/>
        <v>9.8235590751711323E-3</v>
      </c>
      <c r="M419" s="9"/>
      <c r="N419" s="2">
        <f t="shared" si="42"/>
        <v>18477.05</v>
      </c>
      <c r="O419" s="2">
        <f t="shared" si="40"/>
        <v>-3.6710405611285357E-2</v>
      </c>
      <c r="P419" s="2"/>
    </row>
    <row r="420" spans="1:16" x14ac:dyDescent="0.3">
      <c r="A420" s="3">
        <v>44813</v>
      </c>
      <c r="B420" s="2">
        <v>17923.349999999999</v>
      </c>
      <c r="C420" s="2">
        <v>17925.95</v>
      </c>
      <c r="D420" s="2">
        <v>17786</v>
      </c>
      <c r="E420" s="2">
        <v>17833.349999999999</v>
      </c>
      <c r="F420" s="2">
        <v>270299618</v>
      </c>
      <c r="G420" s="2">
        <v>20564.060000000001</v>
      </c>
      <c r="H420" s="2">
        <f t="shared" si="44"/>
        <v>17651.4925</v>
      </c>
      <c r="I420" s="2">
        <f t="shared" si="38"/>
        <v>16942.342000000001</v>
      </c>
      <c r="J420" s="2">
        <f t="shared" si="43"/>
        <v>16964.543999999991</v>
      </c>
      <c r="K420" s="2">
        <f t="shared" si="41"/>
        <v>34.599999999998545</v>
      </c>
      <c r="L420" s="7">
        <f t="shared" si="39"/>
        <v>1.9304426906799536E-3</v>
      </c>
      <c r="M420" s="9"/>
      <c r="N420" s="2">
        <f t="shared" si="42"/>
        <v>18477.05</v>
      </c>
      <c r="O420" s="2">
        <f t="shared" si="40"/>
        <v>-3.4837812313112781E-2</v>
      </c>
      <c r="P420" s="2"/>
    </row>
    <row r="421" spans="1:16" x14ac:dyDescent="0.3">
      <c r="A421" s="3">
        <v>44816</v>
      </c>
      <c r="B421" s="2">
        <v>17890.849999999999</v>
      </c>
      <c r="C421" s="2">
        <v>17980.55</v>
      </c>
      <c r="D421" s="2">
        <v>17889.150000000001</v>
      </c>
      <c r="E421" s="2">
        <v>17936.349999999999</v>
      </c>
      <c r="F421" s="2">
        <v>228242025</v>
      </c>
      <c r="G421" s="2">
        <v>17648.169999999998</v>
      </c>
      <c r="H421" s="2">
        <f t="shared" si="44"/>
        <v>17666.422499999997</v>
      </c>
      <c r="I421" s="2">
        <f t="shared" si="38"/>
        <v>16982.004999999997</v>
      </c>
      <c r="J421" s="2">
        <f t="shared" si="43"/>
        <v>16966.627999999993</v>
      </c>
      <c r="K421" s="2">
        <f t="shared" si="41"/>
        <v>103</v>
      </c>
      <c r="L421" s="7">
        <f t="shared" si="39"/>
        <v>5.7571328360586562E-3</v>
      </c>
      <c r="M421" s="9"/>
      <c r="N421" s="2">
        <f t="shared" si="42"/>
        <v>18477.05</v>
      </c>
      <c r="O421" s="2">
        <f t="shared" si="40"/>
        <v>-2.9263329373466096E-2</v>
      </c>
      <c r="P421" s="2"/>
    </row>
    <row r="422" spans="1:16" x14ac:dyDescent="0.3">
      <c r="A422" s="3">
        <v>44817</v>
      </c>
      <c r="B422" s="2">
        <v>18044.45</v>
      </c>
      <c r="C422" s="2">
        <v>18088.3</v>
      </c>
      <c r="D422" s="2">
        <v>18015.45</v>
      </c>
      <c r="E422" s="2">
        <v>18070.05</v>
      </c>
      <c r="F422" s="2">
        <v>259922741</v>
      </c>
      <c r="G422" s="2">
        <v>21039.08</v>
      </c>
      <c r="H422" s="2">
        <f t="shared" si="44"/>
        <v>17680.289999999997</v>
      </c>
      <c r="I422" s="2">
        <f t="shared" si="38"/>
        <v>17024.749999999996</v>
      </c>
      <c r="J422" s="2">
        <f t="shared" si="43"/>
        <v>16968.792999999991</v>
      </c>
      <c r="K422" s="2">
        <f t="shared" si="41"/>
        <v>133.70000000000073</v>
      </c>
      <c r="L422" s="7">
        <f t="shared" si="39"/>
        <v>7.4094804773767401E-3</v>
      </c>
      <c r="M422" s="9"/>
      <c r="N422" s="2">
        <f t="shared" si="42"/>
        <v>18477.05</v>
      </c>
      <c r="O422" s="2">
        <f t="shared" si="40"/>
        <v>-2.2027325790643038E-2</v>
      </c>
      <c r="P422" s="2"/>
    </row>
    <row r="423" spans="1:16" x14ac:dyDescent="0.3">
      <c r="A423" s="3">
        <v>44818</v>
      </c>
      <c r="B423" s="2">
        <v>17771.150000000001</v>
      </c>
      <c r="C423" s="2">
        <v>18091.55</v>
      </c>
      <c r="D423" s="2">
        <v>17771.150000000001</v>
      </c>
      <c r="E423" s="2">
        <v>18003.75</v>
      </c>
      <c r="F423" s="2">
        <v>365866933</v>
      </c>
      <c r="G423" s="2">
        <v>26611.96</v>
      </c>
      <c r="H423" s="2">
        <f t="shared" si="44"/>
        <v>17698.884999999995</v>
      </c>
      <c r="I423" s="2">
        <f t="shared" si="38"/>
        <v>17070.545999999998</v>
      </c>
      <c r="J423" s="2">
        <f t="shared" si="43"/>
        <v>16972.067999999988</v>
      </c>
      <c r="K423" s="2">
        <f t="shared" si="41"/>
        <v>-66.299999999999272</v>
      </c>
      <c r="L423" s="7">
        <f t="shared" si="39"/>
        <v>-3.7307658761531622E-3</v>
      </c>
      <c r="M423" s="9"/>
      <c r="N423" s="2">
        <f t="shared" si="42"/>
        <v>18477.05</v>
      </c>
      <c r="O423" s="2">
        <f t="shared" si="40"/>
        <v>-2.5615560925580594E-2</v>
      </c>
      <c r="P423" s="2"/>
    </row>
    <row r="424" spans="1:16" x14ac:dyDescent="0.3">
      <c r="A424" s="3">
        <v>44819</v>
      </c>
      <c r="B424" s="2">
        <v>18046.349999999999</v>
      </c>
      <c r="C424" s="2">
        <v>18096.150000000001</v>
      </c>
      <c r="D424" s="2">
        <v>17861.5</v>
      </c>
      <c r="E424" s="2">
        <v>17877.400000000001</v>
      </c>
      <c r="F424" s="2">
        <v>289637528</v>
      </c>
      <c r="G424" s="2">
        <v>22007.78</v>
      </c>
      <c r="H424" s="2">
        <f t="shared" si="44"/>
        <v>17707.809999999994</v>
      </c>
      <c r="I424" s="2">
        <f t="shared" si="38"/>
        <v>17115.580000000002</v>
      </c>
      <c r="J424" s="2">
        <f t="shared" si="43"/>
        <v>16974.40549999999</v>
      </c>
      <c r="K424" s="2">
        <f t="shared" si="41"/>
        <v>-126.34999999999854</v>
      </c>
      <c r="L424" s="7">
        <f t="shared" si="39"/>
        <v>-7.0014157987625504E-3</v>
      </c>
      <c r="M424" s="9"/>
      <c r="N424" s="2">
        <f t="shared" si="42"/>
        <v>18477.05</v>
      </c>
      <c r="O424" s="2">
        <f t="shared" si="40"/>
        <v>-3.2453773735525826E-2</v>
      </c>
      <c r="P424" s="2"/>
    </row>
    <row r="425" spans="1:16" x14ac:dyDescent="0.3">
      <c r="A425" s="3">
        <v>44820</v>
      </c>
      <c r="B425" s="2">
        <v>17796.8</v>
      </c>
      <c r="C425" s="2">
        <v>17820.05</v>
      </c>
      <c r="D425" s="2">
        <v>17497.25</v>
      </c>
      <c r="E425" s="2">
        <v>17530.849999999999</v>
      </c>
      <c r="F425" s="2">
        <v>468464263</v>
      </c>
      <c r="G425" s="2">
        <v>36013.89</v>
      </c>
      <c r="H425" s="2">
        <f t="shared" si="44"/>
        <v>17704.467499999995</v>
      </c>
      <c r="I425" s="2">
        <f t="shared" si="38"/>
        <v>17156.421000000002</v>
      </c>
      <c r="J425" s="2">
        <f t="shared" si="43"/>
        <v>16978.660249999994</v>
      </c>
      <c r="K425" s="2">
        <f t="shared" si="41"/>
        <v>-346.55000000000291</v>
      </c>
      <c r="L425" s="7">
        <f t="shared" si="39"/>
        <v>-1.9472601816056985E-2</v>
      </c>
      <c r="M425" s="9"/>
      <c r="N425" s="2">
        <f t="shared" si="42"/>
        <v>18477.05</v>
      </c>
      <c r="O425" s="2">
        <f t="shared" si="40"/>
        <v>-5.1209473373725833E-2</v>
      </c>
      <c r="P425" s="2"/>
    </row>
    <row r="426" spans="1:16" x14ac:dyDescent="0.3">
      <c r="A426" s="3">
        <v>44823</v>
      </c>
      <c r="B426" s="2">
        <v>17540.650000000001</v>
      </c>
      <c r="C426" s="2">
        <v>17667.2</v>
      </c>
      <c r="D426" s="2">
        <v>17429.7</v>
      </c>
      <c r="E426" s="2">
        <v>17622.25</v>
      </c>
      <c r="F426" s="2">
        <v>258329581</v>
      </c>
      <c r="G426" s="2">
        <v>19548.990000000002</v>
      </c>
      <c r="H426" s="2">
        <f t="shared" si="44"/>
        <v>17683.184999999998</v>
      </c>
      <c r="I426" s="2">
        <f t="shared" si="38"/>
        <v>17190.821</v>
      </c>
      <c r="J426" s="2">
        <f t="shared" si="43"/>
        <v>16981.04474999999</v>
      </c>
      <c r="K426" s="2">
        <f t="shared" si="41"/>
        <v>91.400000000001455</v>
      </c>
      <c r="L426" s="7">
        <f t="shared" si="39"/>
        <v>5.210753307317656E-3</v>
      </c>
      <c r="M426" s="9"/>
      <c r="N426" s="2">
        <f t="shared" si="42"/>
        <v>18477.05</v>
      </c>
      <c r="O426" s="2">
        <f t="shared" si="40"/>
        <v>-4.6262796279709084E-2</v>
      </c>
      <c r="P426" s="2"/>
    </row>
    <row r="427" spans="1:16" x14ac:dyDescent="0.3">
      <c r="A427" s="3">
        <v>44824</v>
      </c>
      <c r="B427" s="2">
        <v>17770.400000000001</v>
      </c>
      <c r="C427" s="2">
        <v>17919.3</v>
      </c>
      <c r="D427" s="2">
        <v>17744.400000000001</v>
      </c>
      <c r="E427" s="2">
        <v>17816.25</v>
      </c>
      <c r="F427" s="2">
        <v>263100874</v>
      </c>
      <c r="G427" s="2">
        <v>20456.689999999999</v>
      </c>
      <c r="H427" s="2">
        <f t="shared" si="44"/>
        <v>17676.375</v>
      </c>
      <c r="I427" s="2">
        <f t="shared" si="38"/>
        <v>17223.47</v>
      </c>
      <c r="J427" s="2">
        <f t="shared" si="43"/>
        <v>16984.239999999991</v>
      </c>
      <c r="K427" s="2">
        <f t="shared" si="41"/>
        <v>194</v>
      </c>
      <c r="L427" s="7">
        <f t="shared" si="39"/>
        <v>1.0917030567685589E-2</v>
      </c>
      <c r="M427" s="9"/>
      <c r="N427" s="2">
        <f t="shared" si="42"/>
        <v>18477.05</v>
      </c>
      <c r="O427" s="2">
        <f t="shared" si="40"/>
        <v>-3.5763284723481226E-2</v>
      </c>
      <c r="P427" s="2"/>
    </row>
    <row r="428" spans="1:16" x14ac:dyDescent="0.3">
      <c r="A428" s="3">
        <v>44825</v>
      </c>
      <c r="B428" s="2">
        <v>17766.349999999999</v>
      </c>
      <c r="C428" s="2">
        <v>17838.7</v>
      </c>
      <c r="D428" s="2">
        <v>17663.599999999999</v>
      </c>
      <c r="E428" s="2">
        <v>17718.349999999999</v>
      </c>
      <c r="F428" s="2">
        <v>245532498</v>
      </c>
      <c r="G428" s="2">
        <v>19816.78</v>
      </c>
      <c r="H428" s="2">
        <f t="shared" si="44"/>
        <v>17692.6525</v>
      </c>
      <c r="I428" s="2">
        <f t="shared" si="38"/>
        <v>17257.137000000002</v>
      </c>
      <c r="J428" s="2">
        <f t="shared" si="43"/>
        <v>16987.486749999993</v>
      </c>
      <c r="K428" s="2">
        <f t="shared" si="41"/>
        <v>-97.900000000001455</v>
      </c>
      <c r="L428" s="7">
        <f t="shared" si="39"/>
        <v>-5.5104171650339805E-3</v>
      </c>
      <c r="M428" s="9"/>
      <c r="N428" s="2">
        <f t="shared" si="42"/>
        <v>18477.05</v>
      </c>
      <c r="O428" s="2">
        <f t="shared" si="40"/>
        <v>-4.1061749575825202E-2</v>
      </c>
      <c r="P428" s="2"/>
    </row>
    <row r="429" spans="1:16" x14ac:dyDescent="0.3">
      <c r="A429" s="3">
        <v>44826</v>
      </c>
      <c r="B429" s="2">
        <v>17609.650000000001</v>
      </c>
      <c r="C429" s="2">
        <v>17722.75</v>
      </c>
      <c r="D429" s="2">
        <v>17532.45</v>
      </c>
      <c r="E429" s="2">
        <v>17629.8</v>
      </c>
      <c r="F429" s="2">
        <v>284094023</v>
      </c>
      <c r="G429" s="2">
        <v>21303.96</v>
      </c>
      <c r="H429" s="2">
        <f t="shared" si="44"/>
        <v>17699.695</v>
      </c>
      <c r="I429" s="2">
        <f t="shared" si="38"/>
        <v>17287.092000000001</v>
      </c>
      <c r="J429" s="2">
        <f t="shared" si="43"/>
        <v>16989.070249999993</v>
      </c>
      <c r="K429" s="2">
        <f t="shared" si="41"/>
        <v>-88.549999999999272</v>
      </c>
      <c r="L429" s="7">
        <f t="shared" si="39"/>
        <v>-5.0284929001995649E-3</v>
      </c>
      <c r="M429" s="9"/>
      <c r="N429" s="2">
        <f t="shared" si="42"/>
        <v>18477.05</v>
      </c>
      <c r="O429" s="2">
        <f t="shared" si="40"/>
        <v>-4.5854181268113692E-2</v>
      </c>
      <c r="P429" s="2"/>
    </row>
    <row r="430" spans="1:16" x14ac:dyDescent="0.3">
      <c r="A430" s="3">
        <v>44827</v>
      </c>
      <c r="B430" s="2">
        <v>17593.849999999999</v>
      </c>
      <c r="C430" s="2">
        <v>17642.150000000001</v>
      </c>
      <c r="D430" s="2">
        <v>17291.650000000001</v>
      </c>
      <c r="E430" s="2">
        <v>17327.349999999999</v>
      </c>
      <c r="F430" s="2">
        <v>390754862</v>
      </c>
      <c r="G430" s="2">
        <v>23750.53</v>
      </c>
      <c r="H430" s="2">
        <f t="shared" si="44"/>
        <v>17700.937499999996</v>
      </c>
      <c r="I430" s="2">
        <f t="shared" si="38"/>
        <v>17315.368000000006</v>
      </c>
      <c r="J430" s="2">
        <f t="shared" si="43"/>
        <v>16991.235749999993</v>
      </c>
      <c r="K430" s="2">
        <f t="shared" si="41"/>
        <v>-302.45000000000073</v>
      </c>
      <c r="L430" s="7">
        <f t="shared" si="39"/>
        <v>-1.7190666056605051E-2</v>
      </c>
      <c r="M430" s="9"/>
      <c r="N430" s="2">
        <f t="shared" si="42"/>
        <v>18477.05</v>
      </c>
      <c r="O430" s="2">
        <f t="shared" si="40"/>
        <v>-6.2223136269047297E-2</v>
      </c>
      <c r="P430" s="2"/>
    </row>
    <row r="431" spans="1:16" x14ac:dyDescent="0.3">
      <c r="A431" s="3">
        <v>44830</v>
      </c>
      <c r="B431" s="2">
        <v>17156.3</v>
      </c>
      <c r="C431" s="2">
        <v>17196.400000000001</v>
      </c>
      <c r="D431" s="2">
        <v>16978.3</v>
      </c>
      <c r="E431" s="2">
        <v>17016.3</v>
      </c>
      <c r="F431" s="2">
        <v>492002942</v>
      </c>
      <c r="G431" s="2">
        <v>27533.01</v>
      </c>
      <c r="H431" s="2">
        <f t="shared" si="44"/>
        <v>17691.182499999995</v>
      </c>
      <c r="I431" s="2">
        <f t="shared" si="38"/>
        <v>17340.749000000003</v>
      </c>
      <c r="J431" s="2">
        <f t="shared" si="43"/>
        <v>16993.311249999992</v>
      </c>
      <c r="K431" s="2">
        <f t="shared" si="41"/>
        <v>-311.04999999999927</v>
      </c>
      <c r="L431" s="7">
        <f t="shared" si="39"/>
        <v>-1.8130366104579618E-2</v>
      </c>
      <c r="M431" s="9"/>
      <c r="N431" s="2">
        <f t="shared" si="42"/>
        <v>18477.05</v>
      </c>
      <c r="O431" s="2">
        <f t="shared" si="40"/>
        <v>-7.9057533534844571E-2</v>
      </c>
      <c r="P431" s="2"/>
    </row>
    <row r="432" spans="1:16" x14ac:dyDescent="0.3">
      <c r="A432" s="3">
        <v>44831</v>
      </c>
      <c r="B432" s="2">
        <v>17110.900000000001</v>
      </c>
      <c r="C432" s="2">
        <v>17176.45</v>
      </c>
      <c r="D432" s="2">
        <v>16942.349999999999</v>
      </c>
      <c r="E432" s="2">
        <v>17007.400000000001</v>
      </c>
      <c r="F432" s="2">
        <v>359895458</v>
      </c>
      <c r="G432" s="2">
        <v>22712.799999999999</v>
      </c>
      <c r="H432" s="2">
        <f t="shared" si="44"/>
        <v>17664.052499999998</v>
      </c>
      <c r="I432" s="2">
        <f t="shared" si="38"/>
        <v>17361.742000000006</v>
      </c>
      <c r="J432" s="2">
        <f t="shared" si="43"/>
        <v>16992.509249999992</v>
      </c>
      <c r="K432" s="2">
        <f t="shared" si="41"/>
        <v>-8.8999999999978172</v>
      </c>
      <c r="L432" s="7">
        <f t="shared" si="39"/>
        <v>-5.20136287395626E-4</v>
      </c>
      <c r="M432" s="9"/>
      <c r="N432" s="2">
        <f t="shared" si="42"/>
        <v>18477.05</v>
      </c>
      <c r="O432" s="2">
        <f t="shared" si="40"/>
        <v>-7.9539212157784811E-2</v>
      </c>
      <c r="P432" s="2"/>
    </row>
    <row r="433" spans="1:16" x14ac:dyDescent="0.3">
      <c r="A433" s="3">
        <v>44832</v>
      </c>
      <c r="B433" s="2">
        <v>16870.55</v>
      </c>
      <c r="C433" s="2">
        <v>17037.599999999999</v>
      </c>
      <c r="D433" s="2">
        <v>16820.400000000001</v>
      </c>
      <c r="E433" s="2">
        <v>16858.599999999999</v>
      </c>
      <c r="F433" s="2">
        <v>323922457</v>
      </c>
      <c r="G433" s="2">
        <v>21400.93</v>
      </c>
      <c r="H433" s="2">
        <f t="shared" si="44"/>
        <v>17648.777499999997</v>
      </c>
      <c r="I433" s="2">
        <f t="shared" si="38"/>
        <v>17383.117000000006</v>
      </c>
      <c r="J433" s="2">
        <f t="shared" si="43"/>
        <v>16990.197499999995</v>
      </c>
      <c r="K433" s="2">
        <f t="shared" si="41"/>
        <v>-148.80000000000291</v>
      </c>
      <c r="L433" s="7">
        <f t="shared" si="39"/>
        <v>-8.8201036717832498E-3</v>
      </c>
      <c r="M433" s="9"/>
      <c r="N433" s="2">
        <f t="shared" si="42"/>
        <v>18477.05</v>
      </c>
      <c r="O433" s="2">
        <f t="shared" si="40"/>
        <v>-8.7592445763798876E-2</v>
      </c>
      <c r="P433" s="2"/>
    </row>
    <row r="434" spans="1:16" x14ac:dyDescent="0.3">
      <c r="A434" s="3">
        <v>44833</v>
      </c>
      <c r="B434" s="2">
        <v>16993.599999999999</v>
      </c>
      <c r="C434" s="2">
        <v>17026.05</v>
      </c>
      <c r="D434" s="2">
        <v>16788.599999999999</v>
      </c>
      <c r="E434" s="2">
        <v>16818.099999999999</v>
      </c>
      <c r="F434" s="2">
        <v>340034380</v>
      </c>
      <c r="G434" s="2">
        <v>24758.63</v>
      </c>
      <c r="H434" s="2">
        <f t="shared" si="44"/>
        <v>17603.742499999997</v>
      </c>
      <c r="I434" s="2">
        <f t="shared" si="38"/>
        <v>17399.305000000004</v>
      </c>
      <c r="J434" s="2">
        <f t="shared" si="43"/>
        <v>16986.906249999996</v>
      </c>
      <c r="K434" s="2">
        <f t="shared" si="41"/>
        <v>-40.5</v>
      </c>
      <c r="L434" s="7">
        <f t="shared" si="39"/>
        <v>-2.3832501647679128E-3</v>
      </c>
      <c r="M434" s="9"/>
      <c r="N434" s="2">
        <f t="shared" si="42"/>
        <v>18477.05</v>
      </c>
      <c r="O434" s="2">
        <f t="shared" si="40"/>
        <v>-8.9784354104145425E-2</v>
      </c>
      <c r="P434" s="2"/>
    </row>
    <row r="435" spans="1:16" x14ac:dyDescent="0.3">
      <c r="A435" s="3">
        <v>44834</v>
      </c>
      <c r="B435" s="2">
        <v>16798.05</v>
      </c>
      <c r="C435" s="2">
        <v>17187.099999999999</v>
      </c>
      <c r="D435" s="2">
        <v>16747.7</v>
      </c>
      <c r="E435" s="2">
        <v>17094.349999999999</v>
      </c>
      <c r="F435" s="2">
        <v>380204763</v>
      </c>
      <c r="G435" s="2">
        <v>26205.63</v>
      </c>
      <c r="H435" s="2">
        <f t="shared" si="44"/>
        <v>17567.5075</v>
      </c>
      <c r="I435" s="2">
        <f t="shared" si="38"/>
        <v>17410.097000000002</v>
      </c>
      <c r="J435" s="2">
        <f t="shared" si="43"/>
        <v>16983.440249999996</v>
      </c>
      <c r="K435" s="2">
        <f t="shared" si="41"/>
        <v>276.25</v>
      </c>
      <c r="L435" s="7">
        <f t="shared" si="39"/>
        <v>1.6445361217522273E-2</v>
      </c>
      <c r="M435" s="9"/>
      <c r="N435" s="2">
        <f t="shared" si="42"/>
        <v>18477.05</v>
      </c>
      <c r="O435" s="2">
        <f t="shared" si="40"/>
        <v>-7.4833374375238515E-2</v>
      </c>
      <c r="P435" s="2"/>
    </row>
    <row r="436" spans="1:16" x14ac:dyDescent="0.3">
      <c r="A436" s="3">
        <v>44837</v>
      </c>
      <c r="B436" s="2">
        <v>17102.099999999999</v>
      </c>
      <c r="C436" s="2">
        <v>17114.650000000001</v>
      </c>
      <c r="D436" s="2">
        <v>16855.55</v>
      </c>
      <c r="E436" s="2">
        <v>16887.349999999999</v>
      </c>
      <c r="F436" s="2">
        <v>285850587</v>
      </c>
      <c r="G436" s="2">
        <v>21860.54</v>
      </c>
      <c r="H436" s="2">
        <f t="shared" si="44"/>
        <v>17545.252499999995</v>
      </c>
      <c r="I436" s="2">
        <f t="shared" si="38"/>
        <v>17425.173000000003</v>
      </c>
      <c r="J436" s="2">
        <f t="shared" si="43"/>
        <v>16982.070749999995</v>
      </c>
      <c r="K436" s="2">
        <f t="shared" si="41"/>
        <v>-207</v>
      </c>
      <c r="L436" s="7">
        <f t="shared" si="39"/>
        <v>-1.210377672917361E-2</v>
      </c>
      <c r="M436" s="9"/>
      <c r="N436" s="2">
        <f t="shared" si="42"/>
        <v>18477.05</v>
      </c>
      <c r="O436" s="2">
        <f t="shared" si="40"/>
        <v>-8.6036461448120827E-2</v>
      </c>
      <c r="P436" s="2"/>
    </row>
    <row r="437" spans="1:16" x14ac:dyDescent="0.3">
      <c r="A437" s="3">
        <v>44838</v>
      </c>
      <c r="B437" s="2">
        <v>17147.45</v>
      </c>
      <c r="C437" s="2">
        <v>17287.3</v>
      </c>
      <c r="D437" s="2">
        <v>17117.3</v>
      </c>
      <c r="E437" s="2">
        <v>17274.3</v>
      </c>
      <c r="F437" s="2">
        <v>231601639</v>
      </c>
      <c r="G437" s="2">
        <v>18480.43</v>
      </c>
      <c r="H437" s="2">
        <f t="shared" si="44"/>
        <v>17506.329999999998</v>
      </c>
      <c r="I437" s="2">
        <f t="shared" ref="I437:I500" si="45">AVERAGE(E387:E436)</f>
        <v>17432.503000000001</v>
      </c>
      <c r="J437" s="2">
        <f t="shared" si="43"/>
        <v>16979.882999999994</v>
      </c>
      <c r="K437" s="2">
        <f t="shared" si="41"/>
        <v>386.95000000000073</v>
      </c>
      <c r="L437" s="7">
        <f t="shared" si="39"/>
        <v>2.2566037515782272E-2</v>
      </c>
      <c r="M437" s="9"/>
      <c r="N437" s="2">
        <f t="shared" si="42"/>
        <v>18477.05</v>
      </c>
      <c r="O437" s="2">
        <f t="shared" si="40"/>
        <v>-6.5094265588933276E-2</v>
      </c>
      <c r="P437" s="2"/>
    </row>
    <row r="438" spans="1:16" x14ac:dyDescent="0.3">
      <c r="A438" s="3">
        <v>44840</v>
      </c>
      <c r="B438" s="2">
        <v>17379.25</v>
      </c>
      <c r="C438" s="2">
        <v>17428.8</v>
      </c>
      <c r="D438" s="2">
        <v>17315.650000000001</v>
      </c>
      <c r="E438" s="2">
        <v>17331.8</v>
      </c>
      <c r="F438" s="2">
        <v>268239320</v>
      </c>
      <c r="G438" s="2">
        <v>20404.46</v>
      </c>
      <c r="H438" s="2">
        <f t="shared" si="44"/>
        <v>17487.264999999996</v>
      </c>
      <c r="I438" s="2">
        <f t="shared" si="45"/>
        <v>17445.884000000002</v>
      </c>
      <c r="J438" s="2">
        <f t="shared" si="43"/>
        <v>16980.147499999995</v>
      </c>
      <c r="K438" s="2">
        <f t="shared" si="41"/>
        <v>57.5</v>
      </c>
      <c r="L438" s="7">
        <f t="shared" si="39"/>
        <v>3.3085432340290862E-3</v>
      </c>
      <c r="M438" s="9"/>
      <c r="N438" s="2">
        <f t="shared" si="42"/>
        <v>18477.05</v>
      </c>
      <c r="O438" s="2">
        <f t="shared" si="40"/>
        <v>-6.1982296957577065E-2</v>
      </c>
      <c r="P438" s="2"/>
    </row>
    <row r="439" spans="1:16" x14ac:dyDescent="0.3">
      <c r="A439" s="3">
        <v>44841</v>
      </c>
      <c r="B439" s="2">
        <v>17287.2</v>
      </c>
      <c r="C439" s="2">
        <v>17337.349999999999</v>
      </c>
      <c r="D439" s="2">
        <v>17216.95</v>
      </c>
      <c r="E439" s="2">
        <v>17314.650000000001</v>
      </c>
      <c r="F439" s="2">
        <v>216273136</v>
      </c>
      <c r="G439" s="2">
        <v>17043.259999999998</v>
      </c>
      <c r="H439" s="2">
        <f t="shared" si="44"/>
        <v>17472.634999999995</v>
      </c>
      <c r="I439" s="2">
        <f t="shared" si="45"/>
        <v>17458.131000000005</v>
      </c>
      <c r="J439" s="2">
        <f t="shared" si="43"/>
        <v>16980.564499999993</v>
      </c>
      <c r="K439" s="2">
        <f t="shared" si="41"/>
        <v>-17.149999999997817</v>
      </c>
      <c r="L439" s="7">
        <f t="shared" si="39"/>
        <v>-9.9206349206336581E-4</v>
      </c>
      <c r="M439" s="9"/>
      <c r="N439" s="2">
        <f t="shared" si="42"/>
        <v>18477.05</v>
      </c>
      <c r="O439" s="2">
        <f t="shared" si="40"/>
        <v>-6.2910475427624957E-2</v>
      </c>
      <c r="P439" s="2"/>
    </row>
    <row r="440" spans="1:16" x14ac:dyDescent="0.3">
      <c r="A440" s="3">
        <v>44844</v>
      </c>
      <c r="B440" s="2">
        <v>17094.349999999999</v>
      </c>
      <c r="C440" s="2">
        <v>17280.150000000001</v>
      </c>
      <c r="D440" s="2">
        <v>17064.7</v>
      </c>
      <c r="E440" s="2">
        <v>17241</v>
      </c>
      <c r="F440" s="2">
        <v>234005512</v>
      </c>
      <c r="G440" s="2">
        <v>16220.67</v>
      </c>
      <c r="H440" s="2">
        <f t="shared" si="44"/>
        <v>17448.429999999997</v>
      </c>
      <c r="I440" s="2">
        <f t="shared" si="45"/>
        <v>17471.804000000004</v>
      </c>
      <c r="J440" s="2">
        <f t="shared" si="43"/>
        <v>16982.211749999995</v>
      </c>
      <c r="K440" s="2">
        <f t="shared" si="41"/>
        <v>-73.650000000001455</v>
      </c>
      <c r="L440" s="7">
        <f t="shared" si="39"/>
        <v>-4.3084410931097973E-3</v>
      </c>
      <c r="M440" s="9"/>
      <c r="N440" s="2">
        <f t="shared" si="42"/>
        <v>18477.05</v>
      </c>
      <c r="O440" s="2">
        <f t="shared" si="40"/>
        <v>-6.689650133544045E-2</v>
      </c>
      <c r="P440" s="2"/>
    </row>
    <row r="441" spans="1:16" x14ac:dyDescent="0.3">
      <c r="A441" s="3">
        <v>44845</v>
      </c>
      <c r="B441" s="2">
        <v>17256.05</v>
      </c>
      <c r="C441" s="2">
        <v>17261.8</v>
      </c>
      <c r="D441" s="2">
        <v>16950.3</v>
      </c>
      <c r="E441" s="2">
        <v>16983.55</v>
      </c>
      <c r="F441" s="2">
        <v>282617982</v>
      </c>
      <c r="G441" s="2">
        <v>22178.37</v>
      </c>
      <c r="H441" s="2">
        <f t="shared" si="44"/>
        <v>17418.812499999996</v>
      </c>
      <c r="I441" s="2">
        <f t="shared" si="45"/>
        <v>17486.947000000004</v>
      </c>
      <c r="J441" s="2">
        <f t="shared" si="43"/>
        <v>16985.345749999993</v>
      </c>
      <c r="K441" s="2">
        <f t="shared" si="41"/>
        <v>-257.45000000000073</v>
      </c>
      <c r="L441" s="7">
        <f t="shared" si="39"/>
        <v>-1.4919405078218987E-2</v>
      </c>
      <c r="M441" s="9"/>
      <c r="N441" s="2">
        <f t="shared" si="42"/>
        <v>18477.05</v>
      </c>
      <c r="O441" s="2">
        <f t="shared" si="40"/>
        <v>-8.0830002624877939E-2</v>
      </c>
      <c r="P441" s="2"/>
    </row>
    <row r="442" spans="1:16" x14ac:dyDescent="0.3">
      <c r="A442" s="3">
        <v>44846</v>
      </c>
      <c r="B442" s="2">
        <v>17025.55</v>
      </c>
      <c r="C442" s="2">
        <v>17142.349999999999</v>
      </c>
      <c r="D442" s="2">
        <v>16960.05</v>
      </c>
      <c r="E442" s="2">
        <v>17123.599999999999</v>
      </c>
      <c r="F442" s="2">
        <v>256037322</v>
      </c>
      <c r="G442" s="2">
        <v>18098.41</v>
      </c>
      <c r="H442" s="2">
        <f t="shared" si="44"/>
        <v>17371.172500000001</v>
      </c>
      <c r="I442" s="2">
        <f t="shared" si="45"/>
        <v>17493.782000000003</v>
      </c>
      <c r="J442" s="2">
        <f t="shared" si="43"/>
        <v>16986.409249999993</v>
      </c>
      <c r="K442" s="2">
        <f t="shared" si="41"/>
        <v>140.04999999999927</v>
      </c>
      <c r="L442" s="7">
        <f t="shared" si="39"/>
        <v>8.2258722919376637E-3</v>
      </c>
      <c r="M442" s="9"/>
      <c r="N442" s="2">
        <f t="shared" si="42"/>
        <v>18477.05</v>
      </c>
      <c r="O442" s="2">
        <f t="shared" si="40"/>
        <v>-7.3250329462765995E-2</v>
      </c>
      <c r="P442" s="2"/>
    </row>
    <row r="443" spans="1:16" x14ac:dyDescent="0.3">
      <c r="A443" s="3">
        <v>44847</v>
      </c>
      <c r="B443" s="2">
        <v>17087.349999999999</v>
      </c>
      <c r="C443" s="2">
        <v>17112.349999999999</v>
      </c>
      <c r="D443" s="2">
        <v>16956.95</v>
      </c>
      <c r="E443" s="2">
        <v>17014.349999999999</v>
      </c>
      <c r="F443" s="2">
        <v>266438674</v>
      </c>
      <c r="G443" s="2">
        <v>18189.64</v>
      </c>
      <c r="H443" s="2">
        <f t="shared" si="44"/>
        <v>17323.849999999999</v>
      </c>
      <c r="I443" s="2">
        <f t="shared" si="45"/>
        <v>17497.662</v>
      </c>
      <c r="J443" s="2">
        <f t="shared" si="43"/>
        <v>16987.249999999996</v>
      </c>
      <c r="K443" s="2">
        <f t="shared" si="41"/>
        <v>-109.25</v>
      </c>
      <c r="L443" s="7">
        <f t="shared" si="39"/>
        <v>-6.3936186711222049E-3</v>
      </c>
      <c r="M443" s="9"/>
      <c r="N443" s="2">
        <f t="shared" si="42"/>
        <v>18477.05</v>
      </c>
      <c r="O443" s="2">
        <f t="shared" si="40"/>
        <v>-7.9163069862342783E-2</v>
      </c>
      <c r="P443" s="2"/>
    </row>
    <row r="444" spans="1:16" x14ac:dyDescent="0.3">
      <c r="A444" s="3">
        <v>44848</v>
      </c>
      <c r="B444" s="2">
        <v>17322.3</v>
      </c>
      <c r="C444" s="2">
        <v>17348.55</v>
      </c>
      <c r="D444" s="2">
        <v>17169.75</v>
      </c>
      <c r="E444" s="2">
        <v>17185.7</v>
      </c>
      <c r="F444" s="2">
        <v>226997138</v>
      </c>
      <c r="G444" s="2">
        <v>17813.47</v>
      </c>
      <c r="H444" s="2">
        <f t="shared" si="44"/>
        <v>17274.379999999997</v>
      </c>
      <c r="I444" s="2">
        <f t="shared" si="45"/>
        <v>17494.784000000003</v>
      </c>
      <c r="J444" s="2">
        <f t="shared" si="43"/>
        <v>16986.958749999998</v>
      </c>
      <c r="K444" s="2">
        <f t="shared" si="41"/>
        <v>171.35000000000218</v>
      </c>
      <c r="L444" s="7">
        <f t="shared" si="39"/>
        <v>9.8918734810043811E-3</v>
      </c>
      <c r="M444" s="9"/>
      <c r="N444" s="2">
        <f t="shared" si="42"/>
        <v>18477.05</v>
      </c>
      <c r="O444" s="2">
        <f t="shared" si="40"/>
        <v>-6.9889403340901213E-2</v>
      </c>
      <c r="P444" s="2"/>
    </row>
    <row r="445" spans="1:16" x14ac:dyDescent="0.3">
      <c r="A445" s="3">
        <v>44851</v>
      </c>
      <c r="B445" s="2">
        <v>17144.8</v>
      </c>
      <c r="C445" s="2">
        <v>17328.55</v>
      </c>
      <c r="D445" s="2">
        <v>17098.55</v>
      </c>
      <c r="E445" s="2">
        <v>17311.8</v>
      </c>
      <c r="F445" s="2">
        <v>212223419</v>
      </c>
      <c r="G445" s="2">
        <v>16887.830000000002</v>
      </c>
      <c r="H445" s="2">
        <f t="shared" si="44"/>
        <v>17239.794999999998</v>
      </c>
      <c r="I445" s="2">
        <f t="shared" si="45"/>
        <v>17491.697</v>
      </c>
      <c r="J445" s="2">
        <f t="shared" si="43"/>
        <v>16987.868499999997</v>
      </c>
      <c r="K445" s="2">
        <f t="shared" si="41"/>
        <v>126.09999999999854</v>
      </c>
      <c r="L445" s="7">
        <f t="shared" si="39"/>
        <v>7.3549997666930234E-3</v>
      </c>
      <c r="M445" s="9"/>
      <c r="N445" s="2">
        <f t="shared" si="42"/>
        <v>18477.05</v>
      </c>
      <c r="O445" s="2">
        <f t="shared" si="40"/>
        <v>-6.3064720829353216E-2</v>
      </c>
      <c r="P445" s="2"/>
    </row>
    <row r="446" spans="1:16" x14ac:dyDescent="0.3">
      <c r="A446" s="3">
        <v>44852</v>
      </c>
      <c r="B446" s="2">
        <v>17438.75</v>
      </c>
      <c r="C446" s="2">
        <v>17527.8</v>
      </c>
      <c r="D446" s="2">
        <v>17434.05</v>
      </c>
      <c r="E446" s="2">
        <v>17486.95</v>
      </c>
      <c r="F446" s="2">
        <v>239493630</v>
      </c>
      <c r="G446" s="2">
        <v>18224.95</v>
      </c>
      <c r="H446" s="2">
        <f t="shared" si="44"/>
        <v>17228.842499999999</v>
      </c>
      <c r="I446" s="2">
        <f t="shared" si="45"/>
        <v>17491.024000000001</v>
      </c>
      <c r="J446" s="2">
        <f t="shared" si="43"/>
        <v>16988.996249999997</v>
      </c>
      <c r="K446" s="2">
        <f t="shared" si="41"/>
        <v>175.15000000000146</v>
      </c>
      <c r="L446" s="7">
        <f t="shared" si="39"/>
        <v>1.0043724464196199E-2</v>
      </c>
      <c r="M446" s="9"/>
      <c r="N446" s="2">
        <f t="shared" si="42"/>
        <v>18477.05</v>
      </c>
      <c r="O446" s="2">
        <f t="shared" si="40"/>
        <v>-5.3585393772274226E-2</v>
      </c>
      <c r="P446" s="2"/>
    </row>
    <row r="447" spans="1:16" x14ac:dyDescent="0.3">
      <c r="A447" s="3">
        <v>44853</v>
      </c>
      <c r="B447" s="2">
        <v>17568.150000000001</v>
      </c>
      <c r="C447" s="2">
        <v>17607.599999999999</v>
      </c>
      <c r="D447" s="2">
        <v>17472.849999999999</v>
      </c>
      <c r="E447" s="2">
        <v>17512.25</v>
      </c>
      <c r="F447" s="2">
        <v>210480869</v>
      </c>
      <c r="G447" s="2">
        <v>17200.79</v>
      </c>
      <c r="H447" s="2">
        <f t="shared" si="44"/>
        <v>17222.077499999999</v>
      </c>
      <c r="I447" s="2">
        <f t="shared" si="45"/>
        <v>17493</v>
      </c>
      <c r="J447" s="2">
        <f t="shared" si="43"/>
        <v>16990.264749999998</v>
      </c>
      <c r="K447" s="2">
        <f t="shared" si="41"/>
        <v>25.299999999999272</v>
      </c>
      <c r="L447" s="7">
        <f t="shared" si="39"/>
        <v>1.4401061010976836E-3</v>
      </c>
      <c r="M447" s="9"/>
      <c r="N447" s="2">
        <f t="shared" si="42"/>
        <v>18477.05</v>
      </c>
      <c r="O447" s="2">
        <f t="shared" si="40"/>
        <v>-5.2216127574477467E-2</v>
      </c>
      <c r="P447" s="2"/>
    </row>
    <row r="448" spans="1:16" x14ac:dyDescent="0.3">
      <c r="A448" s="3">
        <v>44854</v>
      </c>
      <c r="B448" s="2">
        <v>17423.099999999999</v>
      </c>
      <c r="C448" s="2">
        <v>17584.150000000001</v>
      </c>
      <c r="D448" s="2">
        <v>17421</v>
      </c>
      <c r="E448" s="2">
        <v>17563.95</v>
      </c>
      <c r="F448" s="2">
        <v>249604832</v>
      </c>
      <c r="G448" s="2">
        <v>18345.599999999999</v>
      </c>
      <c r="H448" s="2">
        <f t="shared" si="44"/>
        <v>17206.877499999999</v>
      </c>
      <c r="I448" s="2">
        <f t="shared" si="45"/>
        <v>17495.605</v>
      </c>
      <c r="J448" s="2">
        <f t="shared" si="43"/>
        <v>16991.757999999998</v>
      </c>
      <c r="K448" s="2">
        <f t="shared" si="41"/>
        <v>51.700000000000728</v>
      </c>
      <c r="L448" s="7">
        <f t="shared" si="39"/>
        <v>2.9673249880905654E-3</v>
      </c>
      <c r="M448" s="9"/>
      <c r="N448" s="2">
        <f t="shared" si="42"/>
        <v>18477.05</v>
      </c>
      <c r="O448" s="2">
        <f t="shared" si="40"/>
        <v>-4.9418061865936336E-2</v>
      </c>
      <c r="P448" s="2"/>
    </row>
    <row r="449" spans="1:16" x14ac:dyDescent="0.3">
      <c r="A449" s="3">
        <v>44855</v>
      </c>
      <c r="B449" s="2">
        <v>17622.849999999999</v>
      </c>
      <c r="C449" s="2">
        <v>17670.150000000001</v>
      </c>
      <c r="D449" s="2">
        <v>17520.75</v>
      </c>
      <c r="E449" s="2">
        <v>17576.3</v>
      </c>
      <c r="F449" s="2">
        <v>277702680</v>
      </c>
      <c r="G449" s="2">
        <v>23547.38</v>
      </c>
      <c r="H449" s="2">
        <f t="shared" si="44"/>
        <v>17199.157500000001</v>
      </c>
      <c r="I449" s="2">
        <f t="shared" si="45"/>
        <v>17498.933999999997</v>
      </c>
      <c r="J449" s="2">
        <f t="shared" si="43"/>
        <v>16993.557999999997</v>
      </c>
      <c r="K449" s="2">
        <f t="shared" si="41"/>
        <v>12.349999999998545</v>
      </c>
      <c r="L449" s="7">
        <f t="shared" si="39"/>
        <v>7.0079470687196149E-4</v>
      </c>
      <c r="M449" s="9"/>
      <c r="N449" s="2">
        <f t="shared" si="42"/>
        <v>18477.05</v>
      </c>
      <c r="O449" s="2">
        <f t="shared" si="40"/>
        <v>-4.8749665125114694E-2</v>
      </c>
      <c r="P449" s="2"/>
    </row>
    <row r="450" spans="1:16" x14ac:dyDescent="0.3">
      <c r="A450" s="3">
        <v>44858</v>
      </c>
      <c r="B450" s="2">
        <v>17736.349999999999</v>
      </c>
      <c r="C450" s="2">
        <v>17777.55</v>
      </c>
      <c r="D450" s="2">
        <v>17707.400000000001</v>
      </c>
      <c r="E450" s="2">
        <v>17730.75</v>
      </c>
      <c r="F450" s="2">
        <v>45029477</v>
      </c>
      <c r="G450" s="2">
        <v>3772.49</v>
      </c>
      <c r="H450" s="2">
        <f t="shared" si="44"/>
        <v>17196.482500000002</v>
      </c>
      <c r="I450" s="2">
        <f t="shared" si="45"/>
        <v>17499.957999999999</v>
      </c>
      <c r="J450" s="2">
        <f t="shared" si="43"/>
        <v>16994.669249999999</v>
      </c>
      <c r="K450" s="2">
        <f t="shared" si="41"/>
        <v>154.45000000000073</v>
      </c>
      <c r="L450" s="7">
        <f t="shared" si="39"/>
        <v>8.7081051061802875E-3</v>
      </c>
      <c r="M450" s="9"/>
      <c r="N450" s="2">
        <f t="shared" si="42"/>
        <v>18477.05</v>
      </c>
      <c r="O450" s="2">
        <f t="shared" si="40"/>
        <v>-4.0390646775323891E-2</v>
      </c>
      <c r="P450" s="2"/>
    </row>
    <row r="451" spans="1:16" x14ac:dyDescent="0.3">
      <c r="A451" s="3">
        <v>44859</v>
      </c>
      <c r="B451" s="2">
        <v>17808.3</v>
      </c>
      <c r="C451" s="2">
        <v>17811.5</v>
      </c>
      <c r="D451" s="2">
        <v>17637</v>
      </c>
      <c r="E451" s="2">
        <v>17656.349999999999</v>
      </c>
      <c r="F451" s="2">
        <v>251358203</v>
      </c>
      <c r="G451" s="2">
        <v>20338.32</v>
      </c>
      <c r="H451" s="2">
        <f t="shared" si="44"/>
        <v>17216.6525</v>
      </c>
      <c r="I451" s="2">
        <f t="shared" si="45"/>
        <v>17503.877999999997</v>
      </c>
      <c r="J451" s="2">
        <f t="shared" si="43"/>
        <v>16995.194499999998</v>
      </c>
      <c r="K451" s="2">
        <f t="shared" si="41"/>
        <v>-74.400000000001455</v>
      </c>
      <c r="L451" s="7">
        <f t="shared" ref="L451:L514" si="46">(K451/(B451))</f>
        <v>-4.1778271929382065E-3</v>
      </c>
      <c r="M451" s="9"/>
      <c r="N451" s="2">
        <f t="shared" si="42"/>
        <v>18477.05</v>
      </c>
      <c r="O451" s="2">
        <f t="shared" ref="O451:O514" si="47">(E451/N451)-1</f>
        <v>-4.4417263578330979E-2</v>
      </c>
      <c r="P451" s="2"/>
    </row>
    <row r="452" spans="1:16" x14ac:dyDescent="0.3">
      <c r="A452" s="3">
        <v>44861</v>
      </c>
      <c r="B452" s="2">
        <v>17771.400000000001</v>
      </c>
      <c r="C452" s="2">
        <v>17783.900000000001</v>
      </c>
      <c r="D452" s="2">
        <v>17654.5</v>
      </c>
      <c r="E452" s="2">
        <v>17736.95</v>
      </c>
      <c r="F452" s="2">
        <v>324649088</v>
      </c>
      <c r="G452" s="2">
        <v>24166.3</v>
      </c>
      <c r="H452" s="2">
        <f t="shared" si="44"/>
        <v>17248.654999999999</v>
      </c>
      <c r="I452" s="2">
        <f t="shared" si="45"/>
        <v>17503.824999999997</v>
      </c>
      <c r="J452" s="2">
        <f t="shared" si="43"/>
        <v>16994.45</v>
      </c>
      <c r="K452" s="2">
        <f t="shared" ref="K452:K515" si="48">E452-E451</f>
        <v>80.600000000002183</v>
      </c>
      <c r="L452" s="7">
        <f t="shared" si="46"/>
        <v>4.5353770665227371E-3</v>
      </c>
      <c r="M452" s="9"/>
      <c r="N452" s="2">
        <f t="shared" si="42"/>
        <v>18477.05</v>
      </c>
      <c r="O452" s="2">
        <f t="shared" si="47"/>
        <v>-4.0055095375073346E-2</v>
      </c>
      <c r="P452" s="2"/>
    </row>
    <row r="453" spans="1:16" x14ac:dyDescent="0.3">
      <c r="A453" s="3">
        <v>44862</v>
      </c>
      <c r="B453" s="2">
        <v>17756.400000000001</v>
      </c>
      <c r="C453" s="2">
        <v>17838.900000000001</v>
      </c>
      <c r="D453" s="2">
        <v>17723.7</v>
      </c>
      <c r="E453" s="2">
        <v>17786.8</v>
      </c>
      <c r="F453" s="2">
        <v>250030113</v>
      </c>
      <c r="G453" s="2">
        <v>19099.59</v>
      </c>
      <c r="H453" s="2">
        <f t="shared" si="44"/>
        <v>17285.1325</v>
      </c>
      <c r="I453" s="2">
        <f t="shared" si="45"/>
        <v>17504.600999999995</v>
      </c>
      <c r="J453" s="2">
        <f t="shared" si="43"/>
        <v>16993.508500000004</v>
      </c>
      <c r="K453" s="2">
        <f t="shared" si="48"/>
        <v>49.849999999998545</v>
      </c>
      <c r="L453" s="7">
        <f t="shared" si="46"/>
        <v>2.8074384447297055E-3</v>
      </c>
      <c r="M453" s="9"/>
      <c r="N453" s="2">
        <f t="shared" ref="N453:N516" si="49">MAX(N452,E453)</f>
        <v>18477.05</v>
      </c>
      <c r="O453" s="2">
        <f t="shared" si="47"/>
        <v>-3.7357153874671534E-2</v>
      </c>
      <c r="P453" s="2"/>
    </row>
    <row r="454" spans="1:16" x14ac:dyDescent="0.3">
      <c r="A454" s="3">
        <v>44865</v>
      </c>
      <c r="B454" s="2">
        <v>17910.2</v>
      </c>
      <c r="C454" s="2">
        <v>18022.8</v>
      </c>
      <c r="D454" s="2">
        <v>17899.900000000001</v>
      </c>
      <c r="E454" s="2">
        <v>18012.2</v>
      </c>
      <c r="F454" s="2">
        <v>227174539</v>
      </c>
      <c r="G454" s="2">
        <v>19846.47</v>
      </c>
      <c r="H454" s="2">
        <f t="shared" si="44"/>
        <v>17331.5425</v>
      </c>
      <c r="I454" s="2">
        <f t="shared" si="45"/>
        <v>17503.831999999999</v>
      </c>
      <c r="J454" s="2">
        <f t="shared" si="43"/>
        <v>16993.713</v>
      </c>
      <c r="K454" s="2">
        <f t="shared" si="48"/>
        <v>225.40000000000146</v>
      </c>
      <c r="L454" s="7">
        <f t="shared" si="46"/>
        <v>1.2585007425936139E-2</v>
      </c>
      <c r="M454" s="9"/>
      <c r="N454" s="2">
        <f t="shared" si="49"/>
        <v>18477.05</v>
      </c>
      <c r="O454" s="2">
        <f t="shared" si="47"/>
        <v>-2.5158236839755155E-2</v>
      </c>
      <c r="P454" s="2"/>
    </row>
    <row r="455" spans="1:16" x14ac:dyDescent="0.3">
      <c r="A455" s="3">
        <v>44866</v>
      </c>
      <c r="B455" s="2">
        <v>18130.7</v>
      </c>
      <c r="C455" s="2">
        <v>18175.8</v>
      </c>
      <c r="D455" s="2">
        <v>18060.150000000001</v>
      </c>
      <c r="E455" s="2">
        <v>18145.400000000001</v>
      </c>
      <c r="F455" s="2">
        <v>349924808</v>
      </c>
      <c r="G455" s="2">
        <v>26796.59</v>
      </c>
      <c r="H455" s="2">
        <f t="shared" si="44"/>
        <v>17391.247500000001</v>
      </c>
      <c r="I455" s="2">
        <f t="shared" si="45"/>
        <v>17505.190999999995</v>
      </c>
      <c r="J455" s="2">
        <f t="shared" si="43"/>
        <v>16994.710500000001</v>
      </c>
      <c r="K455" s="2">
        <f t="shared" si="48"/>
        <v>133.20000000000073</v>
      </c>
      <c r="L455" s="7">
        <f t="shared" si="46"/>
        <v>7.3466551208723726E-3</v>
      </c>
      <c r="M455" s="9"/>
      <c r="N455" s="2">
        <f t="shared" si="49"/>
        <v>18477.05</v>
      </c>
      <c r="O455" s="2">
        <f t="shared" si="47"/>
        <v>-1.7949293853726567E-2</v>
      </c>
      <c r="P455" s="2"/>
    </row>
    <row r="456" spans="1:16" x14ac:dyDescent="0.3">
      <c r="A456" s="3">
        <v>44867</v>
      </c>
      <c r="B456" s="2">
        <v>18177.900000000001</v>
      </c>
      <c r="C456" s="2">
        <v>18178.75</v>
      </c>
      <c r="D456" s="2">
        <v>18048.650000000001</v>
      </c>
      <c r="E456" s="2">
        <v>18082.849999999999</v>
      </c>
      <c r="F456" s="2">
        <v>270878019</v>
      </c>
      <c r="G456" s="2">
        <v>20072.62</v>
      </c>
      <c r="H456" s="2">
        <f t="shared" si="44"/>
        <v>17443.800000000003</v>
      </c>
      <c r="I456" s="2">
        <f t="shared" si="45"/>
        <v>17508.968999999997</v>
      </c>
      <c r="J456" s="2">
        <f t="shared" si="43"/>
        <v>16995.421000000002</v>
      </c>
      <c r="K456" s="2">
        <f t="shared" si="48"/>
        <v>-62.55000000000291</v>
      </c>
      <c r="L456" s="7">
        <f t="shared" si="46"/>
        <v>-3.440991533675667E-3</v>
      </c>
      <c r="M456" s="9"/>
      <c r="N456" s="2">
        <f t="shared" si="49"/>
        <v>18477.05</v>
      </c>
      <c r="O456" s="2">
        <f t="shared" si="47"/>
        <v>-2.1334574512706372E-2</v>
      </c>
      <c r="P456" s="2"/>
    </row>
    <row r="457" spans="1:16" x14ac:dyDescent="0.3">
      <c r="A457" s="3">
        <v>44868</v>
      </c>
      <c r="B457" s="2">
        <v>17968.349999999999</v>
      </c>
      <c r="C457" s="2">
        <v>18106.3</v>
      </c>
      <c r="D457" s="2">
        <v>17959.2</v>
      </c>
      <c r="E457" s="2">
        <v>18052.7</v>
      </c>
      <c r="F457" s="2">
        <v>212968291</v>
      </c>
      <c r="G457" s="2">
        <v>16037.78</v>
      </c>
      <c r="H457" s="2">
        <f t="shared" si="44"/>
        <v>17503.575000000001</v>
      </c>
      <c r="I457" s="2">
        <f t="shared" si="45"/>
        <v>17515.456999999999</v>
      </c>
      <c r="J457" s="2">
        <f t="shared" si="43"/>
        <v>16995.556500000002</v>
      </c>
      <c r="K457" s="2">
        <f t="shared" si="48"/>
        <v>-30.149999999997817</v>
      </c>
      <c r="L457" s="7">
        <f t="shared" si="46"/>
        <v>-1.6779503961130444E-3</v>
      </c>
      <c r="M457" s="9"/>
      <c r="N457" s="2">
        <f t="shared" si="49"/>
        <v>18477.05</v>
      </c>
      <c r="O457" s="2">
        <f t="shared" si="47"/>
        <v>-2.2966328499408606E-2</v>
      </c>
      <c r="P457" s="2"/>
    </row>
    <row r="458" spans="1:16" x14ac:dyDescent="0.3">
      <c r="A458" s="3">
        <v>44869</v>
      </c>
      <c r="B458" s="2">
        <v>18053.400000000001</v>
      </c>
      <c r="C458" s="2">
        <v>18135.099999999999</v>
      </c>
      <c r="D458" s="2">
        <v>18017.150000000001</v>
      </c>
      <c r="E458" s="2">
        <v>18117.150000000001</v>
      </c>
      <c r="F458" s="2">
        <v>267941526</v>
      </c>
      <c r="G458" s="2">
        <v>21062.54</v>
      </c>
      <c r="H458" s="2">
        <f t="shared" si="44"/>
        <v>17542.495000000003</v>
      </c>
      <c r="I458" s="2">
        <f t="shared" si="45"/>
        <v>17526.696999999996</v>
      </c>
      <c r="J458" s="2">
        <f t="shared" si="43"/>
        <v>16994.758250000003</v>
      </c>
      <c r="K458" s="2">
        <f t="shared" si="48"/>
        <v>64.450000000000728</v>
      </c>
      <c r="L458" s="7">
        <f t="shared" si="46"/>
        <v>3.5699646603964195E-3</v>
      </c>
      <c r="M458" s="9"/>
      <c r="N458" s="2">
        <f t="shared" si="49"/>
        <v>18477.05</v>
      </c>
      <c r="O458" s="2">
        <f t="shared" si="47"/>
        <v>-1.9478217572610257E-2</v>
      </c>
      <c r="P458" s="2"/>
    </row>
    <row r="459" spans="1:16" x14ac:dyDescent="0.3">
      <c r="A459" s="3">
        <v>44872</v>
      </c>
      <c r="B459" s="2">
        <v>18211.75</v>
      </c>
      <c r="C459" s="2">
        <v>18255.5</v>
      </c>
      <c r="D459" s="2">
        <v>18064.75</v>
      </c>
      <c r="E459" s="2">
        <v>18202.8</v>
      </c>
      <c r="F459" s="2">
        <v>314758398</v>
      </c>
      <c r="G459" s="2">
        <v>25124.84</v>
      </c>
      <c r="H459" s="2">
        <f t="shared" si="44"/>
        <v>17581.762500000004</v>
      </c>
      <c r="I459" s="2">
        <f t="shared" si="45"/>
        <v>17537.489999999994</v>
      </c>
      <c r="J459" s="2">
        <f t="shared" ref="J459:J522" si="50">AVERAGE(E259:E458)</f>
        <v>16994.055000000004</v>
      </c>
      <c r="K459" s="2">
        <f t="shared" si="48"/>
        <v>85.649999999997817</v>
      </c>
      <c r="L459" s="7">
        <f t="shared" si="46"/>
        <v>4.7030076736171876E-3</v>
      </c>
      <c r="M459" s="9"/>
      <c r="N459" s="2">
        <f t="shared" si="49"/>
        <v>18477.05</v>
      </c>
      <c r="O459" s="2">
        <f t="shared" si="47"/>
        <v>-1.4842737341729362E-2</v>
      </c>
      <c r="P459" s="2"/>
    </row>
    <row r="460" spans="1:16" x14ac:dyDescent="0.3">
      <c r="A460" s="3">
        <v>44874</v>
      </c>
      <c r="B460" s="2">
        <v>18288.25</v>
      </c>
      <c r="C460" s="2">
        <v>18296.400000000001</v>
      </c>
      <c r="D460" s="2">
        <v>18117.5</v>
      </c>
      <c r="E460" s="2">
        <v>18157</v>
      </c>
      <c r="F460" s="2">
        <v>307155149</v>
      </c>
      <c r="G460" s="2">
        <v>23344.58</v>
      </c>
      <c r="H460" s="2">
        <f t="shared" si="44"/>
        <v>17626.170000000002</v>
      </c>
      <c r="I460" s="2">
        <f t="shared" si="45"/>
        <v>17549.446999999996</v>
      </c>
      <c r="J460" s="2">
        <f t="shared" si="50"/>
        <v>16993.790250000005</v>
      </c>
      <c r="K460" s="2">
        <f t="shared" si="48"/>
        <v>-45.799999999999272</v>
      </c>
      <c r="L460" s="7">
        <f t="shared" si="46"/>
        <v>-2.5043402184462302E-3</v>
      </c>
      <c r="M460" s="9"/>
      <c r="N460" s="2">
        <f t="shared" si="49"/>
        <v>18477.05</v>
      </c>
      <c r="O460" s="2">
        <f t="shared" si="47"/>
        <v>-1.7321488008096519E-2</v>
      </c>
      <c r="P460" s="2"/>
    </row>
    <row r="461" spans="1:16" x14ac:dyDescent="0.3">
      <c r="A461" s="3">
        <v>44875</v>
      </c>
      <c r="B461" s="2">
        <v>18044.349999999999</v>
      </c>
      <c r="C461" s="2">
        <v>18103.099999999999</v>
      </c>
      <c r="D461" s="2">
        <v>17969.400000000001</v>
      </c>
      <c r="E461" s="2">
        <v>18028.2</v>
      </c>
      <c r="F461" s="2">
        <v>256451785</v>
      </c>
      <c r="G461" s="2">
        <v>19848.060000000001</v>
      </c>
      <c r="H461" s="2">
        <f t="shared" si="44"/>
        <v>17671.97</v>
      </c>
      <c r="I461" s="2">
        <f t="shared" si="45"/>
        <v>17562.137999999992</v>
      </c>
      <c r="J461" s="2">
        <f t="shared" si="50"/>
        <v>16993.034750000006</v>
      </c>
      <c r="K461" s="2">
        <f t="shared" si="48"/>
        <v>-128.79999999999927</v>
      </c>
      <c r="L461" s="7">
        <f t="shared" si="46"/>
        <v>-7.1379683945389707E-3</v>
      </c>
      <c r="M461" s="9"/>
      <c r="N461" s="2">
        <f t="shared" si="49"/>
        <v>18477.05</v>
      </c>
      <c r="O461" s="2">
        <f t="shared" si="47"/>
        <v>-2.4292297742334323E-2</v>
      </c>
      <c r="P461" s="2"/>
    </row>
    <row r="462" spans="1:16" x14ac:dyDescent="0.3">
      <c r="A462" s="3">
        <v>44876</v>
      </c>
      <c r="B462" s="2">
        <v>18272.349999999999</v>
      </c>
      <c r="C462" s="2">
        <v>18362.3</v>
      </c>
      <c r="D462" s="2">
        <v>18259.349999999999</v>
      </c>
      <c r="E462" s="2">
        <v>18349.7</v>
      </c>
      <c r="F462" s="2">
        <v>378469072</v>
      </c>
      <c r="G462" s="2">
        <v>30732.11</v>
      </c>
      <c r="H462" s="2">
        <f t="shared" si="44"/>
        <v>17724.202500000003</v>
      </c>
      <c r="I462" s="2">
        <f t="shared" si="45"/>
        <v>17571.523999999994</v>
      </c>
      <c r="J462" s="2">
        <f t="shared" si="50"/>
        <v>16992.610500000006</v>
      </c>
      <c r="K462" s="2">
        <f t="shared" si="48"/>
        <v>321.5</v>
      </c>
      <c r="L462" s="7">
        <f t="shared" si="46"/>
        <v>1.7594890640776913E-2</v>
      </c>
      <c r="M462" s="9"/>
      <c r="N462" s="2">
        <f t="shared" si="49"/>
        <v>18477.05</v>
      </c>
      <c r="O462" s="2">
        <f t="shared" si="47"/>
        <v>-6.8923340035340619E-3</v>
      </c>
      <c r="P462" s="2"/>
    </row>
    <row r="463" spans="1:16" x14ac:dyDescent="0.3">
      <c r="A463" s="3">
        <v>44879</v>
      </c>
      <c r="B463" s="2">
        <v>18376.400000000001</v>
      </c>
      <c r="C463" s="2">
        <v>18399.45</v>
      </c>
      <c r="D463" s="2">
        <v>18311.400000000001</v>
      </c>
      <c r="E463" s="2">
        <v>18329.150000000001</v>
      </c>
      <c r="F463" s="2">
        <v>301401961</v>
      </c>
      <c r="G463" s="2">
        <v>21697.66</v>
      </c>
      <c r="H463" s="2">
        <f t="shared" si="44"/>
        <v>17785.5075</v>
      </c>
      <c r="I463" s="2">
        <f t="shared" si="45"/>
        <v>17592.259999999995</v>
      </c>
      <c r="J463" s="2">
        <f t="shared" si="50"/>
        <v>16994.667000000005</v>
      </c>
      <c r="K463" s="2">
        <f t="shared" si="48"/>
        <v>-20.549999999999272</v>
      </c>
      <c r="L463" s="7">
        <f t="shared" si="46"/>
        <v>-1.1182821444896318E-3</v>
      </c>
      <c r="M463" s="9"/>
      <c r="N463" s="2">
        <f t="shared" si="49"/>
        <v>18477.05</v>
      </c>
      <c r="O463" s="2">
        <f t="shared" si="47"/>
        <v>-8.0045245317839075E-3</v>
      </c>
      <c r="P463" s="2"/>
    </row>
    <row r="464" spans="1:16" x14ac:dyDescent="0.3">
      <c r="A464" s="3">
        <v>44880</v>
      </c>
      <c r="B464" s="2">
        <v>18362.75</v>
      </c>
      <c r="C464" s="2">
        <v>18427.95</v>
      </c>
      <c r="D464" s="2">
        <v>18282</v>
      </c>
      <c r="E464" s="2">
        <v>18403.400000000001</v>
      </c>
      <c r="F464" s="2">
        <v>250926391</v>
      </c>
      <c r="G464" s="2">
        <v>17836.189999999999</v>
      </c>
      <c r="H464" s="2">
        <f t="shared" si="44"/>
        <v>17851.247500000005</v>
      </c>
      <c r="I464" s="2">
        <f t="shared" si="45"/>
        <v>17603.656999999992</v>
      </c>
      <c r="J464" s="2">
        <f t="shared" si="50"/>
        <v>16997.527750000005</v>
      </c>
      <c r="K464" s="2">
        <f t="shared" si="48"/>
        <v>74.25</v>
      </c>
      <c r="L464" s="7">
        <f t="shared" si="46"/>
        <v>4.0435120011980772E-3</v>
      </c>
      <c r="M464" s="9"/>
      <c r="N464" s="2">
        <f t="shared" si="49"/>
        <v>18477.05</v>
      </c>
      <c r="O464" s="2">
        <f t="shared" si="47"/>
        <v>-3.9860259078152716E-3</v>
      </c>
      <c r="P464" s="2"/>
    </row>
    <row r="465" spans="1:16" x14ac:dyDescent="0.3">
      <c r="A465" s="3">
        <v>44881</v>
      </c>
      <c r="B465" s="2">
        <v>18398.25</v>
      </c>
      <c r="C465" s="2">
        <v>18442.150000000001</v>
      </c>
      <c r="D465" s="2">
        <v>18344.150000000001</v>
      </c>
      <c r="E465" s="2">
        <v>18409.650000000001</v>
      </c>
      <c r="F465" s="2">
        <v>219268992</v>
      </c>
      <c r="G465" s="2">
        <v>19732.87</v>
      </c>
      <c r="H465" s="2">
        <f t="shared" si="44"/>
        <v>17912.132500000003</v>
      </c>
      <c r="I465" s="2">
        <f t="shared" si="45"/>
        <v>17620.868999999995</v>
      </c>
      <c r="J465" s="2">
        <f t="shared" si="50"/>
        <v>17001.459000000003</v>
      </c>
      <c r="K465" s="2">
        <f t="shared" si="48"/>
        <v>6.25</v>
      </c>
      <c r="L465" s="7">
        <f t="shared" si="46"/>
        <v>3.3970622205916322E-4</v>
      </c>
      <c r="M465" s="9"/>
      <c r="N465" s="2">
        <f t="shared" si="49"/>
        <v>18477.05</v>
      </c>
      <c r="O465" s="2">
        <f t="shared" si="47"/>
        <v>-3.6477684478852801E-3</v>
      </c>
      <c r="P465" s="2"/>
    </row>
    <row r="466" spans="1:16" x14ac:dyDescent="0.3">
      <c r="A466" s="3">
        <v>44882</v>
      </c>
      <c r="B466" s="2">
        <v>18358.7</v>
      </c>
      <c r="C466" s="2">
        <v>18417.599999999999</v>
      </c>
      <c r="D466" s="2">
        <v>18312.95</v>
      </c>
      <c r="E466" s="2">
        <v>18343.900000000001</v>
      </c>
      <c r="F466" s="2">
        <v>200512910</v>
      </c>
      <c r="G466" s="2">
        <v>16410.36</v>
      </c>
      <c r="H466" s="2">
        <f t="shared" si="44"/>
        <v>17967.025000000005</v>
      </c>
      <c r="I466" s="2">
        <f t="shared" si="45"/>
        <v>17638.272999999997</v>
      </c>
      <c r="J466" s="2">
        <f t="shared" si="50"/>
        <v>17007.761750000005</v>
      </c>
      <c r="K466" s="2">
        <f t="shared" si="48"/>
        <v>-65.75</v>
      </c>
      <c r="L466" s="7">
        <f t="shared" si="46"/>
        <v>-3.5814082696487221E-3</v>
      </c>
      <c r="M466" s="9"/>
      <c r="N466" s="2">
        <f t="shared" si="49"/>
        <v>18477.05</v>
      </c>
      <c r="O466" s="2">
        <f t="shared" si="47"/>
        <v>-7.20623692634903E-3</v>
      </c>
      <c r="P466" s="2"/>
    </row>
    <row r="467" spans="1:16" x14ac:dyDescent="0.3">
      <c r="A467" s="3">
        <v>44883</v>
      </c>
      <c r="B467" s="2">
        <v>18382.95</v>
      </c>
      <c r="C467" s="2">
        <v>18394.599999999999</v>
      </c>
      <c r="D467" s="2">
        <v>18209.8</v>
      </c>
      <c r="E467" s="2">
        <v>18307.650000000001</v>
      </c>
      <c r="F467" s="2">
        <v>198794846</v>
      </c>
      <c r="G467" s="2">
        <v>16553.689999999999</v>
      </c>
      <c r="H467" s="2">
        <f t="shared" si="44"/>
        <v>18009.872500000005</v>
      </c>
      <c r="I467" s="2">
        <f t="shared" si="45"/>
        <v>17651.834999999999</v>
      </c>
      <c r="J467" s="2">
        <f t="shared" si="50"/>
        <v>17013.091500000002</v>
      </c>
      <c r="K467" s="2">
        <f t="shared" si="48"/>
        <v>-36.25</v>
      </c>
      <c r="L467" s="7">
        <f t="shared" si="46"/>
        <v>-1.9719359515202946E-3</v>
      </c>
      <c r="M467" s="9"/>
      <c r="N467" s="2">
        <f t="shared" si="49"/>
        <v>18477.05</v>
      </c>
      <c r="O467" s="2">
        <f t="shared" si="47"/>
        <v>-9.1681301939431359E-3</v>
      </c>
      <c r="P467" s="2"/>
    </row>
    <row r="468" spans="1:16" x14ac:dyDescent="0.3">
      <c r="A468" s="3">
        <v>44886</v>
      </c>
      <c r="B468" s="2">
        <v>18246.400000000001</v>
      </c>
      <c r="C468" s="2">
        <v>18262.3</v>
      </c>
      <c r="D468" s="2">
        <v>18133.349999999999</v>
      </c>
      <c r="E468" s="2">
        <v>18159.95</v>
      </c>
      <c r="F468" s="2">
        <v>213794598</v>
      </c>
      <c r="G468" s="2">
        <v>15037.5</v>
      </c>
      <c r="H468" s="2">
        <f t="shared" si="44"/>
        <v>18049.642500000009</v>
      </c>
      <c r="I468" s="2">
        <f t="shared" si="45"/>
        <v>17664.876</v>
      </c>
      <c r="J468" s="2">
        <f t="shared" si="50"/>
        <v>17019.079000000005</v>
      </c>
      <c r="K468" s="2">
        <f t="shared" si="48"/>
        <v>-147.70000000000073</v>
      </c>
      <c r="L468" s="7">
        <f t="shared" si="46"/>
        <v>-8.0947474570326593E-3</v>
      </c>
      <c r="M468" s="9"/>
      <c r="N468" s="2">
        <f t="shared" si="49"/>
        <v>18477.05</v>
      </c>
      <c r="O468" s="2">
        <f t="shared" si="47"/>
        <v>-1.7161830487009477E-2</v>
      </c>
      <c r="P468" s="2"/>
    </row>
    <row r="469" spans="1:16" x14ac:dyDescent="0.3">
      <c r="A469" s="3">
        <v>44887</v>
      </c>
      <c r="B469" s="2">
        <v>18179.150000000001</v>
      </c>
      <c r="C469" s="2">
        <v>18261.849999999999</v>
      </c>
      <c r="D469" s="2">
        <v>18137.7</v>
      </c>
      <c r="E469" s="2">
        <v>18244.2</v>
      </c>
      <c r="F469" s="2">
        <v>177681099</v>
      </c>
      <c r="G469" s="2">
        <v>14750.98</v>
      </c>
      <c r="H469" s="2">
        <f t="shared" si="44"/>
        <v>18079.442500000008</v>
      </c>
      <c r="I469" s="2">
        <f t="shared" si="45"/>
        <v>17675.586999999996</v>
      </c>
      <c r="J469" s="2">
        <f t="shared" si="50"/>
        <v>17024.369000000006</v>
      </c>
      <c r="K469" s="2">
        <f t="shared" si="48"/>
        <v>84.25</v>
      </c>
      <c r="L469" s="7">
        <f t="shared" si="46"/>
        <v>4.6344301026175587E-3</v>
      </c>
      <c r="M469" s="9"/>
      <c r="N469" s="2">
        <f t="shared" si="49"/>
        <v>18477.05</v>
      </c>
      <c r="O469" s="2">
        <f t="shared" si="47"/>
        <v>-1.2602119927152766E-2</v>
      </c>
      <c r="P469" s="2"/>
    </row>
    <row r="470" spans="1:16" x14ac:dyDescent="0.3">
      <c r="A470" s="3">
        <v>44888</v>
      </c>
      <c r="B470" s="2">
        <v>18325.2</v>
      </c>
      <c r="C470" s="2">
        <v>18325.400000000001</v>
      </c>
      <c r="D470" s="2">
        <v>18246</v>
      </c>
      <c r="E470" s="2">
        <v>18267.25</v>
      </c>
      <c r="F470" s="2">
        <v>178791087</v>
      </c>
      <c r="G470" s="2">
        <v>15674.45</v>
      </c>
      <c r="H470" s="2">
        <f t="shared" si="44"/>
        <v>18112.837500000005</v>
      </c>
      <c r="I470" s="2">
        <f t="shared" si="45"/>
        <v>17684.495999999996</v>
      </c>
      <c r="J470" s="2">
        <f t="shared" si="50"/>
        <v>17028.890750000006</v>
      </c>
      <c r="K470" s="2">
        <f t="shared" si="48"/>
        <v>23.049999999999272</v>
      </c>
      <c r="L470" s="7">
        <f t="shared" si="46"/>
        <v>1.2578307467312373E-3</v>
      </c>
      <c r="M470" s="9"/>
      <c r="N470" s="2">
        <f t="shared" si="49"/>
        <v>18477.05</v>
      </c>
      <c r="O470" s="2">
        <f t="shared" si="47"/>
        <v>-1.1354626414930902E-2</v>
      </c>
      <c r="P470" s="2"/>
    </row>
    <row r="471" spans="1:16" x14ac:dyDescent="0.3">
      <c r="A471" s="3">
        <v>44889</v>
      </c>
      <c r="B471" s="2">
        <v>18326.099999999999</v>
      </c>
      <c r="C471" s="2">
        <v>18529.7</v>
      </c>
      <c r="D471" s="2">
        <v>18294.25</v>
      </c>
      <c r="E471" s="2">
        <v>18484.099999999999</v>
      </c>
      <c r="F471" s="2">
        <v>204044559</v>
      </c>
      <c r="G471" s="2">
        <v>18218.349999999999</v>
      </c>
      <c r="H471" s="2">
        <f t="shared" ref="H471:H534" si="51">AVERAGE(E451:E470)</f>
        <v>18139.662500000006</v>
      </c>
      <c r="I471" s="2">
        <f t="shared" si="45"/>
        <v>17693.173999999995</v>
      </c>
      <c r="J471" s="2">
        <f t="shared" si="50"/>
        <v>17032.342750000007</v>
      </c>
      <c r="K471" s="2">
        <f t="shared" si="48"/>
        <v>216.84999999999854</v>
      </c>
      <c r="L471" s="7">
        <f t="shared" si="46"/>
        <v>1.1832850415527502E-2</v>
      </c>
      <c r="M471" s="9"/>
      <c r="N471" s="2">
        <f t="shared" si="49"/>
        <v>18484.099999999999</v>
      </c>
      <c r="O471" s="2">
        <f t="shared" si="47"/>
        <v>0</v>
      </c>
      <c r="P471" s="2"/>
    </row>
    <row r="472" spans="1:16" x14ac:dyDescent="0.3">
      <c r="A472" s="3">
        <v>44890</v>
      </c>
      <c r="B472" s="2">
        <v>18528.45</v>
      </c>
      <c r="C472" s="2">
        <v>18534.900000000001</v>
      </c>
      <c r="D472" s="2">
        <v>18445.099999999999</v>
      </c>
      <c r="E472" s="2">
        <v>18512.75</v>
      </c>
      <c r="F472" s="2">
        <v>205876043</v>
      </c>
      <c r="G472" s="2">
        <v>17112.8</v>
      </c>
      <c r="H472" s="2">
        <f t="shared" si="51"/>
        <v>18181.050000000003</v>
      </c>
      <c r="I472" s="2">
        <f t="shared" si="45"/>
        <v>17704.128999999997</v>
      </c>
      <c r="J472" s="2">
        <f t="shared" si="50"/>
        <v>17035.863250000006</v>
      </c>
      <c r="K472" s="2">
        <f t="shared" si="48"/>
        <v>28.650000000001455</v>
      </c>
      <c r="L472" s="7">
        <f t="shared" si="46"/>
        <v>1.5462707350048955E-3</v>
      </c>
      <c r="M472" s="9"/>
      <c r="N472" s="2">
        <f t="shared" si="49"/>
        <v>18512.75</v>
      </c>
      <c r="O472" s="2">
        <f t="shared" si="47"/>
        <v>0</v>
      </c>
      <c r="P472" s="2"/>
    </row>
    <row r="473" spans="1:16" x14ac:dyDescent="0.3">
      <c r="A473" s="3">
        <v>44893</v>
      </c>
      <c r="B473" s="2">
        <v>18430.55</v>
      </c>
      <c r="C473" s="2">
        <v>18614.25</v>
      </c>
      <c r="D473" s="2">
        <v>18365.599999999999</v>
      </c>
      <c r="E473" s="2">
        <v>18562.75</v>
      </c>
      <c r="F473" s="2">
        <v>206468884</v>
      </c>
      <c r="G473" s="2">
        <v>19006.919999999998</v>
      </c>
      <c r="H473" s="2">
        <f t="shared" si="51"/>
        <v>18219.840000000004</v>
      </c>
      <c r="I473" s="2">
        <f t="shared" si="45"/>
        <v>17712.982999999997</v>
      </c>
      <c r="J473" s="2">
        <f t="shared" si="50"/>
        <v>17040.626000000004</v>
      </c>
      <c r="K473" s="2">
        <f t="shared" si="48"/>
        <v>50</v>
      </c>
      <c r="L473" s="7">
        <f t="shared" si="46"/>
        <v>2.7128870272455246E-3</v>
      </c>
      <c r="M473" s="9"/>
      <c r="N473" s="2">
        <f t="shared" si="49"/>
        <v>18562.75</v>
      </c>
      <c r="O473" s="2">
        <f t="shared" si="47"/>
        <v>0</v>
      </c>
      <c r="P473" s="2"/>
    </row>
    <row r="474" spans="1:16" x14ac:dyDescent="0.3">
      <c r="A474" s="3">
        <v>44894</v>
      </c>
      <c r="B474" s="2">
        <v>18552.45</v>
      </c>
      <c r="C474" s="2">
        <v>18678.099999999999</v>
      </c>
      <c r="D474" s="2">
        <v>18552.150000000001</v>
      </c>
      <c r="E474" s="2">
        <v>18618.05</v>
      </c>
      <c r="F474" s="2">
        <v>195255179</v>
      </c>
      <c r="G474" s="2">
        <v>16568.169999999998</v>
      </c>
      <c r="H474" s="2">
        <f t="shared" si="51"/>
        <v>18258.637500000001</v>
      </c>
      <c r="I474" s="2">
        <f t="shared" si="45"/>
        <v>17724.162999999997</v>
      </c>
      <c r="J474" s="2">
        <f t="shared" si="50"/>
        <v>17045.858250000005</v>
      </c>
      <c r="K474" s="2">
        <f t="shared" si="48"/>
        <v>55.299999999999272</v>
      </c>
      <c r="L474" s="7">
        <f t="shared" si="46"/>
        <v>2.9807383930423891E-3</v>
      </c>
      <c r="M474" s="9"/>
      <c r="N474" s="2">
        <f t="shared" si="49"/>
        <v>18618.05</v>
      </c>
      <c r="O474" s="2">
        <f t="shared" si="47"/>
        <v>0</v>
      </c>
      <c r="P474" s="2"/>
    </row>
    <row r="475" spans="1:16" x14ac:dyDescent="0.3">
      <c r="A475" s="3">
        <v>44895</v>
      </c>
      <c r="B475" s="2">
        <v>18625.7</v>
      </c>
      <c r="C475" s="2">
        <v>18816.05</v>
      </c>
      <c r="D475" s="2">
        <v>18616.55</v>
      </c>
      <c r="E475" s="2">
        <v>18758.349999999999</v>
      </c>
      <c r="F475" s="2">
        <v>345636288</v>
      </c>
      <c r="G475" s="2">
        <v>32757.21</v>
      </c>
      <c r="H475" s="2">
        <f t="shared" si="51"/>
        <v>18288.93</v>
      </c>
      <c r="I475" s="2">
        <f t="shared" si="45"/>
        <v>17738.975999999999</v>
      </c>
      <c r="J475" s="2">
        <f t="shared" si="50"/>
        <v>17052.880500000007</v>
      </c>
      <c r="K475" s="2">
        <f t="shared" si="48"/>
        <v>140.29999999999927</v>
      </c>
      <c r="L475" s="7">
        <f t="shared" si="46"/>
        <v>7.5326028015054074E-3</v>
      </c>
      <c r="M475" s="9"/>
      <c r="N475" s="2">
        <f t="shared" si="49"/>
        <v>18758.349999999999</v>
      </c>
      <c r="O475" s="2">
        <f t="shared" si="47"/>
        <v>0</v>
      </c>
      <c r="P475" s="2"/>
    </row>
    <row r="476" spans="1:16" x14ac:dyDescent="0.3">
      <c r="A476" s="3">
        <v>44896</v>
      </c>
      <c r="B476" s="2">
        <v>18871.95</v>
      </c>
      <c r="C476" s="2">
        <v>18887.599999999999</v>
      </c>
      <c r="D476" s="2">
        <v>18778.2</v>
      </c>
      <c r="E476" s="2">
        <v>18812.5</v>
      </c>
      <c r="F476" s="2">
        <v>324955829</v>
      </c>
      <c r="G476" s="2">
        <v>22216.65</v>
      </c>
      <c r="H476" s="2">
        <f t="shared" si="51"/>
        <v>18319.577499999996</v>
      </c>
      <c r="I476" s="2">
        <f t="shared" si="45"/>
        <v>17763.525999999998</v>
      </c>
      <c r="J476" s="2">
        <f t="shared" si="50"/>
        <v>17060.338500000005</v>
      </c>
      <c r="K476" s="2">
        <f t="shared" si="48"/>
        <v>54.150000000001455</v>
      </c>
      <c r="L476" s="7">
        <f t="shared" si="46"/>
        <v>2.8693378267747346E-3</v>
      </c>
      <c r="M476" s="9"/>
      <c r="N476" s="2">
        <f t="shared" si="49"/>
        <v>18812.5</v>
      </c>
      <c r="O476" s="2">
        <f t="shared" si="47"/>
        <v>0</v>
      </c>
      <c r="P476" s="2"/>
    </row>
    <row r="477" spans="1:16" x14ac:dyDescent="0.3">
      <c r="A477" s="3">
        <v>44897</v>
      </c>
      <c r="B477" s="2">
        <v>18752.400000000001</v>
      </c>
      <c r="C477" s="2">
        <v>18781.95</v>
      </c>
      <c r="D477" s="2">
        <v>18639.2</v>
      </c>
      <c r="E477" s="2">
        <v>18696.099999999999</v>
      </c>
      <c r="F477" s="2">
        <v>254401004</v>
      </c>
      <c r="G477" s="2">
        <v>20233.759999999998</v>
      </c>
      <c r="H477" s="2">
        <f t="shared" si="51"/>
        <v>18356.059999999998</v>
      </c>
      <c r="I477" s="2">
        <f t="shared" si="45"/>
        <v>17787.330999999998</v>
      </c>
      <c r="J477" s="2">
        <f t="shared" si="50"/>
        <v>17067.082000000006</v>
      </c>
      <c r="K477" s="2">
        <f t="shared" si="48"/>
        <v>-116.40000000000146</v>
      </c>
      <c r="L477" s="7">
        <f t="shared" si="46"/>
        <v>-6.207205477698932E-3</v>
      </c>
      <c r="M477" s="9"/>
      <c r="N477" s="2">
        <f t="shared" si="49"/>
        <v>18812.5</v>
      </c>
      <c r="O477" s="2">
        <f t="shared" si="47"/>
        <v>-6.18737541528247E-3</v>
      </c>
      <c r="P477" s="2"/>
    </row>
    <row r="478" spans="1:16" x14ac:dyDescent="0.3">
      <c r="A478" s="3">
        <v>44900</v>
      </c>
      <c r="B478" s="2">
        <v>18719.55</v>
      </c>
      <c r="C478" s="2">
        <v>18728.599999999999</v>
      </c>
      <c r="D478" s="2">
        <v>18591.349999999999</v>
      </c>
      <c r="E478" s="2">
        <v>18701.05</v>
      </c>
      <c r="F478" s="2">
        <v>288393766</v>
      </c>
      <c r="G478" s="2">
        <v>19471.830000000002</v>
      </c>
      <c r="H478" s="2">
        <f t="shared" si="51"/>
        <v>18388.229999999996</v>
      </c>
      <c r="I478" s="2">
        <f t="shared" si="45"/>
        <v>17804.928</v>
      </c>
      <c r="J478" s="2">
        <f t="shared" si="50"/>
        <v>17072.533250000008</v>
      </c>
      <c r="K478" s="2">
        <f t="shared" si="48"/>
        <v>4.9500000000007276</v>
      </c>
      <c r="L478" s="7">
        <f t="shared" si="46"/>
        <v>2.6442943339988022E-4</v>
      </c>
      <c r="M478" s="9"/>
      <c r="N478" s="2">
        <f t="shared" si="49"/>
        <v>18812.5</v>
      </c>
      <c r="O478" s="2">
        <f t="shared" si="47"/>
        <v>-5.9242524916943706E-3</v>
      </c>
      <c r="P478" s="2"/>
    </row>
    <row r="479" spans="1:16" x14ac:dyDescent="0.3">
      <c r="A479" s="3">
        <v>44901</v>
      </c>
      <c r="B479" s="2">
        <v>18600.650000000001</v>
      </c>
      <c r="C479" s="2">
        <v>18654.900000000001</v>
      </c>
      <c r="D479" s="2">
        <v>18577.900000000001</v>
      </c>
      <c r="E479" s="2">
        <v>18642.75</v>
      </c>
      <c r="F479" s="2">
        <v>217777090</v>
      </c>
      <c r="G479" s="2">
        <v>17772.27</v>
      </c>
      <c r="H479" s="2">
        <f t="shared" si="51"/>
        <v>18417.424999999996</v>
      </c>
      <c r="I479" s="2">
        <f t="shared" si="45"/>
        <v>17824.581999999999</v>
      </c>
      <c r="J479" s="2">
        <f t="shared" si="50"/>
        <v>17079.164750000007</v>
      </c>
      <c r="K479" s="2">
        <f t="shared" si="48"/>
        <v>-58.299999999999272</v>
      </c>
      <c r="L479" s="7">
        <f t="shared" si="46"/>
        <v>-3.1342990701937442E-3</v>
      </c>
      <c r="M479" s="9"/>
      <c r="N479" s="2">
        <f t="shared" si="49"/>
        <v>18812.5</v>
      </c>
      <c r="O479" s="2">
        <f t="shared" si="47"/>
        <v>-9.023255813953468E-3</v>
      </c>
      <c r="P479" s="2"/>
    </row>
    <row r="480" spans="1:16" x14ac:dyDescent="0.3">
      <c r="A480" s="3">
        <v>44902</v>
      </c>
      <c r="B480" s="2">
        <v>18638.849999999999</v>
      </c>
      <c r="C480" s="2">
        <v>18668.3</v>
      </c>
      <c r="D480" s="2">
        <v>18528.400000000001</v>
      </c>
      <c r="E480" s="2">
        <v>18560.5</v>
      </c>
      <c r="F480" s="2">
        <v>200501720</v>
      </c>
      <c r="G480" s="2">
        <v>17496.8</v>
      </c>
      <c r="H480" s="2">
        <f t="shared" si="51"/>
        <v>18439.422499999997</v>
      </c>
      <c r="I480" s="2">
        <f t="shared" si="45"/>
        <v>17844.841</v>
      </c>
      <c r="J480" s="2">
        <f t="shared" si="50"/>
        <v>17088.164500000003</v>
      </c>
      <c r="K480" s="2">
        <f t="shared" si="48"/>
        <v>-82.25</v>
      </c>
      <c r="L480" s="7">
        <f t="shared" si="46"/>
        <v>-4.4128258985935299E-3</v>
      </c>
      <c r="M480" s="9"/>
      <c r="N480" s="2">
        <f t="shared" si="49"/>
        <v>18812.5</v>
      </c>
      <c r="O480" s="2">
        <f t="shared" si="47"/>
        <v>-1.3395348837209275E-2</v>
      </c>
      <c r="P480" s="2"/>
    </row>
    <row r="481" spans="1:16" x14ac:dyDescent="0.3">
      <c r="A481" s="3">
        <v>44903</v>
      </c>
      <c r="B481" s="2">
        <v>18570.849999999999</v>
      </c>
      <c r="C481" s="2">
        <v>18625</v>
      </c>
      <c r="D481" s="2">
        <v>18536.95</v>
      </c>
      <c r="E481" s="2">
        <v>18609.349999999999</v>
      </c>
      <c r="F481" s="2">
        <v>202811256</v>
      </c>
      <c r="G481" s="2">
        <v>19277.650000000001</v>
      </c>
      <c r="H481" s="2">
        <f t="shared" si="51"/>
        <v>18459.597499999996</v>
      </c>
      <c r="I481" s="2">
        <f t="shared" si="45"/>
        <v>17869.504000000001</v>
      </c>
      <c r="J481" s="2">
        <f t="shared" si="50"/>
        <v>17094.204750000004</v>
      </c>
      <c r="K481" s="2">
        <f t="shared" si="48"/>
        <v>48.849999999998545</v>
      </c>
      <c r="L481" s="7">
        <f t="shared" si="46"/>
        <v>2.6304665645352017E-3</v>
      </c>
      <c r="M481" s="9"/>
      <c r="N481" s="2">
        <f t="shared" si="49"/>
        <v>18812.5</v>
      </c>
      <c r="O481" s="2">
        <f t="shared" si="47"/>
        <v>-1.079867109634558E-2</v>
      </c>
      <c r="P481" s="2"/>
    </row>
    <row r="482" spans="1:16" x14ac:dyDescent="0.3">
      <c r="A482" s="3">
        <v>44904</v>
      </c>
      <c r="B482" s="2">
        <v>18662.400000000001</v>
      </c>
      <c r="C482" s="2">
        <v>18664.7</v>
      </c>
      <c r="D482" s="2">
        <v>18410.099999999999</v>
      </c>
      <c r="E482" s="2">
        <v>18496.599999999999</v>
      </c>
      <c r="F482" s="2">
        <v>215839572</v>
      </c>
      <c r="G482" s="2">
        <v>20317.78</v>
      </c>
      <c r="H482" s="2">
        <f t="shared" si="51"/>
        <v>18488.654999999995</v>
      </c>
      <c r="I482" s="2">
        <f t="shared" si="45"/>
        <v>17901.365000000002</v>
      </c>
      <c r="J482" s="2">
        <f t="shared" si="50"/>
        <v>17100.640500000005</v>
      </c>
      <c r="K482" s="2">
        <f t="shared" si="48"/>
        <v>-112.75</v>
      </c>
      <c r="L482" s="7">
        <f t="shared" si="46"/>
        <v>-6.0415594993141284E-3</v>
      </c>
      <c r="M482" s="9"/>
      <c r="N482" s="2">
        <f t="shared" si="49"/>
        <v>18812.5</v>
      </c>
      <c r="O482" s="2">
        <f t="shared" si="47"/>
        <v>-1.6792026578073216E-2</v>
      </c>
      <c r="P482" s="2"/>
    </row>
    <row r="483" spans="1:16" x14ac:dyDescent="0.3">
      <c r="A483" s="3">
        <v>44907</v>
      </c>
      <c r="B483" s="2">
        <v>18402.150000000001</v>
      </c>
      <c r="C483" s="2">
        <v>18521.55</v>
      </c>
      <c r="D483" s="2">
        <v>18345.7</v>
      </c>
      <c r="E483" s="2">
        <v>18497.150000000001</v>
      </c>
      <c r="F483" s="2">
        <v>193883468</v>
      </c>
      <c r="G483" s="2">
        <v>16688.2</v>
      </c>
      <c r="H483" s="2">
        <f t="shared" si="51"/>
        <v>18495.999999999996</v>
      </c>
      <c r="I483" s="2">
        <f t="shared" si="45"/>
        <v>17931.148999999998</v>
      </c>
      <c r="J483" s="2">
        <f t="shared" si="50"/>
        <v>17106.600500000004</v>
      </c>
      <c r="K483" s="2">
        <f t="shared" si="48"/>
        <v>0.55000000000291038</v>
      </c>
      <c r="L483" s="7">
        <f t="shared" si="46"/>
        <v>2.9887812022122977E-5</v>
      </c>
      <c r="M483" s="9"/>
      <c r="N483" s="2">
        <f t="shared" si="49"/>
        <v>18812.5</v>
      </c>
      <c r="O483" s="2">
        <f t="shared" si="47"/>
        <v>-1.676279069767439E-2</v>
      </c>
      <c r="P483" s="2"/>
    </row>
    <row r="484" spans="1:16" x14ac:dyDescent="0.3">
      <c r="A484" s="3">
        <v>44908</v>
      </c>
      <c r="B484" s="2">
        <v>18524.400000000001</v>
      </c>
      <c r="C484" s="2">
        <v>18617.25</v>
      </c>
      <c r="D484" s="2">
        <v>18490.2</v>
      </c>
      <c r="E484" s="2">
        <v>18608</v>
      </c>
      <c r="F484" s="2">
        <v>187585567</v>
      </c>
      <c r="G484" s="2">
        <v>16536.169999999998</v>
      </c>
      <c r="H484" s="2">
        <f t="shared" si="51"/>
        <v>18504.400000000001</v>
      </c>
      <c r="I484" s="2">
        <f t="shared" si="45"/>
        <v>17963.919999999998</v>
      </c>
      <c r="J484" s="2">
        <f t="shared" si="50"/>
        <v>17112.704750000004</v>
      </c>
      <c r="K484" s="2">
        <f t="shared" si="48"/>
        <v>110.84999999999854</v>
      </c>
      <c r="L484" s="7">
        <f t="shared" si="46"/>
        <v>5.9839994817645122E-3</v>
      </c>
      <c r="M484" s="9"/>
      <c r="N484" s="2">
        <f t="shared" si="49"/>
        <v>18812.5</v>
      </c>
      <c r="O484" s="2">
        <f t="shared" si="47"/>
        <v>-1.0870431893687749E-2</v>
      </c>
      <c r="P484" s="2"/>
    </row>
    <row r="485" spans="1:16" x14ac:dyDescent="0.3">
      <c r="A485" s="3">
        <v>44909</v>
      </c>
      <c r="B485" s="2">
        <v>18671.25</v>
      </c>
      <c r="C485" s="2">
        <v>18696.099999999999</v>
      </c>
      <c r="D485" s="2">
        <v>18632.900000000001</v>
      </c>
      <c r="E485" s="2">
        <v>18660.3</v>
      </c>
      <c r="F485" s="2">
        <v>208030337</v>
      </c>
      <c r="G485" s="2">
        <v>16626</v>
      </c>
      <c r="H485" s="2">
        <f t="shared" si="51"/>
        <v>18514.629999999997</v>
      </c>
      <c r="I485" s="2">
        <f t="shared" si="45"/>
        <v>17999.718000000001</v>
      </c>
      <c r="J485" s="2">
        <f t="shared" si="50"/>
        <v>17119.711500000005</v>
      </c>
      <c r="K485" s="2">
        <f t="shared" si="48"/>
        <v>52.299999999999272</v>
      </c>
      <c r="L485" s="7">
        <f t="shared" si="46"/>
        <v>2.801097944701039E-3</v>
      </c>
      <c r="M485" s="9"/>
      <c r="N485" s="2">
        <f t="shared" si="49"/>
        <v>18812.5</v>
      </c>
      <c r="O485" s="2">
        <f t="shared" si="47"/>
        <v>-8.0903654485050547E-3</v>
      </c>
      <c r="P485" s="2"/>
    </row>
    <row r="486" spans="1:16" x14ac:dyDescent="0.3">
      <c r="A486" s="3">
        <v>44910</v>
      </c>
      <c r="B486" s="2">
        <v>18614.400000000001</v>
      </c>
      <c r="C486" s="2">
        <v>18652.900000000001</v>
      </c>
      <c r="D486" s="2">
        <v>18387.7</v>
      </c>
      <c r="E486" s="2">
        <v>18414.900000000001</v>
      </c>
      <c r="F486" s="2">
        <v>183127544</v>
      </c>
      <c r="G486" s="2">
        <v>15618.55</v>
      </c>
      <c r="H486" s="2">
        <f t="shared" si="51"/>
        <v>18527.162499999999</v>
      </c>
      <c r="I486" s="2">
        <f t="shared" si="45"/>
        <v>18031.037</v>
      </c>
      <c r="J486" s="2">
        <f t="shared" si="50"/>
        <v>17127.552000000003</v>
      </c>
      <c r="K486" s="2">
        <f t="shared" si="48"/>
        <v>-245.39999999999782</v>
      </c>
      <c r="L486" s="7">
        <f t="shared" si="46"/>
        <v>-1.3183341928829174E-2</v>
      </c>
      <c r="M486" s="9"/>
      <c r="N486" s="2">
        <f t="shared" si="49"/>
        <v>18812.5</v>
      </c>
      <c r="O486" s="2">
        <f t="shared" si="47"/>
        <v>-2.1134883720930198E-2</v>
      </c>
      <c r="P486" s="2"/>
    </row>
    <row r="487" spans="1:16" x14ac:dyDescent="0.3">
      <c r="A487" s="3">
        <v>44911</v>
      </c>
      <c r="B487" s="2">
        <v>18319.099999999999</v>
      </c>
      <c r="C487" s="2">
        <v>18440.95</v>
      </c>
      <c r="D487" s="2">
        <v>18255.150000000001</v>
      </c>
      <c r="E487" s="2">
        <v>18269</v>
      </c>
      <c r="F487" s="2">
        <v>277650193</v>
      </c>
      <c r="G487" s="2">
        <v>23292.95</v>
      </c>
      <c r="H487" s="2">
        <f t="shared" si="51"/>
        <v>18530.712500000001</v>
      </c>
      <c r="I487" s="2">
        <f t="shared" si="45"/>
        <v>18061.588000000003</v>
      </c>
      <c r="J487" s="2">
        <f t="shared" si="50"/>
        <v>17134.310250000002</v>
      </c>
      <c r="K487" s="2">
        <f t="shared" si="48"/>
        <v>-145.90000000000146</v>
      </c>
      <c r="L487" s="7">
        <f t="shared" si="46"/>
        <v>-7.9643650616024516E-3</v>
      </c>
      <c r="M487" s="9"/>
      <c r="N487" s="2">
        <f t="shared" si="49"/>
        <v>18812.5</v>
      </c>
      <c r="O487" s="2">
        <f t="shared" si="47"/>
        <v>-2.8890365448504984E-2</v>
      </c>
      <c r="P487" s="2"/>
    </row>
    <row r="488" spans="1:16" x14ac:dyDescent="0.3">
      <c r="A488" s="3">
        <v>44914</v>
      </c>
      <c r="B488" s="2">
        <v>18288.099999999999</v>
      </c>
      <c r="C488" s="2">
        <v>18431.650000000001</v>
      </c>
      <c r="D488" s="2">
        <v>18244.55</v>
      </c>
      <c r="E488" s="2">
        <v>18420.45</v>
      </c>
      <c r="F488" s="2">
        <v>154847475</v>
      </c>
      <c r="G488" s="2">
        <v>14455.23</v>
      </c>
      <c r="H488" s="2">
        <f t="shared" si="51"/>
        <v>18528.780000000002</v>
      </c>
      <c r="I488" s="2">
        <f t="shared" si="45"/>
        <v>18081.482000000004</v>
      </c>
      <c r="J488" s="2">
        <f t="shared" si="50"/>
        <v>17144.415500000003</v>
      </c>
      <c r="K488" s="2">
        <f t="shared" si="48"/>
        <v>151.45000000000073</v>
      </c>
      <c r="L488" s="7">
        <f t="shared" si="46"/>
        <v>8.2813414187368154E-3</v>
      </c>
      <c r="M488" s="9"/>
      <c r="N488" s="2">
        <f t="shared" si="49"/>
        <v>18812.5</v>
      </c>
      <c r="O488" s="2">
        <f t="shared" si="47"/>
        <v>-2.083986710963448E-2</v>
      </c>
      <c r="P488" s="2"/>
    </row>
    <row r="489" spans="1:16" x14ac:dyDescent="0.3">
      <c r="A489" s="3">
        <v>44915</v>
      </c>
      <c r="B489" s="2">
        <v>18340.3</v>
      </c>
      <c r="C489" s="2">
        <v>18404.900000000001</v>
      </c>
      <c r="D489" s="2">
        <v>18202.650000000001</v>
      </c>
      <c r="E489" s="2">
        <v>18385.3</v>
      </c>
      <c r="F489" s="2">
        <v>169041783</v>
      </c>
      <c r="G489" s="2">
        <v>15038.56</v>
      </c>
      <c r="H489" s="2">
        <f t="shared" si="51"/>
        <v>18541.805</v>
      </c>
      <c r="I489" s="2">
        <f t="shared" si="45"/>
        <v>18103.255000000001</v>
      </c>
      <c r="J489" s="2">
        <f t="shared" si="50"/>
        <v>17153.225750000005</v>
      </c>
      <c r="K489" s="2">
        <f t="shared" si="48"/>
        <v>-35.150000000001455</v>
      </c>
      <c r="L489" s="7">
        <f t="shared" si="46"/>
        <v>-1.9165444403854601E-3</v>
      </c>
      <c r="M489" s="9"/>
      <c r="N489" s="2">
        <f t="shared" si="49"/>
        <v>18812.5</v>
      </c>
      <c r="O489" s="2">
        <f t="shared" si="47"/>
        <v>-2.2708305647840543E-2</v>
      </c>
      <c r="P489" s="2"/>
    </row>
    <row r="490" spans="1:16" x14ac:dyDescent="0.3">
      <c r="A490" s="3">
        <v>44916</v>
      </c>
      <c r="B490" s="2">
        <v>18435.150000000001</v>
      </c>
      <c r="C490" s="2">
        <v>18473.349999999999</v>
      </c>
      <c r="D490" s="2">
        <v>18162.75</v>
      </c>
      <c r="E490" s="2">
        <v>18199.099999999999</v>
      </c>
      <c r="F490" s="2">
        <v>187594274</v>
      </c>
      <c r="G490" s="2">
        <v>17223.439999999999</v>
      </c>
      <c r="H490" s="2">
        <f t="shared" si="51"/>
        <v>18548.86</v>
      </c>
      <c r="I490" s="2">
        <f t="shared" si="45"/>
        <v>18124.668000000005</v>
      </c>
      <c r="J490" s="2">
        <f t="shared" si="50"/>
        <v>17161.182750000004</v>
      </c>
      <c r="K490" s="2">
        <f t="shared" si="48"/>
        <v>-186.20000000000073</v>
      </c>
      <c r="L490" s="7">
        <f t="shared" si="46"/>
        <v>-1.0100270407346873E-2</v>
      </c>
      <c r="M490" s="9"/>
      <c r="N490" s="2">
        <f t="shared" si="49"/>
        <v>18812.5</v>
      </c>
      <c r="O490" s="2">
        <f t="shared" si="47"/>
        <v>-3.2605980066445217E-2</v>
      </c>
      <c r="P490" s="2"/>
    </row>
    <row r="491" spans="1:16" x14ac:dyDescent="0.3">
      <c r="A491" s="3">
        <v>44917</v>
      </c>
      <c r="B491" s="2">
        <v>18288.8</v>
      </c>
      <c r="C491" s="2">
        <v>18318.75</v>
      </c>
      <c r="D491" s="2">
        <v>18068.599999999999</v>
      </c>
      <c r="E491" s="2">
        <v>18127.349999999999</v>
      </c>
      <c r="F491" s="2">
        <v>195699650</v>
      </c>
      <c r="G491" s="2">
        <v>16725.23</v>
      </c>
      <c r="H491" s="2">
        <f t="shared" si="51"/>
        <v>18545.452499999999</v>
      </c>
      <c r="I491" s="2">
        <f t="shared" si="45"/>
        <v>18143.830000000005</v>
      </c>
      <c r="J491" s="2">
        <f t="shared" si="50"/>
        <v>17169.148500000003</v>
      </c>
      <c r="K491" s="2">
        <f t="shared" si="48"/>
        <v>-71.75</v>
      </c>
      <c r="L491" s="7">
        <f t="shared" si="46"/>
        <v>-3.9231660907221907E-3</v>
      </c>
      <c r="M491" s="9"/>
      <c r="N491" s="2">
        <f t="shared" si="49"/>
        <v>18812.5</v>
      </c>
      <c r="O491" s="2">
        <f t="shared" si="47"/>
        <v>-3.6419933554817319E-2</v>
      </c>
      <c r="P491" s="2"/>
    </row>
    <row r="492" spans="1:16" x14ac:dyDescent="0.3">
      <c r="A492" s="3">
        <v>44918</v>
      </c>
      <c r="B492" s="2">
        <v>17977.650000000001</v>
      </c>
      <c r="C492" s="2">
        <v>18050.45</v>
      </c>
      <c r="D492" s="2">
        <v>17779.5</v>
      </c>
      <c r="E492" s="2">
        <v>17806.8</v>
      </c>
      <c r="F492" s="2">
        <v>221454773</v>
      </c>
      <c r="G492" s="2">
        <v>18486.939999999999</v>
      </c>
      <c r="H492" s="2">
        <f t="shared" si="51"/>
        <v>18527.614999999998</v>
      </c>
      <c r="I492" s="2">
        <f t="shared" si="45"/>
        <v>18166.706000000006</v>
      </c>
      <c r="J492" s="2">
        <f t="shared" si="50"/>
        <v>17177.295000000006</v>
      </c>
      <c r="K492" s="2">
        <f t="shared" si="48"/>
        <v>-320.54999999999927</v>
      </c>
      <c r="L492" s="7">
        <f t="shared" si="46"/>
        <v>-1.783047283710603E-2</v>
      </c>
      <c r="M492" s="9"/>
      <c r="N492" s="2">
        <f t="shared" si="49"/>
        <v>18812.5</v>
      </c>
      <c r="O492" s="2">
        <f t="shared" si="47"/>
        <v>-5.3459136212624658E-2</v>
      </c>
      <c r="P492" s="2"/>
    </row>
    <row r="493" spans="1:16" x14ac:dyDescent="0.3">
      <c r="A493" s="3">
        <v>44921</v>
      </c>
      <c r="B493" s="2">
        <v>17830.400000000001</v>
      </c>
      <c r="C493" s="2">
        <v>18084.099999999999</v>
      </c>
      <c r="D493" s="2">
        <v>17774.25</v>
      </c>
      <c r="E493" s="2">
        <v>18014.599999999999</v>
      </c>
      <c r="F493" s="2">
        <v>176652342</v>
      </c>
      <c r="G493" s="2">
        <v>13708.21</v>
      </c>
      <c r="H493" s="2">
        <f t="shared" si="51"/>
        <v>18492.317499999997</v>
      </c>
      <c r="I493" s="2">
        <f t="shared" si="45"/>
        <v>18180.370000000006</v>
      </c>
      <c r="J493" s="2">
        <f t="shared" si="50"/>
        <v>17185.102250000004</v>
      </c>
      <c r="K493" s="2">
        <f t="shared" si="48"/>
        <v>207.79999999999927</v>
      </c>
      <c r="L493" s="7">
        <f t="shared" si="46"/>
        <v>1.1654253409906635E-2</v>
      </c>
      <c r="M493" s="9"/>
      <c r="N493" s="2">
        <f t="shared" si="49"/>
        <v>18812.5</v>
      </c>
      <c r="O493" s="2">
        <f t="shared" si="47"/>
        <v>-4.2413289036544954E-2</v>
      </c>
      <c r="P493" s="2"/>
    </row>
    <row r="494" spans="1:16" x14ac:dyDescent="0.3">
      <c r="A494" s="3">
        <v>44922</v>
      </c>
      <c r="B494" s="2">
        <v>18089.8</v>
      </c>
      <c r="C494" s="2">
        <v>18149.25</v>
      </c>
      <c r="D494" s="2">
        <v>17967.45</v>
      </c>
      <c r="E494" s="2">
        <v>18132.3</v>
      </c>
      <c r="F494" s="2">
        <v>214257094</v>
      </c>
      <c r="G494" s="2">
        <v>13000.64</v>
      </c>
      <c r="H494" s="2">
        <f t="shared" si="51"/>
        <v>18464.909999999996</v>
      </c>
      <c r="I494" s="2">
        <f t="shared" si="45"/>
        <v>18200.375000000004</v>
      </c>
      <c r="J494" s="2">
        <f t="shared" si="50"/>
        <v>17195.859500000006</v>
      </c>
      <c r="K494" s="2">
        <f t="shared" si="48"/>
        <v>117.70000000000073</v>
      </c>
      <c r="L494" s="7">
        <f t="shared" si="46"/>
        <v>6.5064290373581099E-3</v>
      </c>
      <c r="M494" s="9"/>
      <c r="N494" s="2">
        <f t="shared" si="49"/>
        <v>18812.5</v>
      </c>
      <c r="O494" s="2">
        <f t="shared" si="47"/>
        <v>-3.6156810631229219E-2</v>
      </c>
      <c r="P494" s="2"/>
    </row>
    <row r="495" spans="1:16" x14ac:dyDescent="0.3">
      <c r="A495" s="3">
        <v>44923</v>
      </c>
      <c r="B495" s="2">
        <v>18084.75</v>
      </c>
      <c r="C495" s="2">
        <v>18173.099999999999</v>
      </c>
      <c r="D495" s="2">
        <v>18068.349999999999</v>
      </c>
      <c r="E495" s="2">
        <v>18122.5</v>
      </c>
      <c r="F495" s="2">
        <v>193873167</v>
      </c>
      <c r="G495" s="2">
        <v>13997.59</v>
      </c>
      <c r="H495" s="2">
        <f t="shared" si="51"/>
        <v>18440.622499999994</v>
      </c>
      <c r="I495" s="2">
        <f t="shared" si="45"/>
        <v>18219.307000000004</v>
      </c>
      <c r="J495" s="2">
        <f t="shared" si="50"/>
        <v>17206.453750000001</v>
      </c>
      <c r="K495" s="2">
        <f t="shared" si="48"/>
        <v>-9.7999999999992724</v>
      </c>
      <c r="L495" s="7">
        <f t="shared" si="46"/>
        <v>-5.4189303142146135E-4</v>
      </c>
      <c r="M495" s="9"/>
      <c r="N495" s="2">
        <f t="shared" si="49"/>
        <v>18812.5</v>
      </c>
      <c r="O495" s="2">
        <f t="shared" si="47"/>
        <v>-3.6677740863787389E-2</v>
      </c>
      <c r="P495" s="2"/>
    </row>
    <row r="496" spans="1:16" x14ac:dyDescent="0.3">
      <c r="A496" s="3">
        <v>44924</v>
      </c>
      <c r="B496" s="2">
        <v>18045.7</v>
      </c>
      <c r="C496" s="2">
        <v>18229.7</v>
      </c>
      <c r="D496" s="2">
        <v>17992.8</v>
      </c>
      <c r="E496" s="2">
        <v>18191</v>
      </c>
      <c r="F496" s="2">
        <v>281052828</v>
      </c>
      <c r="G496" s="2">
        <v>18466.05</v>
      </c>
      <c r="H496" s="2">
        <f t="shared" si="51"/>
        <v>18408.829999999994</v>
      </c>
      <c r="I496" s="2">
        <f t="shared" si="45"/>
        <v>18235.521000000004</v>
      </c>
      <c r="J496" s="2">
        <f t="shared" si="50"/>
        <v>17215.339500000002</v>
      </c>
      <c r="K496" s="2">
        <f t="shared" si="48"/>
        <v>68.5</v>
      </c>
      <c r="L496" s="7">
        <f t="shared" si="46"/>
        <v>3.7959181411638229E-3</v>
      </c>
      <c r="M496" s="9"/>
      <c r="N496" s="2">
        <f t="shared" si="49"/>
        <v>18812.5</v>
      </c>
      <c r="O496" s="2">
        <f t="shared" si="47"/>
        <v>-3.3036544850498339E-2</v>
      </c>
      <c r="P496" s="2"/>
    </row>
    <row r="497" spans="1:16" x14ac:dyDescent="0.3">
      <c r="A497" s="3">
        <v>44925</v>
      </c>
      <c r="B497" s="2">
        <v>18259.099999999999</v>
      </c>
      <c r="C497" s="2">
        <v>18265.25</v>
      </c>
      <c r="D497" s="2">
        <v>18080.3</v>
      </c>
      <c r="E497" s="2">
        <v>18105.3</v>
      </c>
      <c r="F497" s="2">
        <v>192005563</v>
      </c>
      <c r="G497" s="2">
        <v>14475.22</v>
      </c>
      <c r="H497" s="2">
        <f t="shared" si="51"/>
        <v>18377.754999999997</v>
      </c>
      <c r="I497" s="2">
        <f t="shared" si="45"/>
        <v>18249.602000000003</v>
      </c>
      <c r="J497" s="2">
        <f t="shared" si="50"/>
        <v>17223.320000000003</v>
      </c>
      <c r="K497" s="2">
        <f t="shared" si="48"/>
        <v>-85.700000000000728</v>
      </c>
      <c r="L497" s="7">
        <f t="shared" si="46"/>
        <v>-4.6935500654468583E-3</v>
      </c>
      <c r="M497" s="9"/>
      <c r="N497" s="2">
        <f t="shared" si="49"/>
        <v>18812.5</v>
      </c>
      <c r="O497" s="2">
        <f t="shared" si="47"/>
        <v>-3.7592026578073146E-2</v>
      </c>
      <c r="P497" s="2"/>
    </row>
    <row r="498" spans="1:16" x14ac:dyDescent="0.3">
      <c r="A498" s="3">
        <v>44928</v>
      </c>
      <c r="B498" s="2">
        <v>18131.7</v>
      </c>
      <c r="C498" s="2">
        <v>18215.150000000001</v>
      </c>
      <c r="D498" s="2">
        <v>18086.5</v>
      </c>
      <c r="E498" s="2">
        <v>18197.45</v>
      </c>
      <c r="F498" s="2">
        <v>256073979</v>
      </c>
      <c r="G498" s="2">
        <v>11793.06</v>
      </c>
      <c r="H498" s="2">
        <f t="shared" si="51"/>
        <v>18348.214999999997</v>
      </c>
      <c r="I498" s="2">
        <f t="shared" si="45"/>
        <v>18261.463000000003</v>
      </c>
      <c r="J498" s="2">
        <f t="shared" si="50"/>
        <v>17230.694250000004</v>
      </c>
      <c r="K498" s="2">
        <f t="shared" si="48"/>
        <v>92.150000000001455</v>
      </c>
      <c r="L498" s="7">
        <f t="shared" si="46"/>
        <v>5.0822592476161338E-3</v>
      </c>
      <c r="M498" s="9"/>
      <c r="N498" s="2">
        <f t="shared" si="49"/>
        <v>18812.5</v>
      </c>
      <c r="O498" s="2">
        <f t="shared" si="47"/>
        <v>-3.2693687707641139E-2</v>
      </c>
      <c r="P498" s="2"/>
    </row>
    <row r="499" spans="1:16" x14ac:dyDescent="0.3">
      <c r="A499" s="3">
        <v>44929</v>
      </c>
      <c r="B499" s="2">
        <v>18163.2</v>
      </c>
      <c r="C499" s="2">
        <v>18251.95</v>
      </c>
      <c r="D499" s="2">
        <v>18149.8</v>
      </c>
      <c r="E499" s="2">
        <v>18232.55</v>
      </c>
      <c r="F499" s="2">
        <v>208699772</v>
      </c>
      <c r="G499" s="2">
        <v>13680.91</v>
      </c>
      <c r="H499" s="2">
        <f t="shared" si="51"/>
        <v>18323.035</v>
      </c>
      <c r="I499" s="2">
        <f t="shared" si="45"/>
        <v>18274.133000000005</v>
      </c>
      <c r="J499" s="2">
        <f t="shared" si="50"/>
        <v>17237.325000000001</v>
      </c>
      <c r="K499" s="2">
        <f t="shared" si="48"/>
        <v>35.099999999998545</v>
      </c>
      <c r="L499" s="7">
        <f t="shared" si="46"/>
        <v>1.9324788583508711E-3</v>
      </c>
      <c r="M499" s="9"/>
      <c r="N499" s="2">
        <f t="shared" si="49"/>
        <v>18812.5</v>
      </c>
      <c r="O499" s="2">
        <f t="shared" si="47"/>
        <v>-3.0827906976744202E-2</v>
      </c>
      <c r="P499" s="2"/>
    </row>
    <row r="500" spans="1:16" x14ac:dyDescent="0.3">
      <c r="A500" s="3">
        <v>44930</v>
      </c>
      <c r="B500" s="2">
        <v>18230.650000000001</v>
      </c>
      <c r="C500" s="2">
        <v>18243</v>
      </c>
      <c r="D500" s="2">
        <v>18020.599999999999</v>
      </c>
      <c r="E500" s="2">
        <v>18042.95</v>
      </c>
      <c r="F500" s="2">
        <v>235162202</v>
      </c>
      <c r="G500" s="2">
        <v>16687.71</v>
      </c>
      <c r="H500" s="2">
        <f t="shared" si="51"/>
        <v>18302.525000000001</v>
      </c>
      <c r="I500" s="2">
        <f t="shared" si="45"/>
        <v>18287.258000000002</v>
      </c>
      <c r="J500" s="2">
        <f t="shared" si="50"/>
        <v>17245.172750000005</v>
      </c>
      <c r="K500" s="2">
        <f t="shared" si="48"/>
        <v>-189.59999999999854</v>
      </c>
      <c r="L500" s="7">
        <f t="shared" si="46"/>
        <v>-1.0400068017322395E-2</v>
      </c>
      <c r="M500" s="9"/>
      <c r="N500" s="2">
        <f t="shared" si="49"/>
        <v>18812.5</v>
      </c>
      <c r="O500" s="2">
        <f t="shared" si="47"/>
        <v>-4.0906312292358749E-2</v>
      </c>
      <c r="P500" s="2"/>
    </row>
    <row r="501" spans="1:16" x14ac:dyDescent="0.3">
      <c r="A501" s="3">
        <v>44931</v>
      </c>
      <c r="B501" s="2">
        <v>18101.95</v>
      </c>
      <c r="C501" s="2">
        <v>18120.3</v>
      </c>
      <c r="D501" s="2">
        <v>17892.599999999999</v>
      </c>
      <c r="E501" s="2">
        <v>17992.150000000001</v>
      </c>
      <c r="F501" s="2">
        <v>269949738</v>
      </c>
      <c r="G501" s="2">
        <v>22108.53</v>
      </c>
      <c r="H501" s="2">
        <f t="shared" si="51"/>
        <v>18276.647499999999</v>
      </c>
      <c r="I501" s="2">
        <f t="shared" ref="I501:I564" si="52">AVERAGE(E451:E500)</f>
        <v>18293.502</v>
      </c>
      <c r="J501" s="2">
        <f t="shared" si="50"/>
        <v>17250.510750000001</v>
      </c>
      <c r="K501" s="2">
        <f t="shared" si="48"/>
        <v>-50.799999999999272</v>
      </c>
      <c r="L501" s="7">
        <f t="shared" si="46"/>
        <v>-2.8063274951040783E-3</v>
      </c>
      <c r="M501" s="9"/>
      <c r="N501" s="2">
        <f t="shared" si="49"/>
        <v>18812.5</v>
      </c>
      <c r="O501" s="2">
        <f t="shared" si="47"/>
        <v>-4.3606644518272342E-2</v>
      </c>
      <c r="P501" s="2"/>
    </row>
    <row r="502" spans="1:16" x14ac:dyDescent="0.3">
      <c r="A502" s="3">
        <v>44932</v>
      </c>
      <c r="B502" s="2">
        <v>18008.05</v>
      </c>
      <c r="C502" s="2">
        <v>18047.400000000001</v>
      </c>
      <c r="D502" s="2">
        <v>17795.55</v>
      </c>
      <c r="E502" s="2">
        <v>17859.45</v>
      </c>
      <c r="F502" s="2">
        <v>238220578</v>
      </c>
      <c r="G502" s="2">
        <v>17495.25</v>
      </c>
      <c r="H502" s="2">
        <f t="shared" si="51"/>
        <v>18245.787499999999</v>
      </c>
      <c r="I502" s="2">
        <f t="shared" si="52"/>
        <v>18300.218000000004</v>
      </c>
      <c r="J502" s="2">
        <f t="shared" si="50"/>
        <v>17254.036250000001</v>
      </c>
      <c r="K502" s="2">
        <f t="shared" si="48"/>
        <v>-132.70000000000073</v>
      </c>
      <c r="L502" s="7">
        <f t="shared" si="46"/>
        <v>-7.3689266744595182E-3</v>
      </c>
      <c r="M502" s="9"/>
      <c r="N502" s="2">
        <f t="shared" si="49"/>
        <v>18812.5</v>
      </c>
      <c r="O502" s="2">
        <f t="shared" si="47"/>
        <v>-5.0660465116279085E-2</v>
      </c>
      <c r="P502" s="2"/>
    </row>
    <row r="503" spans="1:16" x14ac:dyDescent="0.3">
      <c r="A503" s="3">
        <v>44935</v>
      </c>
      <c r="B503" s="2">
        <v>17952.55</v>
      </c>
      <c r="C503" s="2">
        <v>18141.400000000001</v>
      </c>
      <c r="D503" s="2">
        <v>17936.150000000001</v>
      </c>
      <c r="E503" s="2">
        <v>18101.2</v>
      </c>
      <c r="F503" s="2">
        <v>257237669</v>
      </c>
      <c r="G503" s="2">
        <v>19916.16</v>
      </c>
      <c r="H503" s="2">
        <f t="shared" si="51"/>
        <v>18213.93</v>
      </c>
      <c r="I503" s="2">
        <f t="shared" si="52"/>
        <v>18302.668000000001</v>
      </c>
      <c r="J503" s="2">
        <f t="shared" si="50"/>
        <v>17257.745500000005</v>
      </c>
      <c r="K503" s="2">
        <f t="shared" si="48"/>
        <v>241.75</v>
      </c>
      <c r="L503" s="7">
        <f t="shared" si="46"/>
        <v>1.3466053568991592E-2</v>
      </c>
      <c r="M503" s="9"/>
      <c r="N503" s="2">
        <f t="shared" si="49"/>
        <v>18812.5</v>
      </c>
      <c r="O503" s="2">
        <f t="shared" si="47"/>
        <v>-3.7809966777408555E-2</v>
      </c>
      <c r="P503" s="2"/>
    </row>
    <row r="504" spans="1:16" x14ac:dyDescent="0.3">
      <c r="A504" s="3">
        <v>44936</v>
      </c>
      <c r="B504" s="2">
        <v>18121.3</v>
      </c>
      <c r="C504" s="2">
        <v>18127.599999999999</v>
      </c>
      <c r="D504" s="2">
        <v>17856</v>
      </c>
      <c r="E504" s="2">
        <v>17914.150000000001</v>
      </c>
      <c r="F504" s="2">
        <v>283277918</v>
      </c>
      <c r="G504" s="2">
        <v>20570.3</v>
      </c>
      <c r="H504" s="2">
        <f t="shared" si="51"/>
        <v>18194.1325</v>
      </c>
      <c r="I504" s="2">
        <f t="shared" si="52"/>
        <v>18308.955999999998</v>
      </c>
      <c r="J504" s="2">
        <f t="shared" si="50"/>
        <v>17261.674000000003</v>
      </c>
      <c r="K504" s="2">
        <f t="shared" si="48"/>
        <v>-187.04999999999927</v>
      </c>
      <c r="L504" s="7">
        <f t="shared" si="46"/>
        <v>-1.0322107133594129E-2</v>
      </c>
      <c r="M504" s="9"/>
      <c r="N504" s="2">
        <f t="shared" si="49"/>
        <v>18812.5</v>
      </c>
      <c r="O504" s="2">
        <f t="shared" si="47"/>
        <v>-4.7752823920265697E-2</v>
      </c>
      <c r="P504" s="2"/>
    </row>
    <row r="505" spans="1:16" x14ac:dyDescent="0.3">
      <c r="A505" s="3">
        <v>44937</v>
      </c>
      <c r="B505" s="2">
        <v>17924.25</v>
      </c>
      <c r="C505" s="2">
        <v>17976.349999999999</v>
      </c>
      <c r="D505" s="2">
        <v>17824.349999999999</v>
      </c>
      <c r="E505" s="2">
        <v>17895.7</v>
      </c>
      <c r="F505" s="2">
        <v>259853294</v>
      </c>
      <c r="G505" s="2">
        <v>20204.330000000002</v>
      </c>
      <c r="H505" s="2">
        <f t="shared" si="51"/>
        <v>18159.440000000002</v>
      </c>
      <c r="I505" s="2">
        <f t="shared" si="52"/>
        <v>18306.994999999999</v>
      </c>
      <c r="J505" s="2">
        <f t="shared" si="50"/>
        <v>17265.016500000005</v>
      </c>
      <c r="K505" s="2">
        <f t="shared" si="48"/>
        <v>-18.450000000000728</v>
      </c>
      <c r="L505" s="7">
        <f t="shared" si="46"/>
        <v>-1.0293317712038567E-3</v>
      </c>
      <c r="M505" s="9"/>
      <c r="N505" s="2">
        <f t="shared" si="49"/>
        <v>18812.5</v>
      </c>
      <c r="O505" s="2">
        <f t="shared" si="47"/>
        <v>-4.8733554817275704E-2</v>
      </c>
      <c r="P505" s="2"/>
    </row>
    <row r="506" spans="1:16" x14ac:dyDescent="0.3">
      <c r="A506" s="3">
        <v>44938</v>
      </c>
      <c r="B506" s="2">
        <v>17920.849999999999</v>
      </c>
      <c r="C506" s="2">
        <v>17945.8</v>
      </c>
      <c r="D506" s="2">
        <v>17761.650000000001</v>
      </c>
      <c r="E506" s="2">
        <v>17858.2</v>
      </c>
      <c r="F506" s="2">
        <v>227769060</v>
      </c>
      <c r="G506" s="2">
        <v>19762.43</v>
      </c>
      <c r="H506" s="2">
        <f t="shared" si="51"/>
        <v>18121.210000000003</v>
      </c>
      <c r="I506" s="2">
        <f t="shared" si="52"/>
        <v>18302.000999999997</v>
      </c>
      <c r="J506" s="2">
        <f t="shared" si="50"/>
        <v>17268.381250000006</v>
      </c>
      <c r="K506" s="2">
        <f t="shared" si="48"/>
        <v>-37.5</v>
      </c>
      <c r="L506" s="7">
        <f t="shared" si="46"/>
        <v>-2.0925346732995368E-3</v>
      </c>
      <c r="M506" s="9"/>
      <c r="N506" s="2">
        <f t="shared" si="49"/>
        <v>18812.5</v>
      </c>
      <c r="O506" s="2">
        <f t="shared" si="47"/>
        <v>-5.0726910299003336E-2</v>
      </c>
      <c r="P506" s="2"/>
    </row>
    <row r="507" spans="1:16" x14ac:dyDescent="0.3">
      <c r="A507" s="3">
        <v>44939</v>
      </c>
      <c r="B507" s="2">
        <v>17867.5</v>
      </c>
      <c r="C507" s="2">
        <v>17999.349999999999</v>
      </c>
      <c r="D507" s="2">
        <v>17774.25</v>
      </c>
      <c r="E507" s="2">
        <v>17956.599999999999</v>
      </c>
      <c r="F507" s="2">
        <v>256700729</v>
      </c>
      <c r="G507" s="2">
        <v>21341.7</v>
      </c>
      <c r="H507" s="2">
        <f t="shared" si="51"/>
        <v>18093.375000000004</v>
      </c>
      <c r="I507" s="2">
        <f t="shared" si="52"/>
        <v>18297.507999999994</v>
      </c>
      <c r="J507" s="2">
        <f t="shared" si="50"/>
        <v>17271.907250000007</v>
      </c>
      <c r="K507" s="2">
        <f t="shared" si="48"/>
        <v>98.399999999997817</v>
      </c>
      <c r="L507" s="7">
        <f t="shared" si="46"/>
        <v>5.5072058206239163E-3</v>
      </c>
      <c r="M507" s="9"/>
      <c r="N507" s="2">
        <f t="shared" si="49"/>
        <v>18812.5</v>
      </c>
      <c r="O507" s="2">
        <f t="shared" si="47"/>
        <v>-4.5496345514950298E-2</v>
      </c>
      <c r="P507" s="2"/>
    </row>
    <row r="508" spans="1:16" x14ac:dyDescent="0.3">
      <c r="A508" s="3">
        <v>44942</v>
      </c>
      <c r="B508" s="2">
        <v>18033.150000000001</v>
      </c>
      <c r="C508" s="2">
        <v>18049.650000000001</v>
      </c>
      <c r="D508" s="2">
        <v>17853.650000000001</v>
      </c>
      <c r="E508" s="2">
        <v>17894.849999999999</v>
      </c>
      <c r="F508" s="2">
        <v>206195816</v>
      </c>
      <c r="G508" s="2">
        <v>16728.37</v>
      </c>
      <c r="H508" s="2">
        <f t="shared" si="51"/>
        <v>18077.755000000001</v>
      </c>
      <c r="I508" s="2">
        <f t="shared" si="52"/>
        <v>18295.585999999996</v>
      </c>
      <c r="J508" s="2">
        <f t="shared" si="50"/>
        <v>17275.58025000001</v>
      </c>
      <c r="K508" s="2">
        <f t="shared" si="48"/>
        <v>-61.75</v>
      </c>
      <c r="L508" s="7">
        <f t="shared" si="46"/>
        <v>-3.4242492298905071E-3</v>
      </c>
      <c r="M508" s="9"/>
      <c r="N508" s="2">
        <f t="shared" si="49"/>
        <v>18812.5</v>
      </c>
      <c r="O508" s="2">
        <f t="shared" si="47"/>
        <v>-4.8778737541528283E-2</v>
      </c>
      <c r="P508" s="2"/>
    </row>
    <row r="509" spans="1:16" x14ac:dyDescent="0.3">
      <c r="A509" s="3">
        <v>44943</v>
      </c>
      <c r="B509" s="2">
        <v>17922.8</v>
      </c>
      <c r="C509" s="2">
        <v>18072.05</v>
      </c>
      <c r="D509" s="2">
        <v>17886.95</v>
      </c>
      <c r="E509" s="2">
        <v>18053.3</v>
      </c>
      <c r="F509" s="2">
        <v>219055125</v>
      </c>
      <c r="G509" s="2">
        <v>17461.09</v>
      </c>
      <c r="H509" s="2">
        <f t="shared" si="51"/>
        <v>18051.474999999999</v>
      </c>
      <c r="I509" s="2">
        <f t="shared" si="52"/>
        <v>18291.139999999996</v>
      </c>
      <c r="J509" s="2">
        <f t="shared" si="50"/>
        <v>17278.428000000007</v>
      </c>
      <c r="K509" s="2">
        <f t="shared" si="48"/>
        <v>158.45000000000073</v>
      </c>
      <c r="L509" s="7">
        <f t="shared" si="46"/>
        <v>8.840694534336193E-3</v>
      </c>
      <c r="M509" s="9"/>
      <c r="N509" s="2">
        <f t="shared" si="49"/>
        <v>18812.5</v>
      </c>
      <c r="O509" s="2">
        <f t="shared" si="47"/>
        <v>-4.0356146179402086E-2</v>
      </c>
      <c r="P509" s="2"/>
    </row>
    <row r="510" spans="1:16" x14ac:dyDescent="0.3">
      <c r="A510" s="3">
        <v>44944</v>
      </c>
      <c r="B510" s="2">
        <v>18074.3</v>
      </c>
      <c r="C510" s="2">
        <v>18183.75</v>
      </c>
      <c r="D510" s="2">
        <v>18032.45</v>
      </c>
      <c r="E510" s="2">
        <v>18165.349999999999</v>
      </c>
      <c r="F510" s="2">
        <v>255840928</v>
      </c>
      <c r="G510" s="2">
        <v>20500.07</v>
      </c>
      <c r="H510" s="2">
        <f t="shared" si="51"/>
        <v>18034.875</v>
      </c>
      <c r="I510" s="2">
        <f t="shared" si="52"/>
        <v>18288.149999999998</v>
      </c>
      <c r="J510" s="2">
        <f t="shared" si="50"/>
        <v>17281.203250000006</v>
      </c>
      <c r="K510" s="2">
        <f t="shared" si="48"/>
        <v>112.04999999999927</v>
      </c>
      <c r="L510" s="7">
        <f t="shared" si="46"/>
        <v>6.1994102122903388E-3</v>
      </c>
      <c r="M510" s="9"/>
      <c r="N510" s="2">
        <f t="shared" si="49"/>
        <v>18812.5</v>
      </c>
      <c r="O510" s="2">
        <f t="shared" si="47"/>
        <v>-3.4400000000000097E-2</v>
      </c>
      <c r="P510" s="2"/>
    </row>
    <row r="511" spans="1:16" x14ac:dyDescent="0.3">
      <c r="A511" s="3">
        <v>44945</v>
      </c>
      <c r="B511" s="2">
        <v>18119.8</v>
      </c>
      <c r="C511" s="2">
        <v>18155.2</v>
      </c>
      <c r="D511" s="2">
        <v>18063.75</v>
      </c>
      <c r="E511" s="2">
        <v>18107.849999999999</v>
      </c>
      <c r="F511" s="2">
        <v>237833991</v>
      </c>
      <c r="G511" s="2">
        <v>18413.13</v>
      </c>
      <c r="H511" s="2">
        <f t="shared" si="51"/>
        <v>18033.187499999996</v>
      </c>
      <c r="I511" s="2">
        <f t="shared" si="52"/>
        <v>18288.316999999995</v>
      </c>
      <c r="J511" s="2">
        <f t="shared" si="50"/>
        <v>17284.706250000007</v>
      </c>
      <c r="K511" s="2">
        <f t="shared" si="48"/>
        <v>-57.5</v>
      </c>
      <c r="L511" s="7">
        <f t="shared" si="46"/>
        <v>-3.1733242088764777E-3</v>
      </c>
      <c r="M511" s="9"/>
      <c r="N511" s="2">
        <f t="shared" si="49"/>
        <v>18812.5</v>
      </c>
      <c r="O511" s="2">
        <f t="shared" si="47"/>
        <v>-3.7456478405315741E-2</v>
      </c>
      <c r="P511" s="2"/>
    </row>
    <row r="512" spans="1:16" x14ac:dyDescent="0.3">
      <c r="A512" s="3">
        <v>44946</v>
      </c>
      <c r="B512" s="2">
        <v>18115.599999999999</v>
      </c>
      <c r="C512" s="2">
        <v>18145.45</v>
      </c>
      <c r="D512" s="2">
        <v>18016.2</v>
      </c>
      <c r="E512" s="2">
        <v>18027.650000000001</v>
      </c>
      <c r="F512" s="2">
        <v>237225269</v>
      </c>
      <c r="G512" s="2">
        <v>19519.96</v>
      </c>
      <c r="H512" s="2">
        <f t="shared" si="51"/>
        <v>18032.212499999998</v>
      </c>
      <c r="I512" s="2">
        <f t="shared" si="52"/>
        <v>18289.909999999996</v>
      </c>
      <c r="J512" s="2">
        <f t="shared" si="50"/>
        <v>17286.893250000008</v>
      </c>
      <c r="K512" s="2">
        <f t="shared" si="48"/>
        <v>-80.19999999999709</v>
      </c>
      <c r="L512" s="7">
        <f t="shared" si="46"/>
        <v>-4.427123584093107E-3</v>
      </c>
      <c r="M512" s="9"/>
      <c r="N512" s="2">
        <f t="shared" si="49"/>
        <v>18812.5</v>
      </c>
      <c r="O512" s="2">
        <f t="shared" si="47"/>
        <v>-4.1719601328903622E-2</v>
      </c>
      <c r="P512" s="2"/>
    </row>
    <row r="513" spans="1:16" x14ac:dyDescent="0.3">
      <c r="A513" s="3">
        <v>44949</v>
      </c>
      <c r="B513" s="2">
        <v>18118.45</v>
      </c>
      <c r="C513" s="2">
        <v>18162.599999999999</v>
      </c>
      <c r="D513" s="2">
        <v>18063.45</v>
      </c>
      <c r="E513" s="2">
        <v>18118.55</v>
      </c>
      <c r="F513" s="2">
        <v>202460434</v>
      </c>
      <c r="G513" s="2">
        <v>17060.12</v>
      </c>
      <c r="H513" s="2">
        <f t="shared" si="51"/>
        <v>18043.254999999997</v>
      </c>
      <c r="I513" s="2">
        <f t="shared" si="52"/>
        <v>18283.468999999997</v>
      </c>
      <c r="J513" s="2">
        <f t="shared" si="50"/>
        <v>17286.764500000005</v>
      </c>
      <c r="K513" s="2">
        <f t="shared" si="48"/>
        <v>90.899999999997817</v>
      </c>
      <c r="L513" s="7">
        <f t="shared" si="46"/>
        <v>5.016985448534384E-3</v>
      </c>
      <c r="M513" s="9"/>
      <c r="N513" s="2">
        <f t="shared" si="49"/>
        <v>18812.5</v>
      </c>
      <c r="O513" s="2">
        <f t="shared" si="47"/>
        <v>-3.6887707641196088E-2</v>
      </c>
      <c r="P513" s="2"/>
    </row>
    <row r="514" spans="1:16" x14ac:dyDescent="0.3">
      <c r="A514" s="3">
        <v>44950</v>
      </c>
      <c r="B514" s="2">
        <v>18183.95</v>
      </c>
      <c r="C514" s="2">
        <v>18201.25</v>
      </c>
      <c r="D514" s="2">
        <v>18078.650000000001</v>
      </c>
      <c r="E514" s="2">
        <v>18118.3</v>
      </c>
      <c r="F514" s="2">
        <v>216910302</v>
      </c>
      <c r="G514" s="2">
        <v>19705.91</v>
      </c>
      <c r="H514" s="2">
        <f t="shared" si="51"/>
        <v>18048.452499999999</v>
      </c>
      <c r="I514" s="2">
        <f t="shared" si="52"/>
        <v>18279.256999999998</v>
      </c>
      <c r="J514" s="2">
        <f t="shared" si="50"/>
        <v>17287.570250000008</v>
      </c>
      <c r="K514" s="2">
        <f t="shared" si="48"/>
        <v>-0.25</v>
      </c>
      <c r="L514" s="7">
        <f t="shared" si="46"/>
        <v>-1.3748388001506823E-5</v>
      </c>
      <c r="M514" s="9"/>
      <c r="N514" s="2">
        <f t="shared" si="49"/>
        <v>18812.5</v>
      </c>
      <c r="O514" s="2">
        <f t="shared" si="47"/>
        <v>-3.6900996677740938E-2</v>
      </c>
      <c r="P514" s="2"/>
    </row>
    <row r="515" spans="1:16" x14ac:dyDescent="0.3">
      <c r="A515" s="3">
        <v>44951</v>
      </c>
      <c r="B515" s="2">
        <v>18093.349999999999</v>
      </c>
      <c r="C515" s="2">
        <v>18100.599999999999</v>
      </c>
      <c r="D515" s="2">
        <v>17846.150000000001</v>
      </c>
      <c r="E515" s="2">
        <v>17891.95</v>
      </c>
      <c r="F515" s="2">
        <v>257227052</v>
      </c>
      <c r="G515" s="2">
        <v>20890.560000000001</v>
      </c>
      <c r="H515" s="2">
        <f t="shared" si="51"/>
        <v>18047.752499999999</v>
      </c>
      <c r="I515" s="2">
        <f t="shared" si="52"/>
        <v>18273.554999999997</v>
      </c>
      <c r="J515" s="2">
        <f t="shared" si="50"/>
        <v>17289.123500000009</v>
      </c>
      <c r="K515" s="2">
        <f t="shared" si="48"/>
        <v>-226.34999999999854</v>
      </c>
      <c r="L515" s="7">
        <f t="shared" ref="L515:L578" si="53">(K515/(B515))</f>
        <v>-1.2510121121848556E-2</v>
      </c>
      <c r="M515" s="9"/>
      <c r="N515" s="2">
        <f t="shared" si="49"/>
        <v>18812.5</v>
      </c>
      <c r="O515" s="2">
        <f t="shared" ref="O515:O578" si="54">(E515/N515)-1</f>
        <v>-4.8932890365448456E-2</v>
      </c>
      <c r="P515" s="2"/>
    </row>
    <row r="516" spans="1:16" x14ac:dyDescent="0.3">
      <c r="A516" s="3">
        <v>44953</v>
      </c>
      <c r="B516" s="2">
        <v>17877.2</v>
      </c>
      <c r="C516" s="2">
        <v>17884.75</v>
      </c>
      <c r="D516" s="2">
        <v>17493.55</v>
      </c>
      <c r="E516" s="2">
        <v>17604.349999999999</v>
      </c>
      <c r="F516" s="2">
        <v>476342611</v>
      </c>
      <c r="G516" s="2">
        <v>40104.83</v>
      </c>
      <c r="H516" s="2">
        <f t="shared" si="51"/>
        <v>18036.224999999999</v>
      </c>
      <c r="I516" s="2">
        <f t="shared" si="52"/>
        <v>18263.200999999997</v>
      </c>
      <c r="J516" s="2">
        <f t="shared" si="50"/>
        <v>17290.385500000008</v>
      </c>
      <c r="K516" s="2">
        <f t="shared" ref="K516:K579" si="55">E516-E515</f>
        <v>-287.60000000000218</v>
      </c>
      <c r="L516" s="7">
        <f t="shared" si="53"/>
        <v>-1.6087530485758516E-2</v>
      </c>
      <c r="M516" s="9"/>
      <c r="N516" s="2">
        <f t="shared" si="49"/>
        <v>18812.5</v>
      </c>
      <c r="O516" s="2">
        <f t="shared" si="54"/>
        <v>-6.4220598006644591E-2</v>
      </c>
      <c r="P516" s="2"/>
    </row>
    <row r="517" spans="1:16" x14ac:dyDescent="0.3">
      <c r="A517" s="3">
        <v>44956</v>
      </c>
      <c r="B517" s="2">
        <v>17541.95</v>
      </c>
      <c r="C517" s="2">
        <v>17709.150000000001</v>
      </c>
      <c r="D517" s="2">
        <v>17405.55</v>
      </c>
      <c r="E517" s="2">
        <v>17648.95</v>
      </c>
      <c r="F517" s="2">
        <v>432434028</v>
      </c>
      <c r="G517" s="2">
        <v>38159.879999999997</v>
      </c>
      <c r="H517" s="2">
        <f t="shared" si="51"/>
        <v>18006.892499999998</v>
      </c>
      <c r="I517" s="2">
        <f t="shared" si="52"/>
        <v>18248.409999999996</v>
      </c>
      <c r="J517" s="2">
        <f t="shared" si="50"/>
        <v>17289.48550000001</v>
      </c>
      <c r="K517" s="2">
        <f t="shared" si="55"/>
        <v>44.600000000002183</v>
      </c>
      <c r="L517" s="7">
        <f t="shared" si="53"/>
        <v>2.5424767485942089E-3</v>
      </c>
      <c r="M517" s="9"/>
      <c r="N517" s="2">
        <f t="shared" ref="N517:N580" si="56">MAX(N516,E517)</f>
        <v>18812.5</v>
      </c>
      <c r="O517" s="2">
        <f t="shared" si="54"/>
        <v>-6.1849833887043126E-2</v>
      </c>
      <c r="P517" s="2"/>
    </row>
    <row r="518" spans="1:16" x14ac:dyDescent="0.3">
      <c r="A518" s="3">
        <v>44957</v>
      </c>
      <c r="B518" s="2">
        <v>17731.45</v>
      </c>
      <c r="C518" s="2">
        <v>17735.7</v>
      </c>
      <c r="D518" s="2">
        <v>17537.55</v>
      </c>
      <c r="E518" s="2">
        <v>17662.150000000001</v>
      </c>
      <c r="F518" s="2">
        <v>398338541</v>
      </c>
      <c r="G518" s="2">
        <v>35023.699999999997</v>
      </c>
      <c r="H518" s="2">
        <f t="shared" si="51"/>
        <v>17984.075000000001</v>
      </c>
      <c r="I518" s="2">
        <f t="shared" si="52"/>
        <v>18235.235999999997</v>
      </c>
      <c r="J518" s="2">
        <f t="shared" si="50"/>
        <v>17289.355500000009</v>
      </c>
      <c r="K518" s="2">
        <f t="shared" si="55"/>
        <v>13.200000000000728</v>
      </c>
      <c r="L518" s="7">
        <f t="shared" si="53"/>
        <v>7.4443996401877611E-4</v>
      </c>
      <c r="M518" s="9"/>
      <c r="N518" s="2">
        <f t="shared" si="56"/>
        <v>18812.5</v>
      </c>
      <c r="O518" s="2">
        <f t="shared" si="54"/>
        <v>-6.1148172757474972E-2</v>
      </c>
      <c r="P518" s="2"/>
    </row>
    <row r="519" spans="1:16" x14ac:dyDescent="0.3">
      <c r="A519" s="3">
        <v>44958</v>
      </c>
      <c r="B519" s="2">
        <v>17811.599999999999</v>
      </c>
      <c r="C519" s="2">
        <v>17972.2</v>
      </c>
      <c r="D519" s="2">
        <v>17353.400000000001</v>
      </c>
      <c r="E519" s="2">
        <v>17616.3</v>
      </c>
      <c r="F519" s="2">
        <v>512870802</v>
      </c>
      <c r="G519" s="2">
        <v>38486.19</v>
      </c>
      <c r="H519" s="2">
        <f t="shared" si="51"/>
        <v>17957.310000000001</v>
      </c>
      <c r="I519" s="2">
        <f t="shared" si="52"/>
        <v>18225.279999999995</v>
      </c>
      <c r="J519" s="2">
        <f t="shared" si="50"/>
        <v>17290.014750000009</v>
      </c>
      <c r="K519" s="2">
        <f t="shared" si="55"/>
        <v>-45.850000000002183</v>
      </c>
      <c r="L519" s="7">
        <f t="shared" si="53"/>
        <v>-2.5741651508007246E-3</v>
      </c>
      <c r="M519" s="9"/>
      <c r="N519" s="2">
        <f t="shared" si="56"/>
        <v>18812.5</v>
      </c>
      <c r="O519" s="2">
        <f t="shared" si="54"/>
        <v>-6.3585382059800688E-2</v>
      </c>
      <c r="P519" s="2"/>
    </row>
    <row r="520" spans="1:16" x14ac:dyDescent="0.3">
      <c r="A520" s="3">
        <v>44959</v>
      </c>
      <c r="B520" s="2">
        <v>17517.099999999999</v>
      </c>
      <c r="C520" s="2">
        <v>17653.900000000001</v>
      </c>
      <c r="D520" s="2">
        <v>17445.95</v>
      </c>
      <c r="E520" s="2">
        <v>17610.400000000001</v>
      </c>
      <c r="F520" s="2">
        <v>490113567</v>
      </c>
      <c r="G520" s="2">
        <v>37639.96</v>
      </c>
      <c r="H520" s="2">
        <f t="shared" si="51"/>
        <v>17926.497500000001</v>
      </c>
      <c r="I520" s="2">
        <f t="shared" si="52"/>
        <v>18212.721999999994</v>
      </c>
      <c r="J520" s="2">
        <f t="shared" si="50"/>
        <v>17290.718000000008</v>
      </c>
      <c r="K520" s="2">
        <f t="shared" si="55"/>
        <v>-5.8999999999978172</v>
      </c>
      <c r="L520" s="7">
        <f t="shared" si="53"/>
        <v>-3.3681374200054905E-4</v>
      </c>
      <c r="M520" s="9"/>
      <c r="N520" s="2">
        <f t="shared" si="56"/>
        <v>18812.5</v>
      </c>
      <c r="O520" s="2">
        <f t="shared" si="54"/>
        <v>-6.3899003322259063E-2</v>
      </c>
      <c r="P520" s="2"/>
    </row>
    <row r="521" spans="1:16" x14ac:dyDescent="0.3">
      <c r="A521" s="3">
        <v>44960</v>
      </c>
      <c r="B521" s="2">
        <v>17721.75</v>
      </c>
      <c r="C521" s="2">
        <v>17870.3</v>
      </c>
      <c r="D521" s="2">
        <v>17584.2</v>
      </c>
      <c r="E521" s="2">
        <v>17854.05</v>
      </c>
      <c r="F521" s="2">
        <v>424123037</v>
      </c>
      <c r="G521" s="2">
        <v>34503.67</v>
      </c>
      <c r="H521" s="2">
        <f t="shared" si="51"/>
        <v>17904.870000000003</v>
      </c>
      <c r="I521" s="2">
        <f t="shared" si="52"/>
        <v>18199.584999999995</v>
      </c>
      <c r="J521" s="2">
        <f t="shared" si="50"/>
        <v>17292.901750000008</v>
      </c>
      <c r="K521" s="2">
        <f t="shared" si="55"/>
        <v>243.64999999999782</v>
      </c>
      <c r="L521" s="7">
        <f t="shared" si="53"/>
        <v>1.3748642205199701E-2</v>
      </c>
      <c r="M521" s="9"/>
      <c r="N521" s="2">
        <f t="shared" si="56"/>
        <v>18812.5</v>
      </c>
      <c r="O521" s="2">
        <f t="shared" si="54"/>
        <v>-5.0947508305647871E-2</v>
      </c>
      <c r="P521" s="2"/>
    </row>
    <row r="522" spans="1:16" x14ac:dyDescent="0.3">
      <c r="A522" s="3">
        <v>44963</v>
      </c>
      <c r="B522" s="2">
        <v>17818.55</v>
      </c>
      <c r="C522" s="2">
        <v>17823.7</v>
      </c>
      <c r="D522" s="2">
        <v>17698.349999999999</v>
      </c>
      <c r="E522" s="2">
        <v>17764.599999999999</v>
      </c>
      <c r="F522" s="2">
        <v>282544790</v>
      </c>
      <c r="G522" s="2">
        <v>21864.880000000001</v>
      </c>
      <c r="H522" s="2">
        <f t="shared" si="51"/>
        <v>17897.965</v>
      </c>
      <c r="I522" s="2">
        <f t="shared" si="52"/>
        <v>18186.983999999997</v>
      </c>
      <c r="J522" s="2">
        <f t="shared" si="50"/>
        <v>17297.378750000011</v>
      </c>
      <c r="K522" s="2">
        <f t="shared" si="55"/>
        <v>-89.450000000000728</v>
      </c>
      <c r="L522" s="7">
        <f t="shared" si="53"/>
        <v>-5.0200493306133626E-3</v>
      </c>
      <c r="M522" s="9"/>
      <c r="N522" s="2">
        <f t="shared" si="56"/>
        <v>18812.5</v>
      </c>
      <c r="O522" s="2">
        <f t="shared" si="54"/>
        <v>-5.5702325581395429E-2</v>
      </c>
      <c r="P522" s="2"/>
    </row>
    <row r="523" spans="1:16" x14ac:dyDescent="0.3">
      <c r="A523" s="3">
        <v>44964</v>
      </c>
      <c r="B523" s="2">
        <v>17790.099999999999</v>
      </c>
      <c r="C523" s="2">
        <v>17811.150000000001</v>
      </c>
      <c r="D523" s="2">
        <v>17652.55</v>
      </c>
      <c r="E523" s="2">
        <v>17721.5</v>
      </c>
      <c r="F523" s="2">
        <v>354395693</v>
      </c>
      <c r="G523" s="2">
        <v>23611.08</v>
      </c>
      <c r="H523" s="2">
        <f t="shared" si="51"/>
        <v>17893.2225</v>
      </c>
      <c r="I523" s="2">
        <f t="shared" si="52"/>
        <v>18172.020999999997</v>
      </c>
      <c r="J523" s="2">
        <f t="shared" ref="J523:J586" si="57">AVERAGE(E323:E522)</f>
        <v>17300.519000000008</v>
      </c>
      <c r="K523" s="2">
        <f t="shared" si="55"/>
        <v>-43.099999999998545</v>
      </c>
      <c r="L523" s="7">
        <f t="shared" si="53"/>
        <v>-2.4226957689950338E-3</v>
      </c>
      <c r="M523" s="9"/>
      <c r="N523" s="2">
        <f t="shared" si="56"/>
        <v>18812.5</v>
      </c>
      <c r="O523" s="2">
        <f t="shared" si="54"/>
        <v>-5.7993355481727571E-2</v>
      </c>
      <c r="P523" s="2"/>
    </row>
    <row r="524" spans="1:16" x14ac:dyDescent="0.3">
      <c r="A524" s="3">
        <v>44965</v>
      </c>
      <c r="B524" s="2">
        <v>17750.3</v>
      </c>
      <c r="C524" s="2">
        <v>17898.7</v>
      </c>
      <c r="D524" s="2">
        <v>17744.150000000001</v>
      </c>
      <c r="E524" s="2">
        <v>17871.7</v>
      </c>
      <c r="F524" s="2">
        <v>290994265</v>
      </c>
      <c r="G524" s="2">
        <v>23733.4</v>
      </c>
      <c r="H524" s="2">
        <f t="shared" si="51"/>
        <v>17874.237499999999</v>
      </c>
      <c r="I524" s="2">
        <f t="shared" si="52"/>
        <v>18155.195999999996</v>
      </c>
      <c r="J524" s="2">
        <f t="shared" si="57"/>
        <v>17302.16350000001</v>
      </c>
      <c r="K524" s="2">
        <f t="shared" si="55"/>
        <v>150.20000000000073</v>
      </c>
      <c r="L524" s="7">
        <f t="shared" si="53"/>
        <v>8.461828814160929E-3</v>
      </c>
      <c r="M524" s="9"/>
      <c r="N524" s="2">
        <f t="shared" si="56"/>
        <v>18812.5</v>
      </c>
      <c r="O524" s="2">
        <f t="shared" si="54"/>
        <v>-5.0009302325581317E-2</v>
      </c>
      <c r="P524" s="2"/>
    </row>
    <row r="525" spans="1:16" x14ac:dyDescent="0.3">
      <c r="A525" s="3">
        <v>44966</v>
      </c>
      <c r="B525" s="2">
        <v>17885.5</v>
      </c>
      <c r="C525" s="2">
        <v>17916.900000000001</v>
      </c>
      <c r="D525" s="2">
        <v>17779.8</v>
      </c>
      <c r="E525" s="2">
        <v>17893.45</v>
      </c>
      <c r="F525" s="2">
        <v>260854055</v>
      </c>
      <c r="G525" s="2">
        <v>21529.97</v>
      </c>
      <c r="H525" s="2">
        <f t="shared" si="51"/>
        <v>17872.114999999998</v>
      </c>
      <c r="I525" s="2">
        <f t="shared" si="52"/>
        <v>18140.268999999997</v>
      </c>
      <c r="J525" s="2">
        <f t="shared" si="57"/>
        <v>17305.662250000008</v>
      </c>
      <c r="K525" s="2">
        <f t="shared" si="55"/>
        <v>21.75</v>
      </c>
      <c r="L525" s="7">
        <f t="shared" si="53"/>
        <v>1.2160688826144083E-3</v>
      </c>
      <c r="M525" s="9"/>
      <c r="N525" s="2">
        <f t="shared" si="56"/>
        <v>18812.5</v>
      </c>
      <c r="O525" s="2">
        <f t="shared" si="54"/>
        <v>-4.8853156146179355E-2</v>
      </c>
      <c r="P525" s="2"/>
    </row>
    <row r="526" spans="1:16" x14ac:dyDescent="0.3">
      <c r="A526" s="3">
        <v>44967</v>
      </c>
      <c r="B526" s="2">
        <v>17847.55</v>
      </c>
      <c r="C526" s="2">
        <v>17876.95</v>
      </c>
      <c r="D526" s="2">
        <v>17801</v>
      </c>
      <c r="E526" s="2">
        <v>17856.5</v>
      </c>
      <c r="F526" s="2">
        <v>231991834</v>
      </c>
      <c r="G526" s="2">
        <v>17063.990000000002</v>
      </c>
      <c r="H526" s="2">
        <f t="shared" si="51"/>
        <v>17872.002499999999</v>
      </c>
      <c r="I526" s="2">
        <f t="shared" si="52"/>
        <v>18122.970999999998</v>
      </c>
      <c r="J526" s="2">
        <f t="shared" si="57"/>
        <v>17310.359750000011</v>
      </c>
      <c r="K526" s="2">
        <f t="shared" si="55"/>
        <v>-36.950000000000728</v>
      </c>
      <c r="L526" s="7">
        <f t="shared" si="53"/>
        <v>-2.0703121716986773E-3</v>
      </c>
      <c r="M526" s="9"/>
      <c r="N526" s="2">
        <f t="shared" si="56"/>
        <v>18812.5</v>
      </c>
      <c r="O526" s="2">
        <f t="shared" si="54"/>
        <v>-5.0817275747508273E-2</v>
      </c>
      <c r="P526" s="2"/>
    </row>
    <row r="527" spans="1:16" x14ac:dyDescent="0.3">
      <c r="A527" s="3">
        <v>44970</v>
      </c>
      <c r="B527" s="2">
        <v>17859.099999999999</v>
      </c>
      <c r="C527" s="2">
        <v>17880.7</v>
      </c>
      <c r="D527" s="2">
        <v>17719.75</v>
      </c>
      <c r="E527" s="2">
        <v>17770.900000000001</v>
      </c>
      <c r="F527" s="2">
        <v>231276483</v>
      </c>
      <c r="G527" s="2">
        <v>17406.310000000001</v>
      </c>
      <c r="H527" s="2">
        <f t="shared" si="51"/>
        <v>17871.917500000003</v>
      </c>
      <c r="I527" s="2">
        <f t="shared" si="52"/>
        <v>18103.850999999999</v>
      </c>
      <c r="J527" s="2">
        <f t="shared" si="57"/>
        <v>17313.638250000007</v>
      </c>
      <c r="K527" s="2">
        <f t="shared" si="55"/>
        <v>-85.599999999998545</v>
      </c>
      <c r="L527" s="7">
        <f t="shared" si="53"/>
        <v>-4.793074679015099E-3</v>
      </c>
      <c r="M527" s="9"/>
      <c r="N527" s="2">
        <f t="shared" si="56"/>
        <v>18812.5</v>
      </c>
      <c r="O527" s="2">
        <f t="shared" si="54"/>
        <v>-5.536744186046505E-2</v>
      </c>
      <c r="P527" s="2"/>
    </row>
    <row r="528" spans="1:16" x14ac:dyDescent="0.3">
      <c r="A528" s="3">
        <v>44971</v>
      </c>
      <c r="B528" s="2">
        <v>17840.349999999999</v>
      </c>
      <c r="C528" s="2">
        <v>17954.55</v>
      </c>
      <c r="D528" s="2">
        <v>17800.05</v>
      </c>
      <c r="E528" s="2">
        <v>17929.849999999999</v>
      </c>
      <c r="F528" s="2">
        <v>244512944</v>
      </c>
      <c r="G528" s="2">
        <v>20579.8</v>
      </c>
      <c r="H528" s="2">
        <f t="shared" si="51"/>
        <v>17862.6325</v>
      </c>
      <c r="I528" s="2">
        <f t="shared" si="52"/>
        <v>18085.346999999998</v>
      </c>
      <c r="J528" s="2">
        <f t="shared" si="57"/>
        <v>17317.300750000006</v>
      </c>
      <c r="K528" s="2">
        <f t="shared" si="55"/>
        <v>158.94999999999709</v>
      </c>
      <c r="L528" s="7">
        <f t="shared" si="53"/>
        <v>8.9095785676848883E-3</v>
      </c>
      <c r="M528" s="9"/>
      <c r="N528" s="2">
        <f t="shared" si="56"/>
        <v>18812.5</v>
      </c>
      <c r="O528" s="2">
        <f t="shared" si="54"/>
        <v>-4.6918272425249263E-2</v>
      </c>
      <c r="P528" s="2"/>
    </row>
    <row r="529" spans="1:16" x14ac:dyDescent="0.3">
      <c r="A529" s="3">
        <v>44972</v>
      </c>
      <c r="B529" s="2">
        <v>17896.599999999999</v>
      </c>
      <c r="C529" s="2">
        <v>18034.099999999999</v>
      </c>
      <c r="D529" s="2">
        <v>17853.8</v>
      </c>
      <c r="E529" s="2">
        <v>18015.849999999999</v>
      </c>
      <c r="F529" s="2">
        <v>229273800</v>
      </c>
      <c r="G529" s="2">
        <v>21457.34</v>
      </c>
      <c r="H529" s="2">
        <f t="shared" si="51"/>
        <v>17864.3825</v>
      </c>
      <c r="I529" s="2">
        <f t="shared" si="52"/>
        <v>18069.923000000003</v>
      </c>
      <c r="J529" s="2">
        <f t="shared" si="57"/>
        <v>17320.724750000005</v>
      </c>
      <c r="K529" s="2">
        <f t="shared" si="55"/>
        <v>86</v>
      </c>
      <c r="L529" s="7">
        <f t="shared" si="53"/>
        <v>4.8053820278712162E-3</v>
      </c>
      <c r="M529" s="9"/>
      <c r="N529" s="2">
        <f t="shared" si="56"/>
        <v>18812.5</v>
      </c>
      <c r="O529" s="2">
        <f t="shared" si="54"/>
        <v>-4.2346843853820704E-2</v>
      </c>
      <c r="P529" s="2"/>
    </row>
    <row r="530" spans="1:16" x14ac:dyDescent="0.3">
      <c r="A530" s="3">
        <v>44973</v>
      </c>
      <c r="B530" s="2">
        <v>18094.75</v>
      </c>
      <c r="C530" s="2">
        <v>18134.75</v>
      </c>
      <c r="D530" s="2">
        <v>18000.650000000001</v>
      </c>
      <c r="E530" s="2">
        <v>18035.849999999999</v>
      </c>
      <c r="F530" s="2">
        <v>230246175</v>
      </c>
      <c r="G530" s="2">
        <v>18891.55</v>
      </c>
      <c r="H530" s="2">
        <f t="shared" si="51"/>
        <v>17862.509999999998</v>
      </c>
      <c r="I530" s="2">
        <f t="shared" si="52"/>
        <v>18057.385000000002</v>
      </c>
      <c r="J530" s="2">
        <f t="shared" si="57"/>
        <v>17325.291250000006</v>
      </c>
      <c r="K530" s="2">
        <f t="shared" si="55"/>
        <v>20</v>
      </c>
      <c r="L530" s="7">
        <f t="shared" si="53"/>
        <v>1.1052929717183162E-3</v>
      </c>
      <c r="M530" s="9"/>
      <c r="N530" s="2">
        <f t="shared" si="56"/>
        <v>18812.5</v>
      </c>
      <c r="O530" s="2">
        <f t="shared" si="54"/>
        <v>-4.1283720930232581E-2</v>
      </c>
      <c r="P530" s="2"/>
    </row>
    <row r="531" spans="1:16" x14ac:dyDescent="0.3">
      <c r="A531" s="3">
        <v>44974</v>
      </c>
      <c r="B531" s="2">
        <v>17974.849999999999</v>
      </c>
      <c r="C531" s="2">
        <v>18034.25</v>
      </c>
      <c r="D531" s="2">
        <v>17884.599999999999</v>
      </c>
      <c r="E531" s="2">
        <v>17944.2</v>
      </c>
      <c r="F531" s="2">
        <v>208053929</v>
      </c>
      <c r="G531" s="2">
        <v>16998.330000000002</v>
      </c>
      <c r="H531" s="2">
        <f t="shared" si="51"/>
        <v>17856.034999999996</v>
      </c>
      <c r="I531" s="2">
        <f t="shared" si="52"/>
        <v>18046.892</v>
      </c>
      <c r="J531" s="2">
        <f t="shared" si="57"/>
        <v>17330.125000000007</v>
      </c>
      <c r="K531" s="2">
        <f t="shared" si="55"/>
        <v>-91.649999999997817</v>
      </c>
      <c r="L531" s="7">
        <f t="shared" si="53"/>
        <v>-5.0987908104934299E-3</v>
      </c>
      <c r="M531" s="9"/>
      <c r="N531" s="2">
        <f t="shared" si="56"/>
        <v>18812.5</v>
      </c>
      <c r="O531" s="2">
        <f t="shared" si="54"/>
        <v>-4.6155481727574665E-2</v>
      </c>
      <c r="P531" s="2"/>
    </row>
    <row r="532" spans="1:16" x14ac:dyDescent="0.3">
      <c r="A532" s="3">
        <v>44977</v>
      </c>
      <c r="B532" s="2">
        <v>17965.55</v>
      </c>
      <c r="C532" s="2">
        <v>18004.349999999999</v>
      </c>
      <c r="D532" s="2">
        <v>17818.400000000001</v>
      </c>
      <c r="E532" s="2">
        <v>17844.599999999999</v>
      </c>
      <c r="F532" s="2">
        <v>174563233</v>
      </c>
      <c r="G532" s="2">
        <v>14729.07</v>
      </c>
      <c r="H532" s="2">
        <f t="shared" si="51"/>
        <v>17847.852500000001</v>
      </c>
      <c r="I532" s="2">
        <f t="shared" si="52"/>
        <v>18033.589</v>
      </c>
      <c r="J532" s="2">
        <f t="shared" si="57"/>
        <v>17336.458000000006</v>
      </c>
      <c r="K532" s="2">
        <f t="shared" si="55"/>
        <v>-99.600000000002183</v>
      </c>
      <c r="L532" s="7">
        <f t="shared" si="53"/>
        <v>-5.5439438258223202E-3</v>
      </c>
      <c r="M532" s="9"/>
      <c r="N532" s="2">
        <f t="shared" si="56"/>
        <v>18812.5</v>
      </c>
      <c r="O532" s="2">
        <f t="shared" si="54"/>
        <v>-5.1449833887043273E-2</v>
      </c>
      <c r="P532" s="2"/>
    </row>
    <row r="533" spans="1:16" x14ac:dyDescent="0.3">
      <c r="A533" s="3">
        <v>44978</v>
      </c>
      <c r="B533" s="2">
        <v>17905.8</v>
      </c>
      <c r="C533" s="2">
        <v>17924.900000000001</v>
      </c>
      <c r="D533" s="2">
        <v>17800.3</v>
      </c>
      <c r="E533" s="2">
        <v>17826.7</v>
      </c>
      <c r="F533" s="2">
        <v>198248205</v>
      </c>
      <c r="G533" s="2">
        <v>15593.09</v>
      </c>
      <c r="H533" s="2">
        <f t="shared" si="51"/>
        <v>17838.699999999997</v>
      </c>
      <c r="I533" s="2">
        <f t="shared" si="52"/>
        <v>18020.548999999999</v>
      </c>
      <c r="J533" s="2">
        <f t="shared" si="57"/>
        <v>17342.26775000001</v>
      </c>
      <c r="K533" s="2">
        <f t="shared" si="55"/>
        <v>-17.899999999997817</v>
      </c>
      <c r="L533" s="7">
        <f t="shared" si="53"/>
        <v>-9.9967608260998213E-4</v>
      </c>
      <c r="M533" s="9"/>
      <c r="N533" s="2">
        <f t="shared" si="56"/>
        <v>18812.5</v>
      </c>
      <c r="O533" s="2">
        <f t="shared" si="54"/>
        <v>-5.2401328903654454E-2</v>
      </c>
      <c r="P533" s="2"/>
    </row>
    <row r="534" spans="1:16" x14ac:dyDescent="0.3">
      <c r="A534" s="3">
        <v>44979</v>
      </c>
      <c r="B534" s="2">
        <v>17755.349999999999</v>
      </c>
      <c r="C534" s="2">
        <v>17772.5</v>
      </c>
      <c r="D534" s="2">
        <v>17529.45</v>
      </c>
      <c r="E534" s="2">
        <v>17554.3</v>
      </c>
      <c r="F534" s="2">
        <v>204021979</v>
      </c>
      <c r="G534" s="2">
        <v>17162.09</v>
      </c>
      <c r="H534" s="2">
        <f t="shared" si="51"/>
        <v>17824.107499999998</v>
      </c>
      <c r="I534" s="2">
        <f t="shared" si="52"/>
        <v>18007.139999999996</v>
      </c>
      <c r="J534" s="2">
        <f t="shared" si="57"/>
        <v>17349.345000000008</v>
      </c>
      <c r="K534" s="2">
        <f t="shared" si="55"/>
        <v>-272.40000000000146</v>
      </c>
      <c r="L534" s="7">
        <f t="shared" si="53"/>
        <v>-1.5341854708580877E-2</v>
      </c>
      <c r="M534" s="9"/>
      <c r="N534" s="2">
        <f t="shared" si="56"/>
        <v>18812.5</v>
      </c>
      <c r="O534" s="2">
        <f t="shared" si="54"/>
        <v>-6.6881063122923634E-2</v>
      </c>
      <c r="P534" s="2"/>
    </row>
    <row r="535" spans="1:16" x14ac:dyDescent="0.3">
      <c r="A535" s="3">
        <v>44980</v>
      </c>
      <c r="B535" s="2">
        <v>17574.650000000001</v>
      </c>
      <c r="C535" s="2">
        <v>17620.05</v>
      </c>
      <c r="D535" s="2">
        <v>17455.400000000001</v>
      </c>
      <c r="E535" s="2">
        <v>17511.25</v>
      </c>
      <c r="F535" s="2">
        <v>240807918</v>
      </c>
      <c r="G535" s="2">
        <v>19313.68</v>
      </c>
      <c r="H535" s="2">
        <f t="shared" ref="H535:H598" si="58">AVERAGE(E515:E534)</f>
        <v>17795.907499999998</v>
      </c>
      <c r="I535" s="2">
        <f t="shared" si="52"/>
        <v>17986.065999999995</v>
      </c>
      <c r="J535" s="2">
        <f t="shared" si="57"/>
        <v>17355.607250000008</v>
      </c>
      <c r="K535" s="2">
        <f t="shared" si="55"/>
        <v>-43.049999999999272</v>
      </c>
      <c r="L535" s="7">
        <f t="shared" si="53"/>
        <v>-2.4495509156654198E-3</v>
      </c>
      <c r="M535" s="9"/>
      <c r="N535" s="2">
        <f t="shared" si="56"/>
        <v>18812.5</v>
      </c>
      <c r="O535" s="2">
        <f t="shared" si="54"/>
        <v>-6.9169435215946873E-2</v>
      </c>
      <c r="P535" s="2"/>
    </row>
    <row r="536" spans="1:16" x14ac:dyDescent="0.3">
      <c r="A536" s="3">
        <v>44981</v>
      </c>
      <c r="B536" s="2">
        <v>17591.349999999999</v>
      </c>
      <c r="C536" s="2">
        <v>17599.75</v>
      </c>
      <c r="D536" s="2">
        <v>17421.8</v>
      </c>
      <c r="E536" s="2">
        <v>17465.8</v>
      </c>
      <c r="F536" s="2">
        <v>209406363</v>
      </c>
      <c r="G536" s="2">
        <v>16100.18</v>
      </c>
      <c r="H536" s="2">
        <f t="shared" si="58"/>
        <v>17776.872500000001</v>
      </c>
      <c r="I536" s="2">
        <f t="shared" si="52"/>
        <v>17963.084999999995</v>
      </c>
      <c r="J536" s="2">
        <f t="shared" si="57"/>
        <v>17361.963250000008</v>
      </c>
      <c r="K536" s="2">
        <f t="shared" si="55"/>
        <v>-45.450000000000728</v>
      </c>
      <c r="L536" s="7">
        <f t="shared" si="53"/>
        <v>-2.583656171925448E-3</v>
      </c>
      <c r="M536" s="9"/>
      <c r="N536" s="2">
        <f t="shared" si="56"/>
        <v>18812.5</v>
      </c>
      <c r="O536" s="2">
        <f t="shared" si="54"/>
        <v>-7.1585382059800695E-2</v>
      </c>
      <c r="P536" s="2"/>
    </row>
    <row r="537" spans="1:16" x14ac:dyDescent="0.3">
      <c r="A537" s="3">
        <v>44984</v>
      </c>
      <c r="B537" s="2">
        <v>17428.599999999999</v>
      </c>
      <c r="C537" s="2">
        <v>17451.599999999999</v>
      </c>
      <c r="D537" s="2">
        <v>17299</v>
      </c>
      <c r="E537" s="2">
        <v>17392.7</v>
      </c>
      <c r="F537" s="2">
        <v>246448847</v>
      </c>
      <c r="G537" s="2">
        <v>16638.41</v>
      </c>
      <c r="H537" s="2">
        <f t="shared" si="58"/>
        <v>17769.945</v>
      </c>
      <c r="I537" s="2">
        <f t="shared" si="52"/>
        <v>17944.102999999999</v>
      </c>
      <c r="J537" s="2">
        <f t="shared" si="57"/>
        <v>17368.456750000008</v>
      </c>
      <c r="K537" s="2">
        <f t="shared" si="55"/>
        <v>-73.099999999998545</v>
      </c>
      <c r="L537" s="7">
        <f t="shared" si="53"/>
        <v>-4.1942554192533283E-3</v>
      </c>
      <c r="M537" s="9"/>
      <c r="N537" s="2">
        <f t="shared" si="56"/>
        <v>18812.5</v>
      </c>
      <c r="O537" s="2">
        <f t="shared" si="54"/>
        <v>-7.5471096345514965E-2</v>
      </c>
      <c r="P537" s="2"/>
    </row>
    <row r="538" spans="1:16" x14ac:dyDescent="0.3">
      <c r="A538" s="3">
        <v>44985</v>
      </c>
      <c r="B538" s="2">
        <v>17383.25</v>
      </c>
      <c r="C538" s="2">
        <v>17440.45</v>
      </c>
      <c r="D538" s="2">
        <v>17255.2</v>
      </c>
      <c r="E538" s="2">
        <v>17303.95</v>
      </c>
      <c r="F538" s="2">
        <v>420881259</v>
      </c>
      <c r="G538" s="2">
        <v>32959.769999999997</v>
      </c>
      <c r="H538" s="2">
        <f t="shared" si="58"/>
        <v>17757.1325</v>
      </c>
      <c r="I538" s="2">
        <f t="shared" si="52"/>
        <v>17926.576999999997</v>
      </c>
      <c r="J538" s="2">
        <f t="shared" si="57"/>
        <v>17376.380250000009</v>
      </c>
      <c r="K538" s="2">
        <f t="shared" si="55"/>
        <v>-88.75</v>
      </c>
      <c r="L538" s="7">
        <f t="shared" si="53"/>
        <v>-5.1054894798153398E-3</v>
      </c>
      <c r="M538" s="9"/>
      <c r="N538" s="2">
        <f t="shared" si="56"/>
        <v>18812.5</v>
      </c>
      <c r="O538" s="2">
        <f t="shared" si="54"/>
        <v>-8.0188704318936876E-2</v>
      </c>
      <c r="P538" s="2"/>
    </row>
    <row r="539" spans="1:16" x14ac:dyDescent="0.3">
      <c r="A539" s="3">
        <v>44986</v>
      </c>
      <c r="B539" s="2">
        <v>17360.099999999999</v>
      </c>
      <c r="C539" s="2">
        <v>17467.75</v>
      </c>
      <c r="D539" s="2">
        <v>17345.25</v>
      </c>
      <c r="E539" s="2">
        <v>17450.900000000001</v>
      </c>
      <c r="F539" s="2">
        <v>272881409</v>
      </c>
      <c r="G539" s="2">
        <v>19784.53</v>
      </c>
      <c r="H539" s="2">
        <f t="shared" si="58"/>
        <v>17739.2225</v>
      </c>
      <c r="I539" s="2">
        <f t="shared" si="52"/>
        <v>17904.246999999996</v>
      </c>
      <c r="J539" s="2">
        <f t="shared" si="57"/>
        <v>17383.989250000006</v>
      </c>
      <c r="K539" s="2">
        <f t="shared" si="55"/>
        <v>146.95000000000073</v>
      </c>
      <c r="L539" s="7">
        <f t="shared" si="53"/>
        <v>8.4648129907086214E-3</v>
      </c>
      <c r="M539" s="9"/>
      <c r="N539" s="2">
        <f t="shared" si="56"/>
        <v>18812.5</v>
      </c>
      <c r="O539" s="2">
        <f t="shared" si="54"/>
        <v>-7.2377408637873675E-2</v>
      </c>
      <c r="P539" s="2"/>
    </row>
    <row r="540" spans="1:16" x14ac:dyDescent="0.3">
      <c r="A540" s="3">
        <v>44987</v>
      </c>
      <c r="B540" s="2">
        <v>17421.5</v>
      </c>
      <c r="C540" s="2">
        <v>17445.8</v>
      </c>
      <c r="D540" s="2">
        <v>17306</v>
      </c>
      <c r="E540" s="2">
        <v>17321.900000000001</v>
      </c>
      <c r="F540" s="2">
        <v>310669094</v>
      </c>
      <c r="G540" s="2">
        <v>22068.68</v>
      </c>
      <c r="H540" s="2">
        <f t="shared" si="58"/>
        <v>17730.952500000003</v>
      </c>
      <c r="I540" s="2">
        <f t="shared" si="52"/>
        <v>17885.558999999997</v>
      </c>
      <c r="J540" s="2">
        <f t="shared" si="57"/>
        <v>17392.032250000007</v>
      </c>
      <c r="K540" s="2">
        <f t="shared" si="55"/>
        <v>-129</v>
      </c>
      <c r="L540" s="7">
        <f t="shared" si="53"/>
        <v>-7.4046436873977557E-3</v>
      </c>
      <c r="M540" s="9"/>
      <c r="N540" s="2">
        <f t="shared" si="56"/>
        <v>18812.5</v>
      </c>
      <c r="O540" s="2">
        <f t="shared" si="54"/>
        <v>-7.923455149501657E-2</v>
      </c>
      <c r="P540" s="2"/>
    </row>
    <row r="541" spans="1:16" x14ac:dyDescent="0.3">
      <c r="A541" s="3">
        <v>44988</v>
      </c>
      <c r="B541" s="2">
        <v>17451.25</v>
      </c>
      <c r="C541" s="2">
        <v>17644.75</v>
      </c>
      <c r="D541" s="2">
        <v>17427.7</v>
      </c>
      <c r="E541" s="2">
        <v>17594.349999999999</v>
      </c>
      <c r="F541" s="2">
        <v>356169518</v>
      </c>
      <c r="G541" s="2">
        <v>24143.96</v>
      </c>
      <c r="H541" s="2">
        <f t="shared" si="58"/>
        <v>17716.527500000004</v>
      </c>
      <c r="I541" s="2">
        <f t="shared" si="52"/>
        <v>17868.014999999996</v>
      </c>
      <c r="J541" s="2">
        <f t="shared" si="57"/>
        <v>17397.345250000006</v>
      </c>
      <c r="K541" s="2">
        <f t="shared" si="55"/>
        <v>272.44999999999709</v>
      </c>
      <c r="L541" s="7">
        <f t="shared" si="53"/>
        <v>1.5612062173196595E-2</v>
      </c>
      <c r="M541" s="9"/>
      <c r="N541" s="2">
        <f t="shared" si="56"/>
        <v>18812.5</v>
      </c>
      <c r="O541" s="2">
        <f t="shared" si="54"/>
        <v>-6.4752159468438597E-2</v>
      </c>
      <c r="P541" s="2"/>
    </row>
    <row r="542" spans="1:16" x14ac:dyDescent="0.3">
      <c r="A542" s="3">
        <v>44991</v>
      </c>
      <c r="B542" s="2">
        <v>17680.349999999999</v>
      </c>
      <c r="C542" s="2">
        <v>17799.95</v>
      </c>
      <c r="D542" s="2">
        <v>17671.95</v>
      </c>
      <c r="E542" s="2">
        <v>17711.45</v>
      </c>
      <c r="F542" s="2">
        <v>362801096</v>
      </c>
      <c r="G542" s="2">
        <v>26959.41</v>
      </c>
      <c r="H542" s="2">
        <f t="shared" si="58"/>
        <v>17703.542500000003</v>
      </c>
      <c r="I542" s="2">
        <f t="shared" si="52"/>
        <v>17857.354999999996</v>
      </c>
      <c r="J542" s="2">
        <f t="shared" si="57"/>
        <v>17404.115500000007</v>
      </c>
      <c r="K542" s="2">
        <f t="shared" si="55"/>
        <v>117.10000000000218</v>
      </c>
      <c r="L542" s="7">
        <f t="shared" si="53"/>
        <v>6.6231720525895803E-3</v>
      </c>
      <c r="M542" s="9"/>
      <c r="N542" s="2">
        <f t="shared" si="56"/>
        <v>18812.5</v>
      </c>
      <c r="O542" s="2">
        <f t="shared" si="54"/>
        <v>-5.852757475083048E-2</v>
      </c>
      <c r="P542" s="2"/>
    </row>
    <row r="543" spans="1:16" x14ac:dyDescent="0.3">
      <c r="A543" s="3">
        <v>44993</v>
      </c>
      <c r="B543" s="2">
        <v>17665.75</v>
      </c>
      <c r="C543" s="2">
        <v>17766.5</v>
      </c>
      <c r="D543" s="2">
        <v>17602.25</v>
      </c>
      <c r="E543" s="2">
        <v>17754.400000000001</v>
      </c>
      <c r="F543" s="2">
        <v>267041402</v>
      </c>
      <c r="G543" s="2">
        <v>23155.56</v>
      </c>
      <c r="H543" s="2">
        <f t="shared" si="58"/>
        <v>17700.885000000002</v>
      </c>
      <c r="I543" s="2">
        <f t="shared" si="52"/>
        <v>17855.447999999993</v>
      </c>
      <c r="J543" s="2">
        <f t="shared" si="57"/>
        <v>17413.62575000001</v>
      </c>
      <c r="K543" s="2">
        <f t="shared" si="55"/>
        <v>42.950000000000728</v>
      </c>
      <c r="L543" s="7">
        <f t="shared" si="53"/>
        <v>2.4312582256626933E-3</v>
      </c>
      <c r="M543" s="9"/>
      <c r="N543" s="2">
        <f t="shared" si="56"/>
        <v>18812.5</v>
      </c>
      <c r="O543" s="2">
        <f t="shared" si="54"/>
        <v>-5.6244518272425159E-2</v>
      </c>
      <c r="P543" s="2"/>
    </row>
    <row r="544" spans="1:16" x14ac:dyDescent="0.3">
      <c r="A544" s="3">
        <v>44994</v>
      </c>
      <c r="B544" s="2">
        <v>17772.05</v>
      </c>
      <c r="C544" s="2">
        <v>17772.349999999999</v>
      </c>
      <c r="D544" s="2">
        <v>17573.599999999999</v>
      </c>
      <c r="E544" s="2">
        <v>17589.599999999999</v>
      </c>
      <c r="F544" s="2">
        <v>262352056</v>
      </c>
      <c r="G544" s="2">
        <v>21964.17</v>
      </c>
      <c r="H544" s="2">
        <f t="shared" si="58"/>
        <v>17702.530000000006</v>
      </c>
      <c r="I544" s="2">
        <f t="shared" si="52"/>
        <v>17850.243999999995</v>
      </c>
      <c r="J544" s="2">
        <f t="shared" si="57"/>
        <v>17421.06700000001</v>
      </c>
      <c r="K544" s="2">
        <f t="shared" si="55"/>
        <v>-164.80000000000291</v>
      </c>
      <c r="L544" s="7">
        <f t="shared" si="53"/>
        <v>-9.2729876407056534E-3</v>
      </c>
      <c r="M544" s="9"/>
      <c r="N544" s="2">
        <f t="shared" si="56"/>
        <v>18812.5</v>
      </c>
      <c r="O544" s="2">
        <f t="shared" si="54"/>
        <v>-6.500465116279075E-2</v>
      </c>
      <c r="P544" s="2"/>
    </row>
    <row r="545" spans="1:16" x14ac:dyDescent="0.3">
      <c r="A545" s="3">
        <v>44995</v>
      </c>
      <c r="B545" s="2">
        <v>17443.8</v>
      </c>
      <c r="C545" s="2">
        <v>17451.5</v>
      </c>
      <c r="D545" s="2">
        <v>17324.349999999999</v>
      </c>
      <c r="E545" s="2">
        <v>17412.900000000001</v>
      </c>
      <c r="F545" s="2">
        <v>235927570</v>
      </c>
      <c r="G545" s="2">
        <v>19794.73</v>
      </c>
      <c r="H545" s="2">
        <f t="shared" si="58"/>
        <v>17688.424999999999</v>
      </c>
      <c r="I545" s="2">
        <f t="shared" si="52"/>
        <v>17839.389999999996</v>
      </c>
      <c r="J545" s="2">
        <f t="shared" si="57"/>
        <v>17427.941500000004</v>
      </c>
      <c r="K545" s="2">
        <f t="shared" si="55"/>
        <v>-176.69999999999709</v>
      </c>
      <c r="L545" s="7">
        <f t="shared" si="53"/>
        <v>-1.0129673580297704E-2</v>
      </c>
      <c r="M545" s="9"/>
      <c r="N545" s="2">
        <f t="shared" si="56"/>
        <v>18812.5</v>
      </c>
      <c r="O545" s="2">
        <f t="shared" si="54"/>
        <v>-7.4397342192691007E-2</v>
      </c>
      <c r="P545" s="2"/>
    </row>
    <row r="546" spans="1:16" x14ac:dyDescent="0.3">
      <c r="A546" s="3">
        <v>44998</v>
      </c>
      <c r="B546" s="2">
        <v>17421.900000000001</v>
      </c>
      <c r="C546" s="2">
        <v>17529.900000000001</v>
      </c>
      <c r="D546" s="2">
        <v>17113.45</v>
      </c>
      <c r="E546" s="2">
        <v>17154.3</v>
      </c>
      <c r="F546" s="2">
        <v>254914657</v>
      </c>
      <c r="G546" s="2">
        <v>22860.67</v>
      </c>
      <c r="H546" s="2">
        <f t="shared" si="58"/>
        <v>17664.397499999999</v>
      </c>
      <c r="I546" s="2">
        <f t="shared" si="52"/>
        <v>17825.197999999997</v>
      </c>
      <c r="J546" s="2">
        <f t="shared" si="57"/>
        <v>17434.380250000006</v>
      </c>
      <c r="K546" s="2">
        <f t="shared" si="55"/>
        <v>-258.60000000000218</v>
      </c>
      <c r="L546" s="7">
        <f t="shared" si="53"/>
        <v>-1.4843386771821798E-2</v>
      </c>
      <c r="M546" s="9"/>
      <c r="N546" s="2">
        <f t="shared" si="56"/>
        <v>18812.5</v>
      </c>
      <c r="O546" s="2">
        <f t="shared" si="54"/>
        <v>-8.8143521594684415E-2</v>
      </c>
      <c r="P546" s="2"/>
    </row>
    <row r="547" spans="1:16" x14ac:dyDescent="0.3">
      <c r="A547" s="3">
        <v>44999</v>
      </c>
      <c r="B547" s="2">
        <v>17160.55</v>
      </c>
      <c r="C547" s="2">
        <v>17224.650000000001</v>
      </c>
      <c r="D547" s="2">
        <v>16987.099999999999</v>
      </c>
      <c r="E547" s="2">
        <v>17043.3</v>
      </c>
      <c r="F547" s="2">
        <v>290604200</v>
      </c>
      <c r="G547" s="2">
        <v>26057.599999999999</v>
      </c>
      <c r="H547" s="2">
        <f t="shared" si="58"/>
        <v>17629.287499999999</v>
      </c>
      <c r="I547" s="2">
        <f t="shared" si="52"/>
        <v>17804.463999999996</v>
      </c>
      <c r="J547" s="2">
        <f t="shared" si="57"/>
        <v>17440.022750000004</v>
      </c>
      <c r="K547" s="2">
        <f t="shared" si="55"/>
        <v>-111</v>
      </c>
      <c r="L547" s="7">
        <f t="shared" si="53"/>
        <v>-6.468324150449724E-3</v>
      </c>
      <c r="M547" s="9"/>
      <c r="N547" s="2">
        <f t="shared" si="56"/>
        <v>18812.5</v>
      </c>
      <c r="O547" s="2">
        <f t="shared" si="54"/>
        <v>-9.40438538205981E-2</v>
      </c>
      <c r="P547" s="2"/>
    </row>
    <row r="548" spans="1:16" x14ac:dyDescent="0.3">
      <c r="A548" s="3">
        <v>45000</v>
      </c>
      <c r="B548" s="2">
        <v>17166.45</v>
      </c>
      <c r="C548" s="2">
        <v>17211.349999999999</v>
      </c>
      <c r="D548" s="2">
        <v>16938.900000000001</v>
      </c>
      <c r="E548" s="2">
        <v>16972.150000000001</v>
      </c>
      <c r="F548" s="2">
        <v>248188970</v>
      </c>
      <c r="G548" s="2">
        <v>22659.09</v>
      </c>
      <c r="H548" s="2">
        <f t="shared" si="58"/>
        <v>17592.907500000001</v>
      </c>
      <c r="I548" s="2">
        <f t="shared" si="52"/>
        <v>17783.223999999998</v>
      </c>
      <c r="J548" s="2">
        <f t="shared" si="57"/>
        <v>17444.388500000005</v>
      </c>
      <c r="K548" s="2">
        <f t="shared" si="55"/>
        <v>-71.149999999997817</v>
      </c>
      <c r="L548" s="7">
        <f t="shared" si="53"/>
        <v>-4.1447125060800468E-3</v>
      </c>
      <c r="M548" s="9"/>
      <c r="N548" s="2">
        <f t="shared" si="56"/>
        <v>18812.5</v>
      </c>
      <c r="O548" s="2">
        <f t="shared" si="54"/>
        <v>-9.7825913621262361E-2</v>
      </c>
      <c r="P548" s="2"/>
    </row>
    <row r="549" spans="1:16" x14ac:dyDescent="0.3">
      <c r="A549" s="3">
        <v>45001</v>
      </c>
      <c r="B549" s="2">
        <v>16994.650000000001</v>
      </c>
      <c r="C549" s="2">
        <v>17062.45</v>
      </c>
      <c r="D549" s="2">
        <v>16850.150000000001</v>
      </c>
      <c r="E549" s="2">
        <v>16985.599999999999</v>
      </c>
      <c r="F549" s="2">
        <v>349820607</v>
      </c>
      <c r="G549" s="2">
        <v>24198.71</v>
      </c>
      <c r="H549" s="2">
        <f t="shared" si="58"/>
        <v>17545.022499999999</v>
      </c>
      <c r="I549" s="2">
        <f t="shared" si="52"/>
        <v>17758.718000000001</v>
      </c>
      <c r="J549" s="2">
        <f t="shared" si="57"/>
        <v>17447.487000000001</v>
      </c>
      <c r="K549" s="2">
        <f t="shared" si="55"/>
        <v>13.44999999999709</v>
      </c>
      <c r="L549" s="7">
        <f t="shared" si="53"/>
        <v>7.9142553685995819E-4</v>
      </c>
      <c r="M549" s="9"/>
      <c r="N549" s="2">
        <f t="shared" si="56"/>
        <v>18812.5</v>
      </c>
      <c r="O549" s="2">
        <f t="shared" si="54"/>
        <v>-9.7110963455149579E-2</v>
      </c>
      <c r="P549" s="2"/>
    </row>
    <row r="550" spans="1:16" x14ac:dyDescent="0.3">
      <c r="A550" s="3">
        <v>45002</v>
      </c>
      <c r="B550" s="2">
        <v>17111.8</v>
      </c>
      <c r="C550" s="2">
        <v>17145.8</v>
      </c>
      <c r="D550" s="2">
        <v>16958.150000000001</v>
      </c>
      <c r="E550" s="2">
        <v>17100.05</v>
      </c>
      <c r="F550" s="2">
        <v>408121255</v>
      </c>
      <c r="G550" s="2">
        <v>30478.42</v>
      </c>
      <c r="H550" s="2">
        <f t="shared" si="58"/>
        <v>17493.510000000002</v>
      </c>
      <c r="I550" s="2">
        <f t="shared" si="52"/>
        <v>17733.778999999999</v>
      </c>
      <c r="J550" s="2">
        <f t="shared" si="57"/>
        <v>17449.108000000004</v>
      </c>
      <c r="K550" s="2">
        <f t="shared" si="55"/>
        <v>114.45000000000073</v>
      </c>
      <c r="L550" s="7">
        <f t="shared" si="53"/>
        <v>6.6883670917145324E-3</v>
      </c>
      <c r="M550" s="9"/>
      <c r="N550" s="2">
        <f t="shared" si="56"/>
        <v>18812.5</v>
      </c>
      <c r="O550" s="2">
        <f t="shared" si="54"/>
        <v>-9.1027242524917007E-2</v>
      </c>
      <c r="P550" s="2"/>
    </row>
    <row r="551" spans="1:16" x14ac:dyDescent="0.3">
      <c r="A551" s="3">
        <v>45005</v>
      </c>
      <c r="B551" s="2">
        <v>17066.599999999999</v>
      </c>
      <c r="C551" s="2">
        <v>17066.599999999999</v>
      </c>
      <c r="D551" s="2">
        <v>16828.349999999999</v>
      </c>
      <c r="E551" s="2">
        <v>16988.400000000001</v>
      </c>
      <c r="F551" s="2">
        <v>241777405</v>
      </c>
      <c r="G551" s="2">
        <v>21454.09</v>
      </c>
      <c r="H551" s="2">
        <f t="shared" si="58"/>
        <v>17446.719999999998</v>
      </c>
      <c r="I551" s="2">
        <f t="shared" si="52"/>
        <v>17714.921000000002</v>
      </c>
      <c r="J551" s="2">
        <f t="shared" si="57"/>
        <v>17451.685500000003</v>
      </c>
      <c r="K551" s="2">
        <f t="shared" si="55"/>
        <v>-111.64999999999782</v>
      </c>
      <c r="L551" s="7">
        <f t="shared" si="53"/>
        <v>-6.5420177422566787E-3</v>
      </c>
      <c r="M551" s="9"/>
      <c r="N551" s="2">
        <f t="shared" si="56"/>
        <v>18812.5</v>
      </c>
      <c r="O551" s="2">
        <f t="shared" si="54"/>
        <v>-9.6962126245847102E-2</v>
      </c>
      <c r="P551" s="2"/>
    </row>
    <row r="552" spans="1:16" x14ac:dyDescent="0.3">
      <c r="A552" s="3">
        <v>45006</v>
      </c>
      <c r="B552" s="2">
        <v>17060.400000000001</v>
      </c>
      <c r="C552" s="2">
        <v>17127.7</v>
      </c>
      <c r="D552" s="2">
        <v>17016</v>
      </c>
      <c r="E552" s="2">
        <v>17107.5</v>
      </c>
      <c r="F552" s="2">
        <v>246737873</v>
      </c>
      <c r="G552" s="2">
        <v>22039.11</v>
      </c>
      <c r="H552" s="2">
        <f t="shared" si="58"/>
        <v>17398.93</v>
      </c>
      <c r="I552" s="2">
        <f t="shared" si="52"/>
        <v>17694.846000000001</v>
      </c>
      <c r="J552" s="2">
        <f t="shared" si="57"/>
        <v>17454.013750000002</v>
      </c>
      <c r="K552" s="2">
        <f t="shared" si="55"/>
        <v>119.09999999999854</v>
      </c>
      <c r="L552" s="7">
        <f t="shared" si="53"/>
        <v>6.9810789899415332E-3</v>
      </c>
      <c r="M552" s="9"/>
      <c r="N552" s="2">
        <f t="shared" si="56"/>
        <v>18812.5</v>
      </c>
      <c r="O552" s="2">
        <f t="shared" si="54"/>
        <v>-9.0631229235880406E-2</v>
      </c>
      <c r="P552" s="2"/>
    </row>
    <row r="553" spans="1:16" x14ac:dyDescent="0.3">
      <c r="A553" s="3">
        <v>45007</v>
      </c>
      <c r="B553" s="2">
        <v>17177.45</v>
      </c>
      <c r="C553" s="2">
        <v>17207.25</v>
      </c>
      <c r="D553" s="2">
        <v>17107.849999999999</v>
      </c>
      <c r="E553" s="2">
        <v>17151.900000000001</v>
      </c>
      <c r="F553" s="2">
        <v>185700457</v>
      </c>
      <c r="G553" s="2">
        <v>15712</v>
      </c>
      <c r="H553" s="2">
        <f t="shared" si="58"/>
        <v>17362.075000000001</v>
      </c>
      <c r="I553" s="2">
        <f t="shared" si="52"/>
        <v>17679.807000000001</v>
      </c>
      <c r="J553" s="2">
        <f t="shared" si="57"/>
        <v>17456.411250000001</v>
      </c>
      <c r="K553" s="2">
        <f t="shared" si="55"/>
        <v>44.400000000001455</v>
      </c>
      <c r="L553" s="7">
        <f t="shared" si="53"/>
        <v>2.5847841210424978E-3</v>
      </c>
      <c r="M553" s="9"/>
      <c r="N553" s="2">
        <f t="shared" si="56"/>
        <v>18812.5</v>
      </c>
      <c r="O553" s="2">
        <f t="shared" si="54"/>
        <v>-8.8271096345514888E-2</v>
      </c>
      <c r="P553" s="2"/>
    </row>
    <row r="554" spans="1:16" x14ac:dyDescent="0.3">
      <c r="A554" s="3">
        <v>45008</v>
      </c>
      <c r="B554" s="2">
        <v>17097.400000000001</v>
      </c>
      <c r="C554" s="2">
        <v>17205.400000000001</v>
      </c>
      <c r="D554" s="2">
        <v>17045.3</v>
      </c>
      <c r="E554" s="2">
        <v>17076.900000000001</v>
      </c>
      <c r="F554" s="2">
        <v>219171517</v>
      </c>
      <c r="G554" s="2">
        <v>19676.97</v>
      </c>
      <c r="H554" s="2">
        <f t="shared" si="58"/>
        <v>17328.334999999999</v>
      </c>
      <c r="I554" s="2">
        <f t="shared" si="52"/>
        <v>17660.821000000004</v>
      </c>
      <c r="J554" s="2">
        <f t="shared" si="57"/>
        <v>17459.249250000004</v>
      </c>
      <c r="K554" s="2">
        <f t="shared" si="55"/>
        <v>-75</v>
      </c>
      <c r="L554" s="7">
        <f t="shared" si="53"/>
        <v>-4.3866318855498489E-3</v>
      </c>
      <c r="M554" s="9"/>
      <c r="N554" s="2">
        <f t="shared" si="56"/>
        <v>18812.5</v>
      </c>
      <c r="O554" s="2">
        <f t="shared" si="54"/>
        <v>-9.2257807308970041E-2</v>
      </c>
      <c r="P554" s="2"/>
    </row>
    <row r="555" spans="1:16" x14ac:dyDescent="0.3">
      <c r="A555" s="3">
        <v>45009</v>
      </c>
      <c r="B555" s="2">
        <v>17076.2</v>
      </c>
      <c r="C555" s="2">
        <v>17109.45</v>
      </c>
      <c r="D555" s="2">
        <v>16917.349999999999</v>
      </c>
      <c r="E555" s="2">
        <v>16945.05</v>
      </c>
      <c r="F555" s="2">
        <v>228038299</v>
      </c>
      <c r="G555" s="2">
        <v>19019.88</v>
      </c>
      <c r="H555" s="2">
        <f t="shared" si="58"/>
        <v>17304.465000000004</v>
      </c>
      <c r="I555" s="2">
        <f t="shared" si="52"/>
        <v>17644.076000000005</v>
      </c>
      <c r="J555" s="2">
        <f t="shared" si="57"/>
        <v>17461.786000000004</v>
      </c>
      <c r="K555" s="2">
        <f t="shared" si="55"/>
        <v>-131.85000000000218</v>
      </c>
      <c r="L555" s="7">
        <f t="shared" si="53"/>
        <v>-7.7212728827257921E-3</v>
      </c>
      <c r="M555" s="9"/>
      <c r="N555" s="2">
        <f t="shared" si="56"/>
        <v>18812.5</v>
      </c>
      <c r="O555" s="2">
        <f t="shared" si="54"/>
        <v>-9.9266445182724317E-2</v>
      </c>
      <c r="P555" s="2"/>
    </row>
    <row r="556" spans="1:16" x14ac:dyDescent="0.3">
      <c r="A556" s="3">
        <v>45012</v>
      </c>
      <c r="B556" s="2">
        <v>16984.3</v>
      </c>
      <c r="C556" s="2">
        <v>17091</v>
      </c>
      <c r="D556" s="2">
        <v>16918.55</v>
      </c>
      <c r="E556" s="2">
        <v>16985.7</v>
      </c>
      <c r="F556" s="2">
        <v>218418670</v>
      </c>
      <c r="G556" s="2">
        <v>18466.560000000001</v>
      </c>
      <c r="H556" s="2">
        <f t="shared" si="58"/>
        <v>17276.155000000002</v>
      </c>
      <c r="I556" s="2">
        <f t="shared" si="52"/>
        <v>17625.063000000002</v>
      </c>
      <c r="J556" s="2">
        <f t="shared" si="57"/>
        <v>17464.429499999998</v>
      </c>
      <c r="K556" s="2">
        <f t="shared" si="55"/>
        <v>40.650000000001455</v>
      </c>
      <c r="L556" s="7">
        <f t="shared" si="53"/>
        <v>2.3933868337229947E-3</v>
      </c>
      <c r="M556" s="9"/>
      <c r="N556" s="2">
        <f t="shared" si="56"/>
        <v>18812.5</v>
      </c>
      <c r="O556" s="2">
        <f t="shared" si="54"/>
        <v>-9.710564784053155E-2</v>
      </c>
      <c r="P556" s="2"/>
    </row>
    <row r="557" spans="1:16" x14ac:dyDescent="0.3">
      <c r="A557" s="3">
        <v>45013</v>
      </c>
      <c r="B557" s="2">
        <v>17031.75</v>
      </c>
      <c r="C557" s="2">
        <v>17061.75</v>
      </c>
      <c r="D557" s="2">
        <v>16913.75</v>
      </c>
      <c r="E557" s="2">
        <v>16951.7</v>
      </c>
      <c r="F557" s="2">
        <v>238840919</v>
      </c>
      <c r="G557" s="2">
        <v>20942.5</v>
      </c>
      <c r="H557" s="2">
        <f t="shared" si="58"/>
        <v>17252.150000000001</v>
      </c>
      <c r="I557" s="2">
        <f t="shared" si="52"/>
        <v>17607.613000000001</v>
      </c>
      <c r="J557" s="2">
        <f t="shared" si="57"/>
        <v>17467.576750000004</v>
      </c>
      <c r="K557" s="2">
        <f t="shared" si="55"/>
        <v>-34</v>
      </c>
      <c r="L557" s="7">
        <f t="shared" si="53"/>
        <v>-1.9962716690886139E-3</v>
      </c>
      <c r="M557" s="9"/>
      <c r="N557" s="2">
        <f t="shared" si="56"/>
        <v>18812.5</v>
      </c>
      <c r="O557" s="2">
        <f t="shared" si="54"/>
        <v>-9.891295681063117E-2</v>
      </c>
      <c r="P557" s="2"/>
    </row>
    <row r="558" spans="1:16" x14ac:dyDescent="0.3">
      <c r="A558" s="3">
        <v>45014</v>
      </c>
      <c r="B558" s="2">
        <v>16977.3</v>
      </c>
      <c r="C558" s="2">
        <v>17126.150000000001</v>
      </c>
      <c r="D558" s="2">
        <v>16940.599999999999</v>
      </c>
      <c r="E558" s="2">
        <v>17080.7</v>
      </c>
      <c r="F558" s="2">
        <v>345911087</v>
      </c>
      <c r="G558" s="2">
        <v>27261.74</v>
      </c>
      <c r="H558" s="2">
        <f t="shared" si="58"/>
        <v>17230.099999999999</v>
      </c>
      <c r="I558" s="2">
        <f t="shared" si="52"/>
        <v>17587.514999999999</v>
      </c>
      <c r="J558" s="2">
        <f t="shared" si="57"/>
        <v>17469.944750000006</v>
      </c>
      <c r="K558" s="2">
        <f t="shared" si="55"/>
        <v>129</v>
      </c>
      <c r="L558" s="7">
        <f t="shared" si="53"/>
        <v>7.5983813680620595E-3</v>
      </c>
      <c r="M558" s="9"/>
      <c r="N558" s="2">
        <f t="shared" si="56"/>
        <v>18812.5</v>
      </c>
      <c r="O558" s="2">
        <f t="shared" si="54"/>
        <v>-9.2055813953488386E-2</v>
      </c>
      <c r="P558" s="2"/>
    </row>
    <row r="559" spans="1:16" x14ac:dyDescent="0.3">
      <c r="A559" s="3">
        <v>45016</v>
      </c>
      <c r="B559" s="2">
        <v>17210.349999999999</v>
      </c>
      <c r="C559" s="2">
        <v>17381.599999999999</v>
      </c>
      <c r="D559" s="2">
        <v>17204.650000000001</v>
      </c>
      <c r="E559" s="2">
        <v>17359.75</v>
      </c>
      <c r="F559" s="2">
        <v>263889033</v>
      </c>
      <c r="G559" s="2">
        <v>24970.98</v>
      </c>
      <c r="H559" s="2">
        <f t="shared" si="58"/>
        <v>17218.9375</v>
      </c>
      <c r="I559" s="2">
        <f t="shared" si="52"/>
        <v>17571.232000000004</v>
      </c>
      <c r="J559" s="2">
        <f t="shared" si="57"/>
        <v>17474.339250000005</v>
      </c>
      <c r="K559" s="2">
        <f t="shared" si="55"/>
        <v>279.04999999999927</v>
      </c>
      <c r="L559" s="7">
        <f t="shared" si="53"/>
        <v>1.621408048064097E-2</v>
      </c>
      <c r="M559" s="9"/>
      <c r="N559" s="2">
        <f t="shared" si="56"/>
        <v>18812.5</v>
      </c>
      <c r="O559" s="2">
        <f t="shared" si="54"/>
        <v>-7.7222591362126281E-2</v>
      </c>
      <c r="P559" s="2"/>
    </row>
    <row r="560" spans="1:16" x14ac:dyDescent="0.3">
      <c r="A560" s="3">
        <v>45019</v>
      </c>
      <c r="B560" s="2">
        <v>17427.95</v>
      </c>
      <c r="C560" s="2">
        <v>17428.05</v>
      </c>
      <c r="D560" s="2">
        <v>17312.75</v>
      </c>
      <c r="E560" s="2">
        <v>17398.05</v>
      </c>
      <c r="F560" s="2">
        <v>230170687</v>
      </c>
      <c r="G560" s="2">
        <v>20359.580000000002</v>
      </c>
      <c r="H560" s="2">
        <f t="shared" si="58"/>
        <v>17214.38</v>
      </c>
      <c r="I560" s="2">
        <f t="shared" si="52"/>
        <v>17557.361000000001</v>
      </c>
      <c r="J560" s="2">
        <f t="shared" si="57"/>
        <v>17482.266000000003</v>
      </c>
      <c r="K560" s="2">
        <f t="shared" si="55"/>
        <v>38.299999999999272</v>
      </c>
      <c r="L560" s="7">
        <f t="shared" si="53"/>
        <v>2.1976193413453258E-3</v>
      </c>
      <c r="M560" s="9"/>
      <c r="N560" s="2">
        <f t="shared" si="56"/>
        <v>18812.5</v>
      </c>
      <c r="O560" s="2">
        <f t="shared" si="54"/>
        <v>-7.5186710963455194E-2</v>
      </c>
      <c r="P560" s="2"/>
    </row>
    <row r="561" spans="1:16" x14ac:dyDescent="0.3">
      <c r="A561" s="3">
        <v>45021</v>
      </c>
      <c r="B561" s="2">
        <v>17422.3</v>
      </c>
      <c r="C561" s="2">
        <v>17570.55</v>
      </c>
      <c r="D561" s="2">
        <v>17402.7</v>
      </c>
      <c r="E561" s="2">
        <v>17557.05</v>
      </c>
      <c r="F561" s="2">
        <v>248345193</v>
      </c>
      <c r="G561" s="2">
        <v>23911.75</v>
      </c>
      <c r="H561" s="2">
        <f t="shared" si="58"/>
        <v>17218.1875</v>
      </c>
      <c r="I561" s="2">
        <f t="shared" si="52"/>
        <v>17542.015000000003</v>
      </c>
      <c r="J561" s="2">
        <f t="shared" si="57"/>
        <v>17490.59575</v>
      </c>
      <c r="K561" s="2">
        <f t="shared" si="55"/>
        <v>159</v>
      </c>
      <c r="L561" s="7">
        <f t="shared" si="53"/>
        <v>9.1262347680845825E-3</v>
      </c>
      <c r="M561" s="9"/>
      <c r="N561" s="2">
        <f t="shared" si="56"/>
        <v>18812.5</v>
      </c>
      <c r="O561" s="2">
        <f t="shared" si="54"/>
        <v>-6.6734883720930283E-2</v>
      </c>
      <c r="P561" s="2"/>
    </row>
    <row r="562" spans="1:16" x14ac:dyDescent="0.3">
      <c r="A562" s="3">
        <v>45022</v>
      </c>
      <c r="B562" s="2">
        <v>17533.849999999999</v>
      </c>
      <c r="C562" s="2">
        <v>17638.7</v>
      </c>
      <c r="D562" s="2">
        <v>17502.849999999999</v>
      </c>
      <c r="E562" s="2">
        <v>17599.150000000001</v>
      </c>
      <c r="F562" s="2">
        <v>242708337</v>
      </c>
      <c r="G562" s="2">
        <v>23543.21</v>
      </c>
      <c r="H562" s="2">
        <f t="shared" si="58"/>
        <v>17216.322499999998</v>
      </c>
      <c r="I562" s="2">
        <f t="shared" si="52"/>
        <v>17530.999000000003</v>
      </c>
      <c r="J562" s="2">
        <f t="shared" si="57"/>
        <v>17499.920250000003</v>
      </c>
      <c r="K562" s="2">
        <f t="shared" si="55"/>
        <v>42.100000000002183</v>
      </c>
      <c r="L562" s="7">
        <f t="shared" si="53"/>
        <v>2.4010699304489423E-3</v>
      </c>
      <c r="M562" s="9"/>
      <c r="N562" s="2">
        <f t="shared" si="56"/>
        <v>18812.5</v>
      </c>
      <c r="O562" s="2">
        <f t="shared" si="54"/>
        <v>-6.4497009966777319E-2</v>
      </c>
      <c r="P562" s="2"/>
    </row>
    <row r="563" spans="1:16" x14ac:dyDescent="0.3">
      <c r="A563" s="3">
        <v>45026</v>
      </c>
      <c r="B563" s="2">
        <v>17634.900000000001</v>
      </c>
      <c r="C563" s="2">
        <v>17694.099999999999</v>
      </c>
      <c r="D563" s="2">
        <v>17597.95</v>
      </c>
      <c r="E563" s="2">
        <v>17624.05</v>
      </c>
      <c r="F563" s="2">
        <v>254819382</v>
      </c>
      <c r="G563" s="2">
        <v>21092.06</v>
      </c>
      <c r="H563" s="2">
        <f t="shared" si="58"/>
        <v>17210.707499999997</v>
      </c>
      <c r="I563" s="2">
        <f t="shared" si="52"/>
        <v>17522.429000000004</v>
      </c>
      <c r="J563" s="2">
        <f t="shared" si="57"/>
        <v>17511.113000000001</v>
      </c>
      <c r="K563" s="2">
        <f t="shared" si="55"/>
        <v>24.899999999997817</v>
      </c>
      <c r="L563" s="7">
        <f t="shared" si="53"/>
        <v>1.4119728492930392E-3</v>
      </c>
      <c r="M563" s="9"/>
      <c r="N563" s="2">
        <f t="shared" si="56"/>
        <v>18812.5</v>
      </c>
      <c r="O563" s="2">
        <f t="shared" si="54"/>
        <v>-6.3173421926910334E-2</v>
      </c>
      <c r="P563" s="2"/>
    </row>
    <row r="564" spans="1:16" x14ac:dyDescent="0.3">
      <c r="A564" s="3">
        <v>45027</v>
      </c>
      <c r="B564" s="2">
        <v>17704.8</v>
      </c>
      <c r="C564" s="2">
        <v>17748.75</v>
      </c>
      <c r="D564" s="2">
        <v>17655.150000000001</v>
      </c>
      <c r="E564" s="2">
        <v>17722.3</v>
      </c>
      <c r="F564" s="2">
        <v>304263454</v>
      </c>
      <c r="G564" s="2">
        <v>25841.64</v>
      </c>
      <c r="H564" s="2">
        <f t="shared" si="58"/>
        <v>17204.189999999999</v>
      </c>
      <c r="I564" s="2">
        <f t="shared" si="52"/>
        <v>17512.539000000004</v>
      </c>
      <c r="J564" s="2">
        <f t="shared" si="57"/>
        <v>17522.765750000002</v>
      </c>
      <c r="K564" s="2">
        <f t="shared" si="55"/>
        <v>98.25</v>
      </c>
      <c r="L564" s="7">
        <f t="shared" si="53"/>
        <v>5.5493425511725638E-3</v>
      </c>
      <c r="M564" s="9"/>
      <c r="N564" s="2">
        <f t="shared" si="56"/>
        <v>18812.5</v>
      </c>
      <c r="O564" s="2">
        <f t="shared" si="54"/>
        <v>-5.7950830564784117E-2</v>
      </c>
      <c r="P564" s="2"/>
    </row>
    <row r="565" spans="1:16" x14ac:dyDescent="0.3">
      <c r="A565" s="3">
        <v>45028</v>
      </c>
      <c r="B565" s="2">
        <v>17759.55</v>
      </c>
      <c r="C565" s="2">
        <v>17825.75</v>
      </c>
      <c r="D565" s="2">
        <v>17717.25</v>
      </c>
      <c r="E565" s="2">
        <v>17812.400000000001</v>
      </c>
      <c r="F565" s="2">
        <v>232816318</v>
      </c>
      <c r="G565" s="2">
        <v>22851.93</v>
      </c>
      <c r="H565" s="2">
        <f t="shared" si="58"/>
        <v>17210.825000000001</v>
      </c>
      <c r="I565" s="2">
        <f t="shared" ref="I565:I628" si="59">AVERAGE(E515:E564)</f>
        <v>17504.61900000001</v>
      </c>
      <c r="J565" s="2">
        <f t="shared" si="57"/>
        <v>17534.626500000002</v>
      </c>
      <c r="K565" s="2">
        <f t="shared" si="55"/>
        <v>90.100000000002183</v>
      </c>
      <c r="L565" s="7">
        <f t="shared" si="53"/>
        <v>5.0733267453286924E-3</v>
      </c>
      <c r="M565" s="9"/>
      <c r="N565" s="2">
        <f t="shared" si="56"/>
        <v>18812.5</v>
      </c>
      <c r="O565" s="2">
        <f t="shared" si="54"/>
        <v>-5.3161461794019815E-2</v>
      </c>
      <c r="P565" s="2"/>
    </row>
    <row r="566" spans="1:16" x14ac:dyDescent="0.3">
      <c r="A566" s="3">
        <v>45029</v>
      </c>
      <c r="B566" s="2">
        <v>17807.3</v>
      </c>
      <c r="C566" s="2">
        <v>17842.150000000001</v>
      </c>
      <c r="D566" s="2">
        <v>17729.650000000001</v>
      </c>
      <c r="E566" s="2">
        <v>17828</v>
      </c>
      <c r="F566" s="2">
        <v>285764798</v>
      </c>
      <c r="G566" s="2">
        <v>26460.2</v>
      </c>
      <c r="H566" s="2">
        <f t="shared" si="58"/>
        <v>17230.800000000003</v>
      </c>
      <c r="I566" s="2">
        <f t="shared" si="59"/>
        <v>17503.028000000006</v>
      </c>
      <c r="J566" s="2">
        <f t="shared" si="57"/>
        <v>17545.494500000001</v>
      </c>
      <c r="K566" s="2">
        <f t="shared" si="55"/>
        <v>15.599999999998545</v>
      </c>
      <c r="L566" s="7">
        <f t="shared" si="53"/>
        <v>8.7604521741075541E-4</v>
      </c>
      <c r="M566" s="9"/>
      <c r="N566" s="2">
        <f t="shared" si="56"/>
        <v>18812.5</v>
      </c>
      <c r="O566" s="2">
        <f t="shared" si="54"/>
        <v>-5.23322259136213E-2</v>
      </c>
      <c r="P566" s="2"/>
    </row>
    <row r="567" spans="1:16" x14ac:dyDescent="0.3">
      <c r="A567" s="3">
        <v>45033</v>
      </c>
      <c r="B567" s="2">
        <v>17863</v>
      </c>
      <c r="C567" s="2">
        <v>17863</v>
      </c>
      <c r="D567" s="2">
        <v>17574.05</v>
      </c>
      <c r="E567" s="2">
        <v>17706.849999999999</v>
      </c>
      <c r="F567" s="2">
        <v>357401212</v>
      </c>
      <c r="G567" s="2">
        <v>35118.57</v>
      </c>
      <c r="H567" s="2">
        <f t="shared" si="58"/>
        <v>17264.485000000001</v>
      </c>
      <c r="I567" s="2">
        <f t="shared" si="59"/>
        <v>17507.501000000007</v>
      </c>
      <c r="J567" s="2">
        <f t="shared" si="57"/>
        <v>17557.567999999999</v>
      </c>
      <c r="K567" s="2">
        <f t="shared" si="55"/>
        <v>-121.15000000000146</v>
      </c>
      <c r="L567" s="7">
        <f t="shared" si="53"/>
        <v>-6.7821754464536445E-3</v>
      </c>
      <c r="M567" s="9"/>
      <c r="N567" s="2">
        <f t="shared" si="56"/>
        <v>18812.5</v>
      </c>
      <c r="O567" s="2">
        <f t="shared" si="54"/>
        <v>-5.8772093023255922E-2</v>
      </c>
      <c r="P567" s="2"/>
    </row>
    <row r="568" spans="1:16" x14ac:dyDescent="0.3">
      <c r="A568" s="3">
        <v>45034</v>
      </c>
      <c r="B568" s="2">
        <v>17766.599999999999</v>
      </c>
      <c r="C568" s="2">
        <v>17766.599999999999</v>
      </c>
      <c r="D568" s="2">
        <v>17610.2</v>
      </c>
      <c r="E568" s="2">
        <v>17660.150000000001</v>
      </c>
      <c r="F568" s="2">
        <v>258856690</v>
      </c>
      <c r="G568" s="2">
        <v>23032.99</v>
      </c>
      <c r="H568" s="2">
        <f t="shared" si="58"/>
        <v>17297.662499999999</v>
      </c>
      <c r="I568" s="2">
        <f t="shared" si="59"/>
        <v>17508.659000000007</v>
      </c>
      <c r="J568" s="2">
        <f t="shared" si="57"/>
        <v>17568.319</v>
      </c>
      <c r="K568" s="2">
        <f t="shared" si="55"/>
        <v>-46.69999999999709</v>
      </c>
      <c r="L568" s="7">
        <f t="shared" si="53"/>
        <v>-2.6285276867829012E-3</v>
      </c>
      <c r="M568" s="9"/>
      <c r="N568" s="2">
        <f t="shared" si="56"/>
        <v>18812.5</v>
      </c>
      <c r="O568" s="2">
        <f t="shared" si="54"/>
        <v>-6.1254485049833773E-2</v>
      </c>
      <c r="P568" s="2"/>
    </row>
    <row r="569" spans="1:16" x14ac:dyDescent="0.3">
      <c r="A569" s="3">
        <v>45035</v>
      </c>
      <c r="B569" s="2">
        <v>17653.349999999999</v>
      </c>
      <c r="C569" s="2">
        <v>17666.150000000001</v>
      </c>
      <c r="D569" s="2">
        <v>17579.849999999999</v>
      </c>
      <c r="E569" s="2">
        <v>17618.75</v>
      </c>
      <c r="F569" s="2">
        <v>281463379</v>
      </c>
      <c r="G569" s="2">
        <v>21562.080000000002</v>
      </c>
      <c r="H569" s="2">
        <f t="shared" si="58"/>
        <v>17332.0625</v>
      </c>
      <c r="I569" s="2">
        <f t="shared" si="59"/>
        <v>17508.619000000006</v>
      </c>
      <c r="J569" s="2">
        <f t="shared" si="57"/>
        <v>17578.123499999998</v>
      </c>
      <c r="K569" s="2">
        <f t="shared" si="55"/>
        <v>-41.400000000001455</v>
      </c>
      <c r="L569" s="7">
        <f t="shared" si="53"/>
        <v>-2.3451639490522456E-3</v>
      </c>
      <c r="M569" s="9"/>
      <c r="N569" s="2">
        <f t="shared" si="56"/>
        <v>18812.5</v>
      </c>
      <c r="O569" s="2">
        <f t="shared" si="54"/>
        <v>-6.345514950166109E-2</v>
      </c>
      <c r="P569" s="2"/>
    </row>
    <row r="570" spans="1:16" x14ac:dyDescent="0.3">
      <c r="A570" s="3">
        <v>45036</v>
      </c>
      <c r="B570" s="2">
        <v>17638.599999999999</v>
      </c>
      <c r="C570" s="2">
        <v>17684.45</v>
      </c>
      <c r="D570" s="2">
        <v>17584.349999999999</v>
      </c>
      <c r="E570" s="2">
        <v>17624.45</v>
      </c>
      <c r="F570" s="2">
        <v>215103396</v>
      </c>
      <c r="G570" s="2">
        <v>19457.45</v>
      </c>
      <c r="H570" s="2">
        <f t="shared" si="58"/>
        <v>17363.719999999998</v>
      </c>
      <c r="I570" s="2">
        <f t="shared" si="59"/>
        <v>17508.668000000009</v>
      </c>
      <c r="J570" s="2">
        <f t="shared" si="57"/>
        <v>17587.057000000001</v>
      </c>
      <c r="K570" s="2">
        <f t="shared" si="55"/>
        <v>5.7000000000007276</v>
      </c>
      <c r="L570" s="7">
        <f t="shared" si="53"/>
        <v>3.2315489891492115E-4</v>
      </c>
      <c r="M570" s="9"/>
      <c r="N570" s="2">
        <f t="shared" si="56"/>
        <v>18812.5</v>
      </c>
      <c r="O570" s="2">
        <f t="shared" si="54"/>
        <v>-6.3152159468438551E-2</v>
      </c>
      <c r="P570" s="2"/>
    </row>
    <row r="571" spans="1:16" x14ac:dyDescent="0.3">
      <c r="A571" s="3">
        <v>45037</v>
      </c>
      <c r="B571" s="2">
        <v>17639.75</v>
      </c>
      <c r="C571" s="2">
        <v>17663.2</v>
      </c>
      <c r="D571" s="2">
        <v>17553.95</v>
      </c>
      <c r="E571" s="2">
        <v>17624.05</v>
      </c>
      <c r="F571" s="2">
        <v>230156645</v>
      </c>
      <c r="G571" s="2">
        <v>19091.439999999999</v>
      </c>
      <c r="H571" s="2">
        <f t="shared" si="58"/>
        <v>17389.939999999999</v>
      </c>
      <c r="I571" s="2">
        <f t="shared" si="59"/>
        <v>17508.949000000008</v>
      </c>
      <c r="J571" s="2">
        <f t="shared" si="57"/>
        <v>17595.928250000001</v>
      </c>
      <c r="K571" s="2">
        <f t="shared" si="55"/>
        <v>-0.40000000000145519</v>
      </c>
      <c r="L571" s="7">
        <f t="shared" si="53"/>
        <v>-2.2676058334242558E-5</v>
      </c>
      <c r="M571" s="9"/>
      <c r="N571" s="2">
        <f t="shared" si="56"/>
        <v>18812.5</v>
      </c>
      <c r="O571" s="2">
        <f t="shared" si="54"/>
        <v>-6.3173421926910334E-2</v>
      </c>
      <c r="P571" s="2"/>
    </row>
    <row r="572" spans="1:16" x14ac:dyDescent="0.3">
      <c r="A572" s="3">
        <v>45040</v>
      </c>
      <c r="B572" s="2">
        <v>17707.55</v>
      </c>
      <c r="C572" s="2">
        <v>17754.5</v>
      </c>
      <c r="D572" s="2">
        <v>17612.5</v>
      </c>
      <c r="E572" s="2">
        <v>17743.400000000001</v>
      </c>
      <c r="F572" s="2">
        <v>255740393</v>
      </c>
      <c r="G572" s="2">
        <v>23142.94</v>
      </c>
      <c r="H572" s="2">
        <f t="shared" si="58"/>
        <v>17421.722499999996</v>
      </c>
      <c r="I572" s="2">
        <f t="shared" si="59"/>
        <v>17504.349000000006</v>
      </c>
      <c r="J572" s="2">
        <f t="shared" si="57"/>
        <v>17605.053</v>
      </c>
      <c r="K572" s="2">
        <f t="shared" si="55"/>
        <v>119.35000000000218</v>
      </c>
      <c r="L572" s="7">
        <f t="shared" si="53"/>
        <v>6.7400628545452191E-3</v>
      </c>
      <c r="M572" s="9"/>
      <c r="N572" s="2">
        <f t="shared" si="56"/>
        <v>18812.5</v>
      </c>
      <c r="O572" s="2">
        <f t="shared" si="54"/>
        <v>-5.6829235880398565E-2</v>
      </c>
      <c r="P572" s="2"/>
    </row>
    <row r="573" spans="1:16" x14ac:dyDescent="0.3">
      <c r="A573" s="3">
        <v>45041</v>
      </c>
      <c r="B573" s="2">
        <v>17761.55</v>
      </c>
      <c r="C573" s="2">
        <v>17807.45</v>
      </c>
      <c r="D573" s="2">
        <v>17716.849999999999</v>
      </c>
      <c r="E573" s="2">
        <v>17769.25</v>
      </c>
      <c r="F573" s="2">
        <v>297445999</v>
      </c>
      <c r="G573" s="2">
        <v>28819.53</v>
      </c>
      <c r="H573" s="2">
        <f t="shared" si="58"/>
        <v>17453.517499999998</v>
      </c>
      <c r="I573" s="2">
        <f t="shared" si="59"/>
        <v>17503.925000000007</v>
      </c>
      <c r="J573" s="2">
        <f t="shared" si="57"/>
        <v>17614.868750000001</v>
      </c>
      <c r="K573" s="2">
        <f t="shared" si="55"/>
        <v>25.849999999998545</v>
      </c>
      <c r="L573" s="7">
        <f t="shared" si="53"/>
        <v>1.4553909990962807E-3</v>
      </c>
      <c r="M573" s="9"/>
      <c r="N573" s="2">
        <f t="shared" si="56"/>
        <v>18812.5</v>
      </c>
      <c r="O573" s="2">
        <f t="shared" si="54"/>
        <v>-5.5455149501661083E-2</v>
      </c>
      <c r="P573" s="2"/>
    </row>
    <row r="574" spans="1:16" x14ac:dyDescent="0.3">
      <c r="A574" s="3">
        <v>45042</v>
      </c>
      <c r="B574" s="2">
        <v>17767.3</v>
      </c>
      <c r="C574" s="2">
        <v>17827.75</v>
      </c>
      <c r="D574" s="2">
        <v>17711.2</v>
      </c>
      <c r="E574" s="2">
        <v>17813.599999999999</v>
      </c>
      <c r="F574" s="2">
        <v>233008677</v>
      </c>
      <c r="G574" s="2">
        <v>21295.14</v>
      </c>
      <c r="H574" s="2">
        <f t="shared" si="58"/>
        <v>17484.384999999998</v>
      </c>
      <c r="I574" s="2">
        <f t="shared" si="59"/>
        <v>17504.880000000005</v>
      </c>
      <c r="J574" s="2">
        <f t="shared" si="57"/>
        <v>17624.954749999997</v>
      </c>
      <c r="K574" s="2">
        <f t="shared" si="55"/>
        <v>44.349999999998545</v>
      </c>
      <c r="L574" s="7">
        <f t="shared" si="53"/>
        <v>2.4961586735181228E-3</v>
      </c>
      <c r="M574" s="9"/>
      <c r="N574" s="2">
        <f t="shared" si="56"/>
        <v>18812.5</v>
      </c>
      <c r="O574" s="2">
        <f t="shared" si="54"/>
        <v>-5.309767441860469E-2</v>
      </c>
      <c r="P574" s="2"/>
    </row>
    <row r="575" spans="1:16" x14ac:dyDescent="0.3">
      <c r="A575" s="3">
        <v>45043</v>
      </c>
      <c r="B575" s="2">
        <v>17813.099999999999</v>
      </c>
      <c r="C575" s="2">
        <v>17931.599999999999</v>
      </c>
      <c r="D575" s="2">
        <v>17797.900000000001</v>
      </c>
      <c r="E575" s="2">
        <v>17915.05</v>
      </c>
      <c r="F575" s="2">
        <v>241434660</v>
      </c>
      <c r="G575" s="2">
        <v>24454.15</v>
      </c>
      <c r="H575" s="2">
        <f t="shared" si="58"/>
        <v>17521.219999999998</v>
      </c>
      <c r="I575" s="2">
        <f t="shared" si="59"/>
        <v>17503.718000000004</v>
      </c>
      <c r="J575" s="2">
        <f t="shared" si="57"/>
        <v>17634.846000000001</v>
      </c>
      <c r="K575" s="2">
        <f t="shared" si="55"/>
        <v>101.45000000000073</v>
      </c>
      <c r="L575" s="7">
        <f t="shared" si="53"/>
        <v>5.6952467566005211E-3</v>
      </c>
      <c r="M575" s="9"/>
      <c r="N575" s="2">
        <f t="shared" si="56"/>
        <v>18812.5</v>
      </c>
      <c r="O575" s="2">
        <f t="shared" si="54"/>
        <v>-4.7704983388704325E-2</v>
      </c>
      <c r="P575" s="2"/>
    </row>
    <row r="576" spans="1:16" x14ac:dyDescent="0.3">
      <c r="A576" s="3">
        <v>45044</v>
      </c>
      <c r="B576" s="2">
        <v>17950.400000000001</v>
      </c>
      <c r="C576" s="2">
        <v>18089.150000000001</v>
      </c>
      <c r="D576" s="2">
        <v>17885.3</v>
      </c>
      <c r="E576" s="2">
        <v>18065</v>
      </c>
      <c r="F576" s="2">
        <v>290263674</v>
      </c>
      <c r="G576" s="2">
        <v>27026.12</v>
      </c>
      <c r="H576" s="2">
        <f t="shared" si="58"/>
        <v>17569.719999999998</v>
      </c>
      <c r="I576" s="2">
        <f t="shared" si="59"/>
        <v>17504.150000000005</v>
      </c>
      <c r="J576" s="2">
        <f t="shared" si="57"/>
        <v>17645.366999999998</v>
      </c>
      <c r="K576" s="2">
        <f t="shared" si="55"/>
        <v>149.95000000000073</v>
      </c>
      <c r="L576" s="7">
        <f t="shared" si="53"/>
        <v>8.3535742936090961E-3</v>
      </c>
      <c r="M576" s="9"/>
      <c r="N576" s="2">
        <f t="shared" si="56"/>
        <v>18812.5</v>
      </c>
      <c r="O576" s="2">
        <f t="shared" si="54"/>
        <v>-3.9734219269103033E-2</v>
      </c>
      <c r="P576" s="2"/>
    </row>
    <row r="577" spans="1:16" x14ac:dyDescent="0.3">
      <c r="A577" s="3">
        <v>45048</v>
      </c>
      <c r="B577" s="2">
        <v>18124.8</v>
      </c>
      <c r="C577" s="2">
        <v>18180.25</v>
      </c>
      <c r="D577" s="2">
        <v>18101.75</v>
      </c>
      <c r="E577" s="2">
        <v>18147.650000000001</v>
      </c>
      <c r="F577" s="2">
        <v>265216308</v>
      </c>
      <c r="G577" s="2">
        <v>23615.47</v>
      </c>
      <c r="H577" s="2">
        <f t="shared" si="58"/>
        <v>17623.685000000001</v>
      </c>
      <c r="I577" s="2">
        <f t="shared" si="59"/>
        <v>17508.320000000003</v>
      </c>
      <c r="J577" s="2">
        <f t="shared" si="57"/>
        <v>17655.743000000002</v>
      </c>
      <c r="K577" s="2">
        <f t="shared" si="55"/>
        <v>82.650000000001455</v>
      </c>
      <c r="L577" s="7">
        <f t="shared" si="53"/>
        <v>4.5600503177966904E-3</v>
      </c>
      <c r="M577" s="9"/>
      <c r="N577" s="2">
        <f t="shared" si="56"/>
        <v>18812.5</v>
      </c>
      <c r="O577" s="2">
        <f t="shared" si="54"/>
        <v>-3.5340863787375332E-2</v>
      </c>
      <c r="P577" s="2"/>
    </row>
    <row r="578" spans="1:16" x14ac:dyDescent="0.3">
      <c r="A578" s="3">
        <v>45049</v>
      </c>
      <c r="B578" s="2">
        <v>18113.8</v>
      </c>
      <c r="C578" s="2">
        <v>18116.349999999999</v>
      </c>
      <c r="D578" s="2">
        <v>18042.400000000001</v>
      </c>
      <c r="E578" s="2">
        <v>18089.849999999999</v>
      </c>
      <c r="F578" s="2">
        <v>226171254</v>
      </c>
      <c r="G578" s="2">
        <v>19079.79</v>
      </c>
      <c r="H578" s="2">
        <f t="shared" si="58"/>
        <v>17683.482500000002</v>
      </c>
      <c r="I578" s="2">
        <f t="shared" si="59"/>
        <v>17515.855000000007</v>
      </c>
      <c r="J578" s="2">
        <f t="shared" si="57"/>
        <v>17665.816749999998</v>
      </c>
      <c r="K578" s="2">
        <f t="shared" si="55"/>
        <v>-57.80000000000291</v>
      </c>
      <c r="L578" s="7">
        <f t="shared" si="53"/>
        <v>-3.1909372964260903E-3</v>
      </c>
      <c r="M578" s="9"/>
      <c r="N578" s="2">
        <f t="shared" si="56"/>
        <v>18812.5</v>
      </c>
      <c r="O578" s="2">
        <f t="shared" si="54"/>
        <v>-3.8413289036544951E-2</v>
      </c>
      <c r="P578" s="2"/>
    </row>
    <row r="579" spans="1:16" x14ac:dyDescent="0.3">
      <c r="A579" s="3">
        <v>45050</v>
      </c>
      <c r="B579" s="2">
        <v>18081</v>
      </c>
      <c r="C579" s="2">
        <v>18267.45</v>
      </c>
      <c r="D579" s="2">
        <v>18066.7</v>
      </c>
      <c r="E579" s="2">
        <v>18255.8</v>
      </c>
      <c r="F579" s="2">
        <v>226643581</v>
      </c>
      <c r="G579" s="2">
        <v>21889.48</v>
      </c>
      <c r="H579" s="2">
        <f t="shared" si="58"/>
        <v>17733.939999999999</v>
      </c>
      <c r="I579" s="2">
        <f t="shared" si="59"/>
        <v>17519.055000000008</v>
      </c>
      <c r="J579" s="2">
        <f t="shared" si="57"/>
        <v>17675.163</v>
      </c>
      <c r="K579" s="2">
        <f t="shared" si="55"/>
        <v>165.95000000000073</v>
      </c>
      <c r="L579" s="7">
        <f t="shared" ref="L579:L642" si="60">(K579/(B579))</f>
        <v>9.1781428018362227E-3</v>
      </c>
      <c r="M579" s="9"/>
      <c r="N579" s="2">
        <f t="shared" si="56"/>
        <v>18812.5</v>
      </c>
      <c r="O579" s="2">
        <f t="shared" ref="O579:O642" si="61">(E579/N579)-1</f>
        <v>-2.9592026578073138E-2</v>
      </c>
      <c r="P579" s="2"/>
    </row>
    <row r="580" spans="1:16" x14ac:dyDescent="0.3">
      <c r="A580" s="3">
        <v>45051</v>
      </c>
      <c r="B580" s="2">
        <v>18117.3</v>
      </c>
      <c r="C580" s="2">
        <v>18216.95</v>
      </c>
      <c r="D580" s="2">
        <v>18055.45</v>
      </c>
      <c r="E580" s="2">
        <v>18069</v>
      </c>
      <c r="F580" s="2">
        <v>239702311</v>
      </c>
      <c r="G580" s="2">
        <v>26152.880000000001</v>
      </c>
      <c r="H580" s="2">
        <f t="shared" si="58"/>
        <v>17778.7425</v>
      </c>
      <c r="I580" s="2">
        <f t="shared" si="59"/>
        <v>17523.854000000007</v>
      </c>
      <c r="J580" s="2">
        <f t="shared" si="57"/>
        <v>17685.362000000001</v>
      </c>
      <c r="K580" s="2">
        <f t="shared" ref="K580:K643" si="62">E580-E579</f>
        <v>-186.79999999999927</v>
      </c>
      <c r="L580" s="7">
        <f t="shared" si="60"/>
        <v>-1.0310587118389565E-2</v>
      </c>
      <c r="M580" s="9"/>
      <c r="N580" s="2">
        <f t="shared" si="56"/>
        <v>18812.5</v>
      </c>
      <c r="O580" s="2">
        <f t="shared" si="61"/>
        <v>-3.952159468438543E-2</v>
      </c>
      <c r="P580" s="2"/>
    </row>
    <row r="581" spans="1:16" x14ac:dyDescent="0.3">
      <c r="A581" s="3">
        <v>45054</v>
      </c>
      <c r="B581" s="2">
        <v>18120.599999999999</v>
      </c>
      <c r="C581" s="2">
        <v>18286.95</v>
      </c>
      <c r="D581" s="2">
        <v>18100.3</v>
      </c>
      <c r="E581" s="2">
        <v>18264.400000000001</v>
      </c>
      <c r="F581" s="2">
        <v>228399379</v>
      </c>
      <c r="G581" s="2">
        <v>22687.94</v>
      </c>
      <c r="H581" s="2">
        <f t="shared" si="58"/>
        <v>17812.29</v>
      </c>
      <c r="I581" s="2">
        <f t="shared" si="59"/>
        <v>17524.517000000007</v>
      </c>
      <c r="J581" s="2">
        <f t="shared" si="57"/>
        <v>17695.415499999999</v>
      </c>
      <c r="K581" s="2">
        <f t="shared" si="62"/>
        <v>195.40000000000146</v>
      </c>
      <c r="L581" s="7">
        <f t="shared" si="60"/>
        <v>1.0783307396002421E-2</v>
      </c>
      <c r="M581" s="9"/>
      <c r="N581" s="2">
        <f t="shared" ref="N581:N644" si="63">MAX(N580,E581)</f>
        <v>18812.5</v>
      </c>
      <c r="O581" s="2">
        <f t="shared" si="61"/>
        <v>-2.9134883720930205E-2</v>
      </c>
      <c r="P581" s="2"/>
    </row>
    <row r="582" spans="1:16" x14ac:dyDescent="0.3">
      <c r="A582" s="3">
        <v>45055</v>
      </c>
      <c r="B582" s="2">
        <v>18303.400000000001</v>
      </c>
      <c r="C582" s="2">
        <v>18344.2</v>
      </c>
      <c r="D582" s="2">
        <v>18229.650000000001</v>
      </c>
      <c r="E582" s="2">
        <v>18265.95</v>
      </c>
      <c r="F582" s="2">
        <v>245368649</v>
      </c>
      <c r="G582" s="2">
        <v>23478.06</v>
      </c>
      <c r="H582" s="2">
        <f t="shared" si="58"/>
        <v>17847.657499999998</v>
      </c>
      <c r="I582" s="2">
        <f t="shared" si="59"/>
        <v>17530.921000000006</v>
      </c>
      <c r="J582" s="2">
        <f t="shared" si="57"/>
        <v>17706.90425</v>
      </c>
      <c r="K582" s="2">
        <f t="shared" si="62"/>
        <v>1.5499999999992724</v>
      </c>
      <c r="L582" s="7">
        <f t="shared" si="60"/>
        <v>8.4683719964556982E-5</v>
      </c>
      <c r="M582" s="9"/>
      <c r="N582" s="2">
        <f t="shared" si="63"/>
        <v>18812.5</v>
      </c>
      <c r="O582" s="2">
        <f t="shared" si="61"/>
        <v>-2.9052491694352089E-2</v>
      </c>
      <c r="P582" s="2"/>
    </row>
    <row r="583" spans="1:16" x14ac:dyDescent="0.3">
      <c r="A583" s="3">
        <v>45056</v>
      </c>
      <c r="B583" s="2">
        <v>18313.599999999999</v>
      </c>
      <c r="C583" s="2">
        <v>18326.75</v>
      </c>
      <c r="D583" s="2">
        <v>18211.95</v>
      </c>
      <c r="E583" s="2">
        <v>18315.099999999999</v>
      </c>
      <c r="F583" s="2">
        <v>220450874</v>
      </c>
      <c r="G583" s="2">
        <v>21416.41</v>
      </c>
      <c r="H583" s="2">
        <f t="shared" si="58"/>
        <v>17880.997500000001</v>
      </c>
      <c r="I583" s="2">
        <f t="shared" si="59"/>
        <v>17539.348000000005</v>
      </c>
      <c r="J583" s="2">
        <f t="shared" si="57"/>
        <v>17718.54075</v>
      </c>
      <c r="K583" s="2">
        <f t="shared" si="62"/>
        <v>49.149999999997817</v>
      </c>
      <c r="L583" s="7">
        <f t="shared" si="60"/>
        <v>2.6837978333040923E-3</v>
      </c>
      <c r="M583" s="9"/>
      <c r="N583" s="2">
        <f t="shared" si="63"/>
        <v>18812.5</v>
      </c>
      <c r="O583" s="2">
        <f t="shared" si="61"/>
        <v>-2.643986710963464E-2</v>
      </c>
      <c r="P583" s="2"/>
    </row>
    <row r="584" spans="1:16" x14ac:dyDescent="0.3">
      <c r="A584" s="3">
        <v>45057</v>
      </c>
      <c r="B584" s="2">
        <v>18357.8</v>
      </c>
      <c r="C584" s="2">
        <v>18389.7</v>
      </c>
      <c r="D584" s="2">
        <v>18270.400000000001</v>
      </c>
      <c r="E584" s="2">
        <v>18297</v>
      </c>
      <c r="F584" s="2">
        <v>248932544</v>
      </c>
      <c r="G584" s="2">
        <v>26440.1</v>
      </c>
      <c r="H584" s="2">
        <f t="shared" si="58"/>
        <v>17915.549999999996</v>
      </c>
      <c r="I584" s="2">
        <f t="shared" si="59"/>
        <v>17549.116000000002</v>
      </c>
      <c r="J584" s="2">
        <f t="shared" si="57"/>
        <v>17729.87025</v>
      </c>
      <c r="K584" s="2">
        <f t="shared" si="62"/>
        <v>-18.099999999998545</v>
      </c>
      <c r="L584" s="7">
        <f t="shared" si="60"/>
        <v>-9.8595692294275701E-4</v>
      </c>
      <c r="M584" s="9"/>
      <c r="N584" s="2">
        <f t="shared" si="63"/>
        <v>18812.5</v>
      </c>
      <c r="O584" s="2">
        <f t="shared" si="61"/>
        <v>-2.7401993355481769E-2</v>
      </c>
      <c r="P584" s="2"/>
    </row>
    <row r="585" spans="1:16" x14ac:dyDescent="0.3">
      <c r="A585" s="3">
        <v>45058</v>
      </c>
      <c r="B585" s="2">
        <v>18273.75</v>
      </c>
      <c r="C585" s="2">
        <v>18342.75</v>
      </c>
      <c r="D585" s="2">
        <v>18194.55</v>
      </c>
      <c r="E585" s="2">
        <v>18314.8</v>
      </c>
      <c r="F585" s="2">
        <v>241702589</v>
      </c>
      <c r="G585" s="2">
        <v>22046.04</v>
      </c>
      <c r="H585" s="2">
        <f t="shared" si="58"/>
        <v>17944.285</v>
      </c>
      <c r="I585" s="2">
        <f t="shared" si="59"/>
        <v>17563.97</v>
      </c>
      <c r="J585" s="2">
        <f t="shared" si="57"/>
        <v>17739.962749999999</v>
      </c>
      <c r="K585" s="2">
        <f t="shared" si="62"/>
        <v>17.799999999999272</v>
      </c>
      <c r="L585" s="7">
        <f t="shared" si="60"/>
        <v>9.7407483411994099E-4</v>
      </c>
      <c r="M585" s="9"/>
      <c r="N585" s="2">
        <f t="shared" si="63"/>
        <v>18812.5</v>
      </c>
      <c r="O585" s="2">
        <f t="shared" si="61"/>
        <v>-2.6455813953488394E-2</v>
      </c>
      <c r="P585" s="2"/>
    </row>
    <row r="586" spans="1:16" x14ac:dyDescent="0.3">
      <c r="A586" s="3">
        <v>45061</v>
      </c>
      <c r="B586" s="2">
        <v>18339.3</v>
      </c>
      <c r="C586" s="2">
        <v>18458.900000000001</v>
      </c>
      <c r="D586" s="2">
        <v>18287.900000000001</v>
      </c>
      <c r="E586" s="2">
        <v>18398.849999999999</v>
      </c>
      <c r="F586" s="2">
        <v>216088535</v>
      </c>
      <c r="G586" s="2">
        <v>19329.75</v>
      </c>
      <c r="H586" s="2">
        <f t="shared" si="58"/>
        <v>17969.404999999999</v>
      </c>
      <c r="I586" s="2">
        <f t="shared" si="59"/>
        <v>17580.041000000005</v>
      </c>
      <c r="J586" s="2">
        <f t="shared" si="57"/>
        <v>17749.833999999995</v>
      </c>
      <c r="K586" s="2">
        <f t="shared" si="62"/>
        <v>84.049999999999272</v>
      </c>
      <c r="L586" s="7">
        <f t="shared" si="60"/>
        <v>4.5830538788284875E-3</v>
      </c>
      <c r="M586" s="9"/>
      <c r="N586" s="2">
        <f t="shared" si="63"/>
        <v>18812.5</v>
      </c>
      <c r="O586" s="2">
        <f t="shared" si="61"/>
        <v>-2.1988039867109732E-2</v>
      </c>
      <c r="P586" s="2"/>
    </row>
    <row r="587" spans="1:16" x14ac:dyDescent="0.3">
      <c r="A587" s="3">
        <v>45062</v>
      </c>
      <c r="B587" s="2">
        <v>18432.349999999999</v>
      </c>
      <c r="C587" s="2">
        <v>18432.349999999999</v>
      </c>
      <c r="D587" s="2">
        <v>18264.349999999999</v>
      </c>
      <c r="E587" s="2">
        <v>18286.5</v>
      </c>
      <c r="F587" s="2">
        <v>219490491</v>
      </c>
      <c r="G587" s="2">
        <v>21063.78</v>
      </c>
      <c r="H587" s="2">
        <f t="shared" si="58"/>
        <v>17997.947499999998</v>
      </c>
      <c r="I587" s="2">
        <f t="shared" si="59"/>
        <v>17598.702000000001</v>
      </c>
      <c r="J587" s="2">
        <f t="shared" ref="J587:J650" si="64">AVERAGE(E387:E586)</f>
        <v>17759.223999999998</v>
      </c>
      <c r="K587" s="2">
        <f t="shared" si="62"/>
        <v>-112.34999999999854</v>
      </c>
      <c r="L587" s="7">
        <f t="shared" si="60"/>
        <v>-6.0952618629745289E-3</v>
      </c>
      <c r="M587" s="9"/>
      <c r="N587" s="2">
        <f t="shared" si="63"/>
        <v>18812.5</v>
      </c>
      <c r="O587" s="2">
        <f t="shared" si="61"/>
        <v>-2.7960132890365474E-2</v>
      </c>
      <c r="P587" s="2"/>
    </row>
    <row r="588" spans="1:16" x14ac:dyDescent="0.3">
      <c r="A588" s="3">
        <v>45063</v>
      </c>
      <c r="B588" s="2">
        <v>18300.45</v>
      </c>
      <c r="C588" s="2">
        <v>18309</v>
      </c>
      <c r="D588" s="2">
        <v>18115.349999999999</v>
      </c>
      <c r="E588" s="2">
        <v>18181.75</v>
      </c>
      <c r="F588" s="2">
        <v>229898510</v>
      </c>
      <c r="G588" s="2">
        <v>20903.12</v>
      </c>
      <c r="H588" s="2">
        <f t="shared" si="58"/>
        <v>18026.929999999997</v>
      </c>
      <c r="I588" s="2">
        <f t="shared" si="59"/>
        <v>17616.578000000001</v>
      </c>
      <c r="J588" s="2">
        <f t="shared" si="64"/>
        <v>17767.630249999998</v>
      </c>
      <c r="K588" s="2">
        <f t="shared" si="62"/>
        <v>-104.75</v>
      </c>
      <c r="L588" s="7">
        <f t="shared" si="60"/>
        <v>-5.7239029641347611E-3</v>
      </c>
      <c r="M588" s="9"/>
      <c r="N588" s="2">
        <f t="shared" si="63"/>
        <v>18812.5</v>
      </c>
      <c r="O588" s="2">
        <f t="shared" si="61"/>
        <v>-3.3528239202657795E-2</v>
      </c>
      <c r="P588" s="2"/>
    </row>
    <row r="589" spans="1:16" x14ac:dyDescent="0.3">
      <c r="A589" s="3">
        <v>45064</v>
      </c>
      <c r="B589" s="2">
        <v>18287.5</v>
      </c>
      <c r="C589" s="2">
        <v>18297.2</v>
      </c>
      <c r="D589" s="2">
        <v>18104.849999999999</v>
      </c>
      <c r="E589" s="2">
        <v>18129.95</v>
      </c>
      <c r="F589" s="2">
        <v>272103515</v>
      </c>
      <c r="G589" s="2">
        <v>24172.44</v>
      </c>
      <c r="H589" s="2">
        <f t="shared" si="58"/>
        <v>18053.009999999998</v>
      </c>
      <c r="I589" s="2">
        <f t="shared" si="59"/>
        <v>17634.134000000002</v>
      </c>
      <c r="J589" s="2">
        <f t="shared" si="64"/>
        <v>17774.941749999994</v>
      </c>
      <c r="K589" s="2">
        <f t="shared" si="62"/>
        <v>-51.799999999999272</v>
      </c>
      <c r="L589" s="7">
        <f t="shared" si="60"/>
        <v>-2.8325358851674243E-3</v>
      </c>
      <c r="M589" s="9"/>
      <c r="N589" s="2">
        <f t="shared" si="63"/>
        <v>18812.5</v>
      </c>
      <c r="O589" s="2">
        <f t="shared" si="61"/>
        <v>-3.6281727574750788E-2</v>
      </c>
      <c r="P589" s="2"/>
    </row>
    <row r="590" spans="1:16" x14ac:dyDescent="0.3">
      <c r="A590" s="3">
        <v>45065</v>
      </c>
      <c r="B590" s="2">
        <v>18186.150000000001</v>
      </c>
      <c r="C590" s="2">
        <v>18218.099999999999</v>
      </c>
      <c r="D590" s="2">
        <v>18060.400000000001</v>
      </c>
      <c r="E590" s="2">
        <v>18203.400000000001</v>
      </c>
      <c r="F590" s="2">
        <v>260898407</v>
      </c>
      <c r="G590" s="2">
        <v>22105.67</v>
      </c>
      <c r="H590" s="2">
        <f t="shared" si="58"/>
        <v>18078.57</v>
      </c>
      <c r="I590" s="2">
        <f t="shared" si="59"/>
        <v>17647.715000000004</v>
      </c>
      <c r="J590" s="2">
        <f t="shared" si="64"/>
        <v>17782.436499999996</v>
      </c>
      <c r="K590" s="2">
        <f t="shared" si="62"/>
        <v>73.450000000000728</v>
      </c>
      <c r="L590" s="7">
        <f t="shared" si="60"/>
        <v>4.0387877588165012E-3</v>
      </c>
      <c r="M590" s="9"/>
      <c r="N590" s="2">
        <f t="shared" si="63"/>
        <v>18812.5</v>
      </c>
      <c r="O590" s="2">
        <f t="shared" si="61"/>
        <v>-3.2377408637873639E-2</v>
      </c>
      <c r="P590" s="2"/>
    </row>
    <row r="591" spans="1:16" x14ac:dyDescent="0.3">
      <c r="A591" s="3">
        <v>45068</v>
      </c>
      <c r="B591" s="2">
        <v>18201.099999999999</v>
      </c>
      <c r="C591" s="2">
        <v>18335.25</v>
      </c>
      <c r="D591" s="2">
        <v>18178.849999999999</v>
      </c>
      <c r="E591" s="2">
        <v>18314.400000000001</v>
      </c>
      <c r="F591" s="2">
        <v>262560942</v>
      </c>
      <c r="G591" s="2">
        <v>25147.58</v>
      </c>
      <c r="H591" s="2">
        <f t="shared" si="58"/>
        <v>18107.517500000002</v>
      </c>
      <c r="I591" s="2">
        <f t="shared" si="59"/>
        <v>17665.345000000001</v>
      </c>
      <c r="J591" s="2">
        <f t="shared" si="64"/>
        <v>17791.034249999993</v>
      </c>
      <c r="K591" s="2">
        <f t="shared" si="62"/>
        <v>111</v>
      </c>
      <c r="L591" s="7">
        <f t="shared" si="60"/>
        <v>6.0985325062770934E-3</v>
      </c>
      <c r="M591" s="9"/>
      <c r="N591" s="2">
        <f t="shared" si="63"/>
        <v>18812.5</v>
      </c>
      <c r="O591" s="2">
        <f t="shared" si="61"/>
        <v>-2.6477076411960065E-2</v>
      </c>
      <c r="P591" s="2"/>
    </row>
    <row r="592" spans="1:16" x14ac:dyDescent="0.3">
      <c r="A592" s="3">
        <v>45069</v>
      </c>
      <c r="B592" s="2">
        <v>18362.900000000001</v>
      </c>
      <c r="C592" s="2">
        <v>18419.75</v>
      </c>
      <c r="D592" s="2">
        <v>18324.2</v>
      </c>
      <c r="E592" s="2">
        <v>18348</v>
      </c>
      <c r="F592" s="2">
        <v>270354216</v>
      </c>
      <c r="G592" s="2">
        <v>28648.15</v>
      </c>
      <c r="H592" s="2">
        <f t="shared" si="58"/>
        <v>18142.035000000003</v>
      </c>
      <c r="I592" s="2">
        <f t="shared" si="59"/>
        <v>17679.745999999999</v>
      </c>
      <c r="J592" s="2">
        <f t="shared" si="64"/>
        <v>17799.397249999995</v>
      </c>
      <c r="K592" s="2">
        <f t="shared" si="62"/>
        <v>33.599999999998545</v>
      </c>
      <c r="L592" s="7">
        <f t="shared" si="60"/>
        <v>1.8297763425166255E-3</v>
      </c>
      <c r="M592" s="9"/>
      <c r="N592" s="2">
        <f t="shared" si="63"/>
        <v>18812.5</v>
      </c>
      <c r="O592" s="2">
        <f t="shared" si="61"/>
        <v>-2.4691029900332229E-2</v>
      </c>
      <c r="P592" s="2"/>
    </row>
    <row r="593" spans="1:16" x14ac:dyDescent="0.3">
      <c r="A593" s="3">
        <v>45070</v>
      </c>
      <c r="B593" s="2">
        <v>18294.8</v>
      </c>
      <c r="C593" s="2">
        <v>18392.599999999999</v>
      </c>
      <c r="D593" s="2">
        <v>18262.95</v>
      </c>
      <c r="E593" s="2">
        <v>18285.400000000001</v>
      </c>
      <c r="F593" s="2">
        <v>232621507</v>
      </c>
      <c r="G593" s="2">
        <v>24273.17</v>
      </c>
      <c r="H593" s="2">
        <f t="shared" si="58"/>
        <v>18172.265000000007</v>
      </c>
      <c r="I593" s="2">
        <f t="shared" si="59"/>
        <v>17692.477000000003</v>
      </c>
      <c r="J593" s="2">
        <f t="shared" si="64"/>
        <v>17806.489249999995</v>
      </c>
      <c r="K593" s="2">
        <f t="shared" si="62"/>
        <v>-62.599999999998545</v>
      </c>
      <c r="L593" s="7">
        <f t="shared" si="60"/>
        <v>-3.4217373242669256E-3</v>
      </c>
      <c r="M593" s="9"/>
      <c r="N593" s="2">
        <f t="shared" si="63"/>
        <v>18812.5</v>
      </c>
      <c r="O593" s="2">
        <f t="shared" si="61"/>
        <v>-2.8018604651162682E-2</v>
      </c>
      <c r="P593" s="2"/>
    </row>
    <row r="594" spans="1:16" x14ac:dyDescent="0.3">
      <c r="A594" s="3">
        <v>45071</v>
      </c>
      <c r="B594" s="2">
        <v>18268.900000000001</v>
      </c>
      <c r="C594" s="2">
        <v>18338.099999999999</v>
      </c>
      <c r="D594" s="2">
        <v>18202.400000000001</v>
      </c>
      <c r="E594" s="2">
        <v>18321.150000000001</v>
      </c>
      <c r="F594" s="2">
        <v>235915651</v>
      </c>
      <c r="G594" s="2">
        <v>22411.41</v>
      </c>
      <c r="H594" s="2">
        <f t="shared" si="58"/>
        <v>18198.072500000006</v>
      </c>
      <c r="I594" s="2">
        <f t="shared" si="59"/>
        <v>17703.097000000002</v>
      </c>
      <c r="J594" s="2">
        <f t="shared" si="64"/>
        <v>17812.124999999993</v>
      </c>
      <c r="K594" s="2">
        <f t="shared" si="62"/>
        <v>35.75</v>
      </c>
      <c r="L594" s="7">
        <f t="shared" si="60"/>
        <v>1.9568775350458974E-3</v>
      </c>
      <c r="M594" s="9"/>
      <c r="N594" s="2">
        <f t="shared" si="63"/>
        <v>18812.5</v>
      </c>
      <c r="O594" s="2">
        <f t="shared" si="61"/>
        <v>-2.6118272425249112E-2</v>
      </c>
      <c r="P594" s="2"/>
    </row>
    <row r="595" spans="1:16" x14ac:dyDescent="0.3">
      <c r="A595" s="3">
        <v>45072</v>
      </c>
      <c r="B595" s="2">
        <v>18368.349999999999</v>
      </c>
      <c r="C595" s="2">
        <v>18508.55</v>
      </c>
      <c r="D595" s="2">
        <v>18333.150000000001</v>
      </c>
      <c r="E595" s="2">
        <v>18499.349999999999</v>
      </c>
      <c r="F595" s="2">
        <v>198668359</v>
      </c>
      <c r="G595" s="2">
        <v>19094.080000000002</v>
      </c>
      <c r="H595" s="2">
        <f t="shared" si="58"/>
        <v>18223.450000000004</v>
      </c>
      <c r="I595" s="2">
        <f t="shared" si="59"/>
        <v>17717.728000000003</v>
      </c>
      <c r="J595" s="2">
        <f t="shared" si="64"/>
        <v>17817.030499999993</v>
      </c>
      <c r="K595" s="2">
        <f t="shared" si="62"/>
        <v>178.19999999999709</v>
      </c>
      <c r="L595" s="7">
        <f t="shared" si="60"/>
        <v>9.701470191933249E-3</v>
      </c>
      <c r="M595" s="9"/>
      <c r="N595" s="2">
        <f t="shared" si="63"/>
        <v>18812.5</v>
      </c>
      <c r="O595" s="2">
        <f t="shared" si="61"/>
        <v>-1.6645847176079864E-2</v>
      </c>
      <c r="P595" s="2"/>
    </row>
    <row r="596" spans="1:16" x14ac:dyDescent="0.3">
      <c r="A596" s="3">
        <v>45075</v>
      </c>
      <c r="B596" s="2">
        <v>18619.150000000001</v>
      </c>
      <c r="C596" s="2">
        <v>18641.2</v>
      </c>
      <c r="D596" s="2">
        <v>18581.25</v>
      </c>
      <c r="E596" s="2">
        <v>18598.650000000001</v>
      </c>
      <c r="F596" s="2">
        <v>265323978</v>
      </c>
      <c r="G596" s="2">
        <v>19237.57</v>
      </c>
      <c r="H596" s="2">
        <f t="shared" si="58"/>
        <v>18252.665000000001</v>
      </c>
      <c r="I596" s="2">
        <f t="shared" si="59"/>
        <v>17739.457000000002</v>
      </c>
      <c r="J596" s="2">
        <f t="shared" si="64"/>
        <v>17822.799999999996</v>
      </c>
      <c r="K596" s="2">
        <f t="shared" si="62"/>
        <v>99.30000000000291</v>
      </c>
      <c r="L596" s="7">
        <f t="shared" si="60"/>
        <v>5.3332187559584033E-3</v>
      </c>
      <c r="M596" s="9"/>
      <c r="N596" s="2">
        <f t="shared" si="63"/>
        <v>18812.5</v>
      </c>
      <c r="O596" s="2">
        <f t="shared" si="61"/>
        <v>-1.1367441860465011E-2</v>
      </c>
      <c r="P596" s="2"/>
    </row>
    <row r="597" spans="1:16" x14ac:dyDescent="0.3">
      <c r="A597" s="3">
        <v>45076</v>
      </c>
      <c r="B597" s="2">
        <v>18606.650000000001</v>
      </c>
      <c r="C597" s="2">
        <v>18662.45</v>
      </c>
      <c r="D597" s="2">
        <v>18575.5</v>
      </c>
      <c r="E597" s="2">
        <v>18633.849999999999</v>
      </c>
      <c r="F597" s="2">
        <v>234391323</v>
      </c>
      <c r="G597" s="2">
        <v>21660.69</v>
      </c>
      <c r="H597" s="2">
        <f t="shared" si="58"/>
        <v>18279.347500000003</v>
      </c>
      <c r="I597" s="2">
        <f t="shared" si="59"/>
        <v>17768.344000000001</v>
      </c>
      <c r="J597" s="2">
        <f t="shared" si="64"/>
        <v>17828.852499999994</v>
      </c>
      <c r="K597" s="2">
        <f t="shared" si="62"/>
        <v>35.19999999999709</v>
      </c>
      <c r="L597" s="7">
        <f t="shared" si="60"/>
        <v>1.891796750086506E-3</v>
      </c>
      <c r="M597" s="9"/>
      <c r="N597" s="2">
        <f t="shared" si="63"/>
        <v>18812.5</v>
      </c>
      <c r="O597" s="2">
        <f t="shared" si="61"/>
        <v>-9.4963455149502662E-3</v>
      </c>
      <c r="P597" s="2"/>
    </row>
    <row r="598" spans="1:16" x14ac:dyDescent="0.3">
      <c r="A598" s="3">
        <v>45077</v>
      </c>
      <c r="B598" s="2">
        <v>18594.2</v>
      </c>
      <c r="C598" s="2">
        <v>18603.900000000001</v>
      </c>
      <c r="D598" s="2">
        <v>18483.849999999999</v>
      </c>
      <c r="E598" s="2">
        <v>18534.400000000001</v>
      </c>
      <c r="F598" s="2">
        <v>696495765</v>
      </c>
      <c r="G598" s="2">
        <v>70755.08</v>
      </c>
      <c r="H598" s="2">
        <f t="shared" si="58"/>
        <v>18303.657500000001</v>
      </c>
      <c r="I598" s="2">
        <f t="shared" si="59"/>
        <v>17800.155000000002</v>
      </c>
      <c r="J598" s="2">
        <f t="shared" si="64"/>
        <v>17835.111749999996</v>
      </c>
      <c r="K598" s="2">
        <f t="shared" si="62"/>
        <v>-99.44999999999709</v>
      </c>
      <c r="L598" s="7">
        <f t="shared" si="60"/>
        <v>-5.3484419872862014E-3</v>
      </c>
      <c r="M598" s="9"/>
      <c r="N598" s="2">
        <f t="shared" si="63"/>
        <v>18812.5</v>
      </c>
      <c r="O598" s="2">
        <f t="shared" si="61"/>
        <v>-1.4782724252491608E-2</v>
      </c>
      <c r="P598" s="2"/>
    </row>
    <row r="599" spans="1:16" x14ac:dyDescent="0.3">
      <c r="A599" s="3">
        <v>45078</v>
      </c>
      <c r="B599" s="2">
        <v>18579.400000000001</v>
      </c>
      <c r="C599" s="2">
        <v>18580.3</v>
      </c>
      <c r="D599" s="2">
        <v>18464.55</v>
      </c>
      <c r="E599" s="2">
        <v>18487.75</v>
      </c>
      <c r="F599" s="2">
        <v>265630759</v>
      </c>
      <c r="G599" s="2">
        <v>24056.99</v>
      </c>
      <c r="H599" s="2">
        <f t="shared" ref="H599:H662" si="65">AVERAGE(E579:E598)</f>
        <v>18325.885000000002</v>
      </c>
      <c r="I599" s="2">
        <f t="shared" si="59"/>
        <v>17831.400000000001</v>
      </c>
      <c r="J599" s="2">
        <f t="shared" si="64"/>
        <v>17840.796249999996</v>
      </c>
      <c r="K599" s="2">
        <f t="shared" si="62"/>
        <v>-46.650000000001455</v>
      </c>
      <c r="L599" s="7">
        <f t="shared" si="60"/>
        <v>-2.5108453448443682E-3</v>
      </c>
      <c r="M599" s="9"/>
      <c r="N599" s="2">
        <f t="shared" si="63"/>
        <v>18812.5</v>
      </c>
      <c r="O599" s="2">
        <f t="shared" si="61"/>
        <v>-1.7262458471760778E-2</v>
      </c>
      <c r="P599" s="2"/>
    </row>
    <row r="600" spans="1:16" x14ac:dyDescent="0.3">
      <c r="A600" s="3">
        <v>45079</v>
      </c>
      <c r="B600" s="2">
        <v>18550.849999999999</v>
      </c>
      <c r="C600" s="2">
        <v>18573.7</v>
      </c>
      <c r="D600" s="2">
        <v>18478.400000000001</v>
      </c>
      <c r="E600" s="2">
        <v>18534.099999999999</v>
      </c>
      <c r="F600" s="2">
        <v>270923679</v>
      </c>
      <c r="G600" s="2">
        <v>23171.88</v>
      </c>
      <c r="H600" s="2">
        <f t="shared" si="65"/>
        <v>18337.482500000002</v>
      </c>
      <c r="I600" s="2">
        <f t="shared" si="59"/>
        <v>17861.442999999999</v>
      </c>
      <c r="J600" s="2">
        <f t="shared" si="64"/>
        <v>17845.609499999995</v>
      </c>
      <c r="K600" s="2">
        <f t="shared" si="62"/>
        <v>46.349999999998545</v>
      </c>
      <c r="L600" s="7">
        <f t="shared" si="60"/>
        <v>2.4985378028499258E-3</v>
      </c>
      <c r="M600" s="9"/>
      <c r="N600" s="2">
        <f t="shared" si="63"/>
        <v>18812.5</v>
      </c>
      <c r="O600" s="2">
        <f t="shared" si="61"/>
        <v>-1.4798671096345584E-2</v>
      </c>
      <c r="P600" s="2"/>
    </row>
    <row r="601" spans="1:16" x14ac:dyDescent="0.3">
      <c r="A601" s="3">
        <v>45082</v>
      </c>
      <c r="B601" s="2">
        <v>18612</v>
      </c>
      <c r="C601" s="2">
        <v>18640.150000000001</v>
      </c>
      <c r="D601" s="2">
        <v>18582.8</v>
      </c>
      <c r="E601" s="2">
        <v>18593.849999999999</v>
      </c>
      <c r="F601" s="2">
        <v>256111496</v>
      </c>
      <c r="G601" s="2">
        <v>20369.16</v>
      </c>
      <c r="H601" s="2">
        <f t="shared" si="65"/>
        <v>18360.737499999999</v>
      </c>
      <c r="I601" s="2">
        <f t="shared" si="59"/>
        <v>17890.124</v>
      </c>
      <c r="J601" s="2">
        <f t="shared" si="64"/>
        <v>17850.606249999997</v>
      </c>
      <c r="K601" s="2">
        <f t="shared" si="62"/>
        <v>59.75</v>
      </c>
      <c r="L601" s="7">
        <f t="shared" si="60"/>
        <v>3.2102944336986892E-3</v>
      </c>
      <c r="M601" s="9"/>
      <c r="N601" s="2">
        <f t="shared" si="63"/>
        <v>18812.5</v>
      </c>
      <c r="O601" s="2">
        <f t="shared" si="61"/>
        <v>-1.1622591362126289E-2</v>
      </c>
      <c r="P601" s="2"/>
    </row>
    <row r="602" spans="1:16" x14ac:dyDescent="0.3">
      <c r="A602" s="3">
        <v>45083</v>
      </c>
      <c r="B602" s="2">
        <v>18600.8</v>
      </c>
      <c r="C602" s="2">
        <v>18622.75</v>
      </c>
      <c r="D602" s="2">
        <v>18531.599999999999</v>
      </c>
      <c r="E602" s="2">
        <v>18599</v>
      </c>
      <c r="F602" s="2">
        <v>220789926</v>
      </c>
      <c r="G602" s="2">
        <v>21957.47</v>
      </c>
      <c r="H602" s="2">
        <f t="shared" si="65"/>
        <v>18377.21</v>
      </c>
      <c r="I602" s="2">
        <f t="shared" si="59"/>
        <v>17922.232999999997</v>
      </c>
      <c r="J602" s="2">
        <f t="shared" si="64"/>
        <v>17855.280499999997</v>
      </c>
      <c r="K602" s="2">
        <f t="shared" si="62"/>
        <v>5.1500000000014552</v>
      </c>
      <c r="L602" s="7">
        <f t="shared" si="60"/>
        <v>2.7686981205117284E-4</v>
      </c>
      <c r="M602" s="9"/>
      <c r="N602" s="2">
        <f t="shared" si="63"/>
        <v>18812.5</v>
      </c>
      <c r="O602" s="2">
        <f t="shared" si="61"/>
        <v>-1.1348837209302354E-2</v>
      </c>
      <c r="P602" s="2"/>
    </row>
    <row r="603" spans="1:16" x14ac:dyDescent="0.3">
      <c r="A603" s="3">
        <v>45084</v>
      </c>
      <c r="B603" s="2">
        <v>18665.599999999999</v>
      </c>
      <c r="C603" s="2">
        <v>18738.95</v>
      </c>
      <c r="D603" s="2">
        <v>18636</v>
      </c>
      <c r="E603" s="2">
        <v>18726.400000000001</v>
      </c>
      <c r="F603" s="2">
        <v>260109671</v>
      </c>
      <c r="G603" s="2">
        <v>21482.77</v>
      </c>
      <c r="H603" s="2">
        <f t="shared" si="65"/>
        <v>18393.862499999996</v>
      </c>
      <c r="I603" s="2">
        <f t="shared" si="59"/>
        <v>17952.062999999998</v>
      </c>
      <c r="J603" s="2">
        <f t="shared" si="64"/>
        <v>17859.784749999995</v>
      </c>
      <c r="K603" s="2">
        <f t="shared" si="62"/>
        <v>127.40000000000146</v>
      </c>
      <c r="L603" s="7">
        <f t="shared" si="60"/>
        <v>6.825390022287066E-3</v>
      </c>
      <c r="M603" s="9"/>
      <c r="N603" s="2">
        <f t="shared" si="63"/>
        <v>18812.5</v>
      </c>
      <c r="O603" s="2">
        <f t="shared" si="61"/>
        <v>-4.5767441860464775E-3</v>
      </c>
      <c r="P603" s="2"/>
    </row>
    <row r="604" spans="1:16" x14ac:dyDescent="0.3">
      <c r="A604" s="3">
        <v>45085</v>
      </c>
      <c r="B604" s="2">
        <v>18725.349999999999</v>
      </c>
      <c r="C604" s="2">
        <v>18777.900000000001</v>
      </c>
      <c r="D604" s="2">
        <v>18615.599999999999</v>
      </c>
      <c r="E604" s="2">
        <v>18634.55</v>
      </c>
      <c r="F604" s="2">
        <v>286468927</v>
      </c>
      <c r="G604" s="2">
        <v>22762.3</v>
      </c>
      <c r="H604" s="2">
        <f t="shared" si="65"/>
        <v>18414.427499999998</v>
      </c>
      <c r="I604" s="2">
        <f t="shared" si="59"/>
        <v>17983.553</v>
      </c>
      <c r="J604" s="2">
        <f t="shared" si="64"/>
        <v>17864.290499999996</v>
      </c>
      <c r="K604" s="2">
        <f t="shared" si="62"/>
        <v>-91.850000000002183</v>
      </c>
      <c r="L604" s="7">
        <f t="shared" si="60"/>
        <v>-4.9051152581928879E-3</v>
      </c>
      <c r="M604" s="9"/>
      <c r="N604" s="2">
        <f t="shared" si="63"/>
        <v>18812.5</v>
      </c>
      <c r="O604" s="2">
        <f t="shared" si="61"/>
        <v>-9.4591362126246192E-3</v>
      </c>
      <c r="P604" s="2"/>
    </row>
    <row r="605" spans="1:16" x14ac:dyDescent="0.3">
      <c r="A605" s="3">
        <v>45086</v>
      </c>
      <c r="B605" s="2">
        <v>18655.900000000001</v>
      </c>
      <c r="C605" s="2">
        <v>18676.650000000001</v>
      </c>
      <c r="D605" s="2">
        <v>18555.400000000001</v>
      </c>
      <c r="E605" s="2">
        <v>18563.400000000001</v>
      </c>
      <c r="F605" s="2">
        <v>221760885</v>
      </c>
      <c r="G605" s="2">
        <v>20181.419999999998</v>
      </c>
      <c r="H605" s="2">
        <f t="shared" si="65"/>
        <v>18431.304999999997</v>
      </c>
      <c r="I605" s="2">
        <f t="shared" si="59"/>
        <v>18014.706000000002</v>
      </c>
      <c r="J605" s="2">
        <f t="shared" si="64"/>
        <v>17867.741999999995</v>
      </c>
      <c r="K605" s="2">
        <f t="shared" si="62"/>
        <v>-71.149999999997817</v>
      </c>
      <c r="L605" s="7">
        <f t="shared" si="60"/>
        <v>-3.8138068921894849E-3</v>
      </c>
      <c r="M605" s="9"/>
      <c r="N605" s="2">
        <f t="shared" si="63"/>
        <v>18812.5</v>
      </c>
      <c r="O605" s="2">
        <f t="shared" si="61"/>
        <v>-1.3241196013288992E-2</v>
      </c>
      <c r="P605" s="2"/>
    </row>
    <row r="606" spans="1:16" x14ac:dyDescent="0.3">
      <c r="A606" s="3">
        <v>45089</v>
      </c>
      <c r="B606" s="2">
        <v>18595.05</v>
      </c>
      <c r="C606" s="2">
        <v>18633.599999999999</v>
      </c>
      <c r="D606" s="2">
        <v>18559.75</v>
      </c>
      <c r="E606" s="2">
        <v>18601.5</v>
      </c>
      <c r="F606" s="2">
        <v>179463966</v>
      </c>
      <c r="G606" s="2">
        <v>15386.04</v>
      </c>
      <c r="H606" s="2">
        <f t="shared" si="65"/>
        <v>18443.735000000001</v>
      </c>
      <c r="I606" s="2">
        <f t="shared" si="59"/>
        <v>18047.073</v>
      </c>
      <c r="J606" s="2">
        <f t="shared" si="64"/>
        <v>17870.776499999996</v>
      </c>
      <c r="K606" s="2">
        <f t="shared" si="62"/>
        <v>38.099999999998545</v>
      </c>
      <c r="L606" s="7">
        <f t="shared" si="60"/>
        <v>2.0489323771648127E-3</v>
      </c>
      <c r="M606" s="9"/>
      <c r="N606" s="2">
        <f t="shared" si="63"/>
        <v>18812.5</v>
      </c>
      <c r="O606" s="2">
        <f t="shared" si="61"/>
        <v>-1.1215946843853852E-2</v>
      </c>
      <c r="P606" s="2"/>
    </row>
    <row r="607" spans="1:16" x14ac:dyDescent="0.3">
      <c r="A607" s="3">
        <v>45090</v>
      </c>
      <c r="B607" s="2">
        <v>18631.8</v>
      </c>
      <c r="C607" s="2">
        <v>18728.900000000001</v>
      </c>
      <c r="D607" s="2">
        <v>18631.8</v>
      </c>
      <c r="E607" s="2">
        <v>18716.150000000001</v>
      </c>
      <c r="F607" s="2">
        <v>233167883</v>
      </c>
      <c r="G607" s="2">
        <v>22612.62</v>
      </c>
      <c r="H607" s="2">
        <f t="shared" si="65"/>
        <v>18453.8675</v>
      </c>
      <c r="I607" s="2">
        <f t="shared" si="59"/>
        <v>18079.389000000003</v>
      </c>
      <c r="J607" s="2">
        <f t="shared" si="64"/>
        <v>17874.991749999997</v>
      </c>
      <c r="K607" s="2">
        <f t="shared" si="62"/>
        <v>114.65000000000146</v>
      </c>
      <c r="L607" s="7">
        <f t="shared" si="60"/>
        <v>6.1534580663168059E-3</v>
      </c>
      <c r="M607" s="9"/>
      <c r="N607" s="2">
        <f t="shared" si="63"/>
        <v>18812.5</v>
      </c>
      <c r="O607" s="2">
        <f t="shared" si="61"/>
        <v>-5.1215946843853333E-3</v>
      </c>
      <c r="P607" s="2"/>
    </row>
    <row r="608" spans="1:16" x14ac:dyDescent="0.3">
      <c r="A608" s="3">
        <v>45091</v>
      </c>
      <c r="B608" s="2">
        <v>18744.599999999999</v>
      </c>
      <c r="C608" s="2">
        <v>18769.7</v>
      </c>
      <c r="D608" s="2">
        <v>18690</v>
      </c>
      <c r="E608" s="2">
        <v>18755.900000000001</v>
      </c>
      <c r="F608" s="2">
        <v>261354575</v>
      </c>
      <c r="G608" s="2">
        <v>19520.080000000002</v>
      </c>
      <c r="H608" s="2">
        <f t="shared" si="65"/>
        <v>18475.350000000002</v>
      </c>
      <c r="I608" s="2">
        <f t="shared" si="59"/>
        <v>18114.678</v>
      </c>
      <c r="J608" s="2">
        <f t="shared" si="64"/>
        <v>17881.118999999995</v>
      </c>
      <c r="K608" s="2">
        <f t="shared" si="62"/>
        <v>39.75</v>
      </c>
      <c r="L608" s="7">
        <f t="shared" si="60"/>
        <v>2.120610735891937E-3</v>
      </c>
      <c r="M608" s="9"/>
      <c r="N608" s="2">
        <f t="shared" si="63"/>
        <v>18812.5</v>
      </c>
      <c r="O608" s="2">
        <f t="shared" si="61"/>
        <v>-3.0086378737540498E-3</v>
      </c>
      <c r="P608" s="2"/>
    </row>
    <row r="609" spans="1:16" x14ac:dyDescent="0.3">
      <c r="A609" s="3">
        <v>45092</v>
      </c>
      <c r="B609" s="2">
        <v>18774.45</v>
      </c>
      <c r="C609" s="2">
        <v>18794.099999999999</v>
      </c>
      <c r="D609" s="2">
        <v>18669.05</v>
      </c>
      <c r="E609" s="2">
        <v>18688.099999999999</v>
      </c>
      <c r="F609" s="2">
        <v>263004991</v>
      </c>
      <c r="G609" s="2">
        <v>24820.77</v>
      </c>
      <c r="H609" s="2">
        <f t="shared" si="65"/>
        <v>18504.057500000003</v>
      </c>
      <c r="I609" s="2">
        <f t="shared" si="59"/>
        <v>18148.182000000001</v>
      </c>
      <c r="J609" s="2">
        <f t="shared" si="64"/>
        <v>17887.010999999995</v>
      </c>
      <c r="K609" s="2">
        <f t="shared" si="62"/>
        <v>-67.80000000000291</v>
      </c>
      <c r="L609" s="7">
        <f t="shared" si="60"/>
        <v>-3.6112908766969421E-3</v>
      </c>
      <c r="M609" s="9"/>
      <c r="N609" s="2">
        <f t="shared" si="63"/>
        <v>18812.5</v>
      </c>
      <c r="O609" s="2">
        <f t="shared" si="61"/>
        <v>-6.6126245847176746E-3</v>
      </c>
      <c r="P609" s="2"/>
    </row>
    <row r="610" spans="1:16" x14ac:dyDescent="0.3">
      <c r="A610" s="3">
        <v>45093</v>
      </c>
      <c r="B610" s="2">
        <v>18723.3</v>
      </c>
      <c r="C610" s="2">
        <v>18864.7</v>
      </c>
      <c r="D610" s="2">
        <v>18710.5</v>
      </c>
      <c r="E610" s="2">
        <v>18826</v>
      </c>
      <c r="F610" s="2">
        <v>272771256</v>
      </c>
      <c r="G610" s="2">
        <v>28877.67</v>
      </c>
      <c r="H610" s="2">
        <f t="shared" si="65"/>
        <v>18531.965000000004</v>
      </c>
      <c r="I610" s="2">
        <f t="shared" si="59"/>
        <v>18174.749</v>
      </c>
      <c r="J610" s="2">
        <f t="shared" si="64"/>
        <v>17892.426749999995</v>
      </c>
      <c r="K610" s="2">
        <f t="shared" si="62"/>
        <v>137.90000000000146</v>
      </c>
      <c r="L610" s="7">
        <f t="shared" si="60"/>
        <v>7.3651546468839072E-3</v>
      </c>
      <c r="M610" s="9"/>
      <c r="N610" s="2">
        <f t="shared" si="63"/>
        <v>18826</v>
      </c>
      <c r="O610" s="2">
        <f t="shared" si="61"/>
        <v>0</v>
      </c>
      <c r="P610" s="2"/>
    </row>
    <row r="611" spans="1:16" x14ac:dyDescent="0.3">
      <c r="A611" s="3">
        <v>45096</v>
      </c>
      <c r="B611" s="2">
        <v>18873.3</v>
      </c>
      <c r="C611" s="2">
        <v>18881.45</v>
      </c>
      <c r="D611" s="2">
        <v>18719.150000000001</v>
      </c>
      <c r="E611" s="2">
        <v>18755.45</v>
      </c>
      <c r="F611" s="2">
        <v>219815214</v>
      </c>
      <c r="G611" s="2">
        <v>22699.84</v>
      </c>
      <c r="H611" s="2">
        <f t="shared" si="65"/>
        <v>18563.095000000001</v>
      </c>
      <c r="I611" s="2">
        <f t="shared" si="59"/>
        <v>18203.308000000005</v>
      </c>
      <c r="J611" s="2">
        <f t="shared" si="64"/>
        <v>17898.944499999994</v>
      </c>
      <c r="K611" s="2">
        <f t="shared" si="62"/>
        <v>-70.549999999999272</v>
      </c>
      <c r="L611" s="7">
        <f t="shared" si="60"/>
        <v>-3.738085019577884E-3</v>
      </c>
      <c r="M611" s="9"/>
      <c r="N611" s="2">
        <f t="shared" si="63"/>
        <v>18826</v>
      </c>
      <c r="O611" s="2">
        <f t="shared" si="61"/>
        <v>-3.7474768936576197E-3</v>
      </c>
      <c r="P611" s="2"/>
    </row>
    <row r="612" spans="1:16" x14ac:dyDescent="0.3">
      <c r="A612" s="3">
        <v>45097</v>
      </c>
      <c r="B612" s="2">
        <v>18752.349999999999</v>
      </c>
      <c r="C612" s="2">
        <v>18839.7</v>
      </c>
      <c r="D612" s="2">
        <v>18660.650000000001</v>
      </c>
      <c r="E612" s="2">
        <v>18816.7</v>
      </c>
      <c r="F612" s="2">
        <v>211649257</v>
      </c>
      <c r="G612" s="2">
        <v>19687.080000000002</v>
      </c>
      <c r="H612" s="2">
        <f t="shared" si="65"/>
        <v>18585.147499999999</v>
      </c>
      <c r="I612" s="2">
        <f t="shared" si="59"/>
        <v>18227.276000000002</v>
      </c>
      <c r="J612" s="2">
        <f t="shared" si="64"/>
        <v>17904.927249999993</v>
      </c>
      <c r="K612" s="2">
        <f t="shared" si="62"/>
        <v>61.25</v>
      </c>
      <c r="L612" s="7">
        <f t="shared" si="60"/>
        <v>3.2662572957522658E-3</v>
      </c>
      <c r="M612" s="9"/>
      <c r="N612" s="2">
        <f t="shared" si="63"/>
        <v>18826</v>
      </c>
      <c r="O612" s="2">
        <f t="shared" si="61"/>
        <v>-4.9399766280666668E-4</v>
      </c>
      <c r="P612" s="2"/>
    </row>
    <row r="613" spans="1:16" x14ac:dyDescent="0.3">
      <c r="A613" s="3">
        <v>45098</v>
      </c>
      <c r="B613" s="2">
        <v>18849.400000000001</v>
      </c>
      <c r="C613" s="2">
        <v>18875.900000000001</v>
      </c>
      <c r="D613" s="2">
        <v>18794.849999999999</v>
      </c>
      <c r="E613" s="2">
        <v>18856.849999999999</v>
      </c>
      <c r="F613" s="2">
        <v>217481345</v>
      </c>
      <c r="G613" s="2">
        <v>19102.48</v>
      </c>
      <c r="H613" s="2">
        <f t="shared" si="65"/>
        <v>18608.5825</v>
      </c>
      <c r="I613" s="2">
        <f t="shared" si="59"/>
        <v>18251.627</v>
      </c>
      <c r="J613" s="2">
        <f t="shared" si="64"/>
        <v>17912.446249999994</v>
      </c>
      <c r="K613" s="2">
        <f t="shared" si="62"/>
        <v>40.149999999997817</v>
      </c>
      <c r="L613" s="7">
        <f t="shared" si="60"/>
        <v>2.1300412745232111E-3</v>
      </c>
      <c r="M613" s="9"/>
      <c r="N613" s="2">
        <f t="shared" si="63"/>
        <v>18856.849999999999</v>
      </c>
      <c r="O613" s="2">
        <f t="shared" si="61"/>
        <v>0</v>
      </c>
      <c r="P613" s="2"/>
    </row>
    <row r="614" spans="1:16" x14ac:dyDescent="0.3">
      <c r="A614" s="3">
        <v>45099</v>
      </c>
      <c r="B614" s="2">
        <v>18853.599999999999</v>
      </c>
      <c r="C614" s="2">
        <v>18886.599999999999</v>
      </c>
      <c r="D614" s="2">
        <v>18759.5</v>
      </c>
      <c r="E614" s="2">
        <v>18771.25</v>
      </c>
      <c r="F614" s="2">
        <v>252697871</v>
      </c>
      <c r="G614" s="2">
        <v>24990.87</v>
      </c>
      <c r="H614" s="2">
        <f t="shared" si="65"/>
        <v>18637.154999999999</v>
      </c>
      <c r="I614" s="2">
        <f t="shared" si="59"/>
        <v>18276.282999999999</v>
      </c>
      <c r="J614" s="2">
        <f t="shared" si="64"/>
        <v>17917.933999999997</v>
      </c>
      <c r="K614" s="2">
        <f t="shared" si="62"/>
        <v>-85.599999999998545</v>
      </c>
      <c r="L614" s="7">
        <f t="shared" si="60"/>
        <v>-4.5402469554885298E-3</v>
      </c>
      <c r="M614" s="9"/>
      <c r="N614" s="2">
        <f t="shared" si="63"/>
        <v>18856.849999999999</v>
      </c>
      <c r="O614" s="2">
        <f t="shared" si="61"/>
        <v>-4.5394644386521632E-3</v>
      </c>
      <c r="P614" s="2"/>
    </row>
    <row r="615" spans="1:16" x14ac:dyDescent="0.3">
      <c r="A615" s="3">
        <v>45100</v>
      </c>
      <c r="B615" s="2">
        <v>18741.849999999999</v>
      </c>
      <c r="C615" s="2">
        <v>18756.400000000001</v>
      </c>
      <c r="D615" s="2">
        <v>18647.099999999999</v>
      </c>
      <c r="E615" s="2">
        <v>18665.5</v>
      </c>
      <c r="F615" s="2">
        <v>210562119</v>
      </c>
      <c r="G615" s="2">
        <v>20619.599999999999</v>
      </c>
      <c r="H615" s="2">
        <f t="shared" si="65"/>
        <v>18659.659999999996</v>
      </c>
      <c r="I615" s="2">
        <f t="shared" si="59"/>
        <v>18297.261999999999</v>
      </c>
      <c r="J615" s="2">
        <f t="shared" si="64"/>
        <v>17924.076249999995</v>
      </c>
      <c r="K615" s="2">
        <f t="shared" si="62"/>
        <v>-105.75</v>
      </c>
      <c r="L615" s="7">
        <f t="shared" si="60"/>
        <v>-5.6424525860574067E-3</v>
      </c>
      <c r="M615" s="9"/>
      <c r="N615" s="2">
        <f t="shared" si="63"/>
        <v>18856.849999999999</v>
      </c>
      <c r="O615" s="2">
        <f t="shared" si="61"/>
        <v>-1.0147506078692858E-2</v>
      </c>
      <c r="P615" s="2"/>
    </row>
    <row r="616" spans="1:16" x14ac:dyDescent="0.3">
      <c r="A616" s="3">
        <v>45103</v>
      </c>
      <c r="B616" s="2">
        <v>18682.349999999999</v>
      </c>
      <c r="C616" s="2">
        <v>18722.05</v>
      </c>
      <c r="D616" s="2">
        <v>18646.7</v>
      </c>
      <c r="E616" s="2">
        <v>18691.2</v>
      </c>
      <c r="F616" s="2">
        <v>171271325</v>
      </c>
      <c r="G616" s="2">
        <v>17355.14</v>
      </c>
      <c r="H616" s="2">
        <f t="shared" si="65"/>
        <v>18667.967499999999</v>
      </c>
      <c r="I616" s="2">
        <f t="shared" si="59"/>
        <v>18314.324000000001</v>
      </c>
      <c r="J616" s="2">
        <f t="shared" si="64"/>
        <v>17929.706499999993</v>
      </c>
      <c r="K616" s="2">
        <f t="shared" si="62"/>
        <v>25.700000000000728</v>
      </c>
      <c r="L616" s="7">
        <f t="shared" si="60"/>
        <v>1.3756299394883796E-3</v>
      </c>
      <c r="M616" s="9"/>
      <c r="N616" s="2">
        <f t="shared" si="63"/>
        <v>18856.849999999999</v>
      </c>
      <c r="O616" s="2">
        <f t="shared" si="61"/>
        <v>-8.7846061245646645E-3</v>
      </c>
      <c r="P616" s="2"/>
    </row>
    <row r="617" spans="1:16" x14ac:dyDescent="0.3">
      <c r="A617" s="3">
        <v>45104</v>
      </c>
      <c r="B617" s="2">
        <v>18748.55</v>
      </c>
      <c r="C617" s="2">
        <v>18829.25</v>
      </c>
      <c r="D617" s="2">
        <v>18714.25</v>
      </c>
      <c r="E617" s="2">
        <v>18817.400000000001</v>
      </c>
      <c r="F617" s="2">
        <v>222464605</v>
      </c>
      <c r="G617" s="2">
        <v>21415.89</v>
      </c>
      <c r="H617" s="2">
        <f t="shared" si="65"/>
        <v>18672.594999999998</v>
      </c>
      <c r="I617" s="2">
        <f t="shared" si="59"/>
        <v>18331.588</v>
      </c>
      <c r="J617" s="2">
        <f t="shared" si="64"/>
        <v>17934.833499999997</v>
      </c>
      <c r="K617" s="2">
        <f t="shared" si="62"/>
        <v>126.20000000000073</v>
      </c>
      <c r="L617" s="7">
        <f t="shared" si="60"/>
        <v>6.7311872118110856E-3</v>
      </c>
      <c r="M617" s="9"/>
      <c r="N617" s="2">
        <f t="shared" si="63"/>
        <v>18856.849999999999</v>
      </c>
      <c r="O617" s="2">
        <f t="shared" si="61"/>
        <v>-2.0920779451497618E-3</v>
      </c>
      <c r="P617" s="2"/>
    </row>
    <row r="618" spans="1:16" x14ac:dyDescent="0.3">
      <c r="A618" s="3">
        <v>45105</v>
      </c>
      <c r="B618" s="2">
        <v>18908.150000000001</v>
      </c>
      <c r="C618" s="2">
        <v>19011.25</v>
      </c>
      <c r="D618" s="2">
        <v>18861.349999999999</v>
      </c>
      <c r="E618" s="2">
        <v>18972.099999999999</v>
      </c>
      <c r="F618" s="2">
        <v>398782019</v>
      </c>
      <c r="G618" s="2">
        <v>37356.94</v>
      </c>
      <c r="H618" s="2">
        <f t="shared" si="65"/>
        <v>18681.772499999999</v>
      </c>
      <c r="I618" s="2">
        <f t="shared" si="59"/>
        <v>18353.798999999999</v>
      </c>
      <c r="J618" s="2">
        <f t="shared" si="64"/>
        <v>17940.642499999994</v>
      </c>
      <c r="K618" s="2">
        <f t="shared" si="62"/>
        <v>154.69999999999709</v>
      </c>
      <c r="L618" s="7">
        <f t="shared" si="60"/>
        <v>8.1816571161111521E-3</v>
      </c>
      <c r="M618" s="9"/>
      <c r="N618" s="2">
        <f t="shared" si="63"/>
        <v>18972.099999999999</v>
      </c>
      <c r="O618" s="2">
        <f t="shared" si="61"/>
        <v>0</v>
      </c>
      <c r="P618" s="2"/>
    </row>
    <row r="619" spans="1:16" x14ac:dyDescent="0.3">
      <c r="A619" s="3">
        <v>45107</v>
      </c>
      <c r="B619" s="2">
        <v>19076.849999999999</v>
      </c>
      <c r="C619" s="2">
        <v>19201.7</v>
      </c>
      <c r="D619" s="2">
        <v>19024.599999999999</v>
      </c>
      <c r="E619" s="2">
        <v>19189.05</v>
      </c>
      <c r="F619" s="2">
        <v>247906587</v>
      </c>
      <c r="G619" s="2">
        <v>26376.62</v>
      </c>
      <c r="H619" s="2">
        <f t="shared" si="65"/>
        <v>18703.657500000001</v>
      </c>
      <c r="I619" s="2">
        <f t="shared" si="59"/>
        <v>18380.038</v>
      </c>
      <c r="J619" s="2">
        <f t="shared" si="64"/>
        <v>17947.380999999998</v>
      </c>
      <c r="K619" s="2">
        <f t="shared" si="62"/>
        <v>216.95000000000073</v>
      </c>
      <c r="L619" s="7">
        <f t="shared" si="60"/>
        <v>1.1372422595973692E-2</v>
      </c>
      <c r="M619" s="9"/>
      <c r="N619" s="2">
        <f t="shared" si="63"/>
        <v>19189.05</v>
      </c>
      <c r="O619" s="2">
        <f t="shared" si="61"/>
        <v>0</v>
      </c>
      <c r="P619" s="2"/>
    </row>
    <row r="620" spans="1:16" x14ac:dyDescent="0.3">
      <c r="A620" s="3">
        <v>45110</v>
      </c>
      <c r="B620" s="2">
        <v>19246.5</v>
      </c>
      <c r="C620" s="2">
        <v>19345.099999999999</v>
      </c>
      <c r="D620" s="2">
        <v>19234.400000000001</v>
      </c>
      <c r="E620" s="2">
        <v>19322.55</v>
      </c>
      <c r="F620" s="2">
        <v>226050219</v>
      </c>
      <c r="G620" s="2">
        <v>22681.54</v>
      </c>
      <c r="H620" s="2">
        <f t="shared" si="65"/>
        <v>18738.722500000003</v>
      </c>
      <c r="I620" s="2">
        <f t="shared" si="59"/>
        <v>18411.444000000003</v>
      </c>
      <c r="J620" s="2">
        <f t="shared" si="64"/>
        <v>17954.332499999997</v>
      </c>
      <c r="K620" s="2">
        <f t="shared" si="62"/>
        <v>133.5</v>
      </c>
      <c r="L620" s="7">
        <f t="shared" si="60"/>
        <v>6.9363260852622552E-3</v>
      </c>
      <c r="M620" s="9"/>
      <c r="N620" s="2">
        <f t="shared" si="63"/>
        <v>19322.55</v>
      </c>
      <c r="O620" s="2">
        <f t="shared" si="61"/>
        <v>0</v>
      </c>
      <c r="P620" s="2"/>
    </row>
    <row r="621" spans="1:16" x14ac:dyDescent="0.3">
      <c r="A621" s="3">
        <v>45111</v>
      </c>
      <c r="B621" s="2">
        <v>19406.599999999999</v>
      </c>
      <c r="C621" s="2">
        <v>19434.150000000001</v>
      </c>
      <c r="D621" s="2">
        <v>19300</v>
      </c>
      <c r="E621" s="2">
        <v>19389</v>
      </c>
      <c r="F621" s="2">
        <v>226916635</v>
      </c>
      <c r="G621" s="2">
        <v>26634.06</v>
      </c>
      <c r="H621" s="2">
        <f t="shared" si="65"/>
        <v>18778.145</v>
      </c>
      <c r="I621" s="2">
        <f t="shared" si="59"/>
        <v>18445.406000000003</v>
      </c>
      <c r="J621" s="2">
        <f t="shared" si="64"/>
        <v>17961.778499999993</v>
      </c>
      <c r="K621" s="2">
        <f t="shared" si="62"/>
        <v>66.450000000000728</v>
      </c>
      <c r="L621" s="7">
        <f t="shared" si="60"/>
        <v>3.4240928343965832E-3</v>
      </c>
      <c r="M621" s="9"/>
      <c r="N621" s="2">
        <f t="shared" si="63"/>
        <v>19389</v>
      </c>
      <c r="O621" s="2">
        <f t="shared" si="61"/>
        <v>0</v>
      </c>
      <c r="P621" s="2"/>
    </row>
    <row r="622" spans="1:16" x14ac:dyDescent="0.3">
      <c r="A622" s="3">
        <v>45112</v>
      </c>
      <c r="B622" s="2">
        <v>19405.95</v>
      </c>
      <c r="C622" s="2">
        <v>19421.599999999999</v>
      </c>
      <c r="D622" s="2">
        <v>19339.599999999999</v>
      </c>
      <c r="E622" s="2">
        <v>19398.5</v>
      </c>
      <c r="F622" s="2">
        <v>224418797</v>
      </c>
      <c r="G622" s="2">
        <v>24699.24</v>
      </c>
      <c r="H622" s="2">
        <f t="shared" si="65"/>
        <v>18817.9025</v>
      </c>
      <c r="I622" s="2">
        <f t="shared" si="59"/>
        <v>18480.705000000002</v>
      </c>
      <c r="J622" s="2">
        <f t="shared" si="64"/>
        <v>17969.041749999993</v>
      </c>
      <c r="K622" s="2">
        <f t="shared" si="62"/>
        <v>9.5</v>
      </c>
      <c r="L622" s="7">
        <f t="shared" si="60"/>
        <v>4.8954057904920909E-4</v>
      </c>
      <c r="M622" s="9"/>
      <c r="N622" s="2">
        <f t="shared" si="63"/>
        <v>19398.5</v>
      </c>
      <c r="O622" s="2">
        <f t="shared" si="61"/>
        <v>0</v>
      </c>
      <c r="P622" s="2"/>
    </row>
    <row r="623" spans="1:16" x14ac:dyDescent="0.3">
      <c r="A623" s="3">
        <v>45113</v>
      </c>
      <c r="B623" s="2">
        <v>19385.7</v>
      </c>
      <c r="C623" s="2">
        <v>19512.2</v>
      </c>
      <c r="D623" s="2">
        <v>19373</v>
      </c>
      <c r="E623" s="2">
        <v>19497.3</v>
      </c>
      <c r="F623" s="2">
        <v>268261285</v>
      </c>
      <c r="G623" s="2">
        <v>28540.18</v>
      </c>
      <c r="H623" s="2">
        <f t="shared" si="65"/>
        <v>18857.877499999999</v>
      </c>
      <c r="I623" s="2">
        <f t="shared" si="59"/>
        <v>18513.807000000004</v>
      </c>
      <c r="J623" s="2">
        <f t="shared" si="64"/>
        <v>17975.683999999994</v>
      </c>
      <c r="K623" s="2">
        <f t="shared" si="62"/>
        <v>98.799999999999272</v>
      </c>
      <c r="L623" s="7">
        <f t="shared" si="60"/>
        <v>5.096540233264688E-3</v>
      </c>
      <c r="M623" s="9"/>
      <c r="N623" s="2">
        <f t="shared" si="63"/>
        <v>19497.3</v>
      </c>
      <c r="O623" s="2">
        <f t="shared" si="61"/>
        <v>0</v>
      </c>
      <c r="P623" s="2"/>
    </row>
    <row r="624" spans="1:16" x14ac:dyDescent="0.3">
      <c r="A624" s="3">
        <v>45114</v>
      </c>
      <c r="B624" s="2">
        <v>19422.8</v>
      </c>
      <c r="C624" s="2">
        <v>19523.599999999999</v>
      </c>
      <c r="D624" s="2">
        <v>19303.599999999999</v>
      </c>
      <c r="E624" s="2">
        <v>19331.8</v>
      </c>
      <c r="F624" s="2">
        <v>237102566</v>
      </c>
      <c r="G624" s="2">
        <v>23089.25</v>
      </c>
      <c r="H624" s="2">
        <f t="shared" si="65"/>
        <v>18896.422500000001</v>
      </c>
      <c r="I624" s="2">
        <f t="shared" si="59"/>
        <v>18548.368000000002</v>
      </c>
      <c r="J624" s="2">
        <f t="shared" si="64"/>
        <v>17983.15174999999</v>
      </c>
      <c r="K624" s="2">
        <f t="shared" si="62"/>
        <v>-165.5</v>
      </c>
      <c r="L624" s="7">
        <f t="shared" si="60"/>
        <v>-8.5209135655003408E-3</v>
      </c>
      <c r="M624" s="9"/>
      <c r="N624" s="2">
        <f t="shared" si="63"/>
        <v>19497.3</v>
      </c>
      <c r="O624" s="2">
        <f t="shared" si="61"/>
        <v>-8.4883547978438223E-3</v>
      </c>
      <c r="P624" s="2"/>
    </row>
    <row r="625" spans="1:16" x14ac:dyDescent="0.3">
      <c r="A625" s="3">
        <v>45117</v>
      </c>
      <c r="B625" s="2">
        <v>19400.349999999999</v>
      </c>
      <c r="C625" s="2">
        <v>19435.849999999999</v>
      </c>
      <c r="D625" s="2">
        <v>19327.099999999999</v>
      </c>
      <c r="E625" s="2">
        <v>19355.900000000001</v>
      </c>
      <c r="F625" s="2">
        <v>268246132</v>
      </c>
      <c r="G625" s="2">
        <v>25991.55</v>
      </c>
      <c r="H625" s="2">
        <f t="shared" si="65"/>
        <v>18931.284999999996</v>
      </c>
      <c r="I625" s="2">
        <f t="shared" si="59"/>
        <v>18578.732000000004</v>
      </c>
      <c r="J625" s="2">
        <f t="shared" si="64"/>
        <v>17990.423749999991</v>
      </c>
      <c r="K625" s="2">
        <f t="shared" si="62"/>
        <v>24.100000000002183</v>
      </c>
      <c r="L625" s="7">
        <f t="shared" si="60"/>
        <v>1.2422456295892695E-3</v>
      </c>
      <c r="M625" s="9"/>
      <c r="N625" s="2">
        <f t="shared" si="63"/>
        <v>19497.3</v>
      </c>
      <c r="O625" s="2">
        <f t="shared" si="61"/>
        <v>-7.2522862139885458E-3</v>
      </c>
      <c r="P625" s="2"/>
    </row>
    <row r="626" spans="1:16" x14ac:dyDescent="0.3">
      <c r="A626" s="3">
        <v>45118</v>
      </c>
      <c r="B626" s="2">
        <v>19427.099999999999</v>
      </c>
      <c r="C626" s="2">
        <v>19515.099999999999</v>
      </c>
      <c r="D626" s="2">
        <v>19406.45</v>
      </c>
      <c r="E626" s="2">
        <v>19439.400000000001</v>
      </c>
      <c r="F626" s="2">
        <v>251263638</v>
      </c>
      <c r="G626" s="2">
        <v>26883.78</v>
      </c>
      <c r="H626" s="2">
        <f t="shared" si="65"/>
        <v>18970.91</v>
      </c>
      <c r="I626" s="2">
        <f t="shared" si="59"/>
        <v>18607.549000000003</v>
      </c>
      <c r="J626" s="2">
        <f t="shared" si="64"/>
        <v>17999.548999999988</v>
      </c>
      <c r="K626" s="2">
        <f t="shared" si="62"/>
        <v>83.5</v>
      </c>
      <c r="L626" s="7">
        <f t="shared" si="60"/>
        <v>4.2981196370019204E-3</v>
      </c>
      <c r="M626" s="9"/>
      <c r="N626" s="2">
        <f t="shared" si="63"/>
        <v>19497.3</v>
      </c>
      <c r="O626" s="2">
        <f t="shared" si="61"/>
        <v>-2.9696419504238181E-3</v>
      </c>
      <c r="P626" s="2"/>
    </row>
    <row r="627" spans="1:16" x14ac:dyDescent="0.3">
      <c r="A627" s="3">
        <v>45119</v>
      </c>
      <c r="B627" s="2">
        <v>19497.45</v>
      </c>
      <c r="C627" s="2">
        <v>19507.7</v>
      </c>
      <c r="D627" s="2">
        <v>19361.75</v>
      </c>
      <c r="E627" s="2">
        <v>19384.3</v>
      </c>
      <c r="F627" s="2">
        <v>327941559</v>
      </c>
      <c r="G627" s="2">
        <v>40163.14</v>
      </c>
      <c r="H627" s="2">
        <f t="shared" si="65"/>
        <v>19012.805</v>
      </c>
      <c r="I627" s="2">
        <f t="shared" si="59"/>
        <v>18635.037</v>
      </c>
      <c r="J627" s="2">
        <f t="shared" si="64"/>
        <v>18008.634749999987</v>
      </c>
      <c r="K627" s="2">
        <f t="shared" si="62"/>
        <v>-55.100000000002183</v>
      </c>
      <c r="L627" s="7">
        <f t="shared" si="60"/>
        <v>-2.8260105808709437E-3</v>
      </c>
      <c r="M627" s="9"/>
      <c r="N627" s="2">
        <f t="shared" si="63"/>
        <v>19497.3</v>
      </c>
      <c r="O627" s="2">
        <f t="shared" si="61"/>
        <v>-5.7956742728479949E-3</v>
      </c>
      <c r="P627" s="2"/>
    </row>
    <row r="628" spans="1:16" x14ac:dyDescent="0.3">
      <c r="A628" s="3">
        <v>45120</v>
      </c>
      <c r="B628" s="2">
        <v>19495.2</v>
      </c>
      <c r="C628" s="2">
        <v>19567</v>
      </c>
      <c r="D628" s="2">
        <v>19385.8</v>
      </c>
      <c r="E628" s="2">
        <v>19413.75</v>
      </c>
      <c r="F628" s="2">
        <v>310442517</v>
      </c>
      <c r="G628" s="2">
        <v>27244.560000000001</v>
      </c>
      <c r="H628" s="2">
        <f t="shared" si="65"/>
        <v>19046.212500000001</v>
      </c>
      <c r="I628" s="2">
        <f t="shared" si="59"/>
        <v>18659.770000000004</v>
      </c>
      <c r="J628" s="2">
        <f t="shared" si="64"/>
        <v>18016.474999999988</v>
      </c>
      <c r="K628" s="2">
        <f t="shared" si="62"/>
        <v>29.450000000000728</v>
      </c>
      <c r="L628" s="7">
        <f t="shared" si="60"/>
        <v>1.5106282572120689E-3</v>
      </c>
      <c r="M628" s="9"/>
      <c r="N628" s="2">
        <f t="shared" si="63"/>
        <v>19497.3</v>
      </c>
      <c r="O628" s="2">
        <f t="shared" si="61"/>
        <v>-4.2852087212075229E-3</v>
      </c>
      <c r="P628" s="2"/>
    </row>
    <row r="629" spans="1:16" x14ac:dyDescent="0.3">
      <c r="A629" s="3">
        <v>45121</v>
      </c>
      <c r="B629" s="2">
        <v>19493.45</v>
      </c>
      <c r="C629" s="2">
        <v>19595.349999999999</v>
      </c>
      <c r="D629" s="2">
        <v>19433.5</v>
      </c>
      <c r="E629" s="2">
        <v>19564.5</v>
      </c>
      <c r="F629" s="2">
        <v>291165841</v>
      </c>
      <c r="G629" s="2">
        <v>25484.44</v>
      </c>
      <c r="H629" s="2">
        <f t="shared" si="65"/>
        <v>19079.105000000003</v>
      </c>
      <c r="I629" s="2">
        <f t="shared" ref="I629:I692" si="66">AVERAGE(E579:E628)</f>
        <v>18686.248000000003</v>
      </c>
      <c r="J629" s="2">
        <f t="shared" si="64"/>
        <v>18024.951999999987</v>
      </c>
      <c r="K629" s="2">
        <f t="shared" si="62"/>
        <v>150.75</v>
      </c>
      <c r="L629" s="7">
        <f t="shared" si="60"/>
        <v>7.7333668488646186E-3</v>
      </c>
      <c r="M629" s="9"/>
      <c r="N629" s="2">
        <f t="shared" si="63"/>
        <v>19564.5</v>
      </c>
      <c r="O629" s="2">
        <f t="shared" si="61"/>
        <v>0</v>
      </c>
      <c r="P629" s="2"/>
    </row>
    <row r="630" spans="1:16" x14ac:dyDescent="0.3">
      <c r="A630" s="3">
        <v>45124</v>
      </c>
      <c r="B630" s="2">
        <v>19612.150000000001</v>
      </c>
      <c r="C630" s="2">
        <v>19731.849999999999</v>
      </c>
      <c r="D630" s="2">
        <v>19562.95</v>
      </c>
      <c r="E630" s="2">
        <v>19711.45</v>
      </c>
      <c r="F630" s="2">
        <v>268707894</v>
      </c>
      <c r="G630" s="2">
        <v>25975.57</v>
      </c>
      <c r="H630" s="2">
        <f t="shared" si="65"/>
        <v>19122.924999999999</v>
      </c>
      <c r="I630" s="2">
        <f t="shared" si="66"/>
        <v>18712.422000000002</v>
      </c>
      <c r="J630" s="2">
        <f t="shared" si="64"/>
        <v>18034.625499999991</v>
      </c>
      <c r="K630" s="2">
        <f t="shared" si="62"/>
        <v>146.95000000000073</v>
      </c>
      <c r="L630" s="7">
        <f t="shared" si="60"/>
        <v>7.492804205556286E-3</v>
      </c>
      <c r="M630" s="9"/>
      <c r="N630" s="2">
        <f t="shared" si="63"/>
        <v>19711.45</v>
      </c>
      <c r="O630" s="2">
        <f t="shared" si="61"/>
        <v>0</v>
      </c>
      <c r="P630" s="2"/>
    </row>
    <row r="631" spans="1:16" x14ac:dyDescent="0.3">
      <c r="A631" s="3">
        <v>45125</v>
      </c>
      <c r="B631" s="2">
        <v>19787.5</v>
      </c>
      <c r="C631" s="2">
        <v>19819.45</v>
      </c>
      <c r="D631" s="2">
        <v>19690.2</v>
      </c>
      <c r="E631" s="2">
        <v>19749.25</v>
      </c>
      <c r="F631" s="2">
        <v>286353897</v>
      </c>
      <c r="G631" s="2">
        <v>33269.08</v>
      </c>
      <c r="H631" s="2">
        <f t="shared" si="65"/>
        <v>19167.197500000002</v>
      </c>
      <c r="I631" s="2">
        <f t="shared" si="66"/>
        <v>18745.271000000004</v>
      </c>
      <c r="J631" s="2">
        <f t="shared" si="64"/>
        <v>18046.545999999991</v>
      </c>
      <c r="K631" s="2">
        <f t="shared" si="62"/>
        <v>37.799999999999272</v>
      </c>
      <c r="L631" s="7">
        <f t="shared" si="60"/>
        <v>1.9102969046114603E-3</v>
      </c>
      <c r="M631" s="9"/>
      <c r="N631" s="2">
        <f t="shared" si="63"/>
        <v>19749.25</v>
      </c>
      <c r="O631" s="2">
        <f t="shared" si="61"/>
        <v>0</v>
      </c>
      <c r="P631" s="2"/>
    </row>
    <row r="632" spans="1:16" x14ac:dyDescent="0.3">
      <c r="A632" s="3">
        <v>45126</v>
      </c>
      <c r="B632" s="2">
        <v>19802.95</v>
      </c>
      <c r="C632" s="2">
        <v>19851.7</v>
      </c>
      <c r="D632" s="2">
        <v>19727.45</v>
      </c>
      <c r="E632" s="2">
        <v>19833.150000000001</v>
      </c>
      <c r="F632" s="2">
        <v>259660464</v>
      </c>
      <c r="G632" s="2">
        <v>26447.9</v>
      </c>
      <c r="H632" s="2">
        <f t="shared" si="65"/>
        <v>19216.887500000001</v>
      </c>
      <c r="I632" s="2">
        <f t="shared" si="66"/>
        <v>18774.968000000001</v>
      </c>
      <c r="J632" s="2">
        <f t="shared" si="64"/>
        <v>18060.210749999991</v>
      </c>
      <c r="K632" s="2">
        <f t="shared" si="62"/>
        <v>83.900000000001455</v>
      </c>
      <c r="L632" s="7">
        <f t="shared" si="60"/>
        <v>4.2367425055358648E-3</v>
      </c>
      <c r="M632" s="9"/>
      <c r="N632" s="2">
        <f t="shared" si="63"/>
        <v>19833.150000000001</v>
      </c>
      <c r="O632" s="2">
        <f t="shared" si="61"/>
        <v>0</v>
      </c>
      <c r="P632" s="2"/>
    </row>
    <row r="633" spans="1:16" x14ac:dyDescent="0.3">
      <c r="A633" s="3">
        <v>45127</v>
      </c>
      <c r="B633" s="2">
        <v>19831.7</v>
      </c>
      <c r="C633" s="2">
        <v>19991.849999999999</v>
      </c>
      <c r="D633" s="2">
        <v>19758.400000000001</v>
      </c>
      <c r="E633" s="2">
        <v>19979.150000000001</v>
      </c>
      <c r="F633" s="2">
        <v>274698867</v>
      </c>
      <c r="G633" s="2">
        <v>30622.66</v>
      </c>
      <c r="H633" s="2">
        <f t="shared" si="65"/>
        <v>19267.71</v>
      </c>
      <c r="I633" s="2">
        <f t="shared" si="66"/>
        <v>18806.312000000002</v>
      </c>
      <c r="J633" s="2">
        <f t="shared" si="64"/>
        <v>18074.339499999991</v>
      </c>
      <c r="K633" s="2">
        <f t="shared" si="62"/>
        <v>146</v>
      </c>
      <c r="L633" s="7">
        <f t="shared" si="60"/>
        <v>7.36195081611763E-3</v>
      </c>
      <c r="M633" s="9"/>
      <c r="N633" s="2">
        <f t="shared" si="63"/>
        <v>19979.150000000001</v>
      </c>
      <c r="O633" s="2">
        <f t="shared" si="61"/>
        <v>0</v>
      </c>
      <c r="P633" s="2"/>
    </row>
    <row r="634" spans="1:16" x14ac:dyDescent="0.3">
      <c r="A634" s="3">
        <v>45128</v>
      </c>
      <c r="B634" s="2">
        <v>19800.45</v>
      </c>
      <c r="C634" s="2">
        <v>19887.400000000001</v>
      </c>
      <c r="D634" s="2">
        <v>19700</v>
      </c>
      <c r="E634" s="2">
        <v>19745</v>
      </c>
      <c r="F634" s="2">
        <v>312461795</v>
      </c>
      <c r="G634" s="2">
        <v>33802.14</v>
      </c>
      <c r="H634" s="2">
        <f t="shared" si="65"/>
        <v>19323.825000000004</v>
      </c>
      <c r="I634" s="2">
        <f t="shared" si="66"/>
        <v>18839.593000000004</v>
      </c>
      <c r="J634" s="2">
        <f t="shared" si="64"/>
        <v>18089.942249999993</v>
      </c>
      <c r="K634" s="2">
        <f t="shared" si="62"/>
        <v>-234.15000000000146</v>
      </c>
      <c r="L634" s="7">
        <f t="shared" si="60"/>
        <v>-1.1825488814648224E-2</v>
      </c>
      <c r="M634" s="9"/>
      <c r="N634" s="2">
        <f t="shared" si="63"/>
        <v>19979.150000000001</v>
      </c>
      <c r="O634" s="2">
        <f t="shared" si="61"/>
        <v>-1.1719717805812602E-2</v>
      </c>
      <c r="P634" s="2"/>
    </row>
    <row r="635" spans="1:16" x14ac:dyDescent="0.3">
      <c r="A635" s="3">
        <v>45131</v>
      </c>
      <c r="B635" s="2">
        <v>19748.45</v>
      </c>
      <c r="C635" s="2">
        <v>19782.75</v>
      </c>
      <c r="D635" s="2">
        <v>19658.3</v>
      </c>
      <c r="E635" s="2">
        <v>19672.349999999999</v>
      </c>
      <c r="F635" s="2">
        <v>265562151</v>
      </c>
      <c r="G635" s="2">
        <v>24522.29</v>
      </c>
      <c r="H635" s="2">
        <f t="shared" si="65"/>
        <v>19372.512500000001</v>
      </c>
      <c r="I635" s="2">
        <f t="shared" si="66"/>
        <v>18868.553000000004</v>
      </c>
      <c r="J635" s="2">
        <f t="shared" si="64"/>
        <v>18104.576749999993</v>
      </c>
      <c r="K635" s="2">
        <f t="shared" si="62"/>
        <v>-72.650000000001455</v>
      </c>
      <c r="L635" s="7">
        <f t="shared" si="60"/>
        <v>-3.6787697262317524E-3</v>
      </c>
      <c r="M635" s="9"/>
      <c r="N635" s="2">
        <f t="shared" si="63"/>
        <v>19979.150000000001</v>
      </c>
      <c r="O635" s="2">
        <f t="shared" si="61"/>
        <v>-1.5356008639006324E-2</v>
      </c>
      <c r="P635" s="2"/>
    </row>
    <row r="636" spans="1:16" x14ac:dyDescent="0.3">
      <c r="A636" s="3">
        <v>45132</v>
      </c>
      <c r="B636" s="2">
        <v>19729.349999999999</v>
      </c>
      <c r="C636" s="2">
        <v>19729.349999999999</v>
      </c>
      <c r="D636" s="2">
        <v>19615.95</v>
      </c>
      <c r="E636" s="2">
        <v>19680.599999999999</v>
      </c>
      <c r="F636" s="2">
        <v>369653496</v>
      </c>
      <c r="G636" s="2">
        <v>29665.67</v>
      </c>
      <c r="H636" s="2">
        <f t="shared" si="65"/>
        <v>19422.855</v>
      </c>
      <c r="I636" s="2">
        <f t="shared" si="66"/>
        <v>18895.704000000005</v>
      </c>
      <c r="J636" s="2">
        <f t="shared" si="64"/>
        <v>18117.466749999992</v>
      </c>
      <c r="K636" s="2">
        <f t="shared" si="62"/>
        <v>8.25</v>
      </c>
      <c r="L636" s="7">
        <f t="shared" si="60"/>
        <v>4.1815873305506773E-4</v>
      </c>
      <c r="M636" s="9"/>
      <c r="N636" s="2">
        <f t="shared" si="63"/>
        <v>19979.150000000001</v>
      </c>
      <c r="O636" s="2">
        <f t="shared" si="61"/>
        <v>-1.4943078158980883E-2</v>
      </c>
      <c r="P636" s="2"/>
    </row>
    <row r="637" spans="1:16" x14ac:dyDescent="0.3">
      <c r="A637" s="3">
        <v>45133</v>
      </c>
      <c r="B637" s="2">
        <v>19733.349999999999</v>
      </c>
      <c r="C637" s="2">
        <v>19825.599999999999</v>
      </c>
      <c r="D637" s="2">
        <v>19716.7</v>
      </c>
      <c r="E637" s="2">
        <v>19778.3</v>
      </c>
      <c r="F637" s="2">
        <v>244747425</v>
      </c>
      <c r="G637" s="2">
        <v>23023.86</v>
      </c>
      <c r="H637" s="2">
        <f t="shared" si="65"/>
        <v>19472.324999999997</v>
      </c>
      <c r="I637" s="2">
        <f t="shared" si="66"/>
        <v>18921.339000000004</v>
      </c>
      <c r="J637" s="2">
        <f t="shared" si="64"/>
        <v>18131.432999999994</v>
      </c>
      <c r="K637" s="2">
        <f t="shared" si="62"/>
        <v>97.700000000000728</v>
      </c>
      <c r="L637" s="7">
        <f t="shared" si="60"/>
        <v>4.951009331917831E-3</v>
      </c>
      <c r="M637" s="9"/>
      <c r="N637" s="2">
        <f t="shared" si="63"/>
        <v>19979.150000000001</v>
      </c>
      <c r="O637" s="2">
        <f t="shared" si="61"/>
        <v>-1.0052980231891828E-2</v>
      </c>
      <c r="P637" s="2"/>
    </row>
    <row r="638" spans="1:16" x14ac:dyDescent="0.3">
      <c r="A638" s="3">
        <v>45134</v>
      </c>
      <c r="B638" s="2">
        <v>19850.900000000001</v>
      </c>
      <c r="C638" s="2">
        <v>19867.55</v>
      </c>
      <c r="D638" s="2">
        <v>19603.55</v>
      </c>
      <c r="E638" s="2">
        <v>19659.900000000001</v>
      </c>
      <c r="F638" s="2">
        <v>334891351</v>
      </c>
      <c r="G638" s="2">
        <v>35019.129999999997</v>
      </c>
      <c r="H638" s="2">
        <f t="shared" si="65"/>
        <v>19520.37</v>
      </c>
      <c r="I638" s="2">
        <f t="shared" si="66"/>
        <v>18951.175000000007</v>
      </c>
      <c r="J638" s="2">
        <f t="shared" si="64"/>
        <v>18143.95299999999</v>
      </c>
      <c r="K638" s="2">
        <f t="shared" si="62"/>
        <v>-118.39999999999782</v>
      </c>
      <c r="L638" s="7">
        <f t="shared" si="60"/>
        <v>-5.9644650872251537E-3</v>
      </c>
      <c r="M638" s="9"/>
      <c r="N638" s="2">
        <f t="shared" si="63"/>
        <v>19979.150000000001</v>
      </c>
      <c r="O638" s="2">
        <f t="shared" si="61"/>
        <v>-1.5979158272499072E-2</v>
      </c>
      <c r="P638" s="2"/>
    </row>
    <row r="639" spans="1:16" x14ac:dyDescent="0.3">
      <c r="A639" s="3">
        <v>45135</v>
      </c>
      <c r="B639" s="2">
        <v>19659.75</v>
      </c>
      <c r="C639" s="2">
        <v>19695.900000000001</v>
      </c>
      <c r="D639" s="2">
        <v>19563.099999999999</v>
      </c>
      <c r="E639" s="2">
        <v>19646.05</v>
      </c>
      <c r="F639" s="2">
        <v>258671382</v>
      </c>
      <c r="G639" s="2">
        <v>22995.98</v>
      </c>
      <c r="H639" s="2">
        <f t="shared" si="65"/>
        <v>19554.760000000002</v>
      </c>
      <c r="I639" s="2">
        <f t="shared" si="66"/>
        <v>18980.738000000008</v>
      </c>
      <c r="J639" s="2">
        <f t="shared" si="64"/>
        <v>18155.593499999992</v>
      </c>
      <c r="K639" s="2">
        <f t="shared" si="62"/>
        <v>-13.850000000002183</v>
      </c>
      <c r="L639" s="7">
        <f t="shared" si="60"/>
        <v>-7.0448505194634634E-4</v>
      </c>
      <c r="M639" s="9"/>
      <c r="N639" s="2">
        <f t="shared" si="63"/>
        <v>19979.150000000001</v>
      </c>
      <c r="O639" s="2">
        <f t="shared" si="61"/>
        <v>-1.6672380957147959E-2</v>
      </c>
      <c r="P639" s="2"/>
    </row>
    <row r="640" spans="1:16" x14ac:dyDescent="0.3">
      <c r="A640" s="3">
        <v>45138</v>
      </c>
      <c r="B640" s="2">
        <v>19666.349999999999</v>
      </c>
      <c r="C640" s="2">
        <v>19772.75</v>
      </c>
      <c r="D640" s="2">
        <v>19597.599999999999</v>
      </c>
      <c r="E640" s="2">
        <v>19753.8</v>
      </c>
      <c r="F640" s="2">
        <v>295053318</v>
      </c>
      <c r="G640" s="2">
        <v>23075.38</v>
      </c>
      <c r="H640" s="2">
        <f t="shared" si="65"/>
        <v>19577.609999999997</v>
      </c>
      <c r="I640" s="2">
        <f t="shared" si="66"/>
        <v>19011.060000000009</v>
      </c>
      <c r="J640" s="2">
        <f t="shared" si="64"/>
        <v>18167.250499999987</v>
      </c>
      <c r="K640" s="2">
        <f t="shared" si="62"/>
        <v>107.75</v>
      </c>
      <c r="L640" s="7">
        <f t="shared" si="60"/>
        <v>5.4789017789269494E-3</v>
      </c>
      <c r="M640" s="9"/>
      <c r="N640" s="2">
        <f t="shared" si="63"/>
        <v>19979.150000000001</v>
      </c>
      <c r="O640" s="2">
        <f t="shared" si="61"/>
        <v>-1.1279258627118871E-2</v>
      </c>
      <c r="P640" s="2"/>
    </row>
    <row r="641" spans="1:16" x14ac:dyDescent="0.3">
      <c r="A641" s="3">
        <v>45139</v>
      </c>
      <c r="B641" s="2">
        <v>19784</v>
      </c>
      <c r="C641" s="2">
        <v>19795.599999999999</v>
      </c>
      <c r="D641" s="2">
        <v>19704.599999999999</v>
      </c>
      <c r="E641" s="2">
        <v>19733.55</v>
      </c>
      <c r="F641" s="2">
        <v>298048161</v>
      </c>
      <c r="G641" s="2">
        <v>24554.71</v>
      </c>
      <c r="H641" s="2">
        <f t="shared" si="65"/>
        <v>19599.172499999993</v>
      </c>
      <c r="I641" s="2">
        <f t="shared" si="66"/>
        <v>19042.068000000007</v>
      </c>
      <c r="J641" s="2">
        <f t="shared" si="64"/>
        <v>18179.814499999989</v>
      </c>
      <c r="K641" s="2">
        <f t="shared" si="62"/>
        <v>-20.25</v>
      </c>
      <c r="L641" s="7">
        <f t="shared" si="60"/>
        <v>-1.0235543873837445E-3</v>
      </c>
      <c r="M641" s="9"/>
      <c r="N641" s="2">
        <f t="shared" si="63"/>
        <v>19979.150000000001</v>
      </c>
      <c r="O641" s="2">
        <f t="shared" si="61"/>
        <v>-1.2292815259908552E-2</v>
      </c>
      <c r="P641" s="2"/>
    </row>
    <row r="642" spans="1:16" x14ac:dyDescent="0.3">
      <c r="A642" s="3">
        <v>45140</v>
      </c>
      <c r="B642" s="2">
        <v>19655.400000000001</v>
      </c>
      <c r="C642" s="2">
        <v>19678.25</v>
      </c>
      <c r="D642" s="2">
        <v>19423.55</v>
      </c>
      <c r="E642" s="2">
        <v>19526.55</v>
      </c>
      <c r="F642" s="2">
        <v>290666798</v>
      </c>
      <c r="G642" s="2">
        <v>23997.47</v>
      </c>
      <c r="H642" s="2">
        <f t="shared" si="65"/>
        <v>19616.399999999998</v>
      </c>
      <c r="I642" s="2">
        <f t="shared" si="66"/>
        <v>19070.451000000008</v>
      </c>
      <c r="J642" s="2">
        <f t="shared" si="64"/>
        <v>18193.564499999986</v>
      </c>
      <c r="K642" s="2">
        <f t="shared" si="62"/>
        <v>-207</v>
      </c>
      <c r="L642" s="7">
        <f t="shared" si="60"/>
        <v>-1.0531457004182057E-2</v>
      </c>
      <c r="M642" s="9"/>
      <c r="N642" s="2">
        <f t="shared" si="63"/>
        <v>19979.150000000001</v>
      </c>
      <c r="O642" s="2">
        <f t="shared" si="61"/>
        <v>-2.2653616395092002E-2</v>
      </c>
      <c r="P642" s="2"/>
    </row>
    <row r="643" spans="1:16" x14ac:dyDescent="0.3">
      <c r="A643" s="3">
        <v>45141</v>
      </c>
      <c r="B643" s="2">
        <v>19463.75</v>
      </c>
      <c r="C643" s="2">
        <v>19537.650000000001</v>
      </c>
      <c r="D643" s="2">
        <v>19296.45</v>
      </c>
      <c r="E643" s="2">
        <v>19381.650000000001</v>
      </c>
      <c r="F643" s="2">
        <v>315688612</v>
      </c>
      <c r="G643" s="2">
        <v>29899.38</v>
      </c>
      <c r="H643" s="2">
        <f t="shared" si="65"/>
        <v>19622.802499999998</v>
      </c>
      <c r="I643" s="2">
        <f t="shared" si="66"/>
        <v>19094.022000000008</v>
      </c>
      <c r="J643" s="2">
        <f t="shared" si="64"/>
        <v>18205.579249999988</v>
      </c>
      <c r="K643" s="2">
        <f t="shared" si="62"/>
        <v>-144.89999999999782</v>
      </c>
      <c r="L643" s="7">
        <f t="shared" ref="L643:L706" si="67">(K643/(B643))</f>
        <v>-7.4446085672081599E-3</v>
      </c>
      <c r="M643" s="9"/>
      <c r="N643" s="2">
        <f t="shared" si="63"/>
        <v>19979.150000000001</v>
      </c>
      <c r="O643" s="2">
        <f t="shared" ref="O643:O706" si="68">(E643/N643)-1</f>
        <v>-2.9906177189720329E-2</v>
      </c>
      <c r="P643" s="2"/>
    </row>
    <row r="644" spans="1:16" x14ac:dyDescent="0.3">
      <c r="A644" s="3">
        <v>45142</v>
      </c>
      <c r="B644" s="2">
        <v>19462.8</v>
      </c>
      <c r="C644" s="2">
        <v>19538.849999999999</v>
      </c>
      <c r="D644" s="2">
        <v>19436.45</v>
      </c>
      <c r="E644" s="2">
        <v>19517</v>
      </c>
      <c r="F644" s="2">
        <v>280799561</v>
      </c>
      <c r="G644" s="2">
        <v>28086.15</v>
      </c>
      <c r="H644" s="2">
        <f t="shared" si="65"/>
        <v>19617.02</v>
      </c>
      <c r="I644" s="2">
        <f t="shared" si="66"/>
        <v>19115.947000000007</v>
      </c>
      <c r="J644" s="2">
        <f t="shared" si="64"/>
        <v>18217.415749999986</v>
      </c>
      <c r="K644" s="2">
        <f t="shared" ref="K644:K707" si="69">E644-E643</f>
        <v>135.34999999999854</v>
      </c>
      <c r="L644" s="7">
        <f t="shared" si="67"/>
        <v>6.9542922909344258E-3</v>
      </c>
      <c r="M644" s="9"/>
      <c r="N644" s="2">
        <f t="shared" si="63"/>
        <v>19979.150000000001</v>
      </c>
      <c r="O644" s="2">
        <f t="shared" si="68"/>
        <v>-2.313161470833347E-2</v>
      </c>
      <c r="P644" s="2"/>
    </row>
    <row r="645" spans="1:16" x14ac:dyDescent="0.3">
      <c r="A645" s="3">
        <v>45145</v>
      </c>
      <c r="B645" s="2">
        <v>19576.849999999999</v>
      </c>
      <c r="C645" s="2">
        <v>19620.45</v>
      </c>
      <c r="D645" s="2">
        <v>19524.8</v>
      </c>
      <c r="E645" s="2">
        <v>19597.3</v>
      </c>
      <c r="F645" s="2">
        <v>216586074</v>
      </c>
      <c r="G645" s="2">
        <v>21655.87</v>
      </c>
      <c r="H645" s="2">
        <f t="shared" si="65"/>
        <v>19626.28</v>
      </c>
      <c r="I645" s="2">
        <f t="shared" si="66"/>
        <v>19139.864000000009</v>
      </c>
      <c r="J645" s="2">
        <f t="shared" si="64"/>
        <v>18229.072249999987</v>
      </c>
      <c r="K645" s="2">
        <f t="shared" si="69"/>
        <v>80.299999999999272</v>
      </c>
      <c r="L645" s="7">
        <f t="shared" si="67"/>
        <v>4.1017834840640487E-3</v>
      </c>
      <c r="M645" s="9"/>
      <c r="N645" s="2">
        <f t="shared" ref="N645:N708" si="70">MAX(N644,E645)</f>
        <v>19979.150000000001</v>
      </c>
      <c r="O645" s="2">
        <f t="shared" si="68"/>
        <v>-1.9112424702752762E-2</v>
      </c>
      <c r="P645" s="2"/>
    </row>
    <row r="646" spans="1:16" x14ac:dyDescent="0.3">
      <c r="A646" s="3">
        <v>45146</v>
      </c>
      <c r="B646" s="2">
        <v>19627.2</v>
      </c>
      <c r="C646" s="2">
        <v>19634.400000000001</v>
      </c>
      <c r="D646" s="2">
        <v>19533.099999999999</v>
      </c>
      <c r="E646" s="2">
        <v>19570.849999999999</v>
      </c>
      <c r="F646" s="2">
        <v>260294052</v>
      </c>
      <c r="G646" s="2">
        <v>25437.47</v>
      </c>
      <c r="H646" s="2">
        <f t="shared" si="65"/>
        <v>19638.349999999999</v>
      </c>
      <c r="I646" s="2">
        <f t="shared" si="66"/>
        <v>19161.823000000008</v>
      </c>
      <c r="J646" s="2">
        <f t="shared" si="64"/>
        <v>18240.499749999988</v>
      </c>
      <c r="K646" s="2">
        <f t="shared" si="69"/>
        <v>-26.450000000000728</v>
      </c>
      <c r="L646" s="7">
        <f t="shared" si="67"/>
        <v>-1.3476196299013984E-3</v>
      </c>
      <c r="M646" s="9"/>
      <c r="N646" s="2">
        <f t="shared" si="70"/>
        <v>19979.150000000001</v>
      </c>
      <c r="O646" s="2">
        <f t="shared" si="68"/>
        <v>-2.043630484780401E-2</v>
      </c>
      <c r="P646" s="2"/>
    </row>
    <row r="647" spans="1:16" x14ac:dyDescent="0.3">
      <c r="A647" s="3">
        <v>45147</v>
      </c>
      <c r="B647" s="2">
        <v>19578.8</v>
      </c>
      <c r="C647" s="2">
        <v>19645.5</v>
      </c>
      <c r="D647" s="2">
        <v>19467.5</v>
      </c>
      <c r="E647" s="2">
        <v>19632.55</v>
      </c>
      <c r="F647" s="2">
        <v>266495074</v>
      </c>
      <c r="G647" s="2">
        <v>23201.75</v>
      </c>
      <c r="H647" s="2">
        <f t="shared" si="65"/>
        <v>19644.922499999997</v>
      </c>
      <c r="I647" s="2">
        <f t="shared" si="66"/>
        <v>19181.267000000007</v>
      </c>
      <c r="J647" s="2">
        <f t="shared" si="64"/>
        <v>18250.919249999988</v>
      </c>
      <c r="K647" s="2">
        <f t="shared" si="69"/>
        <v>61.700000000000728</v>
      </c>
      <c r="L647" s="7">
        <f t="shared" si="67"/>
        <v>3.1513678059942761E-3</v>
      </c>
      <c r="M647" s="9"/>
      <c r="N647" s="2">
        <f t="shared" si="70"/>
        <v>19979.150000000001</v>
      </c>
      <c r="O647" s="2">
        <f t="shared" si="68"/>
        <v>-1.7348085379007672E-2</v>
      </c>
      <c r="P647" s="2"/>
    </row>
    <row r="648" spans="1:16" x14ac:dyDescent="0.3">
      <c r="A648" s="3">
        <v>45148</v>
      </c>
      <c r="B648" s="2">
        <v>19605.55</v>
      </c>
      <c r="C648" s="2">
        <v>19623.599999999999</v>
      </c>
      <c r="D648" s="2">
        <v>19495.400000000001</v>
      </c>
      <c r="E648" s="2">
        <v>19543.099999999999</v>
      </c>
      <c r="F648" s="2">
        <v>312193785</v>
      </c>
      <c r="G648" s="2">
        <v>29430.34</v>
      </c>
      <c r="H648" s="2">
        <f t="shared" si="65"/>
        <v>19657.334999999999</v>
      </c>
      <c r="I648" s="2">
        <f t="shared" si="66"/>
        <v>19201.241000000005</v>
      </c>
      <c r="J648" s="2">
        <f t="shared" si="64"/>
        <v>18261.520749999989</v>
      </c>
      <c r="K648" s="2">
        <f t="shared" si="69"/>
        <v>-89.450000000000728</v>
      </c>
      <c r="L648" s="7">
        <f t="shared" si="67"/>
        <v>-4.5624835824550052E-3</v>
      </c>
      <c r="M648" s="9"/>
      <c r="N648" s="2">
        <f t="shared" si="70"/>
        <v>19979.150000000001</v>
      </c>
      <c r="O648" s="2">
        <f t="shared" si="68"/>
        <v>-2.1825252826071284E-2</v>
      </c>
      <c r="P648" s="2"/>
    </row>
    <row r="649" spans="1:16" x14ac:dyDescent="0.3">
      <c r="A649" s="3">
        <v>45149</v>
      </c>
      <c r="B649" s="2">
        <v>19554.25</v>
      </c>
      <c r="C649" s="2">
        <v>19557.75</v>
      </c>
      <c r="D649" s="2">
        <v>19412.75</v>
      </c>
      <c r="E649" s="2">
        <v>19428.3</v>
      </c>
      <c r="F649" s="2">
        <v>235524048</v>
      </c>
      <c r="G649" s="2">
        <v>24521.24</v>
      </c>
      <c r="H649" s="2">
        <f t="shared" si="65"/>
        <v>19663.802499999998</v>
      </c>
      <c r="I649" s="2">
        <f t="shared" si="66"/>
        <v>19221.415000000008</v>
      </c>
      <c r="J649" s="2">
        <f t="shared" si="64"/>
        <v>18271.416499999988</v>
      </c>
      <c r="K649" s="2">
        <f t="shared" si="69"/>
        <v>-114.79999999999927</v>
      </c>
      <c r="L649" s="7">
        <f t="shared" si="67"/>
        <v>-5.8708464911719589E-3</v>
      </c>
      <c r="M649" s="9"/>
      <c r="N649" s="2">
        <f t="shared" si="70"/>
        <v>19979.150000000001</v>
      </c>
      <c r="O649" s="2">
        <f t="shared" si="68"/>
        <v>-2.7571243020849345E-2</v>
      </c>
      <c r="P649" s="2"/>
    </row>
    <row r="650" spans="1:16" x14ac:dyDescent="0.3">
      <c r="A650" s="3">
        <v>45152</v>
      </c>
      <c r="B650" s="2">
        <v>19383.95</v>
      </c>
      <c r="C650" s="2">
        <v>19465.849999999999</v>
      </c>
      <c r="D650" s="2">
        <v>19257.900000000001</v>
      </c>
      <c r="E650" s="2">
        <v>19434.55</v>
      </c>
      <c r="F650" s="2">
        <v>243850815</v>
      </c>
      <c r="G650" s="2">
        <v>22767.43</v>
      </c>
      <c r="H650" s="2">
        <f t="shared" si="65"/>
        <v>19656.992499999993</v>
      </c>
      <c r="I650" s="2">
        <f t="shared" si="66"/>
        <v>19240.22600000001</v>
      </c>
      <c r="J650" s="2">
        <f t="shared" si="64"/>
        <v>18280.676499999987</v>
      </c>
      <c r="K650" s="2">
        <f t="shared" si="69"/>
        <v>6.25</v>
      </c>
      <c r="L650" s="7">
        <f t="shared" si="67"/>
        <v>3.2243170251677287E-4</v>
      </c>
      <c r="M650" s="9"/>
      <c r="N650" s="2">
        <f t="shared" si="70"/>
        <v>19979.150000000001</v>
      </c>
      <c r="O650" s="2">
        <f t="shared" si="68"/>
        <v>-2.7258416899617943E-2</v>
      </c>
      <c r="P650" s="2"/>
    </row>
    <row r="651" spans="1:16" x14ac:dyDescent="0.3">
      <c r="A651" s="3">
        <v>45154</v>
      </c>
      <c r="B651" s="2">
        <v>19369</v>
      </c>
      <c r="C651" s="2">
        <v>19482.75</v>
      </c>
      <c r="D651" s="2">
        <v>19317.2</v>
      </c>
      <c r="E651" s="2">
        <v>19465</v>
      </c>
      <c r="F651" s="2">
        <v>226627230</v>
      </c>
      <c r="G651" s="2">
        <v>21484.66</v>
      </c>
      <c r="H651" s="2">
        <f t="shared" si="65"/>
        <v>19643.147499999992</v>
      </c>
      <c r="I651" s="2">
        <f t="shared" si="66"/>
        <v>19258.235000000008</v>
      </c>
      <c r="J651" s="2">
        <f t="shared" ref="J651:J714" si="71">AVERAGE(E451:E650)</f>
        <v>18289.195499999987</v>
      </c>
      <c r="K651" s="2">
        <f t="shared" si="69"/>
        <v>30.450000000000728</v>
      </c>
      <c r="L651" s="7">
        <f t="shared" si="67"/>
        <v>1.572099747018469E-3</v>
      </c>
      <c r="M651" s="9"/>
      <c r="N651" s="2">
        <f t="shared" si="70"/>
        <v>19979.150000000001</v>
      </c>
      <c r="O651" s="2">
        <f t="shared" si="68"/>
        <v>-2.5734328036978615E-2</v>
      </c>
      <c r="P651" s="2"/>
    </row>
    <row r="652" spans="1:16" x14ac:dyDescent="0.3">
      <c r="A652" s="3">
        <v>45155</v>
      </c>
      <c r="B652" s="2">
        <v>19450.55</v>
      </c>
      <c r="C652" s="2">
        <v>19461.55</v>
      </c>
      <c r="D652" s="2">
        <v>19326.25</v>
      </c>
      <c r="E652" s="2">
        <v>19365.25</v>
      </c>
      <c r="F652" s="2">
        <v>268663456</v>
      </c>
      <c r="G652" s="2">
        <v>26505.65</v>
      </c>
      <c r="H652" s="2">
        <f t="shared" si="65"/>
        <v>19628.934999999994</v>
      </c>
      <c r="I652" s="2">
        <f t="shared" si="66"/>
        <v>19275.658000000007</v>
      </c>
      <c r="J652" s="2">
        <f t="shared" si="71"/>
        <v>18298.238749999982</v>
      </c>
      <c r="K652" s="2">
        <f t="shared" si="69"/>
        <v>-99.75</v>
      </c>
      <c r="L652" s="7">
        <f t="shared" si="67"/>
        <v>-5.1283896856387096E-3</v>
      </c>
      <c r="M652" s="9"/>
      <c r="N652" s="2">
        <f t="shared" si="70"/>
        <v>19979.150000000001</v>
      </c>
      <c r="O652" s="2">
        <f t="shared" si="68"/>
        <v>-3.0727032931831544E-2</v>
      </c>
      <c r="P652" s="2"/>
    </row>
    <row r="653" spans="1:16" x14ac:dyDescent="0.3">
      <c r="A653" s="3">
        <v>45156</v>
      </c>
      <c r="B653" s="2">
        <v>19301.75</v>
      </c>
      <c r="C653" s="2">
        <v>19373.8</v>
      </c>
      <c r="D653" s="2">
        <v>19253.599999999999</v>
      </c>
      <c r="E653" s="2">
        <v>19310.150000000001</v>
      </c>
      <c r="F653" s="2">
        <v>256142364</v>
      </c>
      <c r="G653" s="2">
        <v>25641.41</v>
      </c>
      <c r="H653" s="2">
        <f t="shared" si="65"/>
        <v>19605.539999999994</v>
      </c>
      <c r="I653" s="2">
        <f t="shared" si="66"/>
        <v>19290.983000000007</v>
      </c>
      <c r="J653" s="2">
        <f t="shared" si="71"/>
        <v>18306.380249999984</v>
      </c>
      <c r="K653" s="2">
        <f t="shared" si="69"/>
        <v>-55.099999999998545</v>
      </c>
      <c r="L653" s="7">
        <f t="shared" si="67"/>
        <v>-2.8546634372530236E-3</v>
      </c>
      <c r="M653" s="9"/>
      <c r="N653" s="2">
        <f t="shared" si="70"/>
        <v>19979.150000000001</v>
      </c>
      <c r="O653" s="2">
        <f t="shared" si="68"/>
        <v>-3.3484908016607307E-2</v>
      </c>
      <c r="P653" s="2"/>
    </row>
    <row r="654" spans="1:16" x14ac:dyDescent="0.3">
      <c r="A654" s="3">
        <v>45159</v>
      </c>
      <c r="B654" s="2">
        <v>19320.650000000001</v>
      </c>
      <c r="C654" s="2">
        <v>19425.95</v>
      </c>
      <c r="D654" s="2">
        <v>19296.3</v>
      </c>
      <c r="E654" s="2">
        <v>19393.599999999999</v>
      </c>
      <c r="F654" s="2">
        <v>262589133</v>
      </c>
      <c r="G654" s="2">
        <v>20738.75</v>
      </c>
      <c r="H654" s="2">
        <f t="shared" si="65"/>
        <v>19572.089999999997</v>
      </c>
      <c r="I654" s="2">
        <f t="shared" si="66"/>
        <v>19302.65800000001</v>
      </c>
      <c r="J654" s="2">
        <f t="shared" si="71"/>
        <v>18313.996999999985</v>
      </c>
      <c r="K654" s="2">
        <f t="shared" si="69"/>
        <v>83.44999999999709</v>
      </c>
      <c r="L654" s="7">
        <f t="shared" si="67"/>
        <v>4.3192128629211271E-3</v>
      </c>
      <c r="M654" s="9"/>
      <c r="N654" s="2">
        <f t="shared" si="70"/>
        <v>19979.150000000001</v>
      </c>
      <c r="O654" s="2">
        <f t="shared" si="68"/>
        <v>-2.9308053645926035E-2</v>
      </c>
      <c r="P654" s="2"/>
    </row>
    <row r="655" spans="1:16" x14ac:dyDescent="0.3">
      <c r="A655" s="3">
        <v>45160</v>
      </c>
      <c r="B655" s="2">
        <v>19417.099999999999</v>
      </c>
      <c r="C655" s="2">
        <v>19443.5</v>
      </c>
      <c r="D655" s="2">
        <v>19381.3</v>
      </c>
      <c r="E655" s="2">
        <v>19396.45</v>
      </c>
      <c r="F655" s="2">
        <v>208704354</v>
      </c>
      <c r="G655" s="2">
        <v>20226.48</v>
      </c>
      <c r="H655" s="2">
        <f t="shared" si="65"/>
        <v>19554.519999999997</v>
      </c>
      <c r="I655" s="2">
        <f t="shared" si="66"/>
        <v>19317.839000000007</v>
      </c>
      <c r="J655" s="2">
        <f t="shared" si="71"/>
        <v>18320.903999999984</v>
      </c>
      <c r="K655" s="2">
        <f t="shared" si="69"/>
        <v>2.8500000000021828</v>
      </c>
      <c r="L655" s="7">
        <f t="shared" si="67"/>
        <v>1.4677784015131934E-4</v>
      </c>
      <c r="M655" s="9"/>
      <c r="N655" s="2">
        <f t="shared" si="70"/>
        <v>19979.150000000001</v>
      </c>
      <c r="O655" s="2">
        <f t="shared" si="68"/>
        <v>-2.9165404934644368E-2</v>
      </c>
      <c r="P655" s="2"/>
    </row>
    <row r="656" spans="1:16" x14ac:dyDescent="0.3">
      <c r="A656" s="3">
        <v>45161</v>
      </c>
      <c r="B656" s="2">
        <v>19439.2</v>
      </c>
      <c r="C656" s="2">
        <v>19472.05</v>
      </c>
      <c r="D656" s="2">
        <v>19366.599999999999</v>
      </c>
      <c r="E656" s="2">
        <v>19444</v>
      </c>
      <c r="F656" s="2">
        <v>225214991</v>
      </c>
      <c r="G656" s="2">
        <v>20167.16</v>
      </c>
      <c r="H656" s="2">
        <f t="shared" si="65"/>
        <v>19540.724999999999</v>
      </c>
      <c r="I656" s="2">
        <f t="shared" si="66"/>
        <v>19334.500000000007</v>
      </c>
      <c r="J656" s="2">
        <f t="shared" si="71"/>
        <v>18327.159249999982</v>
      </c>
      <c r="K656" s="2">
        <f t="shared" si="69"/>
        <v>47.549999999999272</v>
      </c>
      <c r="L656" s="7">
        <f t="shared" si="67"/>
        <v>2.4460883163915834E-3</v>
      </c>
      <c r="M656" s="9"/>
      <c r="N656" s="2">
        <f t="shared" si="70"/>
        <v>19979.150000000001</v>
      </c>
      <c r="O656" s="2">
        <f t="shared" si="68"/>
        <v>-2.6785423804316033E-2</v>
      </c>
      <c r="P656" s="2"/>
    </row>
    <row r="657" spans="1:16" x14ac:dyDescent="0.3">
      <c r="A657" s="3">
        <v>45162</v>
      </c>
      <c r="B657" s="2">
        <v>19535.150000000001</v>
      </c>
      <c r="C657" s="2">
        <v>19584.45</v>
      </c>
      <c r="D657" s="2">
        <v>19369</v>
      </c>
      <c r="E657" s="2">
        <v>19386.7</v>
      </c>
      <c r="F657" s="2">
        <v>268256859</v>
      </c>
      <c r="G657" s="2">
        <v>24338.240000000002</v>
      </c>
      <c r="H657" s="2">
        <f t="shared" si="65"/>
        <v>19528.895</v>
      </c>
      <c r="I657" s="2">
        <f t="shared" si="66"/>
        <v>19351.350000000009</v>
      </c>
      <c r="J657" s="2">
        <f t="shared" si="71"/>
        <v>18333.964999999982</v>
      </c>
      <c r="K657" s="2">
        <f t="shared" si="69"/>
        <v>-57.299999999999272</v>
      </c>
      <c r="L657" s="7">
        <f t="shared" si="67"/>
        <v>-2.9331743037549888E-3</v>
      </c>
      <c r="M657" s="9"/>
      <c r="N657" s="2">
        <f t="shared" si="70"/>
        <v>19979.150000000001</v>
      </c>
      <c r="O657" s="2">
        <f t="shared" si="68"/>
        <v>-2.9653413683765395E-2</v>
      </c>
      <c r="P657" s="2"/>
    </row>
    <row r="658" spans="1:16" x14ac:dyDescent="0.3">
      <c r="A658" s="3">
        <v>45163</v>
      </c>
      <c r="B658" s="2">
        <v>19297.400000000001</v>
      </c>
      <c r="C658" s="2">
        <v>19339.55</v>
      </c>
      <c r="D658" s="2">
        <v>19229.7</v>
      </c>
      <c r="E658" s="2">
        <v>19265.8</v>
      </c>
      <c r="F658" s="2">
        <v>466518217</v>
      </c>
      <c r="G658" s="2">
        <v>24998.12</v>
      </c>
      <c r="H658" s="2">
        <f t="shared" si="65"/>
        <v>19509.314999999999</v>
      </c>
      <c r="I658" s="2">
        <f t="shared" si="66"/>
        <v>19364.76100000001</v>
      </c>
      <c r="J658" s="2">
        <f t="shared" si="71"/>
        <v>18340.634999999987</v>
      </c>
      <c r="K658" s="2">
        <f t="shared" si="69"/>
        <v>-120.90000000000146</v>
      </c>
      <c r="L658" s="7">
        <f t="shared" si="67"/>
        <v>-6.2650927067895903E-3</v>
      </c>
      <c r="M658" s="9"/>
      <c r="N658" s="2">
        <f t="shared" si="70"/>
        <v>19979.150000000001</v>
      </c>
      <c r="O658" s="2">
        <f t="shared" si="68"/>
        <v>-3.5704722172865355E-2</v>
      </c>
      <c r="P658" s="2"/>
    </row>
    <row r="659" spans="1:16" x14ac:dyDescent="0.3">
      <c r="A659" s="3">
        <v>45166</v>
      </c>
      <c r="B659" s="2">
        <v>19298.349999999999</v>
      </c>
      <c r="C659" s="2">
        <v>19366.849999999999</v>
      </c>
      <c r="D659" s="2">
        <v>19249.7</v>
      </c>
      <c r="E659" s="2">
        <v>19306.05</v>
      </c>
      <c r="F659" s="2">
        <v>248178769</v>
      </c>
      <c r="G659" s="2">
        <v>18237.22</v>
      </c>
      <c r="H659" s="2">
        <f t="shared" si="65"/>
        <v>19489.61</v>
      </c>
      <c r="I659" s="2">
        <f t="shared" si="66"/>
        <v>19374.95900000001</v>
      </c>
      <c r="J659" s="2">
        <f t="shared" si="71"/>
        <v>18346.378249999987</v>
      </c>
      <c r="K659" s="2">
        <f t="shared" si="69"/>
        <v>40.25</v>
      </c>
      <c r="L659" s="7">
        <f t="shared" si="67"/>
        <v>2.0856705366002794E-3</v>
      </c>
      <c r="M659" s="9"/>
      <c r="N659" s="2">
        <f t="shared" si="70"/>
        <v>19979.150000000001</v>
      </c>
      <c r="O659" s="2">
        <f t="shared" si="68"/>
        <v>-3.3690121952135166E-2</v>
      </c>
      <c r="P659" s="2"/>
    </row>
    <row r="660" spans="1:16" x14ac:dyDescent="0.3">
      <c r="A660" s="3">
        <v>45167</v>
      </c>
      <c r="B660" s="2">
        <v>19374.849999999999</v>
      </c>
      <c r="C660" s="2">
        <v>19377.900000000001</v>
      </c>
      <c r="D660" s="2">
        <v>19309.099999999999</v>
      </c>
      <c r="E660" s="2">
        <v>19342.650000000001</v>
      </c>
      <c r="F660" s="2">
        <v>307388116</v>
      </c>
      <c r="G660" s="2">
        <v>22501.119999999999</v>
      </c>
      <c r="H660" s="2">
        <f t="shared" si="65"/>
        <v>19472.609999999997</v>
      </c>
      <c r="I660" s="2">
        <f t="shared" si="66"/>
        <v>19387.318000000007</v>
      </c>
      <c r="J660" s="2">
        <f t="shared" si="71"/>
        <v>18351.894499999984</v>
      </c>
      <c r="K660" s="2">
        <f t="shared" si="69"/>
        <v>36.600000000002183</v>
      </c>
      <c r="L660" s="7">
        <f t="shared" si="67"/>
        <v>1.8890468829437226E-3</v>
      </c>
      <c r="M660" s="9"/>
      <c r="N660" s="2">
        <f t="shared" si="70"/>
        <v>19979.150000000001</v>
      </c>
      <c r="O660" s="2">
        <f t="shared" si="68"/>
        <v>-3.1858212186204105E-2</v>
      </c>
      <c r="P660" s="2"/>
    </row>
    <row r="661" spans="1:16" x14ac:dyDescent="0.3">
      <c r="A661" s="3">
        <v>45168</v>
      </c>
      <c r="B661" s="2">
        <v>19433.45</v>
      </c>
      <c r="C661" s="2">
        <v>19452.8</v>
      </c>
      <c r="D661" s="2">
        <v>19334.75</v>
      </c>
      <c r="E661" s="2">
        <v>19347.45</v>
      </c>
      <c r="F661" s="2">
        <v>233004568</v>
      </c>
      <c r="G661" s="2">
        <v>19877.490000000002</v>
      </c>
      <c r="H661" s="2">
        <f t="shared" si="65"/>
        <v>19452.052499999998</v>
      </c>
      <c r="I661" s="2">
        <f t="shared" si="66"/>
        <v>19397.651000000009</v>
      </c>
      <c r="J661" s="2">
        <f t="shared" si="71"/>
        <v>18357.822749999985</v>
      </c>
      <c r="K661" s="2">
        <f t="shared" si="69"/>
        <v>4.7999999999992724</v>
      </c>
      <c r="L661" s="7">
        <f t="shared" si="67"/>
        <v>2.4699680190595454E-4</v>
      </c>
      <c r="M661" s="9"/>
      <c r="N661" s="2">
        <f t="shared" si="70"/>
        <v>19979.150000000001</v>
      </c>
      <c r="O661" s="2">
        <f t="shared" si="68"/>
        <v>-3.1617961725098453E-2</v>
      </c>
      <c r="P661" s="2"/>
    </row>
    <row r="662" spans="1:16" x14ac:dyDescent="0.3">
      <c r="A662" s="3">
        <v>45169</v>
      </c>
      <c r="B662" s="2">
        <v>19375.55</v>
      </c>
      <c r="C662" s="2">
        <v>19388.2</v>
      </c>
      <c r="D662" s="2">
        <v>19223.650000000001</v>
      </c>
      <c r="E662" s="2">
        <v>19253.8</v>
      </c>
      <c r="F662" s="2">
        <v>562557215</v>
      </c>
      <c r="G662" s="2">
        <v>45699.54</v>
      </c>
      <c r="H662" s="2">
        <f t="shared" si="65"/>
        <v>19432.747500000001</v>
      </c>
      <c r="I662" s="2">
        <f t="shared" si="66"/>
        <v>19409.491000000005</v>
      </c>
      <c r="J662" s="2">
        <f t="shared" si="71"/>
        <v>18364.418999999983</v>
      </c>
      <c r="K662" s="2">
        <f t="shared" si="69"/>
        <v>-93.650000000001455</v>
      </c>
      <c r="L662" s="7">
        <f t="shared" si="67"/>
        <v>-4.833411180585917E-3</v>
      </c>
      <c r="M662" s="9"/>
      <c r="N662" s="2">
        <f t="shared" si="70"/>
        <v>19979.150000000001</v>
      </c>
      <c r="O662" s="2">
        <f t="shared" si="68"/>
        <v>-3.6305348325629594E-2</v>
      </c>
      <c r="P662" s="2"/>
    </row>
    <row r="663" spans="1:16" x14ac:dyDescent="0.3">
      <c r="A663" s="3">
        <v>45170</v>
      </c>
      <c r="B663" s="2">
        <v>19258.150000000001</v>
      </c>
      <c r="C663" s="2">
        <v>19458.55</v>
      </c>
      <c r="D663" s="2">
        <v>19255.7</v>
      </c>
      <c r="E663" s="2">
        <v>19435.3</v>
      </c>
      <c r="F663" s="2">
        <v>372502191</v>
      </c>
      <c r="G663" s="2">
        <v>25962.38</v>
      </c>
      <c r="H663" s="2">
        <f t="shared" ref="H663:H726" si="72">AVERAGE(E643:E662)</f>
        <v>19419.11</v>
      </c>
      <c r="I663" s="2">
        <f t="shared" si="66"/>
        <v>19418.233000000004</v>
      </c>
      <c r="J663" s="2">
        <f t="shared" si="71"/>
        <v>18368.939499999989</v>
      </c>
      <c r="K663" s="2">
        <f t="shared" si="69"/>
        <v>181.5</v>
      </c>
      <c r="L663" s="7">
        <f t="shared" si="67"/>
        <v>9.4245812811718666E-3</v>
      </c>
      <c r="M663" s="9"/>
      <c r="N663" s="2">
        <f t="shared" si="70"/>
        <v>19979.150000000001</v>
      </c>
      <c r="O663" s="2">
        <f t="shared" si="68"/>
        <v>-2.7220877765070206E-2</v>
      </c>
      <c r="P663" s="2"/>
    </row>
    <row r="664" spans="1:16" x14ac:dyDescent="0.3">
      <c r="A664" s="3">
        <v>45173</v>
      </c>
      <c r="B664" s="2">
        <v>19525.05</v>
      </c>
      <c r="C664" s="2">
        <v>19545.150000000001</v>
      </c>
      <c r="D664" s="2">
        <v>19432.849999999999</v>
      </c>
      <c r="E664" s="2">
        <v>19528.8</v>
      </c>
      <c r="F664" s="2">
        <v>396071122</v>
      </c>
      <c r="G664" s="2">
        <v>24822.79</v>
      </c>
      <c r="H664" s="2">
        <f t="shared" si="72"/>
        <v>19421.7925</v>
      </c>
      <c r="I664" s="2">
        <f t="shared" si="66"/>
        <v>19429.802000000007</v>
      </c>
      <c r="J664" s="2">
        <f t="shared" si="71"/>
        <v>18374.470249999984</v>
      </c>
      <c r="K664" s="2">
        <f t="shared" si="69"/>
        <v>93.5</v>
      </c>
      <c r="L664" s="7">
        <f t="shared" si="67"/>
        <v>4.7887201313184862E-3</v>
      </c>
      <c r="M664" s="9"/>
      <c r="N664" s="2">
        <f t="shared" si="70"/>
        <v>19979.150000000001</v>
      </c>
      <c r="O664" s="2">
        <f t="shared" si="68"/>
        <v>-2.254099899144868E-2</v>
      </c>
      <c r="P664" s="2"/>
    </row>
    <row r="665" spans="1:16" x14ac:dyDescent="0.3">
      <c r="A665" s="3">
        <v>45174</v>
      </c>
      <c r="B665" s="2">
        <v>19564.650000000001</v>
      </c>
      <c r="C665" s="2">
        <v>19587.05</v>
      </c>
      <c r="D665" s="2">
        <v>19525.75</v>
      </c>
      <c r="E665" s="2">
        <v>19574.900000000001</v>
      </c>
      <c r="F665" s="2">
        <v>303958622</v>
      </c>
      <c r="G665" s="2">
        <v>24029.89</v>
      </c>
      <c r="H665" s="2">
        <f t="shared" si="72"/>
        <v>19422.3825</v>
      </c>
      <c r="I665" s="2">
        <f t="shared" si="66"/>
        <v>19444.953000000005</v>
      </c>
      <c r="J665" s="2">
        <f t="shared" si="71"/>
        <v>18380.097249999984</v>
      </c>
      <c r="K665" s="2">
        <f t="shared" si="69"/>
        <v>46.100000000002183</v>
      </c>
      <c r="L665" s="7">
        <f t="shared" si="67"/>
        <v>2.3562905546484184E-3</v>
      </c>
      <c r="M665" s="9"/>
      <c r="N665" s="2">
        <f t="shared" si="70"/>
        <v>19979.150000000001</v>
      </c>
      <c r="O665" s="2">
        <f t="shared" si="68"/>
        <v>-2.0233593521245874E-2</v>
      </c>
      <c r="P665" s="2"/>
    </row>
    <row r="666" spans="1:16" x14ac:dyDescent="0.3">
      <c r="A666" s="3">
        <v>45175</v>
      </c>
      <c r="B666" s="2">
        <v>19581.2</v>
      </c>
      <c r="C666" s="2">
        <v>19636.45</v>
      </c>
      <c r="D666" s="2">
        <v>19491.5</v>
      </c>
      <c r="E666" s="2">
        <v>19611.05</v>
      </c>
      <c r="F666" s="2">
        <v>512974083</v>
      </c>
      <c r="G666" s="2">
        <v>32500.52</v>
      </c>
      <c r="H666" s="2">
        <f t="shared" si="72"/>
        <v>19421.262500000001</v>
      </c>
      <c r="I666" s="2">
        <f t="shared" si="66"/>
        <v>19463.141000000007</v>
      </c>
      <c r="J666" s="2">
        <f t="shared" si="71"/>
        <v>18385.923499999983</v>
      </c>
      <c r="K666" s="2">
        <f t="shared" si="69"/>
        <v>36.149999999997817</v>
      </c>
      <c r="L666" s="7">
        <f t="shared" si="67"/>
        <v>1.8461585602515583E-3</v>
      </c>
      <c r="M666" s="9"/>
      <c r="N666" s="2">
        <f t="shared" si="70"/>
        <v>19979.150000000001</v>
      </c>
      <c r="O666" s="2">
        <f t="shared" si="68"/>
        <v>-1.8424207236043655E-2</v>
      </c>
      <c r="P666" s="2"/>
    </row>
    <row r="667" spans="1:16" x14ac:dyDescent="0.3">
      <c r="A667" s="3">
        <v>45176</v>
      </c>
      <c r="B667" s="2">
        <v>19598.650000000001</v>
      </c>
      <c r="C667" s="2">
        <v>19737</v>
      </c>
      <c r="D667" s="2">
        <v>19550.05</v>
      </c>
      <c r="E667" s="2">
        <v>19727.05</v>
      </c>
      <c r="F667" s="2">
        <v>304929822</v>
      </c>
      <c r="G667" s="2">
        <v>23591</v>
      </c>
      <c r="H667" s="2">
        <f t="shared" si="72"/>
        <v>19423.272499999999</v>
      </c>
      <c r="I667" s="2">
        <f t="shared" si="66"/>
        <v>19481.538000000004</v>
      </c>
      <c r="J667" s="2">
        <f t="shared" si="71"/>
        <v>18392.259249999981</v>
      </c>
      <c r="K667" s="2">
        <f t="shared" si="69"/>
        <v>116</v>
      </c>
      <c r="L667" s="7">
        <f t="shared" si="67"/>
        <v>5.918775017667033E-3</v>
      </c>
      <c r="M667" s="9"/>
      <c r="N667" s="2">
        <f t="shared" si="70"/>
        <v>19979.150000000001</v>
      </c>
      <c r="O667" s="2">
        <f t="shared" si="68"/>
        <v>-1.2618154425989236E-2</v>
      </c>
      <c r="P667" s="2"/>
    </row>
    <row r="668" spans="1:16" x14ac:dyDescent="0.3">
      <c r="A668" s="3">
        <v>45177</v>
      </c>
      <c r="B668" s="2">
        <v>19774.8</v>
      </c>
      <c r="C668" s="2">
        <v>19867.150000000001</v>
      </c>
      <c r="D668" s="2">
        <v>19727.05</v>
      </c>
      <c r="E668" s="2">
        <v>19819.95</v>
      </c>
      <c r="F668" s="2">
        <v>288093693</v>
      </c>
      <c r="G668" s="2">
        <v>23530.84</v>
      </c>
      <c r="H668" s="2">
        <f t="shared" si="72"/>
        <v>19427.997499999998</v>
      </c>
      <c r="I668" s="2">
        <f t="shared" si="66"/>
        <v>19499.731000000007</v>
      </c>
      <c r="J668" s="2">
        <f t="shared" si="71"/>
        <v>18399.356249999983</v>
      </c>
      <c r="K668" s="2">
        <f t="shared" si="69"/>
        <v>92.900000000001455</v>
      </c>
      <c r="L668" s="7">
        <f t="shared" si="67"/>
        <v>4.6978983352550449E-3</v>
      </c>
      <c r="M668" s="9"/>
      <c r="N668" s="2">
        <f t="shared" si="70"/>
        <v>19979.150000000001</v>
      </c>
      <c r="O668" s="2">
        <f t="shared" si="68"/>
        <v>-7.9683069600058332E-3</v>
      </c>
      <c r="P668" s="2"/>
    </row>
    <row r="669" spans="1:16" x14ac:dyDescent="0.3">
      <c r="A669" s="3">
        <v>45180</v>
      </c>
      <c r="B669" s="2">
        <v>19890</v>
      </c>
      <c r="C669" s="2">
        <v>20008.150000000001</v>
      </c>
      <c r="D669" s="2">
        <v>19865.349999999999</v>
      </c>
      <c r="E669" s="2">
        <v>19996.349999999999</v>
      </c>
      <c r="F669" s="2">
        <v>248763130</v>
      </c>
      <c r="G669" s="2">
        <v>21924.34</v>
      </c>
      <c r="H669" s="2">
        <f t="shared" si="72"/>
        <v>19441.84</v>
      </c>
      <c r="I669" s="2">
        <f t="shared" si="66"/>
        <v>19516.688000000006</v>
      </c>
      <c r="J669" s="2">
        <f t="shared" si="71"/>
        <v>18407.656249999982</v>
      </c>
      <c r="K669" s="2">
        <f t="shared" si="69"/>
        <v>176.39999999999782</v>
      </c>
      <c r="L669" s="7">
        <f t="shared" si="67"/>
        <v>8.8687782805428762E-3</v>
      </c>
      <c r="M669" s="9"/>
      <c r="N669" s="2">
        <f t="shared" si="70"/>
        <v>19996.349999999999</v>
      </c>
      <c r="O669" s="2">
        <f t="shared" si="68"/>
        <v>0</v>
      </c>
      <c r="P669" s="2"/>
    </row>
    <row r="670" spans="1:16" x14ac:dyDescent="0.3">
      <c r="A670" s="3">
        <v>45181</v>
      </c>
      <c r="B670" s="2">
        <v>20110.150000000001</v>
      </c>
      <c r="C670" s="2">
        <v>20110.349999999999</v>
      </c>
      <c r="D670" s="2">
        <v>19914.650000000001</v>
      </c>
      <c r="E670" s="2">
        <v>19993.2</v>
      </c>
      <c r="F670" s="2">
        <v>328064239</v>
      </c>
      <c r="G670" s="2">
        <v>30110.799999999999</v>
      </c>
      <c r="H670" s="2">
        <f t="shared" si="72"/>
        <v>19470.2425</v>
      </c>
      <c r="I670" s="2">
        <f t="shared" si="66"/>
        <v>19532.834000000003</v>
      </c>
      <c r="J670" s="2">
        <f t="shared" si="71"/>
        <v>18416.416999999983</v>
      </c>
      <c r="K670" s="2">
        <f t="shared" si="69"/>
        <v>-3.1499999999978172</v>
      </c>
      <c r="L670" s="7">
        <f t="shared" si="67"/>
        <v>-1.5663731996020999E-4</v>
      </c>
      <c r="M670" s="9"/>
      <c r="N670" s="2">
        <f t="shared" si="70"/>
        <v>19996.349999999999</v>
      </c>
      <c r="O670" s="2">
        <f t="shared" si="68"/>
        <v>-1.5752874899654934E-4</v>
      </c>
      <c r="P670" s="2"/>
    </row>
    <row r="671" spans="1:16" x14ac:dyDescent="0.3">
      <c r="A671" s="3">
        <v>45182</v>
      </c>
      <c r="B671" s="2">
        <v>19989.5</v>
      </c>
      <c r="C671" s="2">
        <v>20096.900000000001</v>
      </c>
      <c r="D671" s="2">
        <v>19944.099999999999</v>
      </c>
      <c r="E671" s="2">
        <v>20070</v>
      </c>
      <c r="F671" s="2">
        <v>251394599</v>
      </c>
      <c r="G671" s="2">
        <v>24332.36</v>
      </c>
      <c r="H671" s="2">
        <f t="shared" si="72"/>
        <v>19498.174999999996</v>
      </c>
      <c r="I671" s="2">
        <f t="shared" si="66"/>
        <v>19546.247000000003</v>
      </c>
      <c r="J671" s="2">
        <f t="shared" si="71"/>
        <v>18425.046749999983</v>
      </c>
      <c r="K671" s="2">
        <f t="shared" si="69"/>
        <v>76.799999999999272</v>
      </c>
      <c r="L671" s="7">
        <f t="shared" si="67"/>
        <v>3.8420170589559153E-3</v>
      </c>
      <c r="M671" s="9"/>
      <c r="N671" s="2">
        <f t="shared" si="70"/>
        <v>20070</v>
      </c>
      <c r="O671" s="2">
        <f t="shared" si="68"/>
        <v>0</v>
      </c>
      <c r="P671" s="2"/>
    </row>
    <row r="672" spans="1:16" x14ac:dyDescent="0.3">
      <c r="A672" s="3">
        <v>45183</v>
      </c>
      <c r="B672" s="2">
        <v>20127.95</v>
      </c>
      <c r="C672" s="2">
        <v>20167.650000000001</v>
      </c>
      <c r="D672" s="2">
        <v>20043.45</v>
      </c>
      <c r="E672" s="2">
        <v>20103.099999999999</v>
      </c>
      <c r="F672" s="2">
        <v>275111881</v>
      </c>
      <c r="G672" s="2">
        <v>21902.65</v>
      </c>
      <c r="H672" s="2">
        <f t="shared" si="72"/>
        <v>19528.424999999996</v>
      </c>
      <c r="I672" s="2">
        <f t="shared" si="66"/>
        <v>19559.867000000002</v>
      </c>
      <c r="J672" s="2">
        <f t="shared" si="71"/>
        <v>18432.976249999985</v>
      </c>
      <c r="K672" s="2">
        <f t="shared" si="69"/>
        <v>33.099999999998545</v>
      </c>
      <c r="L672" s="7">
        <f t="shared" si="67"/>
        <v>1.644479442764839E-3</v>
      </c>
      <c r="M672" s="9"/>
      <c r="N672" s="2">
        <f t="shared" si="70"/>
        <v>20103.099999999999</v>
      </c>
      <c r="O672" s="2">
        <f t="shared" si="68"/>
        <v>0</v>
      </c>
      <c r="P672" s="2"/>
    </row>
    <row r="673" spans="1:16" x14ac:dyDescent="0.3">
      <c r="A673" s="3">
        <v>45184</v>
      </c>
      <c r="B673" s="2">
        <v>20156.45</v>
      </c>
      <c r="C673" s="2">
        <v>20222.45</v>
      </c>
      <c r="D673" s="2">
        <v>20129.7</v>
      </c>
      <c r="E673" s="2">
        <v>20192.349999999999</v>
      </c>
      <c r="F673" s="2">
        <v>438185104</v>
      </c>
      <c r="G673" s="2">
        <v>42681.35</v>
      </c>
      <c r="H673" s="2">
        <f t="shared" si="72"/>
        <v>19565.317499999997</v>
      </c>
      <c r="I673" s="2">
        <f t="shared" si="66"/>
        <v>19573.959000000003</v>
      </c>
      <c r="J673" s="2">
        <f t="shared" si="71"/>
        <v>18440.927999999982</v>
      </c>
      <c r="K673" s="2">
        <f t="shared" si="69"/>
        <v>89.25</v>
      </c>
      <c r="L673" s="7">
        <f t="shared" si="67"/>
        <v>4.427863041358969E-3</v>
      </c>
      <c r="M673" s="9"/>
      <c r="N673" s="2">
        <f t="shared" si="70"/>
        <v>20192.349999999999</v>
      </c>
      <c r="O673" s="2">
        <f t="shared" si="68"/>
        <v>0</v>
      </c>
      <c r="P673" s="2"/>
    </row>
    <row r="674" spans="1:16" x14ac:dyDescent="0.3">
      <c r="A674" s="3">
        <v>45187</v>
      </c>
      <c r="B674" s="2">
        <v>20155.95</v>
      </c>
      <c r="C674" s="2">
        <v>20195.349999999999</v>
      </c>
      <c r="D674" s="2">
        <v>20115.7</v>
      </c>
      <c r="E674" s="2">
        <v>20133.3</v>
      </c>
      <c r="F674" s="2">
        <v>264870758</v>
      </c>
      <c r="G674" s="2">
        <v>21135.95</v>
      </c>
      <c r="H674" s="2">
        <f t="shared" si="72"/>
        <v>19609.427499999998</v>
      </c>
      <c r="I674" s="2">
        <f t="shared" si="66"/>
        <v>19587.86</v>
      </c>
      <c r="J674" s="2">
        <f t="shared" si="71"/>
        <v>18449.075999999983</v>
      </c>
      <c r="K674" s="2">
        <f t="shared" si="69"/>
        <v>-59.049999999999272</v>
      </c>
      <c r="L674" s="7">
        <f t="shared" si="67"/>
        <v>-2.9296560072831729E-3</v>
      </c>
      <c r="M674" s="9"/>
      <c r="N674" s="2">
        <f t="shared" si="70"/>
        <v>20192.349999999999</v>
      </c>
      <c r="O674" s="2">
        <f t="shared" si="68"/>
        <v>-2.9243748251194246E-3</v>
      </c>
      <c r="P674" s="2"/>
    </row>
    <row r="675" spans="1:16" x14ac:dyDescent="0.3">
      <c r="A675" s="3">
        <v>45189</v>
      </c>
      <c r="B675" s="2">
        <v>19980.75</v>
      </c>
      <c r="C675" s="2">
        <v>20050.650000000001</v>
      </c>
      <c r="D675" s="2">
        <v>19878.849999999999</v>
      </c>
      <c r="E675" s="2">
        <v>19901.400000000001</v>
      </c>
      <c r="F675" s="2">
        <v>378065882</v>
      </c>
      <c r="G675" s="2">
        <v>37351.58</v>
      </c>
      <c r="H675" s="2">
        <f t="shared" si="72"/>
        <v>19646.412499999995</v>
      </c>
      <c r="I675" s="2">
        <f t="shared" si="66"/>
        <v>19603.89</v>
      </c>
      <c r="J675" s="2">
        <f t="shared" si="71"/>
        <v>18456.652249999981</v>
      </c>
      <c r="K675" s="2">
        <f t="shared" si="69"/>
        <v>-231.89999999999782</v>
      </c>
      <c r="L675" s="7">
        <f t="shared" si="67"/>
        <v>-1.1606170939529188E-2</v>
      </c>
      <c r="M675" s="9"/>
      <c r="N675" s="2">
        <f t="shared" si="70"/>
        <v>20192.349999999999</v>
      </c>
      <c r="O675" s="2">
        <f t="shared" si="68"/>
        <v>-1.4408922190829565E-2</v>
      </c>
      <c r="P675" s="2"/>
    </row>
    <row r="676" spans="1:16" x14ac:dyDescent="0.3">
      <c r="A676" s="3">
        <v>45190</v>
      </c>
      <c r="B676" s="2">
        <v>19840.55</v>
      </c>
      <c r="C676" s="2">
        <v>19848.75</v>
      </c>
      <c r="D676" s="2">
        <v>19709.95</v>
      </c>
      <c r="E676" s="2">
        <v>19742.349999999999</v>
      </c>
      <c r="F676" s="2">
        <v>275132260</v>
      </c>
      <c r="G676" s="2">
        <v>26711.83</v>
      </c>
      <c r="H676" s="2">
        <f t="shared" si="72"/>
        <v>19671.659999999996</v>
      </c>
      <c r="I676" s="2">
        <f t="shared" si="66"/>
        <v>19614.8</v>
      </c>
      <c r="J676" s="2">
        <f t="shared" si="71"/>
        <v>18462.367499999982</v>
      </c>
      <c r="K676" s="2">
        <f t="shared" si="69"/>
        <v>-159.05000000000291</v>
      </c>
      <c r="L676" s="7">
        <f t="shared" si="67"/>
        <v>-8.0164108353852556E-3</v>
      </c>
      <c r="M676" s="9"/>
      <c r="N676" s="2">
        <f t="shared" si="70"/>
        <v>20192.349999999999</v>
      </c>
      <c r="O676" s="2">
        <f t="shared" si="68"/>
        <v>-2.2285667591934621E-2</v>
      </c>
      <c r="P676" s="2"/>
    </row>
    <row r="677" spans="1:16" x14ac:dyDescent="0.3">
      <c r="A677" s="3">
        <v>45191</v>
      </c>
      <c r="B677" s="2">
        <v>19744.849999999999</v>
      </c>
      <c r="C677" s="2">
        <v>19798.650000000001</v>
      </c>
      <c r="D677" s="2">
        <v>19657.5</v>
      </c>
      <c r="E677" s="2">
        <v>19674.25</v>
      </c>
      <c r="F677" s="2">
        <v>246410075</v>
      </c>
      <c r="G677" s="2">
        <v>24137.57</v>
      </c>
      <c r="H677" s="2">
        <f t="shared" si="72"/>
        <v>19686.577499999996</v>
      </c>
      <c r="I677" s="2">
        <f t="shared" si="66"/>
        <v>19620.859</v>
      </c>
      <c r="J677" s="2">
        <f t="shared" si="71"/>
        <v>18467.016749999981</v>
      </c>
      <c r="K677" s="2">
        <f t="shared" si="69"/>
        <v>-68.099999999998545</v>
      </c>
      <c r="L677" s="7">
        <f t="shared" si="67"/>
        <v>-3.4490006254794818E-3</v>
      </c>
      <c r="M677" s="9"/>
      <c r="N677" s="2">
        <f t="shared" si="70"/>
        <v>20192.349999999999</v>
      </c>
      <c r="O677" s="2">
        <f t="shared" si="68"/>
        <v>-2.5658231954180599E-2</v>
      </c>
      <c r="P677" s="2"/>
    </row>
    <row r="678" spans="1:16" x14ac:dyDescent="0.3">
      <c r="A678" s="3">
        <v>45194</v>
      </c>
      <c r="B678" s="2">
        <v>19678.2</v>
      </c>
      <c r="C678" s="2">
        <v>19734.150000000001</v>
      </c>
      <c r="D678" s="2">
        <v>19601.55</v>
      </c>
      <c r="E678" s="2">
        <v>19674.55</v>
      </c>
      <c r="F678" s="2">
        <v>188398392</v>
      </c>
      <c r="G678" s="2">
        <v>20194.48</v>
      </c>
      <c r="H678" s="2">
        <f t="shared" si="72"/>
        <v>19700.954999999994</v>
      </c>
      <c r="I678" s="2">
        <f t="shared" si="66"/>
        <v>19626.657999999999</v>
      </c>
      <c r="J678" s="2">
        <f t="shared" si="71"/>
        <v>18471.907499999983</v>
      </c>
      <c r="K678" s="2">
        <f t="shared" si="69"/>
        <v>0.2999999999992724</v>
      </c>
      <c r="L678" s="7">
        <f t="shared" si="67"/>
        <v>1.5245296825892225E-5</v>
      </c>
      <c r="M678" s="9"/>
      <c r="N678" s="2">
        <f t="shared" si="70"/>
        <v>20192.349999999999</v>
      </c>
      <c r="O678" s="2">
        <f t="shared" si="68"/>
        <v>-2.5643374842452715E-2</v>
      </c>
      <c r="P678" s="2"/>
    </row>
    <row r="679" spans="1:16" x14ac:dyDescent="0.3">
      <c r="A679" s="3">
        <v>45195</v>
      </c>
      <c r="B679" s="2">
        <v>19682.8</v>
      </c>
      <c r="C679" s="2">
        <v>19699.349999999999</v>
      </c>
      <c r="D679" s="2">
        <v>19637.45</v>
      </c>
      <c r="E679" s="2">
        <v>19664.7</v>
      </c>
      <c r="F679" s="2">
        <v>204869058</v>
      </c>
      <c r="G679" s="2">
        <v>18118.189999999999</v>
      </c>
      <c r="H679" s="2">
        <f t="shared" si="72"/>
        <v>19721.392499999998</v>
      </c>
      <c r="I679" s="2">
        <f t="shared" si="66"/>
        <v>19631.874</v>
      </c>
      <c r="J679" s="2">
        <f t="shared" si="71"/>
        <v>18476.774999999983</v>
      </c>
      <c r="K679" s="2">
        <f t="shared" si="69"/>
        <v>-9.8499999999985448</v>
      </c>
      <c r="L679" s="7">
        <f t="shared" si="67"/>
        <v>-5.0043692970504932E-4</v>
      </c>
      <c r="M679" s="9"/>
      <c r="N679" s="2">
        <f t="shared" si="70"/>
        <v>20192.349999999999</v>
      </c>
      <c r="O679" s="2">
        <f t="shared" si="68"/>
        <v>-2.6131183344187181E-2</v>
      </c>
      <c r="P679" s="2"/>
    </row>
    <row r="680" spans="1:16" x14ac:dyDescent="0.3">
      <c r="A680" s="3">
        <v>45196</v>
      </c>
      <c r="B680" s="2">
        <v>19637.05</v>
      </c>
      <c r="C680" s="2">
        <v>19730.7</v>
      </c>
      <c r="D680" s="2">
        <v>19554</v>
      </c>
      <c r="E680" s="2">
        <v>19716.45</v>
      </c>
      <c r="F680" s="2">
        <v>203559874</v>
      </c>
      <c r="G680" s="2">
        <v>19659.169999999998</v>
      </c>
      <c r="H680" s="2">
        <f t="shared" si="72"/>
        <v>19739.325000000001</v>
      </c>
      <c r="I680" s="2">
        <f t="shared" si="66"/>
        <v>19633.878000000001</v>
      </c>
      <c r="J680" s="2">
        <f t="shared" si="71"/>
        <v>18481.884749999983</v>
      </c>
      <c r="K680" s="2">
        <f t="shared" si="69"/>
        <v>51.75</v>
      </c>
      <c r="L680" s="7">
        <f t="shared" si="67"/>
        <v>2.635324552313102E-3</v>
      </c>
      <c r="M680" s="9"/>
      <c r="N680" s="2">
        <f t="shared" si="70"/>
        <v>20192.349999999999</v>
      </c>
      <c r="O680" s="2">
        <f t="shared" si="68"/>
        <v>-2.3568331571114709E-2</v>
      </c>
      <c r="P680" s="2"/>
    </row>
    <row r="681" spans="1:16" x14ac:dyDescent="0.3">
      <c r="A681" s="3">
        <v>45197</v>
      </c>
      <c r="B681" s="2">
        <v>19761.8</v>
      </c>
      <c r="C681" s="2">
        <v>19766.650000000001</v>
      </c>
      <c r="D681" s="2">
        <v>19492.099999999999</v>
      </c>
      <c r="E681" s="2">
        <v>19523.55</v>
      </c>
      <c r="F681" s="2">
        <v>352810261</v>
      </c>
      <c r="G681" s="2">
        <v>30069.78</v>
      </c>
      <c r="H681" s="2">
        <f t="shared" si="72"/>
        <v>19758.015000000003</v>
      </c>
      <c r="I681" s="2">
        <f t="shared" si="66"/>
        <v>19633.977999999999</v>
      </c>
      <c r="J681" s="2">
        <f t="shared" si="71"/>
        <v>18487.664499999984</v>
      </c>
      <c r="K681" s="2">
        <f t="shared" si="69"/>
        <v>-192.90000000000146</v>
      </c>
      <c r="L681" s="7">
        <f t="shared" si="67"/>
        <v>-9.7612565656975299E-3</v>
      </c>
      <c r="M681" s="9"/>
      <c r="N681" s="2">
        <f t="shared" si="70"/>
        <v>20192.349999999999</v>
      </c>
      <c r="O681" s="2">
        <f t="shared" si="68"/>
        <v>-3.3121454412190721E-2</v>
      </c>
      <c r="P681" s="2"/>
    </row>
    <row r="682" spans="1:16" x14ac:dyDescent="0.3">
      <c r="A682" s="3">
        <v>45198</v>
      </c>
      <c r="B682" s="2">
        <v>19581.2</v>
      </c>
      <c r="C682" s="2">
        <v>19726.25</v>
      </c>
      <c r="D682" s="2">
        <v>19551.05</v>
      </c>
      <c r="E682" s="2">
        <v>19638.3</v>
      </c>
      <c r="F682" s="2">
        <v>243508919</v>
      </c>
      <c r="G682" s="2">
        <v>20978.720000000001</v>
      </c>
      <c r="H682" s="2">
        <f t="shared" si="72"/>
        <v>19766.82</v>
      </c>
      <c r="I682" s="2">
        <f t="shared" si="66"/>
        <v>19629.464</v>
      </c>
      <c r="J682" s="2">
        <f t="shared" si="71"/>
        <v>18492.235499999981</v>
      </c>
      <c r="K682" s="2">
        <f t="shared" si="69"/>
        <v>114.75</v>
      </c>
      <c r="L682" s="7">
        <f t="shared" si="67"/>
        <v>5.8602128572304048E-3</v>
      </c>
      <c r="M682" s="9"/>
      <c r="N682" s="2">
        <f t="shared" si="70"/>
        <v>20192.349999999999</v>
      </c>
      <c r="O682" s="2">
        <f t="shared" si="68"/>
        <v>-2.7438609176247408E-2</v>
      </c>
      <c r="P682" s="2"/>
    </row>
    <row r="683" spans="1:16" x14ac:dyDescent="0.3">
      <c r="A683" s="3">
        <v>45202</v>
      </c>
      <c r="B683" s="2">
        <v>19622.400000000001</v>
      </c>
      <c r="C683" s="2">
        <v>19623.2</v>
      </c>
      <c r="D683" s="2">
        <v>19479.650000000001</v>
      </c>
      <c r="E683" s="2">
        <v>19528.75</v>
      </c>
      <c r="F683" s="2">
        <v>221719625</v>
      </c>
      <c r="G683" s="2">
        <v>21459.58</v>
      </c>
      <c r="H683" s="2">
        <f t="shared" si="72"/>
        <v>19786.044999999998</v>
      </c>
      <c r="I683" s="2">
        <f t="shared" si="66"/>
        <v>19625.567000000003</v>
      </c>
      <c r="J683" s="2">
        <f t="shared" si="71"/>
        <v>18497.943999999981</v>
      </c>
      <c r="K683" s="2">
        <f t="shared" si="69"/>
        <v>-109.54999999999927</v>
      </c>
      <c r="L683" s="7">
        <f t="shared" si="67"/>
        <v>-5.5829052511415147E-3</v>
      </c>
      <c r="M683" s="9"/>
      <c r="N683" s="2">
        <f t="shared" si="70"/>
        <v>20192.349999999999</v>
      </c>
      <c r="O683" s="2">
        <f t="shared" si="68"/>
        <v>-3.28639311422394E-2</v>
      </c>
      <c r="P683" s="2"/>
    </row>
    <row r="684" spans="1:16" x14ac:dyDescent="0.3">
      <c r="A684" s="3">
        <v>45203</v>
      </c>
      <c r="B684" s="2">
        <v>19446.3</v>
      </c>
      <c r="C684" s="2">
        <v>19457.8</v>
      </c>
      <c r="D684" s="2">
        <v>19333.599999999999</v>
      </c>
      <c r="E684" s="2">
        <v>19436.099999999999</v>
      </c>
      <c r="F684" s="2">
        <v>277148310</v>
      </c>
      <c r="G684" s="2">
        <v>26017.47</v>
      </c>
      <c r="H684" s="2">
        <f t="shared" si="72"/>
        <v>19790.717500000002</v>
      </c>
      <c r="I684" s="2">
        <f t="shared" si="66"/>
        <v>19616.559000000001</v>
      </c>
      <c r="J684" s="2">
        <f t="shared" si="71"/>
        <v>18503.101999999981</v>
      </c>
      <c r="K684" s="2">
        <f t="shared" si="69"/>
        <v>-92.650000000001455</v>
      </c>
      <c r="L684" s="7">
        <f t="shared" si="67"/>
        <v>-4.7644024827345798E-3</v>
      </c>
      <c r="M684" s="9"/>
      <c r="N684" s="2">
        <f t="shared" si="70"/>
        <v>20192.349999999999</v>
      </c>
      <c r="O684" s="2">
        <f t="shared" si="68"/>
        <v>-3.7452302480890043E-2</v>
      </c>
      <c r="P684" s="2"/>
    </row>
    <row r="685" spans="1:16" x14ac:dyDescent="0.3">
      <c r="A685" s="3">
        <v>45204</v>
      </c>
      <c r="B685" s="2">
        <v>19521.849999999999</v>
      </c>
      <c r="C685" s="2">
        <v>19576.95</v>
      </c>
      <c r="D685" s="2">
        <v>19487.3</v>
      </c>
      <c r="E685" s="2">
        <v>19545.75</v>
      </c>
      <c r="F685" s="2">
        <v>234865323</v>
      </c>
      <c r="G685" s="2">
        <v>22019.040000000001</v>
      </c>
      <c r="H685" s="2">
        <f t="shared" si="72"/>
        <v>19786.082499999997</v>
      </c>
      <c r="I685" s="2">
        <f t="shared" si="66"/>
        <v>19610.381000000001</v>
      </c>
      <c r="J685" s="2">
        <f t="shared" si="71"/>
        <v>18507.242499999982</v>
      </c>
      <c r="K685" s="2">
        <f t="shared" si="69"/>
        <v>109.65000000000146</v>
      </c>
      <c r="L685" s="7">
        <f t="shared" si="67"/>
        <v>5.6167832454404407E-3</v>
      </c>
      <c r="M685" s="9"/>
      <c r="N685" s="2">
        <f t="shared" si="70"/>
        <v>20192.349999999999</v>
      </c>
      <c r="O685" s="2">
        <f t="shared" si="68"/>
        <v>-3.2022028144321868E-2</v>
      </c>
      <c r="P685" s="2"/>
    </row>
    <row r="686" spans="1:16" x14ac:dyDescent="0.3">
      <c r="A686" s="3">
        <v>45205</v>
      </c>
      <c r="B686" s="2">
        <v>19621.2</v>
      </c>
      <c r="C686" s="2">
        <v>19675.75</v>
      </c>
      <c r="D686" s="2">
        <v>19589.400000000001</v>
      </c>
      <c r="E686" s="2">
        <v>19653.5</v>
      </c>
      <c r="F686" s="2">
        <v>159051277</v>
      </c>
      <c r="G686" s="2">
        <v>16096.52</v>
      </c>
      <c r="H686" s="2">
        <f t="shared" si="72"/>
        <v>19784.624999999996</v>
      </c>
      <c r="I686" s="2">
        <f t="shared" si="66"/>
        <v>19607.849000000002</v>
      </c>
      <c r="J686" s="2">
        <f t="shared" si="71"/>
        <v>18511.669749999983</v>
      </c>
      <c r="K686" s="2">
        <f t="shared" si="69"/>
        <v>107.75</v>
      </c>
      <c r="L686" s="7">
        <f t="shared" si="67"/>
        <v>5.4915091839438969E-3</v>
      </c>
      <c r="M686" s="9"/>
      <c r="N686" s="2">
        <f t="shared" si="70"/>
        <v>20192.349999999999</v>
      </c>
      <c r="O686" s="2">
        <f t="shared" si="68"/>
        <v>-2.6685848848697624E-2</v>
      </c>
      <c r="P686" s="2"/>
    </row>
    <row r="687" spans="1:16" x14ac:dyDescent="0.3">
      <c r="A687" s="3">
        <v>45208</v>
      </c>
      <c r="B687" s="2">
        <v>19539.45</v>
      </c>
      <c r="C687" s="2">
        <v>19588.95</v>
      </c>
      <c r="D687" s="2">
        <v>19480.5</v>
      </c>
      <c r="E687" s="2">
        <v>19512.349999999999</v>
      </c>
      <c r="F687" s="2">
        <v>165094800</v>
      </c>
      <c r="G687" s="2">
        <v>15499.67</v>
      </c>
      <c r="H687" s="2">
        <f t="shared" si="72"/>
        <v>19786.747499999998</v>
      </c>
      <c r="I687" s="2">
        <f t="shared" si="66"/>
        <v>19607.307000000001</v>
      </c>
      <c r="J687" s="2">
        <f t="shared" si="71"/>
        <v>18517.862749999982</v>
      </c>
      <c r="K687" s="2">
        <f t="shared" si="69"/>
        <v>-141.15000000000146</v>
      </c>
      <c r="L687" s="7">
        <f t="shared" si="67"/>
        <v>-7.2238471400168092E-3</v>
      </c>
      <c r="M687" s="9"/>
      <c r="N687" s="2">
        <f t="shared" si="70"/>
        <v>20192.349999999999</v>
      </c>
      <c r="O687" s="2">
        <f t="shared" si="68"/>
        <v>-3.3676119916701164E-2</v>
      </c>
      <c r="P687" s="2"/>
    </row>
    <row r="688" spans="1:16" x14ac:dyDescent="0.3">
      <c r="A688" s="3">
        <v>45209</v>
      </c>
      <c r="B688" s="2">
        <v>19565.599999999999</v>
      </c>
      <c r="C688" s="2">
        <v>19717.8</v>
      </c>
      <c r="D688" s="2">
        <v>19565.45</v>
      </c>
      <c r="E688" s="2">
        <v>19689.849999999999</v>
      </c>
      <c r="F688" s="2">
        <v>216559447</v>
      </c>
      <c r="G688" s="2">
        <v>18735.62</v>
      </c>
      <c r="H688" s="2">
        <f t="shared" si="72"/>
        <v>19776.012499999997</v>
      </c>
      <c r="I688" s="2">
        <f t="shared" si="66"/>
        <v>19601.988000000001</v>
      </c>
      <c r="J688" s="2">
        <f t="shared" si="71"/>
        <v>18524.079499999985</v>
      </c>
      <c r="K688" s="2">
        <f t="shared" si="69"/>
        <v>177.5</v>
      </c>
      <c r="L688" s="7">
        <f t="shared" si="67"/>
        <v>9.0720448133458729E-3</v>
      </c>
      <c r="M688" s="9"/>
      <c r="N688" s="2">
        <f t="shared" si="70"/>
        <v>20192.349999999999</v>
      </c>
      <c r="O688" s="2">
        <f t="shared" si="68"/>
        <v>-2.488566214432697E-2</v>
      </c>
      <c r="P688" s="2"/>
    </row>
    <row r="689" spans="1:16" x14ac:dyDescent="0.3">
      <c r="A689" s="3">
        <v>45210</v>
      </c>
      <c r="B689" s="2">
        <v>19767</v>
      </c>
      <c r="C689" s="2">
        <v>19839.2</v>
      </c>
      <c r="D689" s="2">
        <v>19756.95</v>
      </c>
      <c r="E689" s="2">
        <v>19811.349999999999</v>
      </c>
      <c r="F689" s="2">
        <v>213729730</v>
      </c>
      <c r="G689" s="2">
        <v>19900.990000000002</v>
      </c>
      <c r="H689" s="2">
        <f t="shared" si="72"/>
        <v>19769.5075</v>
      </c>
      <c r="I689" s="2">
        <f t="shared" si="66"/>
        <v>19602.587</v>
      </c>
      <c r="J689" s="2">
        <f t="shared" si="71"/>
        <v>18530.426499999987</v>
      </c>
      <c r="K689" s="2">
        <f t="shared" si="69"/>
        <v>121.5</v>
      </c>
      <c r="L689" s="7">
        <f t="shared" si="67"/>
        <v>6.1466079830019733E-3</v>
      </c>
      <c r="M689" s="9"/>
      <c r="N689" s="2">
        <f t="shared" si="70"/>
        <v>20192.349999999999</v>
      </c>
      <c r="O689" s="2">
        <f t="shared" si="68"/>
        <v>-1.8868531894504659E-2</v>
      </c>
      <c r="P689" s="2"/>
    </row>
    <row r="690" spans="1:16" x14ac:dyDescent="0.3">
      <c r="A690" s="3">
        <v>45211</v>
      </c>
      <c r="B690" s="2">
        <v>19822.7</v>
      </c>
      <c r="C690" s="2">
        <v>19843.3</v>
      </c>
      <c r="D690" s="2">
        <v>19772.650000000001</v>
      </c>
      <c r="E690" s="2">
        <v>19794</v>
      </c>
      <c r="F690" s="2">
        <v>217904144</v>
      </c>
      <c r="G690" s="2">
        <v>20999.94</v>
      </c>
      <c r="H690" s="2">
        <f t="shared" si="72"/>
        <v>19760.257499999996</v>
      </c>
      <c r="I690" s="2">
        <f t="shared" si="66"/>
        <v>19605.892999999996</v>
      </c>
      <c r="J690" s="2">
        <f t="shared" si="71"/>
        <v>18537.556749999985</v>
      </c>
      <c r="K690" s="2">
        <f t="shared" si="69"/>
        <v>-17.349999999998545</v>
      </c>
      <c r="L690" s="7">
        <f t="shared" si="67"/>
        <v>-8.7525917256471336E-4</v>
      </c>
      <c r="M690" s="9"/>
      <c r="N690" s="2">
        <f t="shared" si="70"/>
        <v>20192.349999999999</v>
      </c>
      <c r="O690" s="2">
        <f t="shared" si="68"/>
        <v>-1.9727768189438E-2</v>
      </c>
      <c r="P690" s="2"/>
    </row>
    <row r="691" spans="1:16" x14ac:dyDescent="0.3">
      <c r="A691" s="3">
        <v>45212</v>
      </c>
      <c r="B691" s="2">
        <v>19654.55</v>
      </c>
      <c r="C691" s="2">
        <v>19805.400000000001</v>
      </c>
      <c r="D691" s="2">
        <v>19635.3</v>
      </c>
      <c r="E691" s="2">
        <v>19751.05</v>
      </c>
      <c r="F691" s="2">
        <v>254955979</v>
      </c>
      <c r="G691" s="2">
        <v>24363.02</v>
      </c>
      <c r="H691" s="2">
        <f t="shared" si="72"/>
        <v>19750.297499999993</v>
      </c>
      <c r="I691" s="2">
        <f t="shared" si="66"/>
        <v>19606.696999999996</v>
      </c>
      <c r="J691" s="2">
        <f t="shared" si="71"/>
        <v>18545.531249999985</v>
      </c>
      <c r="K691" s="2">
        <f t="shared" si="69"/>
        <v>-42.950000000000728</v>
      </c>
      <c r="L691" s="7">
        <f t="shared" si="67"/>
        <v>-2.1852446380100652E-3</v>
      </c>
      <c r="M691" s="9"/>
      <c r="N691" s="2">
        <f t="shared" si="70"/>
        <v>20192.349999999999</v>
      </c>
      <c r="O691" s="2">
        <f t="shared" si="68"/>
        <v>-2.1854811351823766E-2</v>
      </c>
      <c r="P691" s="2"/>
    </row>
    <row r="692" spans="1:16" x14ac:dyDescent="0.3">
      <c r="A692" s="3">
        <v>45215</v>
      </c>
      <c r="B692" s="2">
        <v>19737.25</v>
      </c>
      <c r="C692" s="2">
        <v>19781.3</v>
      </c>
      <c r="D692" s="2">
        <v>19691.849999999999</v>
      </c>
      <c r="E692" s="2">
        <v>19731.75</v>
      </c>
      <c r="F692" s="2">
        <v>180964341</v>
      </c>
      <c r="G692" s="2">
        <v>14746.01</v>
      </c>
      <c r="H692" s="2">
        <f t="shared" si="72"/>
        <v>19734.349999999999</v>
      </c>
      <c r="I692" s="2">
        <f t="shared" si="66"/>
        <v>19607.046999999999</v>
      </c>
      <c r="J692" s="2">
        <f t="shared" si="71"/>
        <v>18553.649749999982</v>
      </c>
      <c r="K692" s="2">
        <f t="shared" si="69"/>
        <v>-19.299999999999272</v>
      </c>
      <c r="L692" s="7">
        <f t="shared" si="67"/>
        <v>-9.778464578398345E-4</v>
      </c>
      <c r="M692" s="9"/>
      <c r="N692" s="2">
        <f t="shared" si="70"/>
        <v>20192.349999999999</v>
      </c>
      <c r="O692" s="2">
        <f t="shared" si="68"/>
        <v>-2.2810618872988964E-2</v>
      </c>
      <c r="P692" s="2"/>
    </row>
    <row r="693" spans="1:16" x14ac:dyDescent="0.3">
      <c r="A693" s="3">
        <v>45216</v>
      </c>
      <c r="B693" s="2">
        <v>19843.2</v>
      </c>
      <c r="C693" s="2">
        <v>19849.75</v>
      </c>
      <c r="D693" s="2">
        <v>19775.650000000001</v>
      </c>
      <c r="E693" s="2">
        <v>19811.5</v>
      </c>
      <c r="F693" s="2">
        <v>185846716</v>
      </c>
      <c r="G693" s="2">
        <v>16839.87</v>
      </c>
      <c r="H693" s="2">
        <f t="shared" si="72"/>
        <v>19715.782499999994</v>
      </c>
      <c r="I693" s="2">
        <f t="shared" ref="I693:I756" si="73">AVERAGE(E643:E692)</f>
        <v>19611.150999999998</v>
      </c>
      <c r="J693" s="2">
        <f t="shared" si="71"/>
        <v>18563.274499999985</v>
      </c>
      <c r="K693" s="2">
        <f t="shared" si="69"/>
        <v>79.75</v>
      </c>
      <c r="L693" s="7">
        <f t="shared" si="67"/>
        <v>4.0190090308014834E-3</v>
      </c>
      <c r="M693" s="9"/>
      <c r="N693" s="2">
        <f t="shared" si="70"/>
        <v>20192.349999999999</v>
      </c>
      <c r="O693" s="2">
        <f t="shared" si="68"/>
        <v>-1.886110333864055E-2</v>
      </c>
      <c r="P693" s="2"/>
    </row>
    <row r="694" spans="1:16" x14ac:dyDescent="0.3">
      <c r="A694" s="3">
        <v>45217</v>
      </c>
      <c r="B694" s="2">
        <v>19820.45</v>
      </c>
      <c r="C694" s="2">
        <v>19840.95</v>
      </c>
      <c r="D694" s="2">
        <v>19659.95</v>
      </c>
      <c r="E694" s="2">
        <v>19671.099999999999</v>
      </c>
      <c r="F694" s="2">
        <v>198942937</v>
      </c>
      <c r="G694" s="2">
        <v>18581.64</v>
      </c>
      <c r="H694" s="2">
        <f t="shared" si="72"/>
        <v>19696.739999999998</v>
      </c>
      <c r="I694" s="2">
        <f t="shared" si="73"/>
        <v>19619.748</v>
      </c>
      <c r="J694" s="2">
        <f t="shared" si="71"/>
        <v>18572.258999999984</v>
      </c>
      <c r="K694" s="2">
        <f t="shared" si="69"/>
        <v>-140.40000000000146</v>
      </c>
      <c r="L694" s="7">
        <f t="shared" si="67"/>
        <v>-7.0835929557604115E-3</v>
      </c>
      <c r="M694" s="9"/>
      <c r="N694" s="2">
        <f t="shared" si="70"/>
        <v>20192.349999999999</v>
      </c>
      <c r="O694" s="2">
        <f t="shared" si="68"/>
        <v>-2.5814231627324213E-2</v>
      </c>
      <c r="P694" s="2"/>
    </row>
    <row r="695" spans="1:16" x14ac:dyDescent="0.3">
      <c r="A695" s="3">
        <v>45218</v>
      </c>
      <c r="B695" s="2">
        <v>19545.2</v>
      </c>
      <c r="C695" s="2">
        <v>19681.8</v>
      </c>
      <c r="D695" s="2">
        <v>19512.349999999999</v>
      </c>
      <c r="E695" s="2">
        <v>19624.7</v>
      </c>
      <c r="F695" s="2">
        <v>230312163</v>
      </c>
      <c r="G695" s="2">
        <v>23582.01</v>
      </c>
      <c r="H695" s="2">
        <f t="shared" si="72"/>
        <v>19673.629999999997</v>
      </c>
      <c r="I695" s="2">
        <f t="shared" si="73"/>
        <v>19622.830000000002</v>
      </c>
      <c r="J695" s="2">
        <f t="shared" si="71"/>
        <v>18579.952999999983</v>
      </c>
      <c r="K695" s="2">
        <f t="shared" si="69"/>
        <v>-46.399999999997817</v>
      </c>
      <c r="L695" s="7">
        <f t="shared" si="67"/>
        <v>-2.3739844053781906E-3</v>
      </c>
      <c r="M695" s="9"/>
      <c r="N695" s="2">
        <f t="shared" si="70"/>
        <v>20192.349999999999</v>
      </c>
      <c r="O695" s="2">
        <f t="shared" si="68"/>
        <v>-2.8112131574581367E-2</v>
      </c>
      <c r="P695" s="2"/>
    </row>
    <row r="696" spans="1:16" x14ac:dyDescent="0.3">
      <c r="A696" s="3">
        <v>45219</v>
      </c>
      <c r="B696" s="2">
        <v>19542.150000000001</v>
      </c>
      <c r="C696" s="2">
        <v>19593.8</v>
      </c>
      <c r="D696" s="2">
        <v>19518.7</v>
      </c>
      <c r="E696" s="2">
        <v>19542.650000000001</v>
      </c>
      <c r="F696" s="2">
        <v>198341255</v>
      </c>
      <c r="G696" s="2">
        <v>17944.310000000001</v>
      </c>
      <c r="H696" s="2">
        <f t="shared" si="72"/>
        <v>19659.794999999998</v>
      </c>
      <c r="I696" s="2">
        <f t="shared" si="73"/>
        <v>19623.377999999997</v>
      </c>
      <c r="J696" s="2">
        <f t="shared" si="71"/>
        <v>18587.463999999985</v>
      </c>
      <c r="K696" s="2">
        <f t="shared" si="69"/>
        <v>-82.049999999999272</v>
      </c>
      <c r="L696" s="7">
        <f t="shared" si="67"/>
        <v>-4.1986168359161745E-3</v>
      </c>
      <c r="M696" s="9"/>
      <c r="N696" s="2">
        <f t="shared" si="70"/>
        <v>20192.349999999999</v>
      </c>
      <c r="O696" s="2">
        <f t="shared" si="68"/>
        <v>-3.2175551632177446E-2</v>
      </c>
      <c r="P696" s="2"/>
    </row>
    <row r="697" spans="1:16" x14ac:dyDescent="0.3">
      <c r="A697" s="3">
        <v>45222</v>
      </c>
      <c r="B697" s="2">
        <v>19521.599999999999</v>
      </c>
      <c r="C697" s="2">
        <v>19556.849999999999</v>
      </c>
      <c r="D697" s="2">
        <v>19257.849999999999</v>
      </c>
      <c r="E697" s="2">
        <v>19281.75</v>
      </c>
      <c r="F697" s="2">
        <v>176044288</v>
      </c>
      <c r="G697" s="2">
        <v>16212.9</v>
      </c>
      <c r="H697" s="2">
        <f t="shared" si="72"/>
        <v>19649.810000000001</v>
      </c>
      <c r="I697" s="2">
        <f t="shared" si="73"/>
        <v>19622.813999999998</v>
      </c>
      <c r="J697" s="2">
        <f t="shared" si="71"/>
        <v>18594.222249999984</v>
      </c>
      <c r="K697" s="2">
        <f t="shared" si="69"/>
        <v>-260.90000000000146</v>
      </c>
      <c r="L697" s="7">
        <f t="shared" si="67"/>
        <v>-1.3364683222686741E-2</v>
      </c>
      <c r="M697" s="9"/>
      <c r="N697" s="2">
        <f t="shared" si="70"/>
        <v>20192.349999999999</v>
      </c>
      <c r="O697" s="2">
        <f t="shared" si="68"/>
        <v>-4.5096286464923474E-2</v>
      </c>
      <c r="P697" s="2"/>
    </row>
    <row r="698" spans="1:16" x14ac:dyDescent="0.3">
      <c r="A698" s="3">
        <v>45224</v>
      </c>
      <c r="B698" s="2">
        <v>19286.45</v>
      </c>
      <c r="C698" s="2">
        <v>19347.3</v>
      </c>
      <c r="D698" s="2">
        <v>19074.150000000001</v>
      </c>
      <c r="E698" s="2">
        <v>19122.150000000001</v>
      </c>
      <c r="F698" s="2">
        <v>225291741</v>
      </c>
      <c r="G698" s="2">
        <v>19818.32</v>
      </c>
      <c r="H698" s="2">
        <f t="shared" si="72"/>
        <v>19630.185000000001</v>
      </c>
      <c r="I698" s="2">
        <f t="shared" si="73"/>
        <v>19615.797999999999</v>
      </c>
      <c r="J698" s="2">
        <f t="shared" si="71"/>
        <v>18600.104499999987</v>
      </c>
      <c r="K698" s="2">
        <f t="shared" si="69"/>
        <v>-159.59999999999854</v>
      </c>
      <c r="L698" s="7">
        <f t="shared" si="67"/>
        <v>-8.2752398704789391E-3</v>
      </c>
      <c r="M698" s="9"/>
      <c r="N698" s="2">
        <f t="shared" si="70"/>
        <v>20192.349999999999</v>
      </c>
      <c r="O698" s="2">
        <f t="shared" si="68"/>
        <v>-5.3000269904196262E-2</v>
      </c>
      <c r="P698" s="2"/>
    </row>
    <row r="699" spans="1:16" x14ac:dyDescent="0.3">
      <c r="A699" s="3">
        <v>45225</v>
      </c>
      <c r="B699" s="2">
        <v>19027.25</v>
      </c>
      <c r="C699" s="2">
        <v>19041.7</v>
      </c>
      <c r="D699" s="2">
        <v>18837.849999999999</v>
      </c>
      <c r="E699" s="2">
        <v>18857.25</v>
      </c>
      <c r="F699" s="2">
        <v>300356469</v>
      </c>
      <c r="G699" s="2">
        <v>28939.64</v>
      </c>
      <c r="H699" s="2">
        <f t="shared" si="72"/>
        <v>19602.565000000002</v>
      </c>
      <c r="I699" s="2">
        <f t="shared" si="73"/>
        <v>19607.378999999997</v>
      </c>
      <c r="J699" s="2">
        <f t="shared" si="71"/>
        <v>18604.727999999985</v>
      </c>
      <c r="K699" s="2">
        <f t="shared" si="69"/>
        <v>-264.90000000000146</v>
      </c>
      <c r="L699" s="7">
        <f t="shared" si="67"/>
        <v>-1.3922137986309186E-2</v>
      </c>
      <c r="M699" s="9"/>
      <c r="N699" s="2">
        <f t="shared" si="70"/>
        <v>20192.349999999999</v>
      </c>
      <c r="O699" s="2">
        <f t="shared" si="68"/>
        <v>-6.6119099559981853E-2</v>
      </c>
      <c r="P699" s="2"/>
    </row>
    <row r="700" spans="1:16" x14ac:dyDescent="0.3">
      <c r="A700" s="3">
        <v>45226</v>
      </c>
      <c r="B700" s="2">
        <v>18928.75</v>
      </c>
      <c r="C700" s="2">
        <v>19076.150000000001</v>
      </c>
      <c r="D700" s="2">
        <v>18926.650000000001</v>
      </c>
      <c r="E700" s="2">
        <v>19047.25</v>
      </c>
      <c r="F700" s="2">
        <v>205201044</v>
      </c>
      <c r="G700" s="2">
        <v>19947.48</v>
      </c>
      <c r="H700" s="2">
        <f t="shared" si="72"/>
        <v>19562.192500000001</v>
      </c>
      <c r="I700" s="2">
        <f t="shared" si="73"/>
        <v>19595.957999999999</v>
      </c>
      <c r="J700" s="2">
        <f t="shared" si="71"/>
        <v>18607.851499999986</v>
      </c>
      <c r="K700" s="2">
        <f t="shared" si="69"/>
        <v>190</v>
      </c>
      <c r="L700" s="7">
        <f t="shared" si="67"/>
        <v>1.0037641154328732E-2</v>
      </c>
      <c r="M700" s="9"/>
      <c r="N700" s="2">
        <f t="shared" si="70"/>
        <v>20192.349999999999</v>
      </c>
      <c r="O700" s="2">
        <f t="shared" si="68"/>
        <v>-5.6709595465609386E-2</v>
      </c>
      <c r="P700" s="2"/>
    </row>
    <row r="701" spans="1:16" x14ac:dyDescent="0.3">
      <c r="A701" s="3">
        <v>45229</v>
      </c>
      <c r="B701" s="2">
        <v>19053.400000000001</v>
      </c>
      <c r="C701" s="2">
        <v>19158.5</v>
      </c>
      <c r="D701" s="2">
        <v>18940</v>
      </c>
      <c r="E701" s="2">
        <v>19140.900000000001</v>
      </c>
      <c r="F701" s="2">
        <v>180132492</v>
      </c>
      <c r="G701" s="2">
        <v>17095.73</v>
      </c>
      <c r="H701" s="2">
        <f t="shared" si="72"/>
        <v>19528.732500000002</v>
      </c>
      <c r="I701" s="2">
        <f t="shared" si="73"/>
        <v>19588.211999999996</v>
      </c>
      <c r="J701" s="2">
        <f t="shared" si="71"/>
        <v>18612.872999999985</v>
      </c>
      <c r="K701" s="2">
        <f t="shared" si="69"/>
        <v>93.650000000001455</v>
      </c>
      <c r="L701" s="7">
        <f t="shared" si="67"/>
        <v>4.9151332570565595E-3</v>
      </c>
      <c r="M701" s="9"/>
      <c r="N701" s="2">
        <f t="shared" si="70"/>
        <v>20192.349999999999</v>
      </c>
      <c r="O701" s="2">
        <f t="shared" si="68"/>
        <v>-5.2071700421199019E-2</v>
      </c>
      <c r="P701" s="2"/>
    </row>
    <row r="702" spans="1:16" x14ac:dyDescent="0.3">
      <c r="A702" s="3">
        <v>45230</v>
      </c>
      <c r="B702" s="2">
        <v>19232.95</v>
      </c>
      <c r="C702" s="2">
        <v>19233.7</v>
      </c>
      <c r="D702" s="2">
        <v>19056.45</v>
      </c>
      <c r="E702" s="2">
        <v>19079.599999999999</v>
      </c>
      <c r="F702" s="2">
        <v>206049341</v>
      </c>
      <c r="G702" s="2">
        <v>19397.36</v>
      </c>
      <c r="H702" s="2">
        <f t="shared" si="72"/>
        <v>19509.600000000002</v>
      </c>
      <c r="I702" s="2">
        <f t="shared" si="73"/>
        <v>19581.729999999996</v>
      </c>
      <c r="J702" s="2">
        <f t="shared" si="71"/>
        <v>18618.616749999983</v>
      </c>
      <c r="K702" s="2">
        <f t="shared" si="69"/>
        <v>-61.30000000000291</v>
      </c>
      <c r="L702" s="7">
        <f t="shared" si="67"/>
        <v>-3.1872385671466367E-3</v>
      </c>
      <c r="M702" s="9"/>
      <c r="N702" s="2">
        <f t="shared" si="70"/>
        <v>20192.349999999999</v>
      </c>
      <c r="O702" s="2">
        <f t="shared" si="68"/>
        <v>-5.5107503584278184E-2</v>
      </c>
      <c r="P702" s="2"/>
    </row>
    <row r="703" spans="1:16" x14ac:dyDescent="0.3">
      <c r="A703" s="3">
        <v>45231</v>
      </c>
      <c r="B703" s="2">
        <v>19064.05</v>
      </c>
      <c r="C703" s="2">
        <v>19096.05</v>
      </c>
      <c r="D703" s="2">
        <v>18973.7</v>
      </c>
      <c r="E703" s="2">
        <v>18989.150000000001</v>
      </c>
      <c r="F703" s="2">
        <v>194103279</v>
      </c>
      <c r="G703" s="2">
        <v>18452.509999999998</v>
      </c>
      <c r="H703" s="2">
        <f t="shared" si="72"/>
        <v>19481.665000000001</v>
      </c>
      <c r="I703" s="2">
        <f t="shared" si="73"/>
        <v>19576.016999999996</v>
      </c>
      <c r="J703" s="2">
        <f t="shared" si="71"/>
        <v>18624.717499999984</v>
      </c>
      <c r="K703" s="2">
        <f t="shared" si="69"/>
        <v>-90.44999999999709</v>
      </c>
      <c r="L703" s="7">
        <f t="shared" si="67"/>
        <v>-4.7445322478695288E-3</v>
      </c>
      <c r="M703" s="9"/>
      <c r="N703" s="2">
        <f t="shared" si="70"/>
        <v>20192.349999999999</v>
      </c>
      <c r="O703" s="2">
        <f t="shared" si="68"/>
        <v>-5.95869227702569E-2</v>
      </c>
      <c r="P703" s="2"/>
    </row>
    <row r="704" spans="1:16" x14ac:dyDescent="0.3">
      <c r="A704" s="3">
        <v>45232</v>
      </c>
      <c r="B704" s="2">
        <v>19120</v>
      </c>
      <c r="C704" s="2">
        <v>19175.25</v>
      </c>
      <c r="D704" s="2">
        <v>19064.150000000001</v>
      </c>
      <c r="E704" s="2">
        <v>19133.25</v>
      </c>
      <c r="F704" s="2">
        <v>245595109</v>
      </c>
      <c r="G704" s="2">
        <v>19771.490000000002</v>
      </c>
      <c r="H704" s="2">
        <f t="shared" si="72"/>
        <v>19454.685000000005</v>
      </c>
      <c r="I704" s="2">
        <f t="shared" si="73"/>
        <v>19569.596999999998</v>
      </c>
      <c r="J704" s="2">
        <f t="shared" si="71"/>
        <v>18629.157249999986</v>
      </c>
      <c r="K704" s="2">
        <f t="shared" si="69"/>
        <v>144.09999999999854</v>
      </c>
      <c r="L704" s="7">
        <f t="shared" si="67"/>
        <v>7.536610878661012E-3</v>
      </c>
      <c r="M704" s="9"/>
      <c r="N704" s="2">
        <f t="shared" si="70"/>
        <v>20192.349999999999</v>
      </c>
      <c r="O704" s="2">
        <f t="shared" si="68"/>
        <v>-5.2450556770261891E-2</v>
      </c>
      <c r="P704" s="2"/>
    </row>
    <row r="705" spans="1:16" x14ac:dyDescent="0.3">
      <c r="A705" s="3">
        <v>45233</v>
      </c>
      <c r="B705" s="2">
        <v>19241</v>
      </c>
      <c r="C705" s="2">
        <v>19276.25</v>
      </c>
      <c r="D705" s="2">
        <v>19210.900000000001</v>
      </c>
      <c r="E705" s="2">
        <v>19230.599999999999</v>
      </c>
      <c r="F705" s="2">
        <v>189516123</v>
      </c>
      <c r="G705" s="2">
        <v>17304.87</v>
      </c>
      <c r="H705" s="2">
        <f t="shared" si="72"/>
        <v>19439.542500000003</v>
      </c>
      <c r="I705" s="2">
        <f t="shared" si="73"/>
        <v>19564.39</v>
      </c>
      <c r="J705" s="2">
        <f t="shared" si="71"/>
        <v>18635.252749999989</v>
      </c>
      <c r="K705" s="2">
        <f t="shared" si="69"/>
        <v>97.349999999998545</v>
      </c>
      <c r="L705" s="7">
        <f t="shared" si="67"/>
        <v>5.0595083415622133E-3</v>
      </c>
      <c r="M705" s="9"/>
      <c r="N705" s="2">
        <f t="shared" si="70"/>
        <v>20192.349999999999</v>
      </c>
      <c r="O705" s="2">
        <f t="shared" si="68"/>
        <v>-4.7629424014540178E-2</v>
      </c>
      <c r="P705" s="2"/>
    </row>
    <row r="706" spans="1:16" x14ac:dyDescent="0.3">
      <c r="A706" s="3">
        <v>45236</v>
      </c>
      <c r="B706" s="2">
        <v>19345.849999999999</v>
      </c>
      <c r="C706" s="2">
        <v>19423</v>
      </c>
      <c r="D706" s="2">
        <v>19309.7</v>
      </c>
      <c r="E706" s="2">
        <v>19411.75</v>
      </c>
      <c r="F706" s="2">
        <v>180690631</v>
      </c>
      <c r="G706" s="2">
        <v>16296.56</v>
      </c>
      <c r="H706" s="2">
        <f t="shared" si="72"/>
        <v>19423.784999999996</v>
      </c>
      <c r="I706" s="2">
        <f t="shared" si="73"/>
        <v>19561.072999999997</v>
      </c>
      <c r="J706" s="2">
        <f t="shared" si="71"/>
        <v>18641.927249999986</v>
      </c>
      <c r="K706" s="2">
        <f t="shared" si="69"/>
        <v>181.15000000000146</v>
      </c>
      <c r="L706" s="7">
        <f t="shared" si="67"/>
        <v>9.3637653553605271E-3</v>
      </c>
      <c r="M706" s="9"/>
      <c r="N706" s="2">
        <f t="shared" si="70"/>
        <v>20192.349999999999</v>
      </c>
      <c r="O706" s="2">
        <f t="shared" si="68"/>
        <v>-3.8658204716142452E-2</v>
      </c>
      <c r="P706" s="2"/>
    </row>
    <row r="707" spans="1:16" x14ac:dyDescent="0.3">
      <c r="A707" s="3">
        <v>45237</v>
      </c>
      <c r="B707" s="2">
        <v>19404.05</v>
      </c>
      <c r="C707" s="2">
        <v>19423.5</v>
      </c>
      <c r="D707" s="2">
        <v>19329.099999999999</v>
      </c>
      <c r="E707" s="2">
        <v>19406.7</v>
      </c>
      <c r="F707" s="2">
        <v>198660124</v>
      </c>
      <c r="G707" s="2">
        <v>18288.060000000001</v>
      </c>
      <c r="H707" s="2">
        <f t="shared" si="72"/>
        <v>19411.697499999998</v>
      </c>
      <c r="I707" s="2">
        <f t="shared" si="73"/>
        <v>19560.427999999996</v>
      </c>
      <c r="J707" s="2">
        <f t="shared" si="71"/>
        <v>18649.694999999989</v>
      </c>
      <c r="K707" s="2">
        <f t="shared" si="69"/>
        <v>-5.0499999999992724</v>
      </c>
      <c r="L707" s="7">
        <f t="shared" ref="L707:L770" si="74">(K707/(B707))</f>
        <v>-2.6025494677653751E-4</v>
      </c>
      <c r="M707" s="9"/>
      <c r="N707" s="2">
        <f t="shared" si="70"/>
        <v>20192.349999999999</v>
      </c>
      <c r="O707" s="2">
        <f t="shared" ref="O707:O770" si="75">(E707/N707)-1</f>
        <v>-3.8908299430229665E-2</v>
      </c>
      <c r="P707" s="2"/>
    </row>
    <row r="708" spans="1:16" x14ac:dyDescent="0.3">
      <c r="A708" s="3">
        <v>45238</v>
      </c>
      <c r="B708" s="2">
        <v>19449.599999999999</v>
      </c>
      <c r="C708" s="2">
        <v>19464.400000000001</v>
      </c>
      <c r="D708" s="2">
        <v>19401.5</v>
      </c>
      <c r="E708" s="2">
        <v>19443.5</v>
      </c>
      <c r="F708" s="2">
        <v>194967997</v>
      </c>
      <c r="G708" s="2">
        <v>17060.45</v>
      </c>
      <c r="H708" s="2">
        <f t="shared" si="72"/>
        <v>19406.415000000001</v>
      </c>
      <c r="I708" s="2">
        <f t="shared" si="73"/>
        <v>19560.827999999994</v>
      </c>
      <c r="J708" s="2">
        <f t="shared" si="71"/>
        <v>18656.945499999987</v>
      </c>
      <c r="K708" s="2">
        <f t="shared" ref="K708:K771" si="76">E708-E707</f>
        <v>36.799999999999272</v>
      </c>
      <c r="L708" s="7">
        <f t="shared" si="74"/>
        <v>1.8920697597893672E-3</v>
      </c>
      <c r="M708" s="9"/>
      <c r="N708" s="2">
        <f t="shared" si="70"/>
        <v>20192.349999999999</v>
      </c>
      <c r="O708" s="2">
        <f t="shared" si="75"/>
        <v>-3.7085827058267018E-2</v>
      </c>
      <c r="P708" s="2"/>
    </row>
    <row r="709" spans="1:16" x14ac:dyDescent="0.3">
      <c r="A709" s="3">
        <v>45239</v>
      </c>
      <c r="B709" s="2">
        <v>19457.400000000001</v>
      </c>
      <c r="C709" s="2">
        <v>19463.900000000001</v>
      </c>
      <c r="D709" s="2">
        <v>19378.349999999999</v>
      </c>
      <c r="E709" s="2">
        <v>19395.3</v>
      </c>
      <c r="F709" s="2">
        <v>208418472</v>
      </c>
      <c r="G709" s="2">
        <v>19087.29</v>
      </c>
      <c r="H709" s="2">
        <f t="shared" si="72"/>
        <v>19394.0975</v>
      </c>
      <c r="I709" s="2">
        <f t="shared" si="73"/>
        <v>19564.381999999998</v>
      </c>
      <c r="J709" s="2">
        <f t="shared" si="71"/>
        <v>18664.68874999999</v>
      </c>
      <c r="K709" s="2">
        <f t="shared" si="76"/>
        <v>-48.200000000000728</v>
      </c>
      <c r="L709" s="7">
        <f t="shared" si="74"/>
        <v>-2.4772066154779529E-3</v>
      </c>
      <c r="M709" s="9"/>
      <c r="N709" s="2">
        <f t="shared" ref="N709:N772" si="77">MAX(N708,E709)</f>
        <v>20192.349999999999</v>
      </c>
      <c r="O709" s="2">
        <f t="shared" si="75"/>
        <v>-3.9472869675892031E-2</v>
      </c>
      <c r="P709" s="2"/>
    </row>
    <row r="710" spans="1:16" x14ac:dyDescent="0.3">
      <c r="A710" s="3">
        <v>45240</v>
      </c>
      <c r="B710" s="2">
        <v>19351.849999999999</v>
      </c>
      <c r="C710" s="2">
        <v>19451.3</v>
      </c>
      <c r="D710" s="2">
        <v>19329.45</v>
      </c>
      <c r="E710" s="2">
        <v>19425.349999999999</v>
      </c>
      <c r="F710" s="2">
        <v>152215785</v>
      </c>
      <c r="G710" s="2">
        <v>12916.21</v>
      </c>
      <c r="H710" s="2">
        <f t="shared" si="72"/>
        <v>19373.294999999998</v>
      </c>
      <c r="I710" s="2">
        <f t="shared" si="73"/>
        <v>19566.166999999998</v>
      </c>
      <c r="J710" s="2">
        <f t="shared" si="71"/>
        <v>18671.398749999989</v>
      </c>
      <c r="K710" s="2">
        <f t="shared" si="76"/>
        <v>30.049999999999272</v>
      </c>
      <c r="L710" s="7">
        <f t="shared" si="74"/>
        <v>1.5528231151026529E-3</v>
      </c>
      <c r="M710" s="9"/>
      <c r="N710" s="2">
        <f t="shared" si="77"/>
        <v>20192.349999999999</v>
      </c>
      <c r="O710" s="2">
        <f t="shared" si="75"/>
        <v>-3.7984682317808494E-2</v>
      </c>
      <c r="P710" s="2"/>
    </row>
    <row r="711" spans="1:16" x14ac:dyDescent="0.3">
      <c r="A711" s="3">
        <v>45242</v>
      </c>
      <c r="B711" s="2">
        <v>19547.25</v>
      </c>
      <c r="C711" s="2">
        <v>19547.25</v>
      </c>
      <c r="D711" s="2">
        <v>19510.25</v>
      </c>
      <c r="E711" s="2">
        <v>19525.55</v>
      </c>
      <c r="F711" s="2">
        <v>37311902</v>
      </c>
      <c r="G711" s="2">
        <v>2482.27</v>
      </c>
      <c r="H711" s="2">
        <f t="shared" si="72"/>
        <v>19354.862499999996</v>
      </c>
      <c r="I711" s="2">
        <f t="shared" si="73"/>
        <v>19567.821</v>
      </c>
      <c r="J711" s="2">
        <f t="shared" si="71"/>
        <v>18677.698749999992</v>
      </c>
      <c r="K711" s="2">
        <f t="shared" si="76"/>
        <v>100.20000000000073</v>
      </c>
      <c r="L711" s="7">
        <f t="shared" si="74"/>
        <v>5.1260407474197512E-3</v>
      </c>
      <c r="M711" s="9"/>
      <c r="N711" s="2">
        <f t="shared" si="77"/>
        <v>20192.349999999999</v>
      </c>
      <c r="O711" s="2">
        <f t="shared" si="75"/>
        <v>-3.302240700067105E-2</v>
      </c>
      <c r="P711" s="2"/>
    </row>
    <row r="712" spans="1:16" x14ac:dyDescent="0.3">
      <c r="A712" s="3">
        <v>45243</v>
      </c>
      <c r="B712" s="2">
        <v>19486.75</v>
      </c>
      <c r="C712" s="2">
        <v>19494.400000000001</v>
      </c>
      <c r="D712" s="2">
        <v>19414.75</v>
      </c>
      <c r="E712" s="2">
        <v>19443.55</v>
      </c>
      <c r="F712" s="2">
        <v>189275733</v>
      </c>
      <c r="G712" s="2">
        <v>13527.22</v>
      </c>
      <c r="H712" s="2">
        <f t="shared" si="72"/>
        <v>19343.587499999998</v>
      </c>
      <c r="I712" s="2">
        <f t="shared" si="73"/>
        <v>19571.383000000002</v>
      </c>
      <c r="J712" s="2">
        <f t="shared" si="71"/>
        <v>18684.78724999999</v>
      </c>
      <c r="K712" s="2">
        <f t="shared" si="76"/>
        <v>-82</v>
      </c>
      <c r="L712" s="7">
        <f t="shared" si="74"/>
        <v>-4.2079874786714053E-3</v>
      </c>
      <c r="M712" s="9"/>
      <c r="N712" s="2">
        <f t="shared" si="77"/>
        <v>20192.349999999999</v>
      </c>
      <c r="O712" s="2">
        <f t="shared" si="75"/>
        <v>-3.7083350872979093E-2</v>
      </c>
      <c r="P712" s="2"/>
    </row>
    <row r="713" spans="1:16" x14ac:dyDescent="0.3">
      <c r="A713" s="3">
        <v>45245</v>
      </c>
      <c r="B713" s="2">
        <v>19651.400000000001</v>
      </c>
      <c r="C713" s="2">
        <v>19693.2</v>
      </c>
      <c r="D713" s="2">
        <v>19579.650000000001</v>
      </c>
      <c r="E713" s="2">
        <v>19675.45</v>
      </c>
      <c r="F713" s="2">
        <v>291464988</v>
      </c>
      <c r="G713" s="2">
        <v>24957.24</v>
      </c>
      <c r="H713" s="2">
        <f t="shared" si="72"/>
        <v>19329.177499999998</v>
      </c>
      <c r="I713" s="2">
        <f t="shared" si="73"/>
        <v>19575.178</v>
      </c>
      <c r="J713" s="2">
        <f t="shared" si="71"/>
        <v>18691.86674999999</v>
      </c>
      <c r="K713" s="2">
        <f t="shared" si="76"/>
        <v>231.90000000000146</v>
      </c>
      <c r="L713" s="7">
        <f t="shared" si="74"/>
        <v>1.1800685956216934E-2</v>
      </c>
      <c r="M713" s="9"/>
      <c r="N713" s="2">
        <f t="shared" si="77"/>
        <v>20192.349999999999</v>
      </c>
      <c r="O713" s="2">
        <f t="shared" si="75"/>
        <v>-2.559880350726873E-2</v>
      </c>
      <c r="P713" s="2"/>
    </row>
    <row r="714" spans="1:16" x14ac:dyDescent="0.3">
      <c r="A714" s="3">
        <v>45246</v>
      </c>
      <c r="B714" s="2">
        <v>19674.7</v>
      </c>
      <c r="C714" s="2">
        <v>19875.25</v>
      </c>
      <c r="D714" s="2">
        <v>19627</v>
      </c>
      <c r="E714" s="2">
        <v>19765.2</v>
      </c>
      <c r="F714" s="2">
        <v>282686669</v>
      </c>
      <c r="G714" s="2">
        <v>26041.45</v>
      </c>
      <c r="H714" s="2">
        <f t="shared" si="72"/>
        <v>19322.374999999996</v>
      </c>
      <c r="I714" s="2">
        <f t="shared" si="73"/>
        <v>19579.981</v>
      </c>
      <c r="J714" s="2">
        <f t="shared" si="71"/>
        <v>18699.651249999992</v>
      </c>
      <c r="K714" s="2">
        <f t="shared" si="76"/>
        <v>89.75</v>
      </c>
      <c r="L714" s="7">
        <f t="shared" si="74"/>
        <v>4.5616959851992661E-3</v>
      </c>
      <c r="M714" s="9"/>
      <c r="N714" s="2">
        <f t="shared" si="77"/>
        <v>20192.349999999999</v>
      </c>
      <c r="O714" s="2">
        <f t="shared" si="75"/>
        <v>-2.1154050915321743E-2</v>
      </c>
      <c r="P714" s="2"/>
    </row>
    <row r="715" spans="1:16" x14ac:dyDescent="0.3">
      <c r="A715" s="3">
        <v>45247</v>
      </c>
      <c r="B715" s="2">
        <v>19674.75</v>
      </c>
      <c r="C715" s="2">
        <v>19806</v>
      </c>
      <c r="D715" s="2">
        <v>19667.45</v>
      </c>
      <c r="E715" s="2">
        <v>19731.8</v>
      </c>
      <c r="F715" s="2">
        <v>236827462</v>
      </c>
      <c r="G715" s="2">
        <v>21681.279999999999</v>
      </c>
      <c r="H715" s="2">
        <f t="shared" si="72"/>
        <v>19327.079999999998</v>
      </c>
      <c r="I715" s="2">
        <f t="shared" si="73"/>
        <v>19584.708999999995</v>
      </c>
      <c r="J715" s="2">
        <f t="shared" ref="J715:J778" si="78">AVERAGE(E515:E714)</f>
        <v>18707.885749999994</v>
      </c>
      <c r="K715" s="2">
        <f t="shared" si="76"/>
        <v>-33.400000000001455</v>
      </c>
      <c r="L715" s="7">
        <f t="shared" si="74"/>
        <v>-1.6976073393563556E-3</v>
      </c>
      <c r="M715" s="9"/>
      <c r="N715" s="2">
        <f t="shared" si="77"/>
        <v>20192.349999999999</v>
      </c>
      <c r="O715" s="2">
        <f t="shared" si="75"/>
        <v>-2.2808142687701038E-2</v>
      </c>
      <c r="P715" s="2"/>
    </row>
    <row r="716" spans="1:16" x14ac:dyDescent="0.3">
      <c r="A716" s="3">
        <v>45250</v>
      </c>
      <c r="B716" s="2">
        <v>19731.150000000001</v>
      </c>
      <c r="C716" s="2">
        <v>19756.45</v>
      </c>
      <c r="D716" s="2">
        <v>19670.5</v>
      </c>
      <c r="E716" s="2">
        <v>19694</v>
      </c>
      <c r="F716" s="2">
        <v>173780543</v>
      </c>
      <c r="G716" s="2">
        <v>16737.05</v>
      </c>
      <c r="H716" s="2">
        <f t="shared" si="72"/>
        <v>19332.435000000001</v>
      </c>
      <c r="I716" s="2">
        <f t="shared" si="73"/>
        <v>19587.846999999998</v>
      </c>
      <c r="J716" s="2">
        <f t="shared" si="78"/>
        <v>18717.084999999988</v>
      </c>
      <c r="K716" s="2">
        <f t="shared" si="76"/>
        <v>-37.799999999999272</v>
      </c>
      <c r="L716" s="7">
        <f t="shared" si="74"/>
        <v>-1.9157525030218344E-3</v>
      </c>
      <c r="M716" s="9"/>
      <c r="N716" s="2">
        <f t="shared" si="77"/>
        <v>20192.349999999999</v>
      </c>
      <c r="O716" s="2">
        <f t="shared" si="75"/>
        <v>-2.468013876542352E-2</v>
      </c>
      <c r="P716" s="2"/>
    </row>
    <row r="717" spans="1:16" x14ac:dyDescent="0.3">
      <c r="A717" s="3">
        <v>45251</v>
      </c>
      <c r="B717" s="2">
        <v>19770.900000000001</v>
      </c>
      <c r="C717" s="2">
        <v>19829.099999999999</v>
      </c>
      <c r="D717" s="2">
        <v>19754.05</v>
      </c>
      <c r="E717" s="2">
        <v>19783.400000000001</v>
      </c>
      <c r="F717" s="2">
        <v>194969012</v>
      </c>
      <c r="G717" s="2">
        <v>17947.2</v>
      </c>
      <c r="H717" s="2">
        <f t="shared" si="72"/>
        <v>19340.002499999999</v>
      </c>
      <c r="I717" s="2">
        <f t="shared" si="73"/>
        <v>19589.505999999998</v>
      </c>
      <c r="J717" s="2">
        <f t="shared" si="78"/>
        <v>18727.533249999989</v>
      </c>
      <c r="K717" s="2">
        <f t="shared" si="76"/>
        <v>89.400000000001455</v>
      </c>
      <c r="L717" s="7">
        <f t="shared" si="74"/>
        <v>4.5217971867745751E-3</v>
      </c>
      <c r="M717" s="9"/>
      <c r="N717" s="2">
        <f t="shared" si="77"/>
        <v>20192.349999999999</v>
      </c>
      <c r="O717" s="2">
        <f t="shared" si="75"/>
        <v>-2.0252719470492342E-2</v>
      </c>
      <c r="P717" s="2"/>
    </row>
    <row r="718" spans="1:16" x14ac:dyDescent="0.3">
      <c r="A718" s="3">
        <v>45252</v>
      </c>
      <c r="B718" s="2">
        <v>19784</v>
      </c>
      <c r="C718" s="2">
        <v>19825.55</v>
      </c>
      <c r="D718" s="2">
        <v>19703.849999999999</v>
      </c>
      <c r="E718" s="2">
        <v>19811.849999999999</v>
      </c>
      <c r="F718" s="2">
        <v>184497984</v>
      </c>
      <c r="G718" s="2">
        <v>17405.48</v>
      </c>
      <c r="H718" s="2">
        <f t="shared" si="72"/>
        <v>19365.084999999999</v>
      </c>
      <c r="I718" s="2">
        <f t="shared" si="73"/>
        <v>19590.632999999998</v>
      </c>
      <c r="J718" s="2">
        <f t="shared" si="78"/>
        <v>18738.205499999989</v>
      </c>
      <c r="K718" s="2">
        <f t="shared" si="76"/>
        <v>28.44999999999709</v>
      </c>
      <c r="L718" s="7">
        <f t="shared" si="74"/>
        <v>1.4380307319044223E-3</v>
      </c>
      <c r="M718" s="9"/>
      <c r="N718" s="2">
        <f t="shared" si="77"/>
        <v>20192.349999999999</v>
      </c>
      <c r="O718" s="2">
        <f t="shared" si="75"/>
        <v>-1.884377004162463E-2</v>
      </c>
      <c r="P718" s="2"/>
    </row>
    <row r="719" spans="1:16" x14ac:dyDescent="0.3">
      <c r="A719" s="3">
        <v>45253</v>
      </c>
      <c r="B719" s="2">
        <v>19828.45</v>
      </c>
      <c r="C719" s="2">
        <v>19875.150000000001</v>
      </c>
      <c r="D719" s="2">
        <v>19786.75</v>
      </c>
      <c r="E719" s="2">
        <v>19802</v>
      </c>
      <c r="F719" s="2">
        <v>170024085</v>
      </c>
      <c r="G719" s="2">
        <v>15906.94</v>
      </c>
      <c r="H719" s="2">
        <f t="shared" si="72"/>
        <v>19399.57</v>
      </c>
      <c r="I719" s="2">
        <f t="shared" si="73"/>
        <v>19590.470999999998</v>
      </c>
      <c r="J719" s="2">
        <f t="shared" si="78"/>
        <v>18748.953999999991</v>
      </c>
      <c r="K719" s="2">
        <f t="shared" si="76"/>
        <v>-9.8499999999985448</v>
      </c>
      <c r="L719" s="7">
        <f t="shared" si="74"/>
        <v>-4.9676096719605139E-4</v>
      </c>
      <c r="M719" s="9"/>
      <c r="N719" s="2">
        <f t="shared" si="77"/>
        <v>20192.349999999999</v>
      </c>
      <c r="O719" s="2">
        <f t="shared" si="75"/>
        <v>-1.9331578543359207E-2</v>
      </c>
      <c r="P719" s="2"/>
    </row>
    <row r="720" spans="1:16" x14ac:dyDescent="0.3">
      <c r="A720" s="3">
        <v>45254</v>
      </c>
      <c r="B720" s="2">
        <v>19809.599999999999</v>
      </c>
      <c r="C720" s="2">
        <v>19832.849999999999</v>
      </c>
      <c r="D720" s="2">
        <v>19768.849999999999</v>
      </c>
      <c r="E720" s="2">
        <v>19794.7</v>
      </c>
      <c r="F720" s="2">
        <v>145895044</v>
      </c>
      <c r="G720" s="2">
        <v>14389.29</v>
      </c>
      <c r="H720" s="2">
        <f t="shared" si="72"/>
        <v>19446.807499999999</v>
      </c>
      <c r="I720" s="2">
        <f t="shared" si="73"/>
        <v>19586.583999999999</v>
      </c>
      <c r="J720" s="2">
        <f t="shared" si="78"/>
        <v>18759.882499999989</v>
      </c>
      <c r="K720" s="2">
        <f t="shared" si="76"/>
        <v>-7.2999999999992724</v>
      </c>
      <c r="L720" s="7">
        <f t="shared" si="74"/>
        <v>-3.6850819804535543E-4</v>
      </c>
      <c r="M720" s="9"/>
      <c r="N720" s="2">
        <f t="shared" si="77"/>
        <v>20192.349999999999</v>
      </c>
      <c r="O720" s="2">
        <f t="shared" si="75"/>
        <v>-1.9693101595406048E-2</v>
      </c>
      <c r="P720" s="2"/>
    </row>
    <row r="721" spans="1:16" x14ac:dyDescent="0.3">
      <c r="A721" s="3">
        <v>45258</v>
      </c>
      <c r="B721" s="2">
        <v>19844.650000000001</v>
      </c>
      <c r="C721" s="2">
        <v>19916.849999999999</v>
      </c>
      <c r="D721" s="2">
        <v>19800</v>
      </c>
      <c r="E721" s="2">
        <v>19889.7</v>
      </c>
      <c r="F721" s="2">
        <v>229595031</v>
      </c>
      <c r="G721" s="2">
        <v>23043.25</v>
      </c>
      <c r="H721" s="2">
        <f t="shared" si="72"/>
        <v>19484.18</v>
      </c>
      <c r="I721" s="2">
        <f t="shared" si="73"/>
        <v>19582.613999999998</v>
      </c>
      <c r="J721" s="2">
        <f t="shared" si="78"/>
        <v>18770.803999999989</v>
      </c>
      <c r="K721" s="2">
        <f t="shared" si="76"/>
        <v>95</v>
      </c>
      <c r="L721" s="7">
        <f t="shared" si="74"/>
        <v>4.7871844552562024E-3</v>
      </c>
      <c r="M721" s="9"/>
      <c r="N721" s="2">
        <f t="shared" si="77"/>
        <v>20192.349999999999</v>
      </c>
      <c r="O721" s="2">
        <f t="shared" si="75"/>
        <v>-1.4988349548219926E-2</v>
      </c>
      <c r="P721" s="2"/>
    </row>
    <row r="722" spans="1:16" x14ac:dyDescent="0.3">
      <c r="A722" s="3">
        <v>45259</v>
      </c>
      <c r="B722" s="2">
        <v>19976.55</v>
      </c>
      <c r="C722" s="2">
        <v>20104.650000000001</v>
      </c>
      <c r="D722" s="2">
        <v>19956.3</v>
      </c>
      <c r="E722" s="2">
        <v>20096.599999999999</v>
      </c>
      <c r="F722" s="2">
        <v>236241768</v>
      </c>
      <c r="G722" s="2">
        <v>22367.64</v>
      </c>
      <c r="H722" s="2">
        <f t="shared" si="72"/>
        <v>19521.620000000003</v>
      </c>
      <c r="I722" s="2">
        <f t="shared" si="73"/>
        <v>19579.007999999998</v>
      </c>
      <c r="J722" s="2">
        <f t="shared" si="78"/>
        <v>18780.98224999999</v>
      </c>
      <c r="K722" s="2">
        <f t="shared" si="76"/>
        <v>206.89999999999782</v>
      </c>
      <c r="L722" s="7">
        <f t="shared" si="74"/>
        <v>1.0357143751047996E-2</v>
      </c>
      <c r="M722" s="9"/>
      <c r="N722" s="2">
        <f t="shared" si="77"/>
        <v>20192.349999999999</v>
      </c>
      <c r="O722" s="2">
        <f t="shared" si="75"/>
        <v>-4.74189482650611E-3</v>
      </c>
      <c r="P722" s="2"/>
    </row>
    <row r="723" spans="1:16" x14ac:dyDescent="0.3">
      <c r="A723" s="3">
        <v>45260</v>
      </c>
      <c r="B723" s="2">
        <v>20108.5</v>
      </c>
      <c r="C723" s="2">
        <v>20158.7</v>
      </c>
      <c r="D723" s="2">
        <v>20015.849999999999</v>
      </c>
      <c r="E723" s="2">
        <v>20133.150000000001</v>
      </c>
      <c r="F723" s="2">
        <v>486585349</v>
      </c>
      <c r="G723" s="2">
        <v>48877.95</v>
      </c>
      <c r="H723" s="2">
        <f t="shared" si="72"/>
        <v>19572.47</v>
      </c>
      <c r="I723" s="2">
        <f t="shared" si="73"/>
        <v>19578.877999999997</v>
      </c>
      <c r="J723" s="2">
        <f t="shared" si="78"/>
        <v>18792.642249999994</v>
      </c>
      <c r="K723" s="2">
        <f t="shared" si="76"/>
        <v>36.55000000000291</v>
      </c>
      <c r="L723" s="7">
        <f t="shared" si="74"/>
        <v>1.8176393067609673E-3</v>
      </c>
      <c r="M723" s="9"/>
      <c r="N723" s="2">
        <f t="shared" si="77"/>
        <v>20192.349999999999</v>
      </c>
      <c r="O723" s="2">
        <f t="shared" si="75"/>
        <v>-2.9318033809832E-3</v>
      </c>
      <c r="P723" s="2"/>
    </row>
    <row r="724" spans="1:16" x14ac:dyDescent="0.3">
      <c r="A724" s="3">
        <v>45261</v>
      </c>
      <c r="B724" s="2">
        <v>20194.099999999999</v>
      </c>
      <c r="C724" s="2">
        <v>20291.55</v>
      </c>
      <c r="D724" s="2">
        <v>20183.7</v>
      </c>
      <c r="E724" s="2">
        <v>20267.900000000001</v>
      </c>
      <c r="F724" s="2">
        <v>265812566</v>
      </c>
      <c r="G724" s="2">
        <v>22461.53</v>
      </c>
      <c r="H724" s="2">
        <f t="shared" si="72"/>
        <v>19629.670000000002</v>
      </c>
      <c r="I724" s="2">
        <f t="shared" si="73"/>
        <v>19577.693999999996</v>
      </c>
      <c r="J724" s="2">
        <f t="shared" si="78"/>
        <v>18804.700499999992</v>
      </c>
      <c r="K724" s="2">
        <f t="shared" si="76"/>
        <v>134.75</v>
      </c>
      <c r="L724" s="7">
        <f t="shared" si="74"/>
        <v>6.6727410481279194E-3</v>
      </c>
      <c r="M724" s="9"/>
      <c r="N724" s="2">
        <f t="shared" si="77"/>
        <v>20267.900000000001</v>
      </c>
      <c r="O724" s="2">
        <f t="shared" si="75"/>
        <v>0</v>
      </c>
      <c r="P724" s="2"/>
    </row>
    <row r="725" spans="1:16" x14ac:dyDescent="0.3">
      <c r="A725" s="3">
        <v>45264</v>
      </c>
      <c r="B725" s="2">
        <v>20601.95</v>
      </c>
      <c r="C725" s="2">
        <v>20702.650000000001</v>
      </c>
      <c r="D725" s="2">
        <v>20507.75</v>
      </c>
      <c r="E725" s="2">
        <v>20686.8</v>
      </c>
      <c r="F725" s="2">
        <v>381107418</v>
      </c>
      <c r="G725" s="2">
        <v>33917.519999999997</v>
      </c>
      <c r="H725" s="2">
        <f t="shared" si="72"/>
        <v>19686.402500000004</v>
      </c>
      <c r="I725" s="2">
        <f t="shared" si="73"/>
        <v>19580.385999999999</v>
      </c>
      <c r="J725" s="2">
        <f t="shared" si="78"/>
        <v>18816.681499999992</v>
      </c>
      <c r="K725" s="2">
        <f t="shared" si="76"/>
        <v>418.89999999999782</v>
      </c>
      <c r="L725" s="7">
        <f t="shared" si="74"/>
        <v>2.0333026728052334E-2</v>
      </c>
      <c r="M725" s="9"/>
      <c r="N725" s="2">
        <f t="shared" si="77"/>
        <v>20686.8</v>
      </c>
      <c r="O725" s="2">
        <f t="shared" si="75"/>
        <v>0</v>
      </c>
      <c r="P725" s="2"/>
    </row>
    <row r="726" spans="1:16" x14ac:dyDescent="0.3">
      <c r="A726" s="3">
        <v>45265</v>
      </c>
      <c r="B726" s="2">
        <v>20808.900000000001</v>
      </c>
      <c r="C726" s="2">
        <v>20864.05</v>
      </c>
      <c r="D726" s="2">
        <v>20711.150000000001</v>
      </c>
      <c r="E726" s="2">
        <v>20855.099999999999</v>
      </c>
      <c r="F726" s="2">
        <v>421008350</v>
      </c>
      <c r="G726" s="2">
        <v>41763.519999999997</v>
      </c>
      <c r="H726" s="2">
        <f t="shared" si="72"/>
        <v>19759.212500000001</v>
      </c>
      <c r="I726" s="2">
        <f t="shared" si="73"/>
        <v>19596.094000000001</v>
      </c>
      <c r="J726" s="2">
        <f t="shared" si="78"/>
        <v>18830.648249999991</v>
      </c>
      <c r="K726" s="2">
        <f t="shared" si="76"/>
        <v>168.29999999999927</v>
      </c>
      <c r="L726" s="7">
        <f t="shared" si="74"/>
        <v>8.0878854720816216E-3</v>
      </c>
      <c r="M726" s="9"/>
      <c r="N726" s="2">
        <f t="shared" si="77"/>
        <v>20855.099999999999</v>
      </c>
      <c r="O726" s="2">
        <f t="shared" si="75"/>
        <v>0</v>
      </c>
      <c r="P726" s="2"/>
    </row>
    <row r="727" spans="1:16" x14ac:dyDescent="0.3">
      <c r="A727" s="3">
        <v>45266</v>
      </c>
      <c r="B727" s="2">
        <v>20950.75</v>
      </c>
      <c r="C727" s="2">
        <v>20961.95</v>
      </c>
      <c r="D727" s="2">
        <v>20852.150000000001</v>
      </c>
      <c r="E727" s="2">
        <v>20937.7</v>
      </c>
      <c r="F727" s="2">
        <v>359212958</v>
      </c>
      <c r="G727" s="2">
        <v>35654.76</v>
      </c>
      <c r="H727" s="2">
        <f t="shared" ref="H727:H790" si="79">AVERAGE(E707:E726)</f>
        <v>19831.38</v>
      </c>
      <c r="I727" s="2">
        <f t="shared" si="73"/>
        <v>19618.348999999998</v>
      </c>
      <c r="J727" s="2">
        <f t="shared" si="78"/>
        <v>18845.641249999993</v>
      </c>
      <c r="K727" s="2">
        <f t="shared" si="76"/>
        <v>82.600000000002183</v>
      </c>
      <c r="L727" s="7">
        <f t="shared" si="74"/>
        <v>3.9425796212547133E-3</v>
      </c>
      <c r="M727" s="9"/>
      <c r="N727" s="2">
        <f t="shared" si="77"/>
        <v>20937.7</v>
      </c>
      <c r="O727" s="2">
        <f t="shared" si="75"/>
        <v>0</v>
      </c>
      <c r="P727" s="2"/>
    </row>
    <row r="728" spans="1:16" x14ac:dyDescent="0.3">
      <c r="A728" s="3">
        <v>45267</v>
      </c>
      <c r="B728" s="2">
        <v>20932.400000000001</v>
      </c>
      <c r="C728" s="2">
        <v>20941.25</v>
      </c>
      <c r="D728" s="2">
        <v>20850.8</v>
      </c>
      <c r="E728" s="2">
        <v>20901.150000000001</v>
      </c>
      <c r="F728" s="2">
        <v>274985308</v>
      </c>
      <c r="G728" s="2">
        <v>24862.43</v>
      </c>
      <c r="H728" s="2">
        <f t="shared" si="79"/>
        <v>19907.93</v>
      </c>
      <c r="I728" s="2">
        <f t="shared" si="73"/>
        <v>19643.617999999999</v>
      </c>
      <c r="J728" s="2">
        <f t="shared" si="78"/>
        <v>18861.475249999996</v>
      </c>
      <c r="K728" s="2">
        <f t="shared" si="76"/>
        <v>-36.549999999999272</v>
      </c>
      <c r="L728" s="7">
        <f t="shared" si="74"/>
        <v>-1.7460969597370235E-3</v>
      </c>
      <c r="M728" s="9"/>
      <c r="N728" s="2">
        <f t="shared" si="77"/>
        <v>20937.7</v>
      </c>
      <c r="O728" s="2">
        <f t="shared" si="75"/>
        <v>-1.7456549668778409E-3</v>
      </c>
      <c r="P728" s="2"/>
    </row>
    <row r="729" spans="1:16" x14ac:dyDescent="0.3">
      <c r="A729" s="3">
        <v>45268</v>
      </c>
      <c r="B729" s="2">
        <v>20934.099999999999</v>
      </c>
      <c r="C729" s="2">
        <v>21006.1</v>
      </c>
      <c r="D729" s="2">
        <v>20862.7</v>
      </c>
      <c r="E729" s="2">
        <v>20969.400000000001</v>
      </c>
      <c r="F729" s="2">
        <v>292440768</v>
      </c>
      <c r="G729" s="2">
        <v>27449.96</v>
      </c>
      <c r="H729" s="2">
        <f t="shared" si="79"/>
        <v>19980.812500000004</v>
      </c>
      <c r="I729" s="2">
        <f t="shared" si="73"/>
        <v>19668.150000000001</v>
      </c>
      <c r="J729" s="2">
        <f t="shared" si="78"/>
        <v>18876.331749999998</v>
      </c>
      <c r="K729" s="2">
        <f t="shared" si="76"/>
        <v>68.25</v>
      </c>
      <c r="L729" s="7">
        <f t="shared" si="74"/>
        <v>3.2602309151097972E-3</v>
      </c>
      <c r="M729" s="9"/>
      <c r="N729" s="2">
        <f t="shared" si="77"/>
        <v>20969.400000000001</v>
      </c>
      <c r="O729" s="2">
        <f t="shared" si="75"/>
        <v>0</v>
      </c>
      <c r="P729" s="2"/>
    </row>
    <row r="730" spans="1:16" x14ac:dyDescent="0.3">
      <c r="A730" s="3">
        <v>45271</v>
      </c>
      <c r="B730" s="2">
        <v>20965.3</v>
      </c>
      <c r="C730" s="2">
        <v>21026.1</v>
      </c>
      <c r="D730" s="2">
        <v>20923.7</v>
      </c>
      <c r="E730" s="2">
        <v>20997.1</v>
      </c>
      <c r="F730" s="2">
        <v>212921451</v>
      </c>
      <c r="G730" s="2">
        <v>21150.17</v>
      </c>
      <c r="H730" s="2">
        <f t="shared" si="79"/>
        <v>20059.517500000005</v>
      </c>
      <c r="I730" s="2">
        <f t="shared" si="73"/>
        <v>19694.244000000002</v>
      </c>
      <c r="J730" s="2">
        <f t="shared" si="78"/>
        <v>18891.099499999997</v>
      </c>
      <c r="K730" s="2">
        <f t="shared" si="76"/>
        <v>27.69999999999709</v>
      </c>
      <c r="L730" s="7">
        <f t="shared" si="74"/>
        <v>1.3212307956479083E-3</v>
      </c>
      <c r="M730" s="9"/>
      <c r="N730" s="2">
        <f t="shared" si="77"/>
        <v>20997.1</v>
      </c>
      <c r="O730" s="2">
        <f t="shared" si="75"/>
        <v>0</v>
      </c>
      <c r="P730" s="2"/>
    </row>
    <row r="731" spans="1:16" x14ac:dyDescent="0.3">
      <c r="A731" s="3">
        <v>45272</v>
      </c>
      <c r="B731" s="2">
        <v>21018.55</v>
      </c>
      <c r="C731" s="2">
        <v>21037.9</v>
      </c>
      <c r="D731" s="2">
        <v>20867.150000000001</v>
      </c>
      <c r="E731" s="2">
        <v>20906.400000000001</v>
      </c>
      <c r="F731" s="2">
        <v>244867128</v>
      </c>
      <c r="G731" s="2">
        <v>25404.639999999999</v>
      </c>
      <c r="H731" s="2">
        <f t="shared" si="79"/>
        <v>20138.105000000003</v>
      </c>
      <c r="I731" s="2">
        <f t="shared" si="73"/>
        <v>19719.857</v>
      </c>
      <c r="J731" s="2">
        <f t="shared" si="78"/>
        <v>18905.905749999998</v>
      </c>
      <c r="K731" s="2">
        <f t="shared" si="76"/>
        <v>-90.69999999999709</v>
      </c>
      <c r="L731" s="7">
        <f t="shared" si="74"/>
        <v>-4.3152358273999443E-3</v>
      </c>
      <c r="M731" s="9"/>
      <c r="N731" s="2">
        <f t="shared" si="77"/>
        <v>20997.1</v>
      </c>
      <c r="O731" s="2">
        <f t="shared" si="75"/>
        <v>-4.3196441413336784E-3</v>
      </c>
      <c r="P731" s="2"/>
    </row>
    <row r="732" spans="1:16" x14ac:dyDescent="0.3">
      <c r="A732" s="3">
        <v>45273</v>
      </c>
      <c r="B732" s="2">
        <v>20929.75</v>
      </c>
      <c r="C732" s="2">
        <v>20950</v>
      </c>
      <c r="D732" s="2">
        <v>20769.5</v>
      </c>
      <c r="E732" s="2">
        <v>20926.349999999999</v>
      </c>
      <c r="F732" s="2">
        <v>260269318</v>
      </c>
      <c r="G732" s="2">
        <v>25918.44</v>
      </c>
      <c r="H732" s="2">
        <f t="shared" si="79"/>
        <v>20207.147500000003</v>
      </c>
      <c r="I732" s="2">
        <f t="shared" si="73"/>
        <v>19747.514000000003</v>
      </c>
      <c r="J732" s="2">
        <f t="shared" si="78"/>
        <v>18920.716749999996</v>
      </c>
      <c r="K732" s="2">
        <f t="shared" si="76"/>
        <v>19.94999999999709</v>
      </c>
      <c r="L732" s="7">
        <f t="shared" si="74"/>
        <v>9.5318864296024027E-4</v>
      </c>
      <c r="M732" s="9"/>
      <c r="N732" s="2">
        <f t="shared" si="77"/>
        <v>20997.1</v>
      </c>
      <c r="O732" s="2">
        <f t="shared" si="75"/>
        <v>-3.36951293273835E-3</v>
      </c>
      <c r="P732" s="2"/>
    </row>
    <row r="733" spans="1:16" x14ac:dyDescent="0.3">
      <c r="A733" s="3">
        <v>45274</v>
      </c>
      <c r="B733" s="2">
        <v>21110.400000000001</v>
      </c>
      <c r="C733" s="2">
        <v>21210.9</v>
      </c>
      <c r="D733" s="2">
        <v>21074.45</v>
      </c>
      <c r="E733" s="2">
        <v>21182.7</v>
      </c>
      <c r="F733" s="2">
        <v>334410589</v>
      </c>
      <c r="G733" s="2">
        <v>32593.42</v>
      </c>
      <c r="H733" s="2">
        <f t="shared" si="79"/>
        <v>20281.287500000002</v>
      </c>
      <c r="I733" s="2">
        <f t="shared" si="73"/>
        <v>19773.275000000001</v>
      </c>
      <c r="J733" s="2">
        <f t="shared" si="78"/>
        <v>18936.125499999998</v>
      </c>
      <c r="K733" s="2">
        <f t="shared" si="76"/>
        <v>256.35000000000218</v>
      </c>
      <c r="L733" s="7">
        <f t="shared" si="74"/>
        <v>1.2143303774443032E-2</v>
      </c>
      <c r="M733" s="9"/>
      <c r="N733" s="2">
        <f t="shared" si="77"/>
        <v>21182.7</v>
      </c>
      <c r="O733" s="2">
        <f t="shared" si="75"/>
        <v>0</v>
      </c>
      <c r="P733" s="2"/>
    </row>
    <row r="734" spans="1:16" x14ac:dyDescent="0.3">
      <c r="A734" s="3">
        <v>45275</v>
      </c>
      <c r="B734" s="2">
        <v>21287.45</v>
      </c>
      <c r="C734" s="2">
        <v>21492.3</v>
      </c>
      <c r="D734" s="2">
        <v>21235.3</v>
      </c>
      <c r="E734" s="2">
        <v>21456.65</v>
      </c>
      <c r="F734" s="2">
        <v>508761756</v>
      </c>
      <c r="G734" s="2">
        <v>50114.46</v>
      </c>
      <c r="H734" s="2">
        <f t="shared" si="79"/>
        <v>20356.650000000001</v>
      </c>
      <c r="I734" s="2">
        <f t="shared" si="73"/>
        <v>19806.353999999999</v>
      </c>
      <c r="J734" s="2">
        <f t="shared" si="78"/>
        <v>18952.905499999997</v>
      </c>
      <c r="K734" s="2">
        <f t="shared" si="76"/>
        <v>273.95000000000073</v>
      </c>
      <c r="L734" s="7">
        <f t="shared" si="74"/>
        <v>1.2869084836370758E-2</v>
      </c>
      <c r="M734" s="9"/>
      <c r="N734" s="2">
        <f t="shared" si="77"/>
        <v>21456.65</v>
      </c>
      <c r="O734" s="2">
        <f t="shared" si="75"/>
        <v>0</v>
      </c>
      <c r="P734" s="2"/>
    </row>
    <row r="735" spans="1:16" x14ac:dyDescent="0.3">
      <c r="A735" s="3">
        <v>45278</v>
      </c>
      <c r="B735" s="2">
        <v>21434.799999999999</v>
      </c>
      <c r="C735" s="2">
        <v>21482.799999999999</v>
      </c>
      <c r="D735" s="2">
        <v>21365.35</v>
      </c>
      <c r="E735" s="2">
        <v>21418.65</v>
      </c>
      <c r="F735" s="2">
        <v>249668965</v>
      </c>
      <c r="G735" s="2">
        <v>23615.279999999999</v>
      </c>
      <c r="H735" s="2">
        <f t="shared" si="79"/>
        <v>20441.222500000003</v>
      </c>
      <c r="I735" s="2">
        <f t="shared" si="73"/>
        <v>19846.764999999999</v>
      </c>
      <c r="J735" s="2">
        <f t="shared" si="78"/>
        <v>18972.417250000002</v>
      </c>
      <c r="K735" s="2">
        <f t="shared" si="76"/>
        <v>-38</v>
      </c>
      <c r="L735" s="7">
        <f t="shared" si="74"/>
        <v>-1.7728180342247188E-3</v>
      </c>
      <c r="M735" s="9"/>
      <c r="N735" s="2">
        <f t="shared" si="77"/>
        <v>21456.65</v>
      </c>
      <c r="O735" s="2">
        <f t="shared" si="75"/>
        <v>-1.7710127163373945E-3</v>
      </c>
      <c r="P735" s="2"/>
    </row>
    <row r="736" spans="1:16" x14ac:dyDescent="0.3">
      <c r="A736" s="3">
        <v>45279</v>
      </c>
      <c r="B736" s="2">
        <v>21477.65</v>
      </c>
      <c r="C736" s="2">
        <v>21505.05</v>
      </c>
      <c r="D736" s="2">
        <v>21337.75</v>
      </c>
      <c r="E736" s="2">
        <v>21453.1</v>
      </c>
      <c r="F736" s="2">
        <v>249750062</v>
      </c>
      <c r="G736" s="2">
        <v>23750.61</v>
      </c>
      <c r="H736" s="2">
        <f t="shared" si="79"/>
        <v>20525.565000000002</v>
      </c>
      <c r="I736" s="2">
        <f t="shared" si="73"/>
        <v>19884.222999999994</v>
      </c>
      <c r="J736" s="2">
        <f t="shared" si="78"/>
        <v>18991.954249999999</v>
      </c>
      <c r="K736" s="2">
        <f t="shared" si="76"/>
        <v>34.44999999999709</v>
      </c>
      <c r="L736" s="7">
        <f t="shared" si="74"/>
        <v>1.603992988059545E-3</v>
      </c>
      <c r="M736" s="9"/>
      <c r="N736" s="2">
        <f t="shared" si="77"/>
        <v>21456.65</v>
      </c>
      <c r="O736" s="2">
        <f t="shared" si="75"/>
        <v>-1.6544987218425344E-4</v>
      </c>
      <c r="P736" s="2"/>
    </row>
    <row r="737" spans="1:16" x14ac:dyDescent="0.3">
      <c r="A737" s="3">
        <v>45280</v>
      </c>
      <c r="B737" s="2">
        <v>21543.5</v>
      </c>
      <c r="C737" s="2">
        <v>21593</v>
      </c>
      <c r="D737" s="2">
        <v>21087.35</v>
      </c>
      <c r="E737" s="2">
        <v>21150.15</v>
      </c>
      <c r="F737" s="2">
        <v>363886229</v>
      </c>
      <c r="G737" s="2">
        <v>30993.119999999999</v>
      </c>
      <c r="H737" s="2">
        <f t="shared" si="79"/>
        <v>20613.52</v>
      </c>
      <c r="I737" s="2">
        <f t="shared" si="73"/>
        <v>19920.214999999997</v>
      </c>
      <c r="J737" s="2">
        <f t="shared" si="78"/>
        <v>19011.890750000002</v>
      </c>
      <c r="K737" s="2">
        <f t="shared" si="76"/>
        <v>-302.94999999999709</v>
      </c>
      <c r="L737" s="7">
        <f t="shared" si="74"/>
        <v>-1.40622461531319E-2</v>
      </c>
      <c r="M737" s="9"/>
      <c r="N737" s="2">
        <f t="shared" si="77"/>
        <v>21456.65</v>
      </c>
      <c r="O737" s="2">
        <f t="shared" si="75"/>
        <v>-1.4284615725194794E-2</v>
      </c>
      <c r="P737" s="2"/>
    </row>
    <row r="738" spans="1:16" x14ac:dyDescent="0.3">
      <c r="A738" s="3">
        <v>45281</v>
      </c>
      <c r="B738" s="2">
        <v>21033.95</v>
      </c>
      <c r="C738" s="2">
        <v>21288.35</v>
      </c>
      <c r="D738" s="2">
        <v>20976.799999999999</v>
      </c>
      <c r="E738" s="2">
        <v>21255.05</v>
      </c>
      <c r="F738" s="2">
        <v>277548079</v>
      </c>
      <c r="G738" s="2">
        <v>26001.02</v>
      </c>
      <c r="H738" s="2">
        <f t="shared" si="79"/>
        <v>20681.857500000002</v>
      </c>
      <c r="I738" s="2">
        <f t="shared" si="73"/>
        <v>19952.970999999998</v>
      </c>
      <c r="J738" s="2">
        <f t="shared" si="78"/>
        <v>19030.678</v>
      </c>
      <c r="K738" s="2">
        <f t="shared" si="76"/>
        <v>104.89999999999782</v>
      </c>
      <c r="L738" s="7">
        <f t="shared" si="74"/>
        <v>4.9871754948546424E-3</v>
      </c>
      <c r="M738" s="9"/>
      <c r="N738" s="2">
        <f t="shared" si="77"/>
        <v>21456.65</v>
      </c>
      <c r="O738" s="2">
        <f t="shared" si="75"/>
        <v>-9.3956885161478043E-3</v>
      </c>
      <c r="P738" s="2"/>
    </row>
    <row r="739" spans="1:16" x14ac:dyDescent="0.3">
      <c r="A739" s="3">
        <v>45282</v>
      </c>
      <c r="B739" s="2">
        <v>21295.85</v>
      </c>
      <c r="C739" s="2">
        <v>21390.5</v>
      </c>
      <c r="D739" s="2">
        <v>21232.45</v>
      </c>
      <c r="E739" s="2">
        <v>21349.4</v>
      </c>
      <c r="F739" s="2">
        <v>284708918</v>
      </c>
      <c r="G739" s="2">
        <v>27709.29</v>
      </c>
      <c r="H739" s="2">
        <f t="shared" si="79"/>
        <v>20754.017500000002</v>
      </c>
      <c r="I739" s="2">
        <f t="shared" si="73"/>
        <v>19984.275000000001</v>
      </c>
      <c r="J739" s="2">
        <f t="shared" si="78"/>
        <v>19050.433499999999</v>
      </c>
      <c r="K739" s="2">
        <f t="shared" si="76"/>
        <v>94.350000000002183</v>
      </c>
      <c r="L739" s="7">
        <f t="shared" si="74"/>
        <v>4.4304406727133311E-3</v>
      </c>
      <c r="M739" s="9"/>
      <c r="N739" s="2">
        <f t="shared" si="77"/>
        <v>21456.65</v>
      </c>
      <c r="O739" s="2">
        <f t="shared" si="75"/>
        <v>-4.9984503638732525E-3</v>
      </c>
      <c r="P739" s="2"/>
    </row>
    <row r="740" spans="1:16" x14ac:dyDescent="0.3">
      <c r="A740" s="3">
        <v>45286</v>
      </c>
      <c r="B740" s="2">
        <v>21365.200000000001</v>
      </c>
      <c r="C740" s="2">
        <v>21477.15</v>
      </c>
      <c r="D740" s="2">
        <v>21329.45</v>
      </c>
      <c r="E740" s="2">
        <v>21441.35</v>
      </c>
      <c r="F740" s="2">
        <v>219467748</v>
      </c>
      <c r="G740" s="2">
        <v>20081.330000000002</v>
      </c>
      <c r="H740" s="2">
        <f t="shared" si="79"/>
        <v>20831.387500000004</v>
      </c>
      <c r="I740" s="2">
        <f t="shared" si="73"/>
        <v>20015.036</v>
      </c>
      <c r="J740" s="2">
        <f t="shared" si="78"/>
        <v>19069.925999999999</v>
      </c>
      <c r="K740" s="2">
        <f t="shared" si="76"/>
        <v>91.94999999999709</v>
      </c>
      <c r="L740" s="7">
        <f t="shared" si="74"/>
        <v>4.3037275569616524E-3</v>
      </c>
      <c r="M740" s="9"/>
      <c r="N740" s="2">
        <f t="shared" si="77"/>
        <v>21456.65</v>
      </c>
      <c r="O740" s="2">
        <f t="shared" si="75"/>
        <v>-7.1306564631490321E-4</v>
      </c>
      <c r="P740" s="2"/>
    </row>
    <row r="741" spans="1:16" x14ac:dyDescent="0.3">
      <c r="A741" s="3">
        <v>45287</v>
      </c>
      <c r="B741" s="2">
        <v>21497.65</v>
      </c>
      <c r="C741" s="2">
        <v>21675.75</v>
      </c>
      <c r="D741" s="2">
        <v>21495.8</v>
      </c>
      <c r="E741" s="2">
        <v>21654.75</v>
      </c>
      <c r="F741" s="2">
        <v>256542963</v>
      </c>
      <c r="G741" s="2">
        <v>23059.25</v>
      </c>
      <c r="H741" s="2">
        <f t="shared" si="79"/>
        <v>20913.72</v>
      </c>
      <c r="I741" s="2">
        <f t="shared" si="73"/>
        <v>20047.982999999997</v>
      </c>
      <c r="J741" s="2">
        <f t="shared" si="78"/>
        <v>19090.523249999998</v>
      </c>
      <c r="K741" s="2">
        <f t="shared" si="76"/>
        <v>213.40000000000146</v>
      </c>
      <c r="L741" s="7">
        <f t="shared" si="74"/>
        <v>9.9266664030720313E-3</v>
      </c>
      <c r="M741" s="9"/>
      <c r="N741" s="2">
        <f t="shared" si="77"/>
        <v>21654.75</v>
      </c>
      <c r="O741" s="2">
        <f t="shared" si="75"/>
        <v>0</v>
      </c>
      <c r="P741" s="2"/>
    </row>
    <row r="742" spans="1:16" x14ac:dyDescent="0.3">
      <c r="A742" s="3">
        <v>45288</v>
      </c>
      <c r="B742" s="2">
        <v>21715</v>
      </c>
      <c r="C742" s="2">
        <v>21801.45</v>
      </c>
      <c r="D742" s="2">
        <v>21678</v>
      </c>
      <c r="E742" s="2">
        <v>21778.7</v>
      </c>
      <c r="F742" s="2">
        <v>393080755</v>
      </c>
      <c r="G742" s="2">
        <v>35031</v>
      </c>
      <c r="H742" s="2">
        <f t="shared" si="79"/>
        <v>21001.9725</v>
      </c>
      <c r="I742" s="2">
        <f t="shared" si="73"/>
        <v>20086.057000000001</v>
      </c>
      <c r="J742" s="2">
        <f t="shared" si="78"/>
        <v>19110.825249999998</v>
      </c>
      <c r="K742" s="2">
        <f t="shared" si="76"/>
        <v>123.95000000000073</v>
      </c>
      <c r="L742" s="7">
        <f t="shared" si="74"/>
        <v>5.7080359198710901E-3</v>
      </c>
      <c r="M742" s="9"/>
      <c r="N742" s="2">
        <f t="shared" si="77"/>
        <v>21778.7</v>
      </c>
      <c r="O742" s="2">
        <f t="shared" si="75"/>
        <v>0</v>
      </c>
      <c r="P742" s="2"/>
    </row>
    <row r="743" spans="1:16" x14ac:dyDescent="0.3">
      <c r="A743" s="3">
        <v>45289</v>
      </c>
      <c r="B743" s="2">
        <v>21737.65</v>
      </c>
      <c r="C743" s="2">
        <v>21770.3</v>
      </c>
      <c r="D743" s="2">
        <v>21676.9</v>
      </c>
      <c r="E743" s="2">
        <v>21731.4</v>
      </c>
      <c r="F743" s="2">
        <v>270922276</v>
      </c>
      <c r="G743" s="2">
        <v>23697.88</v>
      </c>
      <c r="H743" s="2">
        <f t="shared" si="79"/>
        <v>21086.077500000003</v>
      </c>
      <c r="I743" s="2">
        <f t="shared" si="73"/>
        <v>20126.995999999999</v>
      </c>
      <c r="J743" s="2">
        <f t="shared" si="78"/>
        <v>19131.161499999998</v>
      </c>
      <c r="K743" s="2">
        <f t="shared" si="76"/>
        <v>-47.299999999999272</v>
      </c>
      <c r="L743" s="7">
        <f t="shared" si="74"/>
        <v>-2.1759481820711655E-3</v>
      </c>
      <c r="M743" s="9"/>
      <c r="N743" s="2">
        <f t="shared" si="77"/>
        <v>21778.7</v>
      </c>
      <c r="O743" s="2">
        <f t="shared" si="75"/>
        <v>-2.1718468044464867E-3</v>
      </c>
      <c r="P743" s="2"/>
    </row>
    <row r="744" spans="1:16" x14ac:dyDescent="0.3">
      <c r="A744" s="3">
        <v>45292</v>
      </c>
      <c r="B744" s="2">
        <v>21727.75</v>
      </c>
      <c r="C744" s="2">
        <v>21834.35</v>
      </c>
      <c r="D744" s="2">
        <v>21680.85</v>
      </c>
      <c r="E744" s="2">
        <v>21741.9</v>
      </c>
      <c r="F744" s="2">
        <v>153995217</v>
      </c>
      <c r="G744" s="2">
        <v>14184.09</v>
      </c>
      <c r="H744" s="2">
        <f t="shared" si="79"/>
        <v>21165.99</v>
      </c>
      <c r="I744" s="2">
        <f t="shared" si="73"/>
        <v>20165.394</v>
      </c>
      <c r="J744" s="2">
        <f t="shared" si="78"/>
        <v>19151.0465</v>
      </c>
      <c r="K744" s="2">
        <f t="shared" si="76"/>
        <v>10.5</v>
      </c>
      <c r="L744" s="7">
        <f t="shared" si="74"/>
        <v>4.832529829365673E-4</v>
      </c>
      <c r="M744" s="9"/>
      <c r="N744" s="2">
        <f t="shared" si="77"/>
        <v>21778.7</v>
      </c>
      <c r="O744" s="2">
        <f t="shared" si="75"/>
        <v>-1.6897243637131742E-3</v>
      </c>
      <c r="P744" s="2"/>
    </row>
    <row r="745" spans="1:16" x14ac:dyDescent="0.3">
      <c r="A745" s="3">
        <v>45293</v>
      </c>
      <c r="B745" s="2">
        <v>21751.35</v>
      </c>
      <c r="C745" s="2">
        <v>21755.599999999999</v>
      </c>
      <c r="D745" s="2">
        <v>21555.65</v>
      </c>
      <c r="E745" s="2">
        <v>21665.8</v>
      </c>
      <c r="F745" s="2">
        <v>263711568</v>
      </c>
      <c r="G745" s="2">
        <v>25316.13</v>
      </c>
      <c r="H745" s="2">
        <f t="shared" si="79"/>
        <v>21239.690000000002</v>
      </c>
      <c r="I745" s="2">
        <f t="shared" si="73"/>
        <v>20206.810000000001</v>
      </c>
      <c r="J745" s="2">
        <f t="shared" si="78"/>
        <v>19171.807999999997</v>
      </c>
      <c r="K745" s="2">
        <f t="shared" si="76"/>
        <v>-76.100000000002183</v>
      </c>
      <c r="L745" s="7">
        <f t="shared" si="74"/>
        <v>-3.4986334181557554E-3</v>
      </c>
      <c r="M745" s="9"/>
      <c r="N745" s="2">
        <f t="shared" si="77"/>
        <v>21778.7</v>
      </c>
      <c r="O745" s="2">
        <f t="shared" si="75"/>
        <v>-5.1839641484570098E-3</v>
      </c>
      <c r="P745" s="2"/>
    </row>
    <row r="746" spans="1:16" x14ac:dyDescent="0.3">
      <c r="A746" s="3">
        <v>45294</v>
      </c>
      <c r="B746" s="2">
        <v>21661.1</v>
      </c>
      <c r="C746" s="2">
        <v>21677</v>
      </c>
      <c r="D746" s="2">
        <v>21500.35</v>
      </c>
      <c r="E746" s="2">
        <v>21517.35</v>
      </c>
      <c r="F746" s="2">
        <v>311933117</v>
      </c>
      <c r="G746" s="2">
        <v>32329.23</v>
      </c>
      <c r="H746" s="2">
        <f t="shared" si="79"/>
        <v>21288.640000000003</v>
      </c>
      <c r="I746" s="2">
        <f t="shared" si="73"/>
        <v>20247.632000000005</v>
      </c>
      <c r="J746" s="2">
        <f t="shared" si="78"/>
        <v>19193.072499999998</v>
      </c>
      <c r="K746" s="2">
        <f t="shared" si="76"/>
        <v>-148.45000000000073</v>
      </c>
      <c r="L746" s="7">
        <f t="shared" si="74"/>
        <v>-6.8532992322643234E-3</v>
      </c>
      <c r="M746" s="9"/>
      <c r="N746" s="2">
        <f t="shared" si="77"/>
        <v>21778.7</v>
      </c>
      <c r="O746" s="2">
        <f t="shared" si="75"/>
        <v>-1.2000257131968506E-2</v>
      </c>
      <c r="P746" s="2"/>
    </row>
    <row r="747" spans="1:16" x14ac:dyDescent="0.3">
      <c r="A747" s="3">
        <v>45295</v>
      </c>
      <c r="B747" s="2">
        <v>21605.8</v>
      </c>
      <c r="C747" s="2">
        <v>21685.65</v>
      </c>
      <c r="D747" s="2">
        <v>21564.55</v>
      </c>
      <c r="E747" s="2">
        <v>21658.6</v>
      </c>
      <c r="F747" s="2">
        <v>339172697</v>
      </c>
      <c r="G747" s="2">
        <v>30868.15</v>
      </c>
      <c r="H747" s="2">
        <f t="shared" si="79"/>
        <v>21321.752499999999</v>
      </c>
      <c r="I747" s="2">
        <f t="shared" si="73"/>
        <v>20287.126</v>
      </c>
      <c r="J747" s="2">
        <f t="shared" si="78"/>
        <v>19214.887749999998</v>
      </c>
      <c r="K747" s="2">
        <f t="shared" si="76"/>
        <v>141.25</v>
      </c>
      <c r="L747" s="7">
        <f t="shared" si="74"/>
        <v>6.5375963861555699E-3</v>
      </c>
      <c r="M747" s="9"/>
      <c r="N747" s="2">
        <f t="shared" si="77"/>
        <v>21778.7</v>
      </c>
      <c r="O747" s="2">
        <f t="shared" si="75"/>
        <v>-5.5145623935314303E-3</v>
      </c>
      <c r="P747" s="2"/>
    </row>
    <row r="748" spans="1:16" x14ac:dyDescent="0.3">
      <c r="A748" s="3">
        <v>45296</v>
      </c>
      <c r="B748" s="2">
        <v>21705.75</v>
      </c>
      <c r="C748" s="2">
        <v>21749.599999999999</v>
      </c>
      <c r="D748" s="2">
        <v>21629.200000000001</v>
      </c>
      <c r="E748" s="2">
        <v>21710.799999999999</v>
      </c>
      <c r="F748" s="2">
        <v>309303266</v>
      </c>
      <c r="G748" s="2">
        <v>26554.49</v>
      </c>
      <c r="H748" s="2">
        <f t="shared" si="79"/>
        <v>21357.797499999997</v>
      </c>
      <c r="I748" s="2">
        <f t="shared" si="73"/>
        <v>20334.663</v>
      </c>
      <c r="J748" s="2">
        <f t="shared" si="78"/>
        <v>19237.964250000001</v>
      </c>
      <c r="K748" s="2">
        <f t="shared" si="76"/>
        <v>52.200000000000728</v>
      </c>
      <c r="L748" s="7">
        <f t="shared" si="74"/>
        <v>2.404892712760477E-3</v>
      </c>
      <c r="M748" s="9"/>
      <c r="N748" s="2">
        <f t="shared" si="77"/>
        <v>21778.7</v>
      </c>
      <c r="O748" s="2">
        <f t="shared" si="75"/>
        <v>-3.1177251167425757E-3</v>
      </c>
      <c r="P748" s="2"/>
    </row>
    <row r="749" spans="1:16" x14ac:dyDescent="0.3">
      <c r="A749" s="3">
        <v>45299</v>
      </c>
      <c r="B749" s="2">
        <v>21747.599999999999</v>
      </c>
      <c r="C749" s="2">
        <v>21763.95</v>
      </c>
      <c r="D749" s="2">
        <v>21492.9</v>
      </c>
      <c r="E749" s="2">
        <v>21513</v>
      </c>
      <c r="F749" s="2">
        <v>231452935</v>
      </c>
      <c r="G749" s="2">
        <v>21140.94</v>
      </c>
      <c r="H749" s="2">
        <f t="shared" si="79"/>
        <v>21398.28</v>
      </c>
      <c r="I749" s="2">
        <f t="shared" si="73"/>
        <v>20386.436000000002</v>
      </c>
      <c r="J749" s="2">
        <f t="shared" si="78"/>
        <v>19261.657500000001</v>
      </c>
      <c r="K749" s="2">
        <f t="shared" si="76"/>
        <v>-197.79999999999927</v>
      </c>
      <c r="L749" s="7">
        <f t="shared" si="74"/>
        <v>-9.0952564880722141E-3</v>
      </c>
      <c r="M749" s="9"/>
      <c r="N749" s="2">
        <f t="shared" si="77"/>
        <v>21778.7</v>
      </c>
      <c r="O749" s="2">
        <f t="shared" si="75"/>
        <v>-1.2199993571700873E-2</v>
      </c>
      <c r="P749" s="2"/>
    </row>
    <row r="750" spans="1:16" x14ac:dyDescent="0.3">
      <c r="A750" s="3">
        <v>45300</v>
      </c>
      <c r="B750" s="2">
        <v>21653.599999999999</v>
      </c>
      <c r="C750" s="2">
        <v>21724.45</v>
      </c>
      <c r="D750" s="2">
        <v>21517.85</v>
      </c>
      <c r="E750" s="2">
        <v>21544.85</v>
      </c>
      <c r="F750" s="2">
        <v>228568589</v>
      </c>
      <c r="G750" s="2">
        <v>24055.74</v>
      </c>
      <c r="H750" s="2">
        <f t="shared" si="79"/>
        <v>21425.46</v>
      </c>
      <c r="I750" s="2">
        <f t="shared" si="73"/>
        <v>20439.550999999999</v>
      </c>
      <c r="J750" s="2">
        <f t="shared" si="78"/>
        <v>19284.2945</v>
      </c>
      <c r="K750" s="2">
        <f t="shared" si="76"/>
        <v>31.849999999998545</v>
      </c>
      <c r="L750" s="7">
        <f t="shared" si="74"/>
        <v>1.4708870580410901E-3</v>
      </c>
      <c r="M750" s="9"/>
      <c r="N750" s="2">
        <f t="shared" si="77"/>
        <v>21778.7</v>
      </c>
      <c r="O750" s="2">
        <f t="shared" si="75"/>
        <v>-1.0737555501476259E-2</v>
      </c>
      <c r="P750" s="2"/>
    </row>
    <row r="751" spans="1:16" x14ac:dyDescent="0.3">
      <c r="A751" s="3">
        <v>45301</v>
      </c>
      <c r="B751" s="2">
        <v>21529.3</v>
      </c>
      <c r="C751" s="2">
        <v>21641.85</v>
      </c>
      <c r="D751" s="2">
        <v>21448.65</v>
      </c>
      <c r="E751" s="2">
        <v>21618.7</v>
      </c>
      <c r="F751" s="2">
        <v>216991926</v>
      </c>
      <c r="G751" s="2">
        <v>20958.96</v>
      </c>
      <c r="H751" s="2">
        <f t="shared" si="79"/>
        <v>21452.847499999996</v>
      </c>
      <c r="I751" s="2">
        <f t="shared" si="73"/>
        <v>20489.503000000001</v>
      </c>
      <c r="J751" s="2">
        <f t="shared" si="78"/>
        <v>19306.518500000002</v>
      </c>
      <c r="K751" s="2">
        <f t="shared" si="76"/>
        <v>73.850000000002183</v>
      </c>
      <c r="L751" s="7">
        <f t="shared" si="74"/>
        <v>3.4302090639269363E-3</v>
      </c>
      <c r="M751" s="9"/>
      <c r="N751" s="2">
        <f t="shared" si="77"/>
        <v>21778.7</v>
      </c>
      <c r="O751" s="2">
        <f t="shared" si="75"/>
        <v>-7.346627668318173E-3</v>
      </c>
      <c r="P751" s="2"/>
    </row>
    <row r="752" spans="1:16" x14ac:dyDescent="0.3">
      <c r="A752" s="3">
        <v>45302</v>
      </c>
      <c r="B752" s="2">
        <v>21688</v>
      </c>
      <c r="C752" s="2">
        <v>21726.5</v>
      </c>
      <c r="D752" s="2">
        <v>21593.75</v>
      </c>
      <c r="E752" s="2">
        <v>21647.200000000001</v>
      </c>
      <c r="F752" s="2">
        <v>212453866</v>
      </c>
      <c r="G752" s="2">
        <v>23492.12</v>
      </c>
      <c r="H752" s="2">
        <f t="shared" si="79"/>
        <v>21488.462499999998</v>
      </c>
      <c r="I752" s="2">
        <f t="shared" si="73"/>
        <v>20539.059000000001</v>
      </c>
      <c r="J752" s="2">
        <f t="shared" si="78"/>
        <v>19329.670000000002</v>
      </c>
      <c r="K752" s="2">
        <f t="shared" si="76"/>
        <v>28.5</v>
      </c>
      <c r="L752" s="7">
        <f t="shared" si="74"/>
        <v>1.3140907414238288E-3</v>
      </c>
      <c r="M752" s="9"/>
      <c r="N752" s="2">
        <f t="shared" si="77"/>
        <v>21778.7</v>
      </c>
      <c r="O752" s="2">
        <f t="shared" si="75"/>
        <v>-6.0380096148989759E-3</v>
      </c>
      <c r="P752" s="2"/>
    </row>
    <row r="753" spans="1:16" x14ac:dyDescent="0.3">
      <c r="A753" s="3">
        <v>45303</v>
      </c>
      <c r="B753" s="2">
        <v>21773.55</v>
      </c>
      <c r="C753" s="2">
        <v>21928.25</v>
      </c>
      <c r="D753" s="2">
        <v>21715.15</v>
      </c>
      <c r="E753" s="2">
        <v>21894.55</v>
      </c>
      <c r="F753" s="2">
        <v>294678459</v>
      </c>
      <c r="G753" s="2">
        <v>30565.5</v>
      </c>
      <c r="H753" s="2">
        <f t="shared" si="79"/>
        <v>21524.504999999997</v>
      </c>
      <c r="I753" s="2">
        <f t="shared" si="73"/>
        <v>20590.411</v>
      </c>
      <c r="J753" s="2">
        <f t="shared" si="78"/>
        <v>19352.368500000004</v>
      </c>
      <c r="K753" s="2">
        <f t="shared" si="76"/>
        <v>247.34999999999854</v>
      </c>
      <c r="L753" s="7">
        <f t="shared" si="74"/>
        <v>1.1360113532244332E-2</v>
      </c>
      <c r="M753" s="9"/>
      <c r="N753" s="2">
        <f t="shared" si="77"/>
        <v>21894.55</v>
      </c>
      <c r="O753" s="2">
        <f t="shared" si="75"/>
        <v>0</v>
      </c>
      <c r="P753" s="2"/>
    </row>
    <row r="754" spans="1:16" x14ac:dyDescent="0.3">
      <c r="A754" s="3">
        <v>45306</v>
      </c>
      <c r="B754" s="2">
        <v>22053.15</v>
      </c>
      <c r="C754" s="2">
        <v>22115.55</v>
      </c>
      <c r="D754" s="2">
        <v>21963.55</v>
      </c>
      <c r="E754" s="2">
        <v>22097.45</v>
      </c>
      <c r="F754" s="2">
        <v>345543523</v>
      </c>
      <c r="G754" s="2">
        <v>29523.15</v>
      </c>
      <c r="H754" s="2">
        <f t="shared" si="79"/>
        <v>21560.097499999996</v>
      </c>
      <c r="I754" s="2">
        <f t="shared" si="73"/>
        <v>20648.519</v>
      </c>
      <c r="J754" s="2">
        <f t="shared" si="78"/>
        <v>19376.081750000005</v>
      </c>
      <c r="K754" s="2">
        <f t="shared" si="76"/>
        <v>202.90000000000146</v>
      </c>
      <c r="L754" s="7">
        <f t="shared" si="74"/>
        <v>9.200499701856716E-3</v>
      </c>
      <c r="M754" s="9"/>
      <c r="N754" s="2">
        <f t="shared" si="77"/>
        <v>22097.45</v>
      </c>
      <c r="O754" s="2">
        <f t="shared" si="75"/>
        <v>0</v>
      </c>
      <c r="P754" s="2"/>
    </row>
    <row r="755" spans="1:16" x14ac:dyDescent="0.3">
      <c r="A755" s="3">
        <v>45307</v>
      </c>
      <c r="B755" s="2">
        <v>22080.5</v>
      </c>
      <c r="C755" s="2">
        <v>22124.15</v>
      </c>
      <c r="D755" s="2">
        <v>21969.8</v>
      </c>
      <c r="E755" s="2">
        <v>22032.3</v>
      </c>
      <c r="F755" s="2">
        <v>292433764</v>
      </c>
      <c r="G755" s="2">
        <v>24435.94</v>
      </c>
      <c r="H755" s="2">
        <f t="shared" si="79"/>
        <v>21592.137500000001</v>
      </c>
      <c r="I755" s="2">
        <f t="shared" si="73"/>
        <v>20707.803</v>
      </c>
      <c r="J755" s="2">
        <f t="shared" si="78"/>
        <v>19401.184500000003</v>
      </c>
      <c r="K755" s="2">
        <f t="shared" si="76"/>
        <v>-65.150000000001455</v>
      </c>
      <c r="L755" s="7">
        <f t="shared" si="74"/>
        <v>-2.9505672425896813E-3</v>
      </c>
      <c r="M755" s="9"/>
      <c r="N755" s="2">
        <f t="shared" si="77"/>
        <v>22097.45</v>
      </c>
      <c r="O755" s="2">
        <f t="shared" si="75"/>
        <v>-2.9483039898269281E-3</v>
      </c>
      <c r="P755" s="2"/>
    </row>
    <row r="756" spans="1:16" x14ac:dyDescent="0.3">
      <c r="A756" s="3">
        <v>45308</v>
      </c>
      <c r="B756" s="2">
        <v>21647.25</v>
      </c>
      <c r="C756" s="2">
        <v>21851.5</v>
      </c>
      <c r="D756" s="2">
        <v>21550.45</v>
      </c>
      <c r="E756" s="2">
        <v>21571.95</v>
      </c>
      <c r="F756" s="2">
        <v>455999867</v>
      </c>
      <c r="G756" s="2">
        <v>47533.440000000002</v>
      </c>
      <c r="H756" s="2">
        <f t="shared" si="79"/>
        <v>21622.82</v>
      </c>
      <c r="I756" s="2">
        <f t="shared" si="73"/>
        <v>20763.837000000003</v>
      </c>
      <c r="J756" s="2">
        <f t="shared" si="78"/>
        <v>19426.620750000006</v>
      </c>
      <c r="K756" s="2">
        <f t="shared" si="76"/>
        <v>-460.34999999999854</v>
      </c>
      <c r="L756" s="7">
        <f t="shared" si="74"/>
        <v>-2.1265980667290234E-2</v>
      </c>
      <c r="M756" s="9"/>
      <c r="N756" s="2">
        <f t="shared" si="77"/>
        <v>22097.45</v>
      </c>
      <c r="O756" s="2">
        <f t="shared" si="75"/>
        <v>-2.3781024507352644E-2</v>
      </c>
      <c r="P756" s="2"/>
    </row>
    <row r="757" spans="1:16" x14ac:dyDescent="0.3">
      <c r="A757" s="3">
        <v>45309</v>
      </c>
      <c r="B757" s="2">
        <v>21414.2</v>
      </c>
      <c r="C757" s="2">
        <v>21539.4</v>
      </c>
      <c r="D757" s="2">
        <v>21285.55</v>
      </c>
      <c r="E757" s="2">
        <v>21462.25</v>
      </c>
      <c r="F757" s="2">
        <v>387341268</v>
      </c>
      <c r="G757" s="2">
        <v>39718.839999999997</v>
      </c>
      <c r="H757" s="2">
        <f t="shared" si="79"/>
        <v>21628.762500000001</v>
      </c>
      <c r="I757" s="2">
        <f t="shared" ref="I757:I820" si="80">AVERAGE(E707:E756)</f>
        <v>20807.041000000001</v>
      </c>
      <c r="J757" s="2">
        <f t="shared" si="78"/>
        <v>19449.552000000007</v>
      </c>
      <c r="K757" s="2">
        <f t="shared" si="76"/>
        <v>-109.70000000000073</v>
      </c>
      <c r="L757" s="7">
        <f t="shared" si="74"/>
        <v>-5.1227690037452126E-3</v>
      </c>
      <c r="M757" s="9"/>
      <c r="N757" s="2">
        <f t="shared" si="77"/>
        <v>22097.45</v>
      </c>
      <c r="O757" s="2">
        <f t="shared" si="75"/>
        <v>-2.8745398224682028E-2</v>
      </c>
      <c r="P757" s="2"/>
    </row>
    <row r="758" spans="1:16" x14ac:dyDescent="0.3">
      <c r="A758" s="3">
        <v>45310</v>
      </c>
      <c r="B758" s="2">
        <v>21615.200000000001</v>
      </c>
      <c r="C758" s="2">
        <v>21670.6</v>
      </c>
      <c r="D758" s="2">
        <v>21575</v>
      </c>
      <c r="E758" s="2">
        <v>21622.400000000001</v>
      </c>
      <c r="F758" s="2">
        <v>343055124</v>
      </c>
      <c r="G758" s="2">
        <v>34429.24</v>
      </c>
      <c r="H758" s="2">
        <f t="shared" si="79"/>
        <v>21644.3675</v>
      </c>
      <c r="I758" s="2">
        <f t="shared" si="80"/>
        <v>20848.151999999998</v>
      </c>
      <c r="J758" s="2">
        <f t="shared" si="78"/>
        <v>19472.104750000002</v>
      </c>
      <c r="K758" s="2">
        <f t="shared" si="76"/>
        <v>160.15000000000146</v>
      </c>
      <c r="L758" s="7">
        <f t="shared" si="74"/>
        <v>7.4091380139902222E-3</v>
      </c>
      <c r="M758" s="9"/>
      <c r="N758" s="2">
        <f t="shared" si="77"/>
        <v>22097.45</v>
      </c>
      <c r="O758" s="2">
        <f t="shared" si="75"/>
        <v>-2.1497955646465949E-2</v>
      </c>
      <c r="P758" s="2"/>
    </row>
    <row r="759" spans="1:16" x14ac:dyDescent="0.3">
      <c r="A759" s="3">
        <v>45311</v>
      </c>
      <c r="B759" s="2">
        <v>21706.15</v>
      </c>
      <c r="C759" s="2">
        <v>21720.3</v>
      </c>
      <c r="D759" s="2">
        <v>21541.8</v>
      </c>
      <c r="E759" s="2">
        <v>21571.8</v>
      </c>
      <c r="F759" s="2">
        <v>162073740</v>
      </c>
      <c r="G759" s="2">
        <v>13917.46</v>
      </c>
      <c r="H759" s="2">
        <f t="shared" si="79"/>
        <v>21662.735000000001</v>
      </c>
      <c r="I759" s="2">
        <f t="shared" si="80"/>
        <v>20891.730000000003</v>
      </c>
      <c r="J759" s="2">
        <f t="shared" si="78"/>
        <v>19494.813250000003</v>
      </c>
      <c r="K759" s="2">
        <f t="shared" si="76"/>
        <v>-50.600000000002183</v>
      </c>
      <c r="L759" s="7">
        <f t="shared" si="74"/>
        <v>-2.3311365672863305E-3</v>
      </c>
      <c r="M759" s="9"/>
      <c r="N759" s="2">
        <f t="shared" si="77"/>
        <v>22097.45</v>
      </c>
      <c r="O759" s="2">
        <f t="shared" si="75"/>
        <v>-2.378781262091334E-2</v>
      </c>
      <c r="P759" s="2"/>
    </row>
    <row r="760" spans="1:16" x14ac:dyDescent="0.3">
      <c r="A760" s="3">
        <v>45314</v>
      </c>
      <c r="B760" s="2">
        <v>21716.7</v>
      </c>
      <c r="C760" s="2">
        <v>21750.25</v>
      </c>
      <c r="D760" s="2">
        <v>21192.6</v>
      </c>
      <c r="E760" s="2">
        <v>21238.799999999999</v>
      </c>
      <c r="F760" s="2">
        <v>449718534</v>
      </c>
      <c r="G760" s="2">
        <v>48813.68</v>
      </c>
      <c r="H760" s="2">
        <f t="shared" si="79"/>
        <v>21673.855000000003</v>
      </c>
      <c r="I760" s="2">
        <f t="shared" si="80"/>
        <v>20935.260000000002</v>
      </c>
      <c r="J760" s="2">
        <f t="shared" si="78"/>
        <v>19515.873500000002</v>
      </c>
      <c r="K760" s="2">
        <f t="shared" si="76"/>
        <v>-333</v>
      </c>
      <c r="L760" s="7">
        <f t="shared" si="74"/>
        <v>-1.5333821436958654E-2</v>
      </c>
      <c r="M760" s="9"/>
      <c r="N760" s="2">
        <f t="shared" si="77"/>
        <v>22097.45</v>
      </c>
      <c r="O760" s="2">
        <f t="shared" si="75"/>
        <v>-3.8857424725477485E-2</v>
      </c>
      <c r="P760" s="2"/>
    </row>
    <row r="761" spans="1:16" x14ac:dyDescent="0.3">
      <c r="A761" s="3">
        <v>45315</v>
      </c>
      <c r="B761" s="2">
        <v>21185.25</v>
      </c>
      <c r="C761" s="2">
        <v>21482.35</v>
      </c>
      <c r="D761" s="2">
        <v>21137.200000000001</v>
      </c>
      <c r="E761" s="2">
        <v>21453.95</v>
      </c>
      <c r="F761" s="2">
        <v>407460664</v>
      </c>
      <c r="G761" s="2">
        <v>41718.639999999999</v>
      </c>
      <c r="H761" s="2">
        <f t="shared" si="79"/>
        <v>21663.727500000001</v>
      </c>
      <c r="I761" s="2">
        <f t="shared" si="80"/>
        <v>20971.529000000002</v>
      </c>
      <c r="J761" s="2">
        <f t="shared" si="78"/>
        <v>19535.077250000002</v>
      </c>
      <c r="K761" s="2">
        <f t="shared" si="76"/>
        <v>215.15000000000146</v>
      </c>
      <c r="L761" s="7">
        <f t="shared" si="74"/>
        <v>1.0155650747572083E-2</v>
      </c>
      <c r="M761" s="9"/>
      <c r="N761" s="2">
        <f t="shared" si="77"/>
        <v>22097.45</v>
      </c>
      <c r="O761" s="2">
        <f t="shared" si="75"/>
        <v>-2.9121007175036073E-2</v>
      </c>
      <c r="P761" s="2"/>
    </row>
    <row r="762" spans="1:16" x14ac:dyDescent="0.3">
      <c r="A762" s="3">
        <v>45316</v>
      </c>
      <c r="B762" s="2">
        <v>21454.6</v>
      </c>
      <c r="C762" s="2">
        <v>21459</v>
      </c>
      <c r="D762" s="2">
        <v>21247.05</v>
      </c>
      <c r="E762" s="2">
        <v>21352.6</v>
      </c>
      <c r="F762" s="2">
        <v>418143077</v>
      </c>
      <c r="G762" s="2">
        <v>40088.5</v>
      </c>
      <c r="H762" s="2">
        <f t="shared" si="79"/>
        <v>21653.6875</v>
      </c>
      <c r="I762" s="2">
        <f t="shared" si="80"/>
        <v>21010.097000000002</v>
      </c>
      <c r="J762" s="2">
        <f t="shared" si="78"/>
        <v>19554.561750000001</v>
      </c>
      <c r="K762" s="2">
        <f t="shared" si="76"/>
        <v>-101.35000000000218</v>
      </c>
      <c r="L762" s="7">
        <f t="shared" si="74"/>
        <v>-4.7239286679780649E-3</v>
      </c>
      <c r="M762" s="9"/>
      <c r="N762" s="2">
        <f t="shared" si="77"/>
        <v>22097.45</v>
      </c>
      <c r="O762" s="2">
        <f t="shared" si="75"/>
        <v>-3.3707509237491329E-2</v>
      </c>
      <c r="P762" s="2"/>
    </row>
    <row r="763" spans="1:16" x14ac:dyDescent="0.3">
      <c r="A763" s="3">
        <v>45320</v>
      </c>
      <c r="B763" s="2">
        <v>21433.1</v>
      </c>
      <c r="C763" s="2">
        <v>21763.25</v>
      </c>
      <c r="D763" s="2">
        <v>21429.599999999999</v>
      </c>
      <c r="E763" s="2">
        <v>21737.599999999999</v>
      </c>
      <c r="F763" s="2">
        <v>376702289</v>
      </c>
      <c r="G763" s="2">
        <v>34516.42</v>
      </c>
      <c r="H763" s="2">
        <f t="shared" si="79"/>
        <v>21632.382500000003</v>
      </c>
      <c r="I763" s="2">
        <f t="shared" si="80"/>
        <v>21048.278000000002</v>
      </c>
      <c r="J763" s="2">
        <f t="shared" si="78"/>
        <v>19573.329000000002</v>
      </c>
      <c r="K763" s="2">
        <f t="shared" si="76"/>
        <v>385</v>
      </c>
      <c r="L763" s="7">
        <f t="shared" si="74"/>
        <v>1.7962870513364843E-2</v>
      </c>
      <c r="M763" s="9"/>
      <c r="N763" s="2">
        <f t="shared" si="77"/>
        <v>22097.45</v>
      </c>
      <c r="O763" s="2">
        <f t="shared" si="75"/>
        <v>-1.628468443191422E-2</v>
      </c>
      <c r="P763" s="2"/>
    </row>
    <row r="764" spans="1:16" x14ac:dyDescent="0.3">
      <c r="A764" s="3">
        <v>45321</v>
      </c>
      <c r="B764" s="2">
        <v>21775.75</v>
      </c>
      <c r="C764" s="2">
        <v>21813.05</v>
      </c>
      <c r="D764" s="2">
        <v>21501.8</v>
      </c>
      <c r="E764" s="2">
        <v>21522.1</v>
      </c>
      <c r="F764" s="2">
        <v>375137333</v>
      </c>
      <c r="G764" s="2">
        <v>32916.300000000003</v>
      </c>
      <c r="H764" s="2">
        <f t="shared" si="79"/>
        <v>21632.692499999997</v>
      </c>
      <c r="I764" s="2">
        <f t="shared" si="80"/>
        <v>21089.521000000001</v>
      </c>
      <c r="J764" s="2">
        <f t="shared" si="78"/>
        <v>19593.896750000004</v>
      </c>
      <c r="K764" s="2">
        <f t="shared" si="76"/>
        <v>-215.5</v>
      </c>
      <c r="L764" s="7">
        <f t="shared" si="74"/>
        <v>-9.8963296327336595E-3</v>
      </c>
      <c r="M764" s="9"/>
      <c r="N764" s="2">
        <f t="shared" si="77"/>
        <v>22097.45</v>
      </c>
      <c r="O764" s="2">
        <f t="shared" si="75"/>
        <v>-2.6036940913996998E-2</v>
      </c>
      <c r="P764" s="2"/>
    </row>
    <row r="765" spans="1:16" x14ac:dyDescent="0.3">
      <c r="A765" s="3">
        <v>45322</v>
      </c>
      <c r="B765" s="2">
        <v>21487.25</v>
      </c>
      <c r="C765" s="2">
        <v>21741.35</v>
      </c>
      <c r="D765" s="2">
        <v>21448.85</v>
      </c>
      <c r="E765" s="2">
        <v>21725.7</v>
      </c>
      <c r="F765" s="2">
        <v>410583065</v>
      </c>
      <c r="G765" s="2">
        <v>41587.85</v>
      </c>
      <c r="H765" s="2">
        <f t="shared" si="79"/>
        <v>21621.702499999999</v>
      </c>
      <c r="I765" s="2">
        <f t="shared" si="80"/>
        <v>21124.659000000003</v>
      </c>
      <c r="J765" s="2">
        <f t="shared" si="78"/>
        <v>19612.895750000003</v>
      </c>
      <c r="K765" s="2">
        <f t="shared" si="76"/>
        <v>203.60000000000218</v>
      </c>
      <c r="L765" s="7">
        <f t="shared" si="74"/>
        <v>9.4753865664523006E-3</v>
      </c>
      <c r="M765" s="9"/>
      <c r="N765" s="2">
        <f t="shared" si="77"/>
        <v>22097.45</v>
      </c>
      <c r="O765" s="2">
        <f t="shared" si="75"/>
        <v>-1.6823208107722865E-2</v>
      </c>
      <c r="P765" s="2"/>
    </row>
    <row r="766" spans="1:16" x14ac:dyDescent="0.3">
      <c r="A766" s="3">
        <v>45323</v>
      </c>
      <c r="B766" s="2">
        <v>21780.65</v>
      </c>
      <c r="C766" s="2">
        <v>21832.95</v>
      </c>
      <c r="D766" s="2">
        <v>21658.75</v>
      </c>
      <c r="E766" s="2">
        <v>21697.45</v>
      </c>
      <c r="F766" s="2">
        <v>332541208</v>
      </c>
      <c r="G766" s="2">
        <v>34042.15</v>
      </c>
      <c r="H766" s="2">
        <f t="shared" si="79"/>
        <v>21624.697499999998</v>
      </c>
      <c r="I766" s="2">
        <f t="shared" si="80"/>
        <v>21164.537</v>
      </c>
      <c r="J766" s="2">
        <f t="shared" si="78"/>
        <v>19632.462250000004</v>
      </c>
      <c r="K766" s="2">
        <f t="shared" si="76"/>
        <v>-28.25</v>
      </c>
      <c r="L766" s="7">
        <f t="shared" si="74"/>
        <v>-1.2970228161234857E-3</v>
      </c>
      <c r="M766" s="9"/>
      <c r="N766" s="2">
        <f t="shared" si="77"/>
        <v>22097.45</v>
      </c>
      <c r="O766" s="2">
        <f t="shared" si="75"/>
        <v>-1.8101636161638512E-2</v>
      </c>
      <c r="P766" s="2"/>
    </row>
    <row r="767" spans="1:16" x14ac:dyDescent="0.3">
      <c r="A767" s="3">
        <v>45324</v>
      </c>
      <c r="B767" s="2">
        <v>21812.75</v>
      </c>
      <c r="C767" s="2">
        <v>22126.799999999999</v>
      </c>
      <c r="D767" s="2">
        <v>21805.55</v>
      </c>
      <c r="E767" s="2">
        <v>21853.8</v>
      </c>
      <c r="F767" s="2">
        <v>442794738</v>
      </c>
      <c r="G767" s="2">
        <v>38395.9</v>
      </c>
      <c r="H767" s="2">
        <f t="shared" si="79"/>
        <v>21633.702499999996</v>
      </c>
      <c r="I767" s="2">
        <f t="shared" si="80"/>
        <v>21204.606</v>
      </c>
      <c r="J767" s="2">
        <f t="shared" si="78"/>
        <v>19651.809500000007</v>
      </c>
      <c r="K767" s="2">
        <f t="shared" si="76"/>
        <v>156.34999999999854</v>
      </c>
      <c r="L767" s="7">
        <f t="shared" si="74"/>
        <v>7.1678261567201997E-3</v>
      </c>
      <c r="M767" s="9"/>
      <c r="N767" s="2">
        <f t="shared" si="77"/>
        <v>22097.45</v>
      </c>
      <c r="O767" s="2">
        <f t="shared" si="75"/>
        <v>-1.1026159126958146E-2</v>
      </c>
      <c r="P767" s="2"/>
    </row>
    <row r="768" spans="1:16" x14ac:dyDescent="0.3">
      <c r="A768" s="3">
        <v>45327</v>
      </c>
      <c r="B768" s="2">
        <v>21921.05</v>
      </c>
      <c r="C768" s="2">
        <v>21964.3</v>
      </c>
      <c r="D768" s="2">
        <v>21726.95</v>
      </c>
      <c r="E768" s="2">
        <v>21771.7</v>
      </c>
      <c r="F768" s="2">
        <v>440849699</v>
      </c>
      <c r="G768" s="2">
        <v>33807.94</v>
      </c>
      <c r="H768" s="2">
        <f t="shared" si="79"/>
        <v>21643.462499999998</v>
      </c>
      <c r="I768" s="2">
        <f t="shared" si="80"/>
        <v>21246.013999999999</v>
      </c>
      <c r="J768" s="2">
        <f t="shared" si="78"/>
        <v>19672.544250000006</v>
      </c>
      <c r="K768" s="2">
        <f t="shared" si="76"/>
        <v>-82.099999999998545</v>
      </c>
      <c r="L768" s="7">
        <f t="shared" si="74"/>
        <v>-3.7452585528521009E-3</v>
      </c>
      <c r="M768" s="9"/>
      <c r="N768" s="2">
        <f t="shared" si="77"/>
        <v>22097.45</v>
      </c>
      <c r="O768" s="2">
        <f t="shared" si="75"/>
        <v>-1.4741519949134418E-2</v>
      </c>
      <c r="P768" s="2"/>
    </row>
    <row r="769" spans="1:16" x14ac:dyDescent="0.3">
      <c r="A769" s="3">
        <v>45328</v>
      </c>
      <c r="B769" s="2">
        <v>21825.200000000001</v>
      </c>
      <c r="C769" s="2">
        <v>21951.4</v>
      </c>
      <c r="D769" s="2">
        <v>21737.55</v>
      </c>
      <c r="E769" s="2">
        <v>21929.4</v>
      </c>
      <c r="F769" s="2">
        <v>370968111</v>
      </c>
      <c r="G769" s="2">
        <v>32910.82</v>
      </c>
      <c r="H769" s="2">
        <f t="shared" si="79"/>
        <v>21646.507499999996</v>
      </c>
      <c r="I769" s="2">
        <f t="shared" si="80"/>
        <v>21285.210999999999</v>
      </c>
      <c r="J769" s="2">
        <f t="shared" si="78"/>
        <v>19693.10200000001</v>
      </c>
      <c r="K769" s="2">
        <f t="shared" si="76"/>
        <v>157.70000000000073</v>
      </c>
      <c r="L769" s="7">
        <f t="shared" si="74"/>
        <v>7.2255924344336239E-3</v>
      </c>
      <c r="M769" s="9"/>
      <c r="N769" s="2">
        <f t="shared" si="77"/>
        <v>22097.45</v>
      </c>
      <c r="O769" s="2">
        <f t="shared" si="75"/>
        <v>-7.6049498924083414E-3</v>
      </c>
      <c r="P769" s="2"/>
    </row>
    <row r="770" spans="1:16" x14ac:dyDescent="0.3">
      <c r="A770" s="3">
        <v>45329</v>
      </c>
      <c r="B770" s="2">
        <v>22045.05</v>
      </c>
      <c r="C770" s="2">
        <v>22053.3</v>
      </c>
      <c r="D770" s="2">
        <v>21860.15</v>
      </c>
      <c r="E770" s="2">
        <v>21930.5</v>
      </c>
      <c r="F770" s="2">
        <v>346263704</v>
      </c>
      <c r="G770" s="2">
        <v>30088.76</v>
      </c>
      <c r="H770" s="2">
        <f t="shared" si="79"/>
        <v>21667.327499999999</v>
      </c>
      <c r="I770" s="2">
        <f t="shared" si="80"/>
        <v>21327.758999999998</v>
      </c>
      <c r="J770" s="2">
        <f t="shared" si="78"/>
        <v>19714.655250000007</v>
      </c>
      <c r="K770" s="2">
        <f t="shared" si="76"/>
        <v>1.0999999999985448</v>
      </c>
      <c r="L770" s="7">
        <f t="shared" si="74"/>
        <v>4.9897822867198981E-5</v>
      </c>
      <c r="M770" s="9"/>
      <c r="N770" s="2">
        <f t="shared" si="77"/>
        <v>22097.45</v>
      </c>
      <c r="O770" s="2">
        <f t="shared" si="75"/>
        <v>-7.5551703929639391E-3</v>
      </c>
      <c r="P770" s="2"/>
    </row>
    <row r="771" spans="1:16" x14ac:dyDescent="0.3">
      <c r="A771" s="3">
        <v>45330</v>
      </c>
      <c r="B771" s="2">
        <v>22009.65</v>
      </c>
      <c r="C771" s="2">
        <v>22011.05</v>
      </c>
      <c r="D771" s="2">
        <v>21665.3</v>
      </c>
      <c r="E771" s="2">
        <v>21717.95</v>
      </c>
      <c r="F771" s="2">
        <v>491069786</v>
      </c>
      <c r="G771" s="2">
        <v>41082.019999999997</v>
      </c>
      <c r="H771" s="2">
        <f t="shared" si="79"/>
        <v>21686.61</v>
      </c>
      <c r="I771" s="2">
        <f t="shared" si="80"/>
        <v>21370.474999999999</v>
      </c>
      <c r="J771" s="2">
        <f t="shared" si="78"/>
        <v>19736.185500000007</v>
      </c>
      <c r="K771" s="2">
        <f t="shared" si="76"/>
        <v>-212.54999999999927</v>
      </c>
      <c r="L771" s="7">
        <f t="shared" ref="L771:L834" si="81">(K771/(B771))</f>
        <v>-9.6571276689997008E-3</v>
      </c>
      <c r="M771" s="9"/>
      <c r="N771" s="2">
        <f t="shared" si="77"/>
        <v>22097.45</v>
      </c>
      <c r="O771" s="2">
        <f t="shared" ref="O771:O834" si="82">(E771/N771)-1</f>
        <v>-1.7173927308354542E-2</v>
      </c>
      <c r="P771" s="2"/>
    </row>
    <row r="772" spans="1:16" x14ac:dyDescent="0.3">
      <c r="A772" s="3">
        <v>45331</v>
      </c>
      <c r="B772" s="2">
        <v>21727</v>
      </c>
      <c r="C772" s="2">
        <v>21804.45</v>
      </c>
      <c r="D772" s="2">
        <v>21629.9</v>
      </c>
      <c r="E772" s="2">
        <v>21782.5</v>
      </c>
      <c r="F772" s="2">
        <v>349222850</v>
      </c>
      <c r="G772" s="2">
        <v>31176.16</v>
      </c>
      <c r="H772" s="2">
        <f t="shared" si="79"/>
        <v>21691.572500000002</v>
      </c>
      <c r="I772" s="2">
        <f t="shared" si="80"/>
        <v>21407.039999999994</v>
      </c>
      <c r="J772" s="2">
        <f t="shared" si="78"/>
        <v>19756.655000000006</v>
      </c>
      <c r="K772" s="2">
        <f t="shared" ref="K772:K835" si="83">E772-E771</f>
        <v>64.549999999999272</v>
      </c>
      <c r="L772" s="7">
        <f t="shared" si="81"/>
        <v>2.9709577944492692E-3</v>
      </c>
      <c r="M772" s="9"/>
      <c r="N772" s="2">
        <f t="shared" si="77"/>
        <v>22097.45</v>
      </c>
      <c r="O772" s="2">
        <f t="shared" si="82"/>
        <v>-1.4252775772770176E-2</v>
      </c>
      <c r="P772" s="2"/>
    </row>
    <row r="773" spans="1:16" x14ac:dyDescent="0.3">
      <c r="A773" s="3">
        <v>45334</v>
      </c>
      <c r="B773" s="2">
        <v>21800.799999999999</v>
      </c>
      <c r="C773" s="2">
        <v>21831.7</v>
      </c>
      <c r="D773" s="2">
        <v>21574.75</v>
      </c>
      <c r="E773" s="2">
        <v>21616.05</v>
      </c>
      <c r="F773" s="2">
        <v>287436165</v>
      </c>
      <c r="G773" s="2">
        <v>23921.14</v>
      </c>
      <c r="H773" s="2">
        <f t="shared" si="79"/>
        <v>21698.337500000001</v>
      </c>
      <c r="I773" s="2">
        <f t="shared" si="80"/>
        <v>21440.757999999998</v>
      </c>
      <c r="J773" s="2">
        <f t="shared" si="78"/>
        <v>19776.850500000011</v>
      </c>
      <c r="K773" s="2">
        <f t="shared" si="83"/>
        <v>-166.45000000000073</v>
      </c>
      <c r="L773" s="7">
        <f t="shared" si="81"/>
        <v>-7.6350409159297245E-3</v>
      </c>
      <c r="M773" s="9"/>
      <c r="N773" s="2">
        <f t="shared" ref="N773:N836" si="84">MAX(N772,E773)</f>
        <v>22097.45</v>
      </c>
      <c r="O773" s="2">
        <f t="shared" si="82"/>
        <v>-2.1785319120532054E-2</v>
      </c>
      <c r="P773" s="2"/>
    </row>
    <row r="774" spans="1:16" x14ac:dyDescent="0.3">
      <c r="A774" s="3">
        <v>45335</v>
      </c>
      <c r="B774" s="2">
        <v>21664.3</v>
      </c>
      <c r="C774" s="2">
        <v>21766.799999999999</v>
      </c>
      <c r="D774" s="2">
        <v>21543.35</v>
      </c>
      <c r="E774" s="2">
        <v>21743.25</v>
      </c>
      <c r="F774" s="2">
        <v>365785766</v>
      </c>
      <c r="G774" s="2">
        <v>29896.62</v>
      </c>
      <c r="H774" s="2">
        <f t="shared" si="79"/>
        <v>21684.412500000002</v>
      </c>
      <c r="I774" s="2">
        <f t="shared" si="80"/>
        <v>21470.415999999997</v>
      </c>
      <c r="J774" s="2">
        <f t="shared" si="78"/>
        <v>19796.084500000008</v>
      </c>
      <c r="K774" s="2">
        <f t="shared" si="83"/>
        <v>127.20000000000073</v>
      </c>
      <c r="L774" s="7">
        <f t="shared" si="81"/>
        <v>5.8714105694622366E-3</v>
      </c>
      <c r="M774" s="9"/>
      <c r="N774" s="2">
        <f t="shared" si="84"/>
        <v>22097.45</v>
      </c>
      <c r="O774" s="2">
        <f t="shared" si="82"/>
        <v>-1.6028998821130958E-2</v>
      </c>
      <c r="P774" s="2"/>
    </row>
    <row r="775" spans="1:16" x14ac:dyDescent="0.3">
      <c r="A775" s="3">
        <v>45336</v>
      </c>
      <c r="B775" s="2">
        <v>21578.15</v>
      </c>
      <c r="C775" s="2">
        <v>21870.85</v>
      </c>
      <c r="D775" s="2">
        <v>21530.2</v>
      </c>
      <c r="E775" s="2">
        <v>21840.05</v>
      </c>
      <c r="F775" s="2">
        <v>359120861</v>
      </c>
      <c r="G775" s="2">
        <v>32535</v>
      </c>
      <c r="H775" s="2">
        <f t="shared" si="79"/>
        <v>21666.702500000007</v>
      </c>
      <c r="I775" s="2">
        <f t="shared" si="80"/>
        <v>21499.922999999995</v>
      </c>
      <c r="J775" s="2">
        <f t="shared" si="78"/>
        <v>19815.73275000001</v>
      </c>
      <c r="K775" s="2">
        <f t="shared" si="83"/>
        <v>96.799999999999272</v>
      </c>
      <c r="L775" s="7">
        <f t="shared" si="81"/>
        <v>4.4860194224249656E-3</v>
      </c>
      <c r="M775" s="9"/>
      <c r="N775" s="2">
        <f t="shared" si="84"/>
        <v>22097.45</v>
      </c>
      <c r="O775" s="2">
        <f t="shared" si="82"/>
        <v>-1.1648402870014452E-2</v>
      </c>
      <c r="P775" s="2"/>
    </row>
    <row r="776" spans="1:16" x14ac:dyDescent="0.3">
      <c r="A776" s="3">
        <v>45337</v>
      </c>
      <c r="B776" s="2">
        <v>21906.55</v>
      </c>
      <c r="C776" s="2">
        <v>21953.85</v>
      </c>
      <c r="D776" s="2">
        <v>21794.799999999999</v>
      </c>
      <c r="E776" s="2">
        <v>21910.75</v>
      </c>
      <c r="F776" s="2">
        <v>345394395</v>
      </c>
      <c r="G776" s="2">
        <v>29559.69</v>
      </c>
      <c r="H776" s="2">
        <f t="shared" si="79"/>
        <v>21657.090000000004</v>
      </c>
      <c r="I776" s="2">
        <f t="shared" si="80"/>
        <v>21522.987999999998</v>
      </c>
      <c r="J776" s="2">
        <f t="shared" si="78"/>
        <v>19835.35775000001</v>
      </c>
      <c r="K776" s="2">
        <f t="shared" si="83"/>
        <v>70.700000000000728</v>
      </c>
      <c r="L776" s="7">
        <f t="shared" si="81"/>
        <v>3.2273452460565778E-3</v>
      </c>
      <c r="M776" s="9"/>
      <c r="N776" s="2">
        <f t="shared" si="84"/>
        <v>22097.45</v>
      </c>
      <c r="O776" s="2">
        <f t="shared" si="82"/>
        <v>-8.4489386784448728E-3</v>
      </c>
      <c r="P776" s="2"/>
    </row>
    <row r="777" spans="1:16" x14ac:dyDescent="0.3">
      <c r="A777" s="3">
        <v>45338</v>
      </c>
      <c r="B777" s="2">
        <v>22020.3</v>
      </c>
      <c r="C777" s="2">
        <v>22068.65</v>
      </c>
      <c r="D777" s="2">
        <v>21968.95</v>
      </c>
      <c r="E777" s="2">
        <v>22040.7</v>
      </c>
      <c r="F777" s="2">
        <v>343892935</v>
      </c>
      <c r="G777" s="2">
        <v>30666.89</v>
      </c>
      <c r="H777" s="2">
        <f t="shared" si="79"/>
        <v>21674.030000000002</v>
      </c>
      <c r="I777" s="2">
        <f t="shared" si="80"/>
        <v>21544.100999999995</v>
      </c>
      <c r="J777" s="2">
        <f t="shared" si="78"/>
        <v>19854.586500000009</v>
      </c>
      <c r="K777" s="2">
        <f t="shared" si="83"/>
        <v>129.95000000000073</v>
      </c>
      <c r="L777" s="7">
        <f t="shared" si="81"/>
        <v>5.9013728241668244E-3</v>
      </c>
      <c r="M777" s="9"/>
      <c r="N777" s="2">
        <f t="shared" si="84"/>
        <v>22097.45</v>
      </c>
      <c r="O777" s="2">
        <f t="shared" si="82"/>
        <v>-2.568169630432493E-3</v>
      </c>
      <c r="P777" s="2"/>
    </row>
    <row r="778" spans="1:16" x14ac:dyDescent="0.3">
      <c r="A778" s="3">
        <v>45341</v>
      </c>
      <c r="B778" s="2">
        <v>22103.45</v>
      </c>
      <c r="C778" s="2">
        <v>22186.65</v>
      </c>
      <c r="D778" s="2">
        <v>22021.05</v>
      </c>
      <c r="E778" s="2">
        <v>22122.25</v>
      </c>
      <c r="F778" s="2">
        <v>218252325</v>
      </c>
      <c r="G778" s="2">
        <v>21375.71</v>
      </c>
      <c r="H778" s="2">
        <f t="shared" si="79"/>
        <v>21702.952500000003</v>
      </c>
      <c r="I778" s="2">
        <f t="shared" si="80"/>
        <v>21566.160999999996</v>
      </c>
      <c r="J778" s="2">
        <f t="shared" si="78"/>
        <v>19874.05175000001</v>
      </c>
      <c r="K778" s="2">
        <f t="shared" si="83"/>
        <v>81.549999999999272</v>
      </c>
      <c r="L778" s="7">
        <f t="shared" si="81"/>
        <v>3.6894692909930022E-3</v>
      </c>
      <c r="M778" s="9"/>
      <c r="N778" s="2">
        <f t="shared" si="84"/>
        <v>22122.25</v>
      </c>
      <c r="O778" s="2">
        <f t="shared" si="82"/>
        <v>0</v>
      </c>
      <c r="P778" s="2"/>
    </row>
    <row r="779" spans="1:16" x14ac:dyDescent="0.3">
      <c r="A779" s="3">
        <v>45342</v>
      </c>
      <c r="B779" s="2">
        <v>22099.200000000001</v>
      </c>
      <c r="C779" s="2">
        <v>22215.599999999999</v>
      </c>
      <c r="D779" s="2">
        <v>22045.85</v>
      </c>
      <c r="E779" s="2">
        <v>22196.95</v>
      </c>
      <c r="F779" s="2">
        <v>295705319</v>
      </c>
      <c r="G779" s="2">
        <v>26872.32</v>
      </c>
      <c r="H779" s="2">
        <f t="shared" si="79"/>
        <v>21727.945</v>
      </c>
      <c r="I779" s="2">
        <f t="shared" si="80"/>
        <v>21590.582999999999</v>
      </c>
      <c r="J779" s="2">
        <f t="shared" ref="J779:J842" si="85">AVERAGE(E579:E778)</f>
        <v>19894.21375000001</v>
      </c>
      <c r="K779" s="2">
        <f t="shared" si="83"/>
        <v>74.700000000000728</v>
      </c>
      <c r="L779" s="7">
        <f t="shared" si="81"/>
        <v>3.3802128583840466E-3</v>
      </c>
      <c r="M779" s="9"/>
      <c r="N779" s="2">
        <f t="shared" si="84"/>
        <v>22196.95</v>
      </c>
      <c r="O779" s="2">
        <f t="shared" si="82"/>
        <v>0</v>
      </c>
      <c r="P779" s="2"/>
    </row>
    <row r="780" spans="1:16" x14ac:dyDescent="0.3">
      <c r="A780" s="3">
        <v>45343</v>
      </c>
      <c r="B780" s="2">
        <v>22248.85</v>
      </c>
      <c r="C780" s="2">
        <v>22249.4</v>
      </c>
      <c r="D780" s="2">
        <v>21997.95</v>
      </c>
      <c r="E780" s="2">
        <v>22055.05</v>
      </c>
      <c r="F780" s="2">
        <v>364545679</v>
      </c>
      <c r="G780" s="2">
        <v>29741.39</v>
      </c>
      <c r="H780" s="2">
        <f t="shared" si="79"/>
        <v>21759.202499999999</v>
      </c>
      <c r="I780" s="2">
        <f t="shared" si="80"/>
        <v>21615.133999999998</v>
      </c>
      <c r="J780" s="2">
        <f t="shared" si="85"/>
        <v>19913.919500000007</v>
      </c>
      <c r="K780" s="2">
        <f t="shared" si="83"/>
        <v>-141.90000000000146</v>
      </c>
      <c r="L780" s="7">
        <f t="shared" si="81"/>
        <v>-6.3778577319727296E-3</v>
      </c>
      <c r="M780" s="9"/>
      <c r="N780" s="2">
        <f t="shared" si="84"/>
        <v>22196.95</v>
      </c>
      <c r="O780" s="2">
        <f t="shared" si="82"/>
        <v>-6.3927701778848656E-3</v>
      </c>
      <c r="P780" s="2"/>
    </row>
    <row r="781" spans="1:16" x14ac:dyDescent="0.3">
      <c r="A781" s="3">
        <v>45344</v>
      </c>
      <c r="B781" s="2">
        <v>22081.55</v>
      </c>
      <c r="C781" s="2">
        <v>22252.5</v>
      </c>
      <c r="D781" s="2">
        <v>21875.25</v>
      </c>
      <c r="E781" s="2">
        <v>22217.45</v>
      </c>
      <c r="F781" s="2">
        <v>343495136</v>
      </c>
      <c r="G781" s="2">
        <v>33985.94</v>
      </c>
      <c r="H781" s="2">
        <f t="shared" si="79"/>
        <v>21800.014999999999</v>
      </c>
      <c r="I781" s="2">
        <f t="shared" si="80"/>
        <v>21636.292999999998</v>
      </c>
      <c r="J781" s="2">
        <f t="shared" si="85"/>
        <v>19933.849750000008</v>
      </c>
      <c r="K781" s="2">
        <f t="shared" si="83"/>
        <v>162.40000000000146</v>
      </c>
      <c r="L781" s="7">
        <f t="shared" si="81"/>
        <v>7.3545561792537871E-3</v>
      </c>
      <c r="M781" s="9"/>
      <c r="N781" s="2">
        <f t="shared" si="84"/>
        <v>22217.45</v>
      </c>
      <c r="O781" s="2">
        <f t="shared" si="82"/>
        <v>0</v>
      </c>
      <c r="P781" s="2"/>
    </row>
    <row r="782" spans="1:16" x14ac:dyDescent="0.3">
      <c r="A782" s="3">
        <v>45345</v>
      </c>
      <c r="B782" s="2">
        <v>22290</v>
      </c>
      <c r="C782" s="2">
        <v>22297.5</v>
      </c>
      <c r="D782" s="2">
        <v>22186.1</v>
      </c>
      <c r="E782" s="2">
        <v>22212.7</v>
      </c>
      <c r="F782" s="2">
        <v>225983194</v>
      </c>
      <c r="G782" s="2">
        <v>24617.01</v>
      </c>
      <c r="H782" s="2">
        <f t="shared" si="79"/>
        <v>21838.19</v>
      </c>
      <c r="I782" s="2">
        <f t="shared" si="80"/>
        <v>21662.513999999996</v>
      </c>
      <c r="J782" s="2">
        <f t="shared" si="85"/>
        <v>19953.615000000009</v>
      </c>
      <c r="K782" s="2">
        <f t="shared" si="83"/>
        <v>-4.75</v>
      </c>
      <c r="L782" s="7">
        <f t="shared" si="81"/>
        <v>-2.1310004486316733E-4</v>
      </c>
      <c r="M782" s="9"/>
      <c r="N782" s="2">
        <f t="shared" si="84"/>
        <v>22217.45</v>
      </c>
      <c r="O782" s="2">
        <f t="shared" si="82"/>
        <v>-2.1379591267223219E-4</v>
      </c>
      <c r="P782" s="2"/>
    </row>
    <row r="783" spans="1:16" x14ac:dyDescent="0.3">
      <c r="A783" s="3">
        <v>45348</v>
      </c>
      <c r="B783" s="2">
        <v>22169.200000000001</v>
      </c>
      <c r="C783" s="2">
        <v>22202.15</v>
      </c>
      <c r="D783" s="2">
        <v>22075.15</v>
      </c>
      <c r="E783" s="2">
        <v>22122.05</v>
      </c>
      <c r="F783" s="2">
        <v>207775504</v>
      </c>
      <c r="G783" s="2">
        <v>20850.259999999998</v>
      </c>
      <c r="H783" s="2">
        <f t="shared" si="79"/>
        <v>21881.195</v>
      </c>
      <c r="I783" s="2">
        <f t="shared" si="80"/>
        <v>21688.240999999995</v>
      </c>
      <c r="J783" s="2">
        <f t="shared" si="85"/>
        <v>19973.348750000012</v>
      </c>
      <c r="K783" s="2">
        <f t="shared" si="83"/>
        <v>-90.650000000001455</v>
      </c>
      <c r="L783" s="7">
        <f t="shared" si="81"/>
        <v>-4.0890063691969691E-3</v>
      </c>
      <c r="M783" s="9"/>
      <c r="N783" s="2">
        <f t="shared" si="84"/>
        <v>22217.45</v>
      </c>
      <c r="O783" s="2">
        <f t="shared" si="82"/>
        <v>-4.2939221197753064E-3</v>
      </c>
      <c r="P783" s="2"/>
    </row>
    <row r="784" spans="1:16" x14ac:dyDescent="0.3">
      <c r="A784" s="3">
        <v>45349</v>
      </c>
      <c r="B784" s="2">
        <v>22090.2</v>
      </c>
      <c r="C784" s="2">
        <v>22218.25</v>
      </c>
      <c r="D784" s="2">
        <v>22085.65</v>
      </c>
      <c r="E784" s="2">
        <v>22198.35</v>
      </c>
      <c r="F784" s="2">
        <v>252199186</v>
      </c>
      <c r="G784" s="2">
        <v>24620.71</v>
      </c>
      <c r="H784" s="2">
        <f t="shared" si="79"/>
        <v>21900.4175</v>
      </c>
      <c r="I784" s="2">
        <f t="shared" si="80"/>
        <v>21707.027999999998</v>
      </c>
      <c r="J784" s="2">
        <f t="shared" si="85"/>
        <v>19992.383500000011</v>
      </c>
      <c r="K784" s="2">
        <f t="shared" si="83"/>
        <v>76.299999999999272</v>
      </c>
      <c r="L784" s="7">
        <f t="shared" si="81"/>
        <v>3.454020334809068E-3</v>
      </c>
      <c r="M784" s="9"/>
      <c r="N784" s="2">
        <f t="shared" si="84"/>
        <v>22217.45</v>
      </c>
      <c r="O784" s="2">
        <f t="shared" si="82"/>
        <v>-8.5968461727170542E-4</v>
      </c>
      <c r="P784" s="2"/>
    </row>
    <row r="785" spans="1:16" x14ac:dyDescent="0.3">
      <c r="A785" s="3">
        <v>45350</v>
      </c>
      <c r="B785" s="2">
        <v>22214.1</v>
      </c>
      <c r="C785" s="2">
        <v>22229.15</v>
      </c>
      <c r="D785" s="2">
        <v>21915.85</v>
      </c>
      <c r="E785" s="2">
        <v>21951.15</v>
      </c>
      <c r="F785" s="2">
        <v>202952371</v>
      </c>
      <c r="G785" s="2">
        <v>20579.8</v>
      </c>
      <c r="H785" s="2">
        <f t="shared" si="79"/>
        <v>21934.23</v>
      </c>
      <c r="I785" s="2">
        <f t="shared" si="80"/>
        <v>21721.861999999997</v>
      </c>
      <c r="J785" s="2">
        <f t="shared" si="85"/>
        <v>20011.890250000011</v>
      </c>
      <c r="K785" s="2">
        <f t="shared" si="83"/>
        <v>-247.19999999999709</v>
      </c>
      <c r="L785" s="7">
        <f t="shared" si="81"/>
        <v>-1.1128067308601164E-2</v>
      </c>
      <c r="M785" s="9"/>
      <c r="N785" s="2">
        <f t="shared" si="84"/>
        <v>22217.45</v>
      </c>
      <c r="O785" s="2">
        <f t="shared" si="82"/>
        <v>-1.1986074009393444E-2</v>
      </c>
      <c r="P785" s="2"/>
    </row>
    <row r="786" spans="1:16" x14ac:dyDescent="0.3">
      <c r="A786" s="3">
        <v>45351</v>
      </c>
      <c r="B786" s="2">
        <v>21935.200000000001</v>
      </c>
      <c r="C786" s="2">
        <v>22060.55</v>
      </c>
      <c r="D786" s="2">
        <v>21860.65</v>
      </c>
      <c r="E786" s="2">
        <v>21982.799999999999</v>
      </c>
      <c r="F786" s="2">
        <v>360165824</v>
      </c>
      <c r="G786" s="2">
        <v>40196.120000000003</v>
      </c>
      <c r="H786" s="2">
        <f t="shared" si="79"/>
        <v>21945.502499999999</v>
      </c>
      <c r="I786" s="2">
        <f t="shared" si="80"/>
        <v>21732.511999999999</v>
      </c>
      <c r="J786" s="2">
        <f t="shared" si="85"/>
        <v>20030.072000000011</v>
      </c>
      <c r="K786" s="2">
        <f t="shared" si="83"/>
        <v>31.649999999997817</v>
      </c>
      <c r="L786" s="7">
        <f t="shared" si="81"/>
        <v>1.4428863197052143E-3</v>
      </c>
      <c r="M786" s="9"/>
      <c r="N786" s="2">
        <f t="shared" si="84"/>
        <v>22217.45</v>
      </c>
      <c r="O786" s="2">
        <f t="shared" si="82"/>
        <v>-1.0561518086009025E-2</v>
      </c>
      <c r="P786" s="2"/>
    </row>
    <row r="787" spans="1:16" x14ac:dyDescent="0.3">
      <c r="A787" s="3">
        <v>45352</v>
      </c>
      <c r="B787" s="2">
        <v>22048.3</v>
      </c>
      <c r="C787" s="2">
        <v>22353.3</v>
      </c>
      <c r="D787" s="2">
        <v>22047.75</v>
      </c>
      <c r="E787" s="2">
        <v>22338.75</v>
      </c>
      <c r="F787" s="2">
        <v>351503075</v>
      </c>
      <c r="G787" s="2">
        <v>29646.47</v>
      </c>
      <c r="H787" s="2">
        <f t="shared" si="79"/>
        <v>21959.77</v>
      </c>
      <c r="I787" s="2">
        <f t="shared" si="80"/>
        <v>21743.105999999996</v>
      </c>
      <c r="J787" s="2">
        <f t="shared" si="85"/>
        <v>20047.991750000008</v>
      </c>
      <c r="K787" s="2">
        <f t="shared" si="83"/>
        <v>355.95000000000073</v>
      </c>
      <c r="L787" s="7">
        <f t="shared" si="81"/>
        <v>1.6144101812838211E-2</v>
      </c>
      <c r="M787" s="9"/>
      <c r="N787" s="2">
        <f t="shared" si="84"/>
        <v>22338.75</v>
      </c>
      <c r="O787" s="2">
        <f t="shared" si="82"/>
        <v>0</v>
      </c>
      <c r="P787" s="2"/>
    </row>
    <row r="788" spans="1:16" x14ac:dyDescent="0.3">
      <c r="A788" s="3">
        <v>45355</v>
      </c>
      <c r="B788" s="2">
        <v>22403.5</v>
      </c>
      <c r="C788" s="2">
        <v>22440.9</v>
      </c>
      <c r="D788" s="2">
        <v>22358.3</v>
      </c>
      <c r="E788" s="2">
        <v>22405.599999999999</v>
      </c>
      <c r="F788" s="2">
        <v>298794435</v>
      </c>
      <c r="G788" s="2">
        <v>23771.71</v>
      </c>
      <c r="H788" s="2">
        <f t="shared" si="79"/>
        <v>21984.017499999998</v>
      </c>
      <c r="I788" s="2">
        <f t="shared" si="80"/>
        <v>21766.877999999997</v>
      </c>
      <c r="J788" s="2">
        <f t="shared" si="85"/>
        <v>20068.253000000012</v>
      </c>
      <c r="K788" s="2">
        <f t="shared" si="83"/>
        <v>66.849999999998545</v>
      </c>
      <c r="L788" s="7">
        <f t="shared" si="81"/>
        <v>2.9839087642555199E-3</v>
      </c>
      <c r="M788" s="9"/>
      <c r="N788" s="2">
        <f t="shared" si="84"/>
        <v>22405.599999999999</v>
      </c>
      <c r="O788" s="2">
        <f t="shared" si="82"/>
        <v>0</v>
      </c>
      <c r="P788" s="2"/>
    </row>
    <row r="789" spans="1:16" x14ac:dyDescent="0.3">
      <c r="A789" s="3">
        <v>45356</v>
      </c>
      <c r="B789" s="2">
        <v>22371.25</v>
      </c>
      <c r="C789" s="2">
        <v>22416.9</v>
      </c>
      <c r="D789" s="2">
        <v>22269.15</v>
      </c>
      <c r="E789" s="2">
        <v>22356.3</v>
      </c>
      <c r="F789" s="2">
        <v>296153036</v>
      </c>
      <c r="G789" s="2">
        <v>29165.37</v>
      </c>
      <c r="H789" s="2">
        <f t="shared" si="79"/>
        <v>22015.712500000001</v>
      </c>
      <c r="I789" s="2">
        <f t="shared" si="80"/>
        <v>21789.888999999999</v>
      </c>
      <c r="J789" s="2">
        <f t="shared" si="85"/>
        <v>20089.372250000011</v>
      </c>
      <c r="K789" s="2">
        <f t="shared" si="83"/>
        <v>-49.299999999999272</v>
      </c>
      <c r="L789" s="7">
        <f t="shared" si="81"/>
        <v>-2.2037212940715996E-3</v>
      </c>
      <c r="M789" s="9"/>
      <c r="N789" s="2">
        <f t="shared" si="84"/>
        <v>22405.599999999999</v>
      </c>
      <c r="O789" s="2">
        <f t="shared" si="82"/>
        <v>-2.2003427714499812E-3</v>
      </c>
      <c r="P789" s="2"/>
    </row>
    <row r="790" spans="1:16" x14ac:dyDescent="0.3">
      <c r="A790" s="3">
        <v>45357</v>
      </c>
      <c r="B790" s="2">
        <v>22327.5</v>
      </c>
      <c r="C790" s="2">
        <v>22497.200000000001</v>
      </c>
      <c r="D790" s="2">
        <v>22224.35</v>
      </c>
      <c r="E790" s="2">
        <v>22474.05</v>
      </c>
      <c r="F790" s="2">
        <v>312262560</v>
      </c>
      <c r="G790" s="2">
        <v>31029.01</v>
      </c>
      <c r="H790" s="2">
        <f t="shared" si="79"/>
        <v>22037.057499999999</v>
      </c>
      <c r="I790" s="2">
        <f t="shared" si="80"/>
        <v>21810.027000000002</v>
      </c>
      <c r="J790" s="2">
        <f t="shared" si="85"/>
        <v>20110.504000000012</v>
      </c>
      <c r="K790" s="2">
        <f t="shared" si="83"/>
        <v>117.75</v>
      </c>
      <c r="L790" s="7">
        <f t="shared" si="81"/>
        <v>5.2737655357742693E-3</v>
      </c>
      <c r="M790" s="9"/>
      <c r="N790" s="2">
        <f t="shared" si="84"/>
        <v>22474.05</v>
      </c>
      <c r="O790" s="2">
        <f t="shared" si="82"/>
        <v>0</v>
      </c>
      <c r="P790" s="2"/>
    </row>
    <row r="791" spans="1:16" x14ac:dyDescent="0.3">
      <c r="A791" s="3">
        <v>45358</v>
      </c>
      <c r="B791" s="2">
        <v>22505.3</v>
      </c>
      <c r="C791" s="2">
        <v>22525.65</v>
      </c>
      <c r="D791" s="2">
        <v>22430</v>
      </c>
      <c r="E791" s="2">
        <v>22493.55</v>
      </c>
      <c r="F791" s="2">
        <v>379865142</v>
      </c>
      <c r="G791" s="2">
        <v>33558.46</v>
      </c>
      <c r="H791" s="2">
        <f t="shared" ref="H791:H854" si="86">AVERAGE(E771:E790)</f>
        <v>22064.234999999997</v>
      </c>
      <c r="I791" s="2">
        <f t="shared" si="80"/>
        <v>21830.681</v>
      </c>
      <c r="J791" s="2">
        <f t="shared" si="85"/>
        <v>20131.857250000008</v>
      </c>
      <c r="K791" s="2">
        <f t="shared" si="83"/>
        <v>19.5</v>
      </c>
      <c r="L791" s="7">
        <f t="shared" si="81"/>
        <v>8.6646256659542425E-4</v>
      </c>
      <c r="M791" s="9"/>
      <c r="N791" s="2">
        <f t="shared" si="84"/>
        <v>22493.55</v>
      </c>
      <c r="O791" s="2">
        <f t="shared" si="82"/>
        <v>0</v>
      </c>
      <c r="P791" s="2"/>
    </row>
    <row r="792" spans="1:16" x14ac:dyDescent="0.3">
      <c r="A792" s="3">
        <v>45362</v>
      </c>
      <c r="B792" s="2">
        <v>22517.5</v>
      </c>
      <c r="C792" s="2">
        <v>22526.6</v>
      </c>
      <c r="D792" s="2">
        <v>22307.25</v>
      </c>
      <c r="E792" s="2">
        <v>22332.65</v>
      </c>
      <c r="F792" s="2">
        <v>277897373</v>
      </c>
      <c r="G792" s="2">
        <v>27222.37</v>
      </c>
      <c r="H792" s="2">
        <f t="shared" si="86"/>
        <v>22103.014999999996</v>
      </c>
      <c r="I792" s="2">
        <f t="shared" si="80"/>
        <v>21847.457000000002</v>
      </c>
      <c r="J792" s="2">
        <f t="shared" si="85"/>
        <v>20152.753000000008</v>
      </c>
      <c r="K792" s="2">
        <f t="shared" si="83"/>
        <v>-160.89999999999782</v>
      </c>
      <c r="L792" s="7">
        <f t="shared" si="81"/>
        <v>-7.1455534584211307E-3</v>
      </c>
      <c r="M792" s="9"/>
      <c r="N792" s="2">
        <f t="shared" si="84"/>
        <v>22493.55</v>
      </c>
      <c r="O792" s="2">
        <f t="shared" si="82"/>
        <v>-7.1531616841271628E-3</v>
      </c>
      <c r="P792" s="2"/>
    </row>
    <row r="793" spans="1:16" x14ac:dyDescent="0.3">
      <c r="A793" s="3">
        <v>45363</v>
      </c>
      <c r="B793" s="2">
        <v>22334.45</v>
      </c>
      <c r="C793" s="2">
        <v>22452.55</v>
      </c>
      <c r="D793" s="2">
        <v>22256</v>
      </c>
      <c r="E793" s="2">
        <v>22335.7</v>
      </c>
      <c r="F793" s="2">
        <v>299201167</v>
      </c>
      <c r="G793" s="2">
        <v>29781.119999999999</v>
      </c>
      <c r="H793" s="2">
        <f t="shared" si="86"/>
        <v>22130.522499999999</v>
      </c>
      <c r="I793" s="2">
        <f t="shared" si="80"/>
        <v>21858.536</v>
      </c>
      <c r="J793" s="2">
        <f t="shared" si="85"/>
        <v>20172.676250000008</v>
      </c>
      <c r="K793" s="2">
        <f t="shared" si="83"/>
        <v>3.0499999999992724</v>
      </c>
      <c r="L793" s="7">
        <f t="shared" si="81"/>
        <v>1.3656033616226378E-4</v>
      </c>
      <c r="M793" s="9"/>
      <c r="N793" s="2">
        <f t="shared" si="84"/>
        <v>22493.55</v>
      </c>
      <c r="O793" s="2">
        <f t="shared" si="82"/>
        <v>-7.0175672581694881E-3</v>
      </c>
      <c r="P793" s="2"/>
    </row>
    <row r="794" spans="1:16" x14ac:dyDescent="0.3">
      <c r="A794" s="3">
        <v>45364</v>
      </c>
      <c r="B794" s="2">
        <v>22432.2</v>
      </c>
      <c r="C794" s="2">
        <v>22446.75</v>
      </c>
      <c r="D794" s="2">
        <v>21905.65</v>
      </c>
      <c r="E794" s="2">
        <v>21997.7</v>
      </c>
      <c r="F794" s="2">
        <v>493341697</v>
      </c>
      <c r="G794" s="2">
        <v>40109.230000000003</v>
      </c>
      <c r="H794" s="2">
        <f t="shared" si="86"/>
        <v>22166.504999999997</v>
      </c>
      <c r="I794" s="2">
        <f t="shared" si="80"/>
        <v>21870.621999999996</v>
      </c>
      <c r="J794" s="2">
        <f t="shared" si="85"/>
        <v>20192.927750000006</v>
      </c>
      <c r="K794" s="2">
        <f t="shared" si="83"/>
        <v>-338</v>
      </c>
      <c r="L794" s="7">
        <f t="shared" si="81"/>
        <v>-1.5067626001907971E-2</v>
      </c>
      <c r="M794" s="9"/>
      <c r="N794" s="2">
        <f t="shared" si="84"/>
        <v>22493.55</v>
      </c>
      <c r="O794" s="2">
        <f t="shared" si="82"/>
        <v>-2.2044097085608949E-2</v>
      </c>
      <c r="P794" s="2"/>
    </row>
    <row r="795" spans="1:16" x14ac:dyDescent="0.3">
      <c r="A795" s="3">
        <v>45365</v>
      </c>
      <c r="B795" s="2">
        <v>21982.55</v>
      </c>
      <c r="C795" s="2">
        <v>22204.6</v>
      </c>
      <c r="D795" s="2">
        <v>21917.5</v>
      </c>
      <c r="E795" s="2">
        <v>22146.65</v>
      </c>
      <c r="F795" s="2">
        <v>426742460</v>
      </c>
      <c r="G795" s="2">
        <v>37348.300000000003</v>
      </c>
      <c r="H795" s="2">
        <f t="shared" si="86"/>
        <v>22179.227500000001</v>
      </c>
      <c r="I795" s="2">
        <f t="shared" si="80"/>
        <v>21875.737999999998</v>
      </c>
      <c r="J795" s="2">
        <f t="shared" si="85"/>
        <v>20211.310500000007</v>
      </c>
      <c r="K795" s="2">
        <f t="shared" si="83"/>
        <v>148.95000000000073</v>
      </c>
      <c r="L795" s="7">
        <f t="shared" si="81"/>
        <v>6.7758290098282837E-3</v>
      </c>
      <c r="M795" s="9"/>
      <c r="N795" s="2">
        <f t="shared" si="84"/>
        <v>22493.55</v>
      </c>
      <c r="O795" s="2">
        <f t="shared" si="82"/>
        <v>-1.5422198808102694E-2</v>
      </c>
      <c r="P795" s="2"/>
    </row>
    <row r="796" spans="1:16" x14ac:dyDescent="0.3">
      <c r="A796" s="3">
        <v>45366</v>
      </c>
      <c r="B796" s="2">
        <v>22064.85</v>
      </c>
      <c r="C796" s="2">
        <v>22120.9</v>
      </c>
      <c r="D796" s="2">
        <v>21931.7</v>
      </c>
      <c r="E796" s="2">
        <v>22023.35</v>
      </c>
      <c r="F796" s="2">
        <v>661460455</v>
      </c>
      <c r="G796" s="2">
        <v>60260.88</v>
      </c>
      <c r="H796" s="2">
        <f t="shared" si="86"/>
        <v>22194.557499999999</v>
      </c>
      <c r="I796" s="2">
        <f t="shared" si="80"/>
        <v>21885.355</v>
      </c>
      <c r="J796" s="2">
        <f t="shared" si="85"/>
        <v>20229.547000000006</v>
      </c>
      <c r="K796" s="2">
        <f t="shared" si="83"/>
        <v>-123.30000000000291</v>
      </c>
      <c r="L796" s="7">
        <f t="shared" si="81"/>
        <v>-5.5880733383640909E-3</v>
      </c>
      <c r="M796" s="9"/>
      <c r="N796" s="2">
        <f t="shared" si="84"/>
        <v>22493.55</v>
      </c>
      <c r="O796" s="2">
        <f t="shared" si="82"/>
        <v>-2.0903770191899484E-2</v>
      </c>
      <c r="P796" s="2"/>
    </row>
    <row r="797" spans="1:16" x14ac:dyDescent="0.3">
      <c r="A797" s="3">
        <v>45369</v>
      </c>
      <c r="B797" s="2">
        <v>21990.1</v>
      </c>
      <c r="C797" s="2">
        <v>22123.7</v>
      </c>
      <c r="D797" s="2">
        <v>21916.55</v>
      </c>
      <c r="E797" s="2">
        <v>22055.7</v>
      </c>
      <c r="F797" s="2">
        <v>356321519</v>
      </c>
      <c r="G797" s="2">
        <v>23015.51</v>
      </c>
      <c r="H797" s="2">
        <f t="shared" si="86"/>
        <v>22200.1875</v>
      </c>
      <c r="I797" s="2">
        <f t="shared" si="80"/>
        <v>21895.474999999999</v>
      </c>
      <c r="J797" s="2">
        <f t="shared" si="85"/>
        <v>20246.670500000007</v>
      </c>
      <c r="K797" s="2">
        <f t="shared" si="83"/>
        <v>32.350000000002183</v>
      </c>
      <c r="L797" s="7">
        <f t="shared" si="81"/>
        <v>1.4711165479012003E-3</v>
      </c>
      <c r="M797" s="9"/>
      <c r="N797" s="2">
        <f t="shared" si="84"/>
        <v>22493.55</v>
      </c>
      <c r="O797" s="2">
        <f t="shared" si="82"/>
        <v>-1.9465580132971394E-2</v>
      </c>
      <c r="P797" s="2"/>
    </row>
    <row r="798" spans="1:16" x14ac:dyDescent="0.3">
      <c r="A798" s="3">
        <v>45370</v>
      </c>
      <c r="B798" s="2">
        <v>21946.45</v>
      </c>
      <c r="C798" s="2">
        <v>21978.3</v>
      </c>
      <c r="D798" s="2">
        <v>21793.1</v>
      </c>
      <c r="E798" s="2">
        <v>21817.45</v>
      </c>
      <c r="F798" s="2">
        <v>344157465</v>
      </c>
      <c r="G798" s="2">
        <v>30291.599999999999</v>
      </c>
      <c r="H798" s="2">
        <f t="shared" si="86"/>
        <v>22200.9375</v>
      </c>
      <c r="I798" s="2">
        <f t="shared" si="80"/>
        <v>21903.417000000001</v>
      </c>
      <c r="J798" s="2">
        <f t="shared" si="85"/>
        <v>20263.779750000009</v>
      </c>
      <c r="K798" s="2">
        <f t="shared" si="83"/>
        <v>-238.25</v>
      </c>
      <c r="L798" s="7">
        <f t="shared" si="81"/>
        <v>-1.0855969872120548E-2</v>
      </c>
      <c r="M798" s="9"/>
      <c r="N798" s="2">
        <f t="shared" si="84"/>
        <v>22493.55</v>
      </c>
      <c r="O798" s="2">
        <f t="shared" si="82"/>
        <v>-3.0057505373762616E-2</v>
      </c>
      <c r="P798" s="2"/>
    </row>
    <row r="799" spans="1:16" x14ac:dyDescent="0.3">
      <c r="A799" s="3">
        <v>45371</v>
      </c>
      <c r="B799" s="2">
        <v>21843.9</v>
      </c>
      <c r="C799" s="2">
        <v>21930.9</v>
      </c>
      <c r="D799" s="2">
        <v>21710.2</v>
      </c>
      <c r="E799" s="2">
        <v>21839.1</v>
      </c>
      <c r="F799" s="2">
        <v>312414696</v>
      </c>
      <c r="G799" s="2">
        <v>28939.85</v>
      </c>
      <c r="H799" s="2">
        <f t="shared" si="86"/>
        <v>22185.697500000002</v>
      </c>
      <c r="I799" s="2">
        <f t="shared" si="80"/>
        <v>21905.55</v>
      </c>
      <c r="J799" s="2">
        <f t="shared" si="85"/>
        <v>20280.195000000011</v>
      </c>
      <c r="K799" s="2">
        <f t="shared" si="83"/>
        <v>21.649999999997817</v>
      </c>
      <c r="L799" s="7">
        <f t="shared" si="81"/>
        <v>9.9112337998241229E-4</v>
      </c>
      <c r="M799" s="9"/>
      <c r="N799" s="2">
        <f t="shared" si="84"/>
        <v>22493.55</v>
      </c>
      <c r="O799" s="2">
        <f t="shared" si="82"/>
        <v>-2.9095007235407477E-2</v>
      </c>
      <c r="P799" s="2"/>
    </row>
    <row r="800" spans="1:16" x14ac:dyDescent="0.3">
      <c r="A800" s="3">
        <v>45372</v>
      </c>
      <c r="B800" s="2">
        <v>21989.9</v>
      </c>
      <c r="C800" s="2">
        <v>22080.95</v>
      </c>
      <c r="D800" s="2">
        <v>21941.3</v>
      </c>
      <c r="E800" s="2">
        <v>22011.95</v>
      </c>
      <c r="F800" s="2">
        <v>353172434</v>
      </c>
      <c r="G800" s="2">
        <v>31258.400000000001</v>
      </c>
      <c r="H800" s="2">
        <f t="shared" si="86"/>
        <v>22167.805</v>
      </c>
      <c r="I800" s="2">
        <f t="shared" si="80"/>
        <v>21912.072</v>
      </c>
      <c r="J800" s="2">
        <f t="shared" si="85"/>
        <v>20296.951750000011</v>
      </c>
      <c r="K800" s="2">
        <f t="shared" si="83"/>
        <v>172.85000000000218</v>
      </c>
      <c r="L800" s="7">
        <f t="shared" si="81"/>
        <v>7.8604268323185719E-3</v>
      </c>
      <c r="M800" s="9"/>
      <c r="N800" s="2">
        <f t="shared" si="84"/>
        <v>22493.55</v>
      </c>
      <c r="O800" s="2">
        <f t="shared" si="82"/>
        <v>-2.1410582144659185E-2</v>
      </c>
      <c r="P800" s="2"/>
    </row>
    <row r="801" spans="1:16" x14ac:dyDescent="0.3">
      <c r="A801" s="3">
        <v>45373</v>
      </c>
      <c r="B801" s="2">
        <v>21932.2</v>
      </c>
      <c r="C801" s="2">
        <v>22180.7</v>
      </c>
      <c r="D801" s="2">
        <v>21883.3</v>
      </c>
      <c r="E801" s="2">
        <v>22096.75</v>
      </c>
      <c r="F801" s="2">
        <v>388656439</v>
      </c>
      <c r="G801" s="2">
        <v>39023.19</v>
      </c>
      <c r="H801" s="2">
        <f t="shared" si="86"/>
        <v>22165.65</v>
      </c>
      <c r="I801" s="2">
        <f t="shared" si="80"/>
        <v>21921.414000000001</v>
      </c>
      <c r="J801" s="2">
        <f t="shared" si="85"/>
        <v>20314.341000000011</v>
      </c>
      <c r="K801" s="2">
        <f t="shared" si="83"/>
        <v>84.799999999999272</v>
      </c>
      <c r="L801" s="7">
        <f t="shared" si="81"/>
        <v>3.8664611849244155E-3</v>
      </c>
      <c r="M801" s="9"/>
      <c r="N801" s="2">
        <f t="shared" si="84"/>
        <v>22493.55</v>
      </c>
      <c r="O801" s="2">
        <f t="shared" si="82"/>
        <v>-1.7640612531147792E-2</v>
      </c>
      <c r="P801" s="2"/>
    </row>
    <row r="802" spans="1:16" x14ac:dyDescent="0.3">
      <c r="A802" s="3">
        <v>45377</v>
      </c>
      <c r="B802" s="2">
        <v>21947.9</v>
      </c>
      <c r="C802" s="2">
        <v>22073.200000000001</v>
      </c>
      <c r="D802" s="2">
        <v>21947.55</v>
      </c>
      <c r="E802" s="2">
        <v>22004.7</v>
      </c>
      <c r="F802" s="2">
        <v>328403719</v>
      </c>
      <c r="G802" s="2">
        <v>33382.080000000002</v>
      </c>
      <c r="H802" s="2">
        <f t="shared" si="86"/>
        <v>22159.614999999998</v>
      </c>
      <c r="I802" s="2">
        <f t="shared" si="80"/>
        <v>21930.974999999999</v>
      </c>
      <c r="J802" s="2">
        <f t="shared" si="85"/>
        <v>20331.855500000009</v>
      </c>
      <c r="K802" s="2">
        <f t="shared" si="83"/>
        <v>-92.049999999999272</v>
      </c>
      <c r="L802" s="7">
        <f t="shared" si="81"/>
        <v>-4.1940231183848686E-3</v>
      </c>
      <c r="M802" s="9"/>
      <c r="N802" s="2">
        <f t="shared" si="84"/>
        <v>22493.55</v>
      </c>
      <c r="O802" s="2">
        <f t="shared" si="82"/>
        <v>-2.1732896763738907E-2</v>
      </c>
      <c r="P802" s="2"/>
    </row>
    <row r="803" spans="1:16" x14ac:dyDescent="0.3">
      <c r="A803" s="3">
        <v>45378</v>
      </c>
      <c r="B803" s="2">
        <v>22053.95</v>
      </c>
      <c r="C803" s="2">
        <v>22193.599999999999</v>
      </c>
      <c r="D803" s="2">
        <v>22052.85</v>
      </c>
      <c r="E803" s="2">
        <v>22123.65</v>
      </c>
      <c r="F803" s="2">
        <v>409136866</v>
      </c>
      <c r="G803" s="2">
        <v>38830.730000000003</v>
      </c>
      <c r="H803" s="2">
        <f t="shared" si="86"/>
        <v>22149.215</v>
      </c>
      <c r="I803" s="2">
        <f t="shared" si="80"/>
        <v>21938.125</v>
      </c>
      <c r="J803" s="2">
        <f t="shared" si="85"/>
        <v>20348.884000000009</v>
      </c>
      <c r="K803" s="2">
        <f t="shared" si="83"/>
        <v>118.95000000000073</v>
      </c>
      <c r="L803" s="7">
        <f t="shared" si="81"/>
        <v>5.3935916241762008E-3</v>
      </c>
      <c r="M803" s="9"/>
      <c r="N803" s="2">
        <f t="shared" si="84"/>
        <v>22493.55</v>
      </c>
      <c r="O803" s="2">
        <f t="shared" si="82"/>
        <v>-1.6444714151389928E-2</v>
      </c>
      <c r="P803" s="2"/>
    </row>
    <row r="804" spans="1:16" x14ac:dyDescent="0.3">
      <c r="A804" s="3">
        <v>45379</v>
      </c>
      <c r="B804" s="2">
        <v>22163.599999999999</v>
      </c>
      <c r="C804" s="2">
        <v>22516</v>
      </c>
      <c r="D804" s="2">
        <v>22163.599999999999</v>
      </c>
      <c r="E804" s="2">
        <v>22326.9</v>
      </c>
      <c r="F804" s="2">
        <v>407422815</v>
      </c>
      <c r="G804" s="2">
        <v>45656.57</v>
      </c>
      <c r="H804" s="2">
        <f t="shared" si="86"/>
        <v>22149.295000000002</v>
      </c>
      <c r="I804" s="2">
        <f t="shared" si="80"/>
        <v>21942.706999999999</v>
      </c>
      <c r="J804" s="2">
        <f t="shared" si="85"/>
        <v>20365.870250000011</v>
      </c>
      <c r="K804" s="2">
        <f t="shared" si="83"/>
        <v>203.25</v>
      </c>
      <c r="L804" s="7">
        <f t="shared" si="81"/>
        <v>9.1704416250067682E-3</v>
      </c>
      <c r="M804" s="9"/>
      <c r="N804" s="2">
        <f t="shared" si="84"/>
        <v>22493.55</v>
      </c>
      <c r="O804" s="2">
        <f t="shared" si="82"/>
        <v>-7.4087905199489157E-3</v>
      </c>
      <c r="P804" s="2"/>
    </row>
    <row r="805" spans="1:16" x14ac:dyDescent="0.3">
      <c r="A805" s="3">
        <v>45383</v>
      </c>
      <c r="B805" s="2">
        <v>22455</v>
      </c>
      <c r="C805" s="2">
        <v>22529.95</v>
      </c>
      <c r="D805" s="2">
        <v>22427.75</v>
      </c>
      <c r="E805" s="2">
        <v>22462</v>
      </c>
      <c r="F805" s="2">
        <v>243637071</v>
      </c>
      <c r="G805" s="2">
        <v>21420.69</v>
      </c>
      <c r="H805" s="2">
        <f t="shared" si="86"/>
        <v>22155.722500000003</v>
      </c>
      <c r="I805" s="2">
        <f t="shared" si="80"/>
        <v>21947.295999999995</v>
      </c>
      <c r="J805" s="2">
        <f t="shared" si="85"/>
        <v>20384.332000000009</v>
      </c>
      <c r="K805" s="2">
        <f t="shared" si="83"/>
        <v>135.09999999999854</v>
      </c>
      <c r="L805" s="7">
        <f t="shared" si="81"/>
        <v>6.0164773992428654E-3</v>
      </c>
      <c r="M805" s="9"/>
      <c r="N805" s="2">
        <f t="shared" si="84"/>
        <v>22493.55</v>
      </c>
      <c r="O805" s="2">
        <f t="shared" si="82"/>
        <v>-1.4026243078570921E-3</v>
      </c>
      <c r="P805" s="2"/>
    </row>
    <row r="806" spans="1:16" x14ac:dyDescent="0.3">
      <c r="A806" s="3">
        <v>45384</v>
      </c>
      <c r="B806" s="2">
        <v>22458.799999999999</v>
      </c>
      <c r="C806" s="2">
        <v>22497.599999999999</v>
      </c>
      <c r="D806" s="2">
        <v>22388.15</v>
      </c>
      <c r="E806" s="2">
        <v>22453.3</v>
      </c>
      <c r="F806" s="2">
        <v>289524237</v>
      </c>
      <c r="G806" s="2">
        <v>27940.93</v>
      </c>
      <c r="H806" s="2">
        <f t="shared" si="86"/>
        <v>22181.265000000003</v>
      </c>
      <c r="I806" s="2">
        <f t="shared" si="80"/>
        <v>21955.889999999996</v>
      </c>
      <c r="J806" s="2">
        <f t="shared" si="85"/>
        <v>20403.825000000012</v>
      </c>
      <c r="K806" s="2">
        <f t="shared" si="83"/>
        <v>-8.7000000000007276</v>
      </c>
      <c r="L806" s="7">
        <f t="shared" si="81"/>
        <v>-3.8737599515560616E-4</v>
      </c>
      <c r="M806" s="9"/>
      <c r="N806" s="2">
        <f t="shared" si="84"/>
        <v>22493.55</v>
      </c>
      <c r="O806" s="2">
        <f t="shared" si="82"/>
        <v>-1.7894018507528253E-3</v>
      </c>
      <c r="P806" s="2"/>
    </row>
    <row r="807" spans="1:16" x14ac:dyDescent="0.3">
      <c r="A807" s="3">
        <v>45385</v>
      </c>
      <c r="B807" s="2">
        <v>22385.7</v>
      </c>
      <c r="C807" s="2">
        <v>22521.1</v>
      </c>
      <c r="D807" s="2">
        <v>22346.5</v>
      </c>
      <c r="E807" s="2">
        <v>22434.65</v>
      </c>
      <c r="F807" s="2">
        <v>309647491</v>
      </c>
      <c r="G807" s="2">
        <v>30793.279999999999</v>
      </c>
      <c r="H807" s="2">
        <f t="shared" si="86"/>
        <v>22204.79</v>
      </c>
      <c r="I807" s="2">
        <f t="shared" si="80"/>
        <v>21973.516999999996</v>
      </c>
      <c r="J807" s="2">
        <f t="shared" si="85"/>
        <v>20423.08400000001</v>
      </c>
      <c r="K807" s="2">
        <f t="shared" si="83"/>
        <v>-18.649999999997817</v>
      </c>
      <c r="L807" s="7">
        <f t="shared" si="81"/>
        <v>-8.3312114430184525E-4</v>
      </c>
      <c r="M807" s="9"/>
      <c r="N807" s="2">
        <f t="shared" si="84"/>
        <v>22493.55</v>
      </c>
      <c r="O807" s="2">
        <f t="shared" si="82"/>
        <v>-2.6185284225921368E-3</v>
      </c>
      <c r="P807" s="2"/>
    </row>
    <row r="808" spans="1:16" x14ac:dyDescent="0.3">
      <c r="A808" s="3">
        <v>45386</v>
      </c>
      <c r="B808" s="2">
        <v>22592.1</v>
      </c>
      <c r="C808" s="2">
        <v>22619</v>
      </c>
      <c r="D808" s="2">
        <v>22303.8</v>
      </c>
      <c r="E808" s="2">
        <v>22514.65</v>
      </c>
      <c r="F808" s="2">
        <v>400986156</v>
      </c>
      <c r="G808" s="2">
        <v>40705.56</v>
      </c>
      <c r="H808" s="2">
        <f t="shared" si="86"/>
        <v>22209.585000000006</v>
      </c>
      <c r="I808" s="2">
        <f t="shared" si="80"/>
        <v>21992.965</v>
      </c>
      <c r="J808" s="2">
        <f t="shared" si="85"/>
        <v>20441.676500000012</v>
      </c>
      <c r="K808" s="2">
        <f t="shared" si="83"/>
        <v>80</v>
      </c>
      <c r="L808" s="7">
        <f t="shared" si="81"/>
        <v>3.5410608132931424E-3</v>
      </c>
      <c r="M808" s="9"/>
      <c r="N808" s="2">
        <f t="shared" si="84"/>
        <v>22514.65</v>
      </c>
      <c r="O808" s="2">
        <f t="shared" si="82"/>
        <v>0</v>
      </c>
      <c r="P808" s="2"/>
    </row>
    <row r="809" spans="1:16" x14ac:dyDescent="0.3">
      <c r="A809" s="3">
        <v>45387</v>
      </c>
      <c r="B809" s="2">
        <v>22486.400000000001</v>
      </c>
      <c r="C809" s="2">
        <v>22537.599999999999</v>
      </c>
      <c r="D809" s="2">
        <v>22427.599999999999</v>
      </c>
      <c r="E809" s="2">
        <v>22513.7</v>
      </c>
      <c r="F809" s="2">
        <v>242244731</v>
      </c>
      <c r="G809" s="2">
        <v>24797.82</v>
      </c>
      <c r="H809" s="2">
        <f t="shared" si="86"/>
        <v>22215.037500000006</v>
      </c>
      <c r="I809" s="2">
        <f t="shared" si="80"/>
        <v>22010.809999999994</v>
      </c>
      <c r="J809" s="2">
        <f t="shared" si="85"/>
        <v>20460.470250000009</v>
      </c>
      <c r="K809" s="2">
        <f t="shared" si="83"/>
        <v>-0.9500000000007276</v>
      </c>
      <c r="L809" s="7">
        <f t="shared" si="81"/>
        <v>-4.2247758645257913E-5</v>
      </c>
      <c r="M809" s="9"/>
      <c r="N809" s="2">
        <f t="shared" si="84"/>
        <v>22514.65</v>
      </c>
      <c r="O809" s="2">
        <f t="shared" si="82"/>
        <v>-4.2194748752555356E-5</v>
      </c>
      <c r="P809" s="2"/>
    </row>
    <row r="810" spans="1:16" x14ac:dyDescent="0.3">
      <c r="A810" s="3">
        <v>45390</v>
      </c>
      <c r="B810" s="2">
        <v>22578.35</v>
      </c>
      <c r="C810" s="2">
        <v>22697.3</v>
      </c>
      <c r="D810" s="2">
        <v>22550.35</v>
      </c>
      <c r="E810" s="2">
        <v>22666.3</v>
      </c>
      <c r="F810" s="2">
        <v>227633561</v>
      </c>
      <c r="G810" s="2">
        <v>22480.2</v>
      </c>
      <c r="H810" s="2">
        <f t="shared" si="86"/>
        <v>22222.907500000008</v>
      </c>
      <c r="I810" s="2">
        <f t="shared" si="80"/>
        <v>22029.647999999997</v>
      </c>
      <c r="J810" s="2">
        <f t="shared" si="85"/>
        <v>20479.59825000001</v>
      </c>
      <c r="K810" s="2">
        <f t="shared" si="83"/>
        <v>152.59999999999854</v>
      </c>
      <c r="L810" s="7">
        <f t="shared" si="81"/>
        <v>6.7586869722543299E-3</v>
      </c>
      <c r="M810" s="9"/>
      <c r="N810" s="2">
        <f t="shared" si="84"/>
        <v>22666.3</v>
      </c>
      <c r="O810" s="2">
        <f t="shared" si="82"/>
        <v>0</v>
      </c>
      <c r="P810" s="2"/>
    </row>
    <row r="811" spans="1:16" x14ac:dyDescent="0.3">
      <c r="A811" s="3">
        <v>45391</v>
      </c>
      <c r="B811" s="2">
        <v>22765.1</v>
      </c>
      <c r="C811" s="2">
        <v>22768.400000000001</v>
      </c>
      <c r="D811" s="2">
        <v>22612.25</v>
      </c>
      <c r="E811" s="2">
        <v>22642.75</v>
      </c>
      <c r="F811" s="2">
        <v>232356772</v>
      </c>
      <c r="G811" s="2">
        <v>21651.69</v>
      </c>
      <c r="H811" s="2">
        <f t="shared" si="86"/>
        <v>22232.520000000008</v>
      </c>
      <c r="I811" s="2">
        <f t="shared" si="80"/>
        <v>22058.197999999997</v>
      </c>
      <c r="J811" s="2">
        <f t="shared" si="85"/>
        <v>20498.799750000009</v>
      </c>
      <c r="K811" s="2">
        <f t="shared" si="83"/>
        <v>-23.549999999999272</v>
      </c>
      <c r="L811" s="7">
        <f t="shared" si="81"/>
        <v>-1.0344782144598211E-3</v>
      </c>
      <c r="M811" s="9"/>
      <c r="N811" s="2">
        <f t="shared" si="84"/>
        <v>22666.3</v>
      </c>
      <c r="O811" s="2">
        <f t="shared" si="82"/>
        <v>-1.0389873953843276E-3</v>
      </c>
      <c r="P811" s="2"/>
    </row>
    <row r="812" spans="1:16" x14ac:dyDescent="0.3">
      <c r="A812" s="3">
        <v>45392</v>
      </c>
      <c r="B812" s="2">
        <v>22720.25</v>
      </c>
      <c r="C812" s="2">
        <v>22775.7</v>
      </c>
      <c r="D812" s="2">
        <v>22673.7</v>
      </c>
      <c r="E812" s="2">
        <v>22753.8</v>
      </c>
      <c r="F812" s="2">
        <v>276847931</v>
      </c>
      <c r="G812" s="2">
        <v>25355.05</v>
      </c>
      <c r="H812" s="2">
        <f t="shared" si="86"/>
        <v>22239.980000000007</v>
      </c>
      <c r="I812" s="2">
        <f t="shared" si="80"/>
        <v>22081.973999999998</v>
      </c>
      <c r="J812" s="2">
        <f t="shared" si="85"/>
        <v>20518.236250000009</v>
      </c>
      <c r="K812" s="2">
        <f t="shared" si="83"/>
        <v>111.04999999999927</v>
      </c>
      <c r="L812" s="7">
        <f t="shared" si="81"/>
        <v>4.887710302483435E-3</v>
      </c>
      <c r="M812" s="9"/>
      <c r="N812" s="2">
        <f t="shared" si="84"/>
        <v>22753.8</v>
      </c>
      <c r="O812" s="2">
        <f t="shared" si="82"/>
        <v>0</v>
      </c>
      <c r="P812" s="2"/>
    </row>
    <row r="813" spans="1:16" x14ac:dyDescent="0.3">
      <c r="A813" s="3">
        <v>45394</v>
      </c>
      <c r="B813" s="2">
        <v>22677.4</v>
      </c>
      <c r="C813" s="2">
        <v>22726.45</v>
      </c>
      <c r="D813" s="2">
        <v>22503.75</v>
      </c>
      <c r="E813" s="2">
        <v>22519.4</v>
      </c>
      <c r="F813" s="2">
        <v>357187778</v>
      </c>
      <c r="G813" s="2">
        <v>36456.910000000003</v>
      </c>
      <c r="H813" s="2">
        <f t="shared" si="86"/>
        <v>22261.037500000002</v>
      </c>
      <c r="I813" s="2">
        <f t="shared" si="80"/>
        <v>22109.998</v>
      </c>
      <c r="J813" s="2">
        <f t="shared" si="85"/>
        <v>20537.921750000009</v>
      </c>
      <c r="K813" s="2">
        <f t="shared" si="83"/>
        <v>-234.39999999999782</v>
      </c>
      <c r="L813" s="7">
        <f t="shared" si="81"/>
        <v>-1.0336281937082638E-2</v>
      </c>
      <c r="M813" s="9"/>
      <c r="N813" s="2">
        <f t="shared" si="84"/>
        <v>22753.8</v>
      </c>
      <c r="O813" s="2">
        <f t="shared" si="82"/>
        <v>-1.0301576000492085E-2</v>
      </c>
      <c r="P813" s="2"/>
    </row>
    <row r="814" spans="1:16" x14ac:dyDescent="0.3">
      <c r="A814" s="3">
        <v>45397</v>
      </c>
      <c r="B814" s="2">
        <v>22339.05</v>
      </c>
      <c r="C814" s="2">
        <v>22427.45</v>
      </c>
      <c r="D814" s="2">
        <v>22259.55</v>
      </c>
      <c r="E814" s="2">
        <v>22272.5</v>
      </c>
      <c r="F814" s="2">
        <v>355465814</v>
      </c>
      <c r="G814" s="2">
        <v>29474.59</v>
      </c>
      <c r="H814" s="2">
        <f t="shared" si="86"/>
        <v>22270.222500000003</v>
      </c>
      <c r="I814" s="2">
        <f t="shared" si="80"/>
        <v>22125.633999999998</v>
      </c>
      <c r="J814" s="2">
        <f t="shared" si="85"/>
        <v>20556.234500000006</v>
      </c>
      <c r="K814" s="2">
        <f t="shared" si="83"/>
        <v>-246.90000000000146</v>
      </c>
      <c r="L814" s="7">
        <f t="shared" si="81"/>
        <v>-1.1052394797451166E-2</v>
      </c>
      <c r="M814" s="9"/>
      <c r="N814" s="2">
        <f t="shared" si="84"/>
        <v>22753.8</v>
      </c>
      <c r="O814" s="2">
        <f t="shared" si="82"/>
        <v>-2.1152510789406609E-2</v>
      </c>
      <c r="P814" s="2"/>
    </row>
    <row r="815" spans="1:16" x14ac:dyDescent="0.3">
      <c r="A815" s="3">
        <v>45398</v>
      </c>
      <c r="B815" s="2">
        <v>22125.3</v>
      </c>
      <c r="C815" s="2">
        <v>22213.75</v>
      </c>
      <c r="D815" s="2">
        <v>22079.45</v>
      </c>
      <c r="E815" s="2">
        <v>22147.9</v>
      </c>
      <c r="F815" s="2">
        <v>317267066</v>
      </c>
      <c r="G815" s="2">
        <v>28661.040000000001</v>
      </c>
      <c r="H815" s="2">
        <f t="shared" si="86"/>
        <v>22283.962500000001</v>
      </c>
      <c r="I815" s="2">
        <f t="shared" si="80"/>
        <v>22140.641999999996</v>
      </c>
      <c r="J815" s="2">
        <f t="shared" si="85"/>
        <v>20573.740750000004</v>
      </c>
      <c r="K815" s="2">
        <f t="shared" si="83"/>
        <v>-124.59999999999854</v>
      </c>
      <c r="L815" s="7">
        <f t="shared" si="81"/>
        <v>-5.6315620579155332E-3</v>
      </c>
      <c r="M815" s="9"/>
      <c r="N815" s="2">
        <f t="shared" si="84"/>
        <v>22753.8</v>
      </c>
      <c r="O815" s="2">
        <f t="shared" si="82"/>
        <v>-2.6628519192398503E-2</v>
      </c>
      <c r="P815" s="2"/>
    </row>
    <row r="816" spans="1:16" x14ac:dyDescent="0.3">
      <c r="A816" s="3">
        <v>45400</v>
      </c>
      <c r="B816" s="2">
        <v>22212.35</v>
      </c>
      <c r="C816" s="2">
        <v>22326.5</v>
      </c>
      <c r="D816" s="2">
        <v>21961.7</v>
      </c>
      <c r="E816" s="2">
        <v>21995.85</v>
      </c>
      <c r="F816" s="2">
        <v>456906707</v>
      </c>
      <c r="G816" s="2">
        <v>43314.67</v>
      </c>
      <c r="H816" s="2">
        <f t="shared" si="86"/>
        <v>22284.025000000001</v>
      </c>
      <c r="I816" s="2">
        <f t="shared" si="80"/>
        <v>22149.085999999996</v>
      </c>
      <c r="J816" s="2">
        <f t="shared" si="85"/>
        <v>20591.152750000005</v>
      </c>
      <c r="K816" s="2">
        <f t="shared" si="83"/>
        <v>-152.05000000000291</v>
      </c>
      <c r="L816" s="7">
        <f t="shared" si="81"/>
        <v>-6.8452910205360042E-3</v>
      </c>
      <c r="M816" s="9"/>
      <c r="N816" s="2">
        <f t="shared" si="84"/>
        <v>22753.8</v>
      </c>
      <c r="O816" s="2">
        <f t="shared" si="82"/>
        <v>-3.3310919494765723E-2</v>
      </c>
      <c r="P816" s="2"/>
    </row>
    <row r="817" spans="1:16" x14ac:dyDescent="0.3">
      <c r="A817" s="3">
        <v>45401</v>
      </c>
      <c r="B817" s="2">
        <v>21861.5</v>
      </c>
      <c r="C817" s="2">
        <v>22179.55</v>
      </c>
      <c r="D817" s="2">
        <v>21777.65</v>
      </c>
      <c r="E817" s="2">
        <v>22147</v>
      </c>
      <c r="F817" s="2">
        <v>362530569</v>
      </c>
      <c r="G817" s="2">
        <v>36073.629999999997</v>
      </c>
      <c r="H817" s="2">
        <f t="shared" si="86"/>
        <v>22282.65</v>
      </c>
      <c r="I817" s="2">
        <f t="shared" si="80"/>
        <v>22155.054</v>
      </c>
      <c r="J817" s="2">
        <f t="shared" si="85"/>
        <v>20607.676000000007</v>
      </c>
      <c r="K817" s="2">
        <f t="shared" si="83"/>
        <v>151.15000000000146</v>
      </c>
      <c r="L817" s="7">
        <f t="shared" si="81"/>
        <v>6.9139811998262454E-3</v>
      </c>
      <c r="M817" s="9"/>
      <c r="N817" s="2">
        <f t="shared" si="84"/>
        <v>22753.8</v>
      </c>
      <c r="O817" s="2">
        <f t="shared" si="82"/>
        <v>-2.6668073025165051E-2</v>
      </c>
      <c r="P817" s="2"/>
    </row>
    <row r="818" spans="1:16" x14ac:dyDescent="0.3">
      <c r="A818" s="3">
        <v>45404</v>
      </c>
      <c r="B818" s="2">
        <v>22336.9</v>
      </c>
      <c r="C818" s="2">
        <v>22375.65</v>
      </c>
      <c r="D818" s="2">
        <v>22198.15</v>
      </c>
      <c r="E818" s="2">
        <v>22336.400000000001</v>
      </c>
      <c r="F818" s="2">
        <v>279259571</v>
      </c>
      <c r="G818" s="2">
        <v>26841.200000000001</v>
      </c>
      <c r="H818" s="2">
        <f t="shared" si="86"/>
        <v>22287.215</v>
      </c>
      <c r="I818" s="2">
        <f t="shared" si="80"/>
        <v>22160.917999999998</v>
      </c>
      <c r="J818" s="2">
        <f t="shared" si="85"/>
        <v>20624.324000000008</v>
      </c>
      <c r="K818" s="2">
        <f t="shared" si="83"/>
        <v>189.40000000000146</v>
      </c>
      <c r="L818" s="7">
        <f t="shared" si="81"/>
        <v>8.4792428671839615E-3</v>
      </c>
      <c r="M818" s="9"/>
      <c r="N818" s="2">
        <f t="shared" si="84"/>
        <v>22753.8</v>
      </c>
      <c r="O818" s="2">
        <f t="shared" si="82"/>
        <v>-1.8344188662992478E-2</v>
      </c>
      <c r="P818" s="2"/>
    </row>
    <row r="819" spans="1:16" x14ac:dyDescent="0.3">
      <c r="A819" s="3">
        <v>45405</v>
      </c>
      <c r="B819" s="2">
        <v>22447.05</v>
      </c>
      <c r="C819" s="2">
        <v>22447.55</v>
      </c>
      <c r="D819" s="2">
        <v>22349.45</v>
      </c>
      <c r="E819" s="2">
        <v>22368</v>
      </c>
      <c r="F819" s="2">
        <v>231520813</v>
      </c>
      <c r="G819" s="2">
        <v>25651.64</v>
      </c>
      <c r="H819" s="2">
        <f t="shared" si="86"/>
        <v>22313.162499999999</v>
      </c>
      <c r="I819" s="2">
        <f t="shared" si="80"/>
        <v>22172.211999999996</v>
      </c>
      <c r="J819" s="2">
        <f t="shared" si="85"/>
        <v>20641.145500000006</v>
      </c>
      <c r="K819" s="2">
        <f t="shared" si="83"/>
        <v>31.599999999998545</v>
      </c>
      <c r="L819" s="7">
        <f t="shared" si="81"/>
        <v>1.4077573667808708E-3</v>
      </c>
      <c r="M819" s="9"/>
      <c r="N819" s="2">
        <f t="shared" si="84"/>
        <v>22753.8</v>
      </c>
      <c r="O819" s="2">
        <f t="shared" si="82"/>
        <v>-1.6955409645861286E-2</v>
      </c>
      <c r="P819" s="2"/>
    </row>
    <row r="820" spans="1:16" x14ac:dyDescent="0.3">
      <c r="A820" s="3">
        <v>45406</v>
      </c>
      <c r="B820" s="2">
        <v>22421.55</v>
      </c>
      <c r="C820" s="2">
        <v>22476.45</v>
      </c>
      <c r="D820" s="2">
        <v>22384</v>
      </c>
      <c r="E820" s="2">
        <v>22402.400000000001</v>
      </c>
      <c r="F820" s="2">
        <v>235898642</v>
      </c>
      <c r="G820" s="2">
        <v>21925.599999999999</v>
      </c>
      <c r="H820" s="2">
        <f t="shared" si="86"/>
        <v>22339.607499999998</v>
      </c>
      <c r="I820" s="2">
        <f t="shared" si="80"/>
        <v>22180.983999999993</v>
      </c>
      <c r="J820" s="2">
        <f t="shared" si="85"/>
        <v>20657.040250000005</v>
      </c>
      <c r="K820" s="2">
        <f t="shared" si="83"/>
        <v>34.400000000001455</v>
      </c>
      <c r="L820" s="7">
        <f t="shared" si="81"/>
        <v>1.5342382663108239E-3</v>
      </c>
      <c r="M820" s="9"/>
      <c r="N820" s="2">
        <f t="shared" si="84"/>
        <v>22753.8</v>
      </c>
      <c r="O820" s="2">
        <f t="shared" si="82"/>
        <v>-1.5443574260123438E-2</v>
      </c>
      <c r="P820" s="2"/>
    </row>
    <row r="821" spans="1:16" x14ac:dyDescent="0.3">
      <c r="A821" s="3">
        <v>45407</v>
      </c>
      <c r="B821" s="2">
        <v>22316.9</v>
      </c>
      <c r="C821" s="2">
        <v>22625.95</v>
      </c>
      <c r="D821" s="2">
        <v>22305.25</v>
      </c>
      <c r="E821" s="2">
        <v>22570.35</v>
      </c>
      <c r="F821" s="2">
        <v>475044740</v>
      </c>
      <c r="G821" s="2">
        <v>53803.8</v>
      </c>
      <c r="H821" s="2">
        <f t="shared" si="86"/>
        <v>22359.13</v>
      </c>
      <c r="I821" s="2">
        <f t="shared" ref="I821:I884" si="87">AVERAGE(E771:E820)</f>
        <v>22190.421999999999</v>
      </c>
      <c r="J821" s="2">
        <f t="shared" si="85"/>
        <v>20672.4395</v>
      </c>
      <c r="K821" s="2">
        <f t="shared" si="83"/>
        <v>167.94999999999709</v>
      </c>
      <c r="L821" s="7">
        <f t="shared" si="81"/>
        <v>7.5256868113401541E-3</v>
      </c>
      <c r="M821" s="9"/>
      <c r="N821" s="2">
        <f t="shared" si="84"/>
        <v>22753.8</v>
      </c>
      <c r="O821" s="2">
        <f t="shared" si="82"/>
        <v>-8.0623895788836109E-3</v>
      </c>
      <c r="P821" s="2"/>
    </row>
    <row r="822" spans="1:16" x14ac:dyDescent="0.3">
      <c r="A822" s="3">
        <v>45408</v>
      </c>
      <c r="B822" s="2">
        <v>22620.400000000001</v>
      </c>
      <c r="C822" s="2">
        <v>22620.400000000001</v>
      </c>
      <c r="D822" s="2">
        <v>22385.55</v>
      </c>
      <c r="E822" s="2">
        <v>22419.95</v>
      </c>
      <c r="F822" s="2">
        <v>329887340</v>
      </c>
      <c r="G822" s="2">
        <v>36984.89</v>
      </c>
      <c r="H822" s="2">
        <f t="shared" si="86"/>
        <v>22382.81</v>
      </c>
      <c r="I822" s="2">
        <f t="shared" si="87"/>
        <v>22207.47</v>
      </c>
      <c r="J822" s="2">
        <f t="shared" si="85"/>
        <v>20688.346250000002</v>
      </c>
      <c r="K822" s="2">
        <f t="shared" si="83"/>
        <v>-150.39999999999782</v>
      </c>
      <c r="L822" s="7">
        <f t="shared" si="81"/>
        <v>-6.6488656257182813E-3</v>
      </c>
      <c r="M822" s="9"/>
      <c r="N822" s="2">
        <f t="shared" si="84"/>
        <v>22753.8</v>
      </c>
      <c r="O822" s="2">
        <f t="shared" si="82"/>
        <v>-1.4672274521178807E-2</v>
      </c>
      <c r="P822" s="2"/>
    </row>
    <row r="823" spans="1:16" x14ac:dyDescent="0.3">
      <c r="A823" s="3">
        <v>45411</v>
      </c>
      <c r="B823" s="2">
        <v>22475.55</v>
      </c>
      <c r="C823" s="2">
        <v>22655.8</v>
      </c>
      <c r="D823" s="2">
        <v>22441.9</v>
      </c>
      <c r="E823" s="2">
        <v>22643.4</v>
      </c>
      <c r="F823" s="2">
        <v>291957361</v>
      </c>
      <c r="G823" s="2">
        <v>32431.45</v>
      </c>
      <c r="H823" s="2">
        <f t="shared" si="86"/>
        <v>22403.572500000002</v>
      </c>
      <c r="I823" s="2">
        <f t="shared" si="87"/>
        <v>22220.218999999997</v>
      </c>
      <c r="J823" s="2">
        <f t="shared" si="85"/>
        <v>20703.453500000003</v>
      </c>
      <c r="K823" s="2">
        <f t="shared" si="83"/>
        <v>223.45000000000073</v>
      </c>
      <c r="L823" s="7">
        <f t="shared" si="81"/>
        <v>9.9419146583732427E-3</v>
      </c>
      <c r="M823" s="9"/>
      <c r="N823" s="2">
        <f t="shared" si="84"/>
        <v>22753.8</v>
      </c>
      <c r="O823" s="2">
        <f t="shared" si="82"/>
        <v>-4.8519368193443713E-3</v>
      </c>
      <c r="P823" s="2"/>
    </row>
    <row r="824" spans="1:16" x14ac:dyDescent="0.3">
      <c r="A824" s="3">
        <v>45412</v>
      </c>
      <c r="B824" s="2">
        <v>22679.65</v>
      </c>
      <c r="C824" s="2">
        <v>22783.35</v>
      </c>
      <c r="D824" s="2">
        <v>22568.400000000001</v>
      </c>
      <c r="E824" s="2">
        <v>22604.85</v>
      </c>
      <c r="F824" s="2">
        <v>361859375</v>
      </c>
      <c r="G824" s="2">
        <v>38741.699999999997</v>
      </c>
      <c r="H824" s="2">
        <f t="shared" si="86"/>
        <v>22429.56</v>
      </c>
      <c r="I824" s="2">
        <f t="shared" si="87"/>
        <v>22240.766</v>
      </c>
      <c r="J824" s="2">
        <f t="shared" si="85"/>
        <v>20719.184000000001</v>
      </c>
      <c r="K824" s="2">
        <f t="shared" si="83"/>
        <v>-38.55000000000291</v>
      </c>
      <c r="L824" s="7">
        <f t="shared" si="81"/>
        <v>-1.6997616806257111E-3</v>
      </c>
      <c r="M824" s="9"/>
      <c r="N824" s="2">
        <f t="shared" si="84"/>
        <v>22753.8</v>
      </c>
      <c r="O824" s="2">
        <f t="shared" si="82"/>
        <v>-6.5461593228384185E-3</v>
      </c>
      <c r="P824" s="2"/>
    </row>
    <row r="825" spans="1:16" x14ac:dyDescent="0.3">
      <c r="A825" s="3">
        <v>45414</v>
      </c>
      <c r="B825" s="2">
        <v>22567.85</v>
      </c>
      <c r="C825" s="2">
        <v>22710.5</v>
      </c>
      <c r="D825" s="2">
        <v>22567.85</v>
      </c>
      <c r="E825" s="2">
        <v>22648.2</v>
      </c>
      <c r="F825" s="2">
        <v>445909456</v>
      </c>
      <c r="G825" s="2">
        <v>43133.31</v>
      </c>
      <c r="H825" s="2">
        <f t="shared" si="86"/>
        <v>22443.4575</v>
      </c>
      <c r="I825" s="2">
        <f t="shared" si="87"/>
        <v>22257.998000000003</v>
      </c>
      <c r="J825" s="2">
        <f t="shared" si="85"/>
        <v>20735.549250000004</v>
      </c>
      <c r="K825" s="2">
        <f t="shared" si="83"/>
        <v>43.350000000002183</v>
      </c>
      <c r="L825" s="7">
        <f t="shared" si="81"/>
        <v>1.9208741639102612E-3</v>
      </c>
      <c r="M825" s="9"/>
      <c r="N825" s="2">
        <f t="shared" si="84"/>
        <v>22753.8</v>
      </c>
      <c r="O825" s="2">
        <f t="shared" si="82"/>
        <v>-4.6409830445902633E-3</v>
      </c>
      <c r="P825" s="2"/>
    </row>
    <row r="826" spans="1:16" x14ac:dyDescent="0.3">
      <c r="A826" s="3">
        <v>45415</v>
      </c>
      <c r="B826" s="2">
        <v>22766.35</v>
      </c>
      <c r="C826" s="2">
        <v>22794.7</v>
      </c>
      <c r="D826" s="2">
        <v>22348.05</v>
      </c>
      <c r="E826" s="2">
        <v>22475.85</v>
      </c>
      <c r="F826" s="2">
        <v>438060727</v>
      </c>
      <c r="G826" s="2">
        <v>44432.55</v>
      </c>
      <c r="H826" s="2">
        <f t="shared" si="86"/>
        <v>22452.767500000002</v>
      </c>
      <c r="I826" s="2">
        <f t="shared" si="87"/>
        <v>22274.161</v>
      </c>
      <c r="J826" s="2">
        <f t="shared" si="85"/>
        <v>20752.010750000005</v>
      </c>
      <c r="K826" s="2">
        <f t="shared" si="83"/>
        <v>-172.35000000000218</v>
      </c>
      <c r="L826" s="7">
        <f t="shared" si="81"/>
        <v>-7.5703834826400451E-3</v>
      </c>
      <c r="M826" s="9"/>
      <c r="N826" s="2">
        <f t="shared" si="84"/>
        <v>22753.8</v>
      </c>
      <c r="O826" s="2">
        <f t="shared" si="82"/>
        <v>-1.2215542019355041E-2</v>
      </c>
      <c r="P826" s="2"/>
    </row>
    <row r="827" spans="1:16" x14ac:dyDescent="0.3">
      <c r="A827" s="3">
        <v>45418</v>
      </c>
      <c r="B827" s="2">
        <v>22561.599999999999</v>
      </c>
      <c r="C827" s="2">
        <v>22588.799999999999</v>
      </c>
      <c r="D827" s="2">
        <v>22409.45</v>
      </c>
      <c r="E827" s="2">
        <v>22442.7</v>
      </c>
      <c r="F827" s="2">
        <v>320255789</v>
      </c>
      <c r="G827" s="2">
        <v>33417.53</v>
      </c>
      <c r="H827" s="2">
        <f t="shared" si="86"/>
        <v>22453.895</v>
      </c>
      <c r="I827" s="2">
        <f t="shared" si="87"/>
        <v>22285.463000000003</v>
      </c>
      <c r="J827" s="2">
        <f t="shared" si="85"/>
        <v>20767.193000000003</v>
      </c>
      <c r="K827" s="2">
        <f t="shared" si="83"/>
        <v>-33.149999999997817</v>
      </c>
      <c r="L827" s="7">
        <f t="shared" si="81"/>
        <v>-1.4693106871852093E-3</v>
      </c>
      <c r="M827" s="9"/>
      <c r="N827" s="2">
        <f t="shared" si="84"/>
        <v>22753.8</v>
      </c>
      <c r="O827" s="2">
        <f t="shared" si="82"/>
        <v>-1.3672441526250467E-2</v>
      </c>
      <c r="P827" s="2"/>
    </row>
    <row r="828" spans="1:16" x14ac:dyDescent="0.3">
      <c r="A828" s="3">
        <v>45419</v>
      </c>
      <c r="B828" s="2">
        <v>22489.75</v>
      </c>
      <c r="C828" s="2">
        <v>22499.05</v>
      </c>
      <c r="D828" s="2">
        <v>22232.05</v>
      </c>
      <c r="E828" s="2">
        <v>22302.5</v>
      </c>
      <c r="F828" s="2">
        <v>297815469</v>
      </c>
      <c r="G828" s="2">
        <v>31512.26</v>
      </c>
      <c r="H828" s="2">
        <f t="shared" si="86"/>
        <v>22454.297500000001</v>
      </c>
      <c r="I828" s="2">
        <f t="shared" si="87"/>
        <v>22293.503000000004</v>
      </c>
      <c r="J828" s="2">
        <f t="shared" si="85"/>
        <v>20782.485000000004</v>
      </c>
      <c r="K828" s="2">
        <f t="shared" si="83"/>
        <v>-140.20000000000073</v>
      </c>
      <c r="L828" s="7">
        <f t="shared" si="81"/>
        <v>-6.2339510221323374E-3</v>
      </c>
      <c r="M828" s="9"/>
      <c r="N828" s="2">
        <f t="shared" si="84"/>
        <v>22753.8</v>
      </c>
      <c r="O828" s="2">
        <f t="shared" si="82"/>
        <v>-1.9834049697193379E-2</v>
      </c>
      <c r="P828" s="2"/>
    </row>
    <row r="829" spans="1:16" x14ac:dyDescent="0.3">
      <c r="A829" s="3">
        <v>45420</v>
      </c>
      <c r="B829" s="2">
        <v>22231.200000000001</v>
      </c>
      <c r="C829" s="2">
        <v>22368.65</v>
      </c>
      <c r="D829" s="2">
        <v>22185.200000000001</v>
      </c>
      <c r="E829" s="2">
        <v>22302.5</v>
      </c>
      <c r="F829" s="2">
        <v>277438692</v>
      </c>
      <c r="G829" s="2">
        <v>29717.33</v>
      </c>
      <c r="H829" s="2">
        <f t="shared" si="86"/>
        <v>22443.69</v>
      </c>
      <c r="I829" s="2">
        <f t="shared" si="87"/>
        <v>22297.108000000004</v>
      </c>
      <c r="J829" s="2">
        <f t="shared" si="85"/>
        <v>20796.928750000006</v>
      </c>
      <c r="K829" s="2">
        <f t="shared" si="83"/>
        <v>0</v>
      </c>
      <c r="L829" s="7">
        <f t="shared" si="81"/>
        <v>0</v>
      </c>
      <c r="M829" s="9"/>
      <c r="N829" s="2">
        <f t="shared" si="84"/>
        <v>22753.8</v>
      </c>
      <c r="O829" s="2">
        <f t="shared" si="82"/>
        <v>-1.9834049697193379E-2</v>
      </c>
      <c r="P829" s="2"/>
    </row>
    <row r="830" spans="1:16" x14ac:dyDescent="0.3">
      <c r="A830" s="3">
        <v>45421</v>
      </c>
      <c r="B830" s="2">
        <v>22224.799999999999</v>
      </c>
      <c r="C830" s="2">
        <v>22307.75</v>
      </c>
      <c r="D830" s="2">
        <v>21932.400000000001</v>
      </c>
      <c r="E830" s="2">
        <v>21957.5</v>
      </c>
      <c r="F830" s="2">
        <v>331327454</v>
      </c>
      <c r="G830" s="2">
        <v>37870.879999999997</v>
      </c>
      <c r="H830" s="2">
        <f t="shared" si="86"/>
        <v>22433.129999999997</v>
      </c>
      <c r="I830" s="2">
        <f t="shared" si="87"/>
        <v>22299.219000000005</v>
      </c>
      <c r="J830" s="2">
        <f t="shared" si="85"/>
        <v>20810.618750000005</v>
      </c>
      <c r="K830" s="2">
        <f t="shared" si="83"/>
        <v>-345</v>
      </c>
      <c r="L830" s="7">
        <f t="shared" si="81"/>
        <v>-1.5523199308880171E-2</v>
      </c>
      <c r="M830" s="9"/>
      <c r="N830" s="2">
        <f t="shared" si="84"/>
        <v>22753.8</v>
      </c>
      <c r="O830" s="2">
        <f t="shared" si="82"/>
        <v>-3.4996352257644858E-2</v>
      </c>
      <c r="P830" s="2"/>
    </row>
    <row r="831" spans="1:16" x14ac:dyDescent="0.3">
      <c r="A831" s="3">
        <v>45422</v>
      </c>
      <c r="B831" s="2">
        <v>21990.95</v>
      </c>
      <c r="C831" s="2">
        <v>22131.3</v>
      </c>
      <c r="D831" s="2">
        <v>21950.3</v>
      </c>
      <c r="E831" s="2">
        <v>22055.200000000001</v>
      </c>
      <c r="F831" s="2">
        <v>265804411</v>
      </c>
      <c r="G831" s="2">
        <v>28717.71</v>
      </c>
      <c r="H831" s="2">
        <f t="shared" si="86"/>
        <v>22397.69</v>
      </c>
      <c r="I831" s="2">
        <f t="shared" si="87"/>
        <v>22297.267999999996</v>
      </c>
      <c r="J831" s="2">
        <f t="shared" si="85"/>
        <v>20821.849000000002</v>
      </c>
      <c r="K831" s="2">
        <f t="shared" si="83"/>
        <v>97.700000000000728</v>
      </c>
      <c r="L831" s="7">
        <f t="shared" si="81"/>
        <v>4.4427366712216036E-3</v>
      </c>
      <c r="M831" s="9"/>
      <c r="N831" s="2">
        <f t="shared" si="84"/>
        <v>22753.8</v>
      </c>
      <c r="O831" s="2">
        <f t="shared" si="82"/>
        <v>-3.0702563967337282E-2</v>
      </c>
      <c r="P831" s="2"/>
    </row>
    <row r="832" spans="1:16" x14ac:dyDescent="0.3">
      <c r="A832" s="3">
        <v>45425</v>
      </c>
      <c r="B832" s="2">
        <v>22027.95</v>
      </c>
      <c r="C832" s="2">
        <v>22131.65</v>
      </c>
      <c r="D832" s="2">
        <v>21821.05</v>
      </c>
      <c r="E832" s="2">
        <v>22104.05</v>
      </c>
      <c r="F832" s="2">
        <v>278186886</v>
      </c>
      <c r="G832" s="2">
        <v>29036.080000000002</v>
      </c>
      <c r="H832" s="2">
        <f t="shared" si="86"/>
        <v>22368.3125</v>
      </c>
      <c r="I832" s="2">
        <f t="shared" si="87"/>
        <v>22294.023000000001</v>
      </c>
      <c r="J832" s="2">
        <f t="shared" si="85"/>
        <v>20833.378750000003</v>
      </c>
      <c r="K832" s="2">
        <f t="shared" si="83"/>
        <v>48.849999999998545</v>
      </c>
      <c r="L832" s="7">
        <f t="shared" si="81"/>
        <v>2.217637138271993E-3</v>
      </c>
      <c r="M832" s="9"/>
      <c r="N832" s="2">
        <f t="shared" si="84"/>
        <v>22753.8</v>
      </c>
      <c r="O832" s="2">
        <f t="shared" si="82"/>
        <v>-2.8555669822183494E-2</v>
      </c>
      <c r="P832" s="2"/>
    </row>
    <row r="833" spans="1:16" x14ac:dyDescent="0.3">
      <c r="A833" s="3">
        <v>45426</v>
      </c>
      <c r="B833" s="2">
        <v>22112.9</v>
      </c>
      <c r="C833" s="2">
        <v>22270.05</v>
      </c>
      <c r="D833" s="2">
        <v>22081.25</v>
      </c>
      <c r="E833" s="2">
        <v>22217.85</v>
      </c>
      <c r="F833" s="2">
        <v>230238941</v>
      </c>
      <c r="G833" s="2">
        <v>23741.66</v>
      </c>
      <c r="H833" s="2">
        <f t="shared" si="86"/>
        <v>22335.825000000001</v>
      </c>
      <c r="I833" s="2">
        <f t="shared" si="87"/>
        <v>22291.85</v>
      </c>
      <c r="J833" s="2">
        <f t="shared" si="85"/>
        <v>20844.733250000005</v>
      </c>
      <c r="K833" s="2">
        <f t="shared" si="83"/>
        <v>113.79999999999927</v>
      </c>
      <c r="L833" s="7">
        <f t="shared" si="81"/>
        <v>5.1463173079966569E-3</v>
      </c>
      <c r="M833" s="9"/>
      <c r="N833" s="2">
        <f t="shared" si="84"/>
        <v>22753.8</v>
      </c>
      <c r="O833" s="2">
        <f t="shared" si="82"/>
        <v>-2.3554307412388287E-2</v>
      </c>
      <c r="P833" s="2"/>
    </row>
    <row r="834" spans="1:16" x14ac:dyDescent="0.3">
      <c r="A834" s="3">
        <v>45427</v>
      </c>
      <c r="B834" s="2">
        <v>22255.599999999999</v>
      </c>
      <c r="C834" s="2">
        <v>22297.55</v>
      </c>
      <c r="D834" s="2">
        <v>22151.75</v>
      </c>
      <c r="E834" s="2">
        <v>22200.55</v>
      </c>
      <c r="F834" s="2">
        <v>231935478</v>
      </c>
      <c r="G834" s="2">
        <v>23815.79</v>
      </c>
      <c r="H834" s="2">
        <f t="shared" si="86"/>
        <v>22320.747499999998</v>
      </c>
      <c r="I834" s="2">
        <f t="shared" si="87"/>
        <v>22293.766</v>
      </c>
      <c r="J834" s="2">
        <f t="shared" si="85"/>
        <v>20855.926750000006</v>
      </c>
      <c r="K834" s="2">
        <f t="shared" si="83"/>
        <v>-17.299999999999272</v>
      </c>
      <c r="L834" s="7">
        <f t="shared" si="81"/>
        <v>-7.7733244666507639E-4</v>
      </c>
      <c r="M834" s="9"/>
      <c r="N834" s="2">
        <f t="shared" si="84"/>
        <v>22753.8</v>
      </c>
      <c r="O834" s="2">
        <f t="shared" si="82"/>
        <v>-2.43146199755645E-2</v>
      </c>
      <c r="P834" s="2"/>
    </row>
    <row r="835" spans="1:16" x14ac:dyDescent="0.3">
      <c r="A835" s="3">
        <v>45428</v>
      </c>
      <c r="B835" s="2">
        <v>22319.200000000001</v>
      </c>
      <c r="C835" s="2">
        <v>22432.25</v>
      </c>
      <c r="D835" s="2">
        <v>22054.55</v>
      </c>
      <c r="E835" s="2">
        <v>22403.85</v>
      </c>
      <c r="F835" s="2">
        <v>368945092</v>
      </c>
      <c r="G835" s="2">
        <v>38836.11</v>
      </c>
      <c r="H835" s="2">
        <f t="shared" si="86"/>
        <v>22317.15</v>
      </c>
      <c r="I835" s="2">
        <f t="shared" si="87"/>
        <v>22293.81</v>
      </c>
      <c r="J835" s="2">
        <f t="shared" si="85"/>
        <v>20868.204500000003</v>
      </c>
      <c r="K835" s="2">
        <f t="shared" si="83"/>
        <v>203.29999999999927</v>
      </c>
      <c r="L835" s="7">
        <f t="shared" ref="L835:L898" si="88">(K835/(B835))</f>
        <v>9.1087494175418147E-3</v>
      </c>
      <c r="M835" s="9"/>
      <c r="N835" s="2">
        <f t="shared" si="84"/>
        <v>22753.8</v>
      </c>
      <c r="O835" s="2">
        <f t="shared" ref="O835:O898" si="89">(E835/N835)-1</f>
        <v>-1.537984864066666E-2</v>
      </c>
      <c r="P835" s="2"/>
    </row>
    <row r="836" spans="1:16" x14ac:dyDescent="0.3">
      <c r="A836" s="3">
        <v>45429</v>
      </c>
      <c r="B836" s="2">
        <v>22415.25</v>
      </c>
      <c r="C836" s="2">
        <v>22502.15</v>
      </c>
      <c r="D836" s="2">
        <v>22345.65</v>
      </c>
      <c r="E836" s="2">
        <v>22466.1</v>
      </c>
      <c r="F836" s="2">
        <v>242654570</v>
      </c>
      <c r="G836" s="2">
        <v>27388.67</v>
      </c>
      <c r="H836" s="2">
        <f t="shared" si="86"/>
        <v>22329.947499999998</v>
      </c>
      <c r="I836" s="2">
        <f t="shared" si="87"/>
        <v>22302.864000000005</v>
      </c>
      <c r="J836" s="2">
        <f t="shared" si="85"/>
        <v>20881.862000000005</v>
      </c>
      <c r="K836" s="2">
        <f t="shared" ref="K836:K899" si="90">E836-E835</f>
        <v>62.25</v>
      </c>
      <c r="L836" s="7">
        <f t="shared" si="88"/>
        <v>2.7771271790410544E-3</v>
      </c>
      <c r="M836" s="9"/>
      <c r="N836" s="2">
        <f t="shared" si="84"/>
        <v>22753.8</v>
      </c>
      <c r="O836" s="2">
        <f t="shared" si="89"/>
        <v>-1.264404187432433E-2</v>
      </c>
      <c r="P836" s="2"/>
    </row>
    <row r="837" spans="1:16" x14ac:dyDescent="0.3">
      <c r="A837" s="3">
        <v>45430</v>
      </c>
      <c r="B837" s="2">
        <v>22512.85</v>
      </c>
      <c r="C837" s="2">
        <v>22520.25</v>
      </c>
      <c r="D837" s="2">
        <v>22470.05</v>
      </c>
      <c r="E837" s="2">
        <v>22502</v>
      </c>
      <c r="F837" s="2">
        <v>19064566</v>
      </c>
      <c r="G837" s="2">
        <v>1572.77</v>
      </c>
      <c r="H837" s="2">
        <f t="shared" si="86"/>
        <v>22353.46</v>
      </c>
      <c r="I837" s="2">
        <f t="shared" si="87"/>
        <v>22312.530000000006</v>
      </c>
      <c r="J837" s="2">
        <f t="shared" si="85"/>
        <v>20895.789500000003</v>
      </c>
      <c r="K837" s="2">
        <f t="shared" si="90"/>
        <v>35.900000000001455</v>
      </c>
      <c r="L837" s="7">
        <f t="shared" si="88"/>
        <v>1.594644836171407E-3</v>
      </c>
      <c r="M837" s="9"/>
      <c r="N837" s="2">
        <f t="shared" ref="N837:N900" si="91">MAX(N836,E837)</f>
        <v>22753.8</v>
      </c>
      <c r="O837" s="2">
        <f t="shared" si="89"/>
        <v>-1.1066283433975865E-2</v>
      </c>
      <c r="P837" s="2"/>
    </row>
    <row r="838" spans="1:16" x14ac:dyDescent="0.3">
      <c r="A838" s="3">
        <v>45433</v>
      </c>
      <c r="B838" s="2">
        <v>22404.55</v>
      </c>
      <c r="C838" s="2">
        <v>22591.1</v>
      </c>
      <c r="D838" s="2">
        <v>22404.55</v>
      </c>
      <c r="E838" s="2">
        <v>22529.05</v>
      </c>
      <c r="F838" s="2">
        <v>347591587</v>
      </c>
      <c r="G838" s="2">
        <v>30782.35</v>
      </c>
      <c r="H838" s="2">
        <f t="shared" si="86"/>
        <v>22371.21</v>
      </c>
      <c r="I838" s="2">
        <f t="shared" si="87"/>
        <v>22315.795000000006</v>
      </c>
      <c r="J838" s="2">
        <f t="shared" si="85"/>
        <v>20909.408000000003</v>
      </c>
      <c r="K838" s="2">
        <f t="shared" si="90"/>
        <v>27.049999999999272</v>
      </c>
      <c r="L838" s="7">
        <f t="shared" si="88"/>
        <v>1.2073440439553248E-3</v>
      </c>
      <c r="M838" s="9"/>
      <c r="N838" s="2">
        <f t="shared" si="91"/>
        <v>22753.8</v>
      </c>
      <c r="O838" s="2">
        <f t="shared" si="89"/>
        <v>-9.8774710158303636E-3</v>
      </c>
      <c r="P838" s="2"/>
    </row>
    <row r="839" spans="1:16" x14ac:dyDescent="0.3">
      <c r="A839" s="3">
        <v>45434</v>
      </c>
      <c r="B839" s="2">
        <v>22576.6</v>
      </c>
      <c r="C839" s="2">
        <v>22629.5</v>
      </c>
      <c r="D839" s="2">
        <v>22483.15</v>
      </c>
      <c r="E839" s="2">
        <v>22597.8</v>
      </c>
      <c r="F839" s="2">
        <v>290345590</v>
      </c>
      <c r="G839" s="2">
        <v>28556.14</v>
      </c>
      <c r="H839" s="2">
        <f t="shared" si="86"/>
        <v>22380.842499999999</v>
      </c>
      <c r="I839" s="2">
        <f t="shared" si="87"/>
        <v>22318.264000000003</v>
      </c>
      <c r="J839" s="2">
        <f t="shared" si="85"/>
        <v>20923.753750000003</v>
      </c>
      <c r="K839" s="2">
        <f t="shared" si="90"/>
        <v>68.75</v>
      </c>
      <c r="L839" s="7">
        <f t="shared" si="88"/>
        <v>3.0451883808899484E-3</v>
      </c>
      <c r="M839" s="9"/>
      <c r="N839" s="2">
        <f t="shared" si="91"/>
        <v>22753.8</v>
      </c>
      <c r="O839" s="2">
        <f t="shared" si="89"/>
        <v>-6.8559976795085076E-3</v>
      </c>
      <c r="P839" s="2"/>
    </row>
    <row r="840" spans="1:16" x14ac:dyDescent="0.3">
      <c r="A840" s="3">
        <v>45435</v>
      </c>
      <c r="B840" s="2">
        <v>22614.1</v>
      </c>
      <c r="C840" s="2">
        <v>22993.599999999999</v>
      </c>
      <c r="D840" s="2">
        <v>22577.45</v>
      </c>
      <c r="E840" s="2">
        <v>22967.65</v>
      </c>
      <c r="F840" s="2">
        <v>369767547</v>
      </c>
      <c r="G840" s="2">
        <v>39157.65</v>
      </c>
      <c r="H840" s="2">
        <f t="shared" si="86"/>
        <v>22392.332499999997</v>
      </c>
      <c r="I840" s="2">
        <f t="shared" si="87"/>
        <v>22323.094000000005</v>
      </c>
      <c r="J840" s="2">
        <f t="shared" si="85"/>
        <v>20938.512500000001</v>
      </c>
      <c r="K840" s="2">
        <f t="shared" si="90"/>
        <v>369.85000000000218</v>
      </c>
      <c r="L840" s="7">
        <f t="shared" si="88"/>
        <v>1.6354840564072954E-2</v>
      </c>
      <c r="M840" s="9"/>
      <c r="N840" s="2">
        <f t="shared" si="91"/>
        <v>22967.65</v>
      </c>
      <c r="O840" s="2">
        <f t="shared" si="89"/>
        <v>0</v>
      </c>
      <c r="P840" s="2"/>
    </row>
    <row r="841" spans="1:16" x14ac:dyDescent="0.3">
      <c r="A841" s="3">
        <v>45436</v>
      </c>
      <c r="B841" s="2">
        <v>22930.75</v>
      </c>
      <c r="C841" s="2">
        <v>23026.400000000001</v>
      </c>
      <c r="D841" s="2">
        <v>22908</v>
      </c>
      <c r="E841" s="2">
        <v>22957.1</v>
      </c>
      <c r="F841" s="2">
        <v>261927120</v>
      </c>
      <c r="G841" s="2">
        <v>27966.99</v>
      </c>
      <c r="H841" s="2">
        <f t="shared" si="86"/>
        <v>22420.594999999998</v>
      </c>
      <c r="I841" s="2">
        <f t="shared" si="87"/>
        <v>22332.965999999997</v>
      </c>
      <c r="J841" s="2">
        <f t="shared" si="85"/>
        <v>20954.581750000001</v>
      </c>
      <c r="K841" s="2">
        <f t="shared" si="90"/>
        <v>-10.55000000000291</v>
      </c>
      <c r="L841" s="7">
        <f t="shared" si="88"/>
        <v>-4.600808957405628E-4</v>
      </c>
      <c r="M841" s="9"/>
      <c r="N841" s="2">
        <f t="shared" si="91"/>
        <v>22967.65</v>
      </c>
      <c r="O841" s="2">
        <f t="shared" si="89"/>
        <v>-4.5934172629780168E-4</v>
      </c>
      <c r="P841" s="2"/>
    </row>
    <row r="842" spans="1:16" x14ac:dyDescent="0.3">
      <c r="A842" s="3">
        <v>45439</v>
      </c>
      <c r="B842" s="2">
        <v>23038.95</v>
      </c>
      <c r="C842" s="2">
        <v>23110.799999999999</v>
      </c>
      <c r="D842" s="2">
        <v>22871.200000000001</v>
      </c>
      <c r="E842" s="2">
        <v>22932.45</v>
      </c>
      <c r="F842" s="2">
        <v>260006078</v>
      </c>
      <c r="G842" s="2">
        <v>27204.54</v>
      </c>
      <c r="H842" s="2">
        <f t="shared" si="86"/>
        <v>22439.932499999995</v>
      </c>
      <c r="I842" s="2">
        <f t="shared" si="87"/>
        <v>22342.237000000001</v>
      </c>
      <c r="J842" s="2">
        <f t="shared" si="85"/>
        <v>20970.699499999999</v>
      </c>
      <c r="K842" s="2">
        <f t="shared" si="90"/>
        <v>-24.649999999997817</v>
      </c>
      <c r="L842" s="7">
        <f t="shared" si="88"/>
        <v>-1.0699272319267075E-3</v>
      </c>
      <c r="M842" s="9"/>
      <c r="N842" s="2">
        <f t="shared" si="91"/>
        <v>22967.65</v>
      </c>
      <c r="O842" s="2">
        <f t="shared" si="89"/>
        <v>-1.5325904043296257E-3</v>
      </c>
      <c r="P842" s="2"/>
    </row>
    <row r="843" spans="1:16" x14ac:dyDescent="0.3">
      <c r="A843" s="3">
        <v>45440</v>
      </c>
      <c r="B843" s="2">
        <v>22977.15</v>
      </c>
      <c r="C843" s="2">
        <v>22998.55</v>
      </c>
      <c r="D843" s="2">
        <v>22858.5</v>
      </c>
      <c r="E843" s="2">
        <v>22888.15</v>
      </c>
      <c r="F843" s="2">
        <v>217890750</v>
      </c>
      <c r="G843" s="2">
        <v>23054.65</v>
      </c>
      <c r="H843" s="2">
        <f t="shared" si="86"/>
        <v>22465.557499999999</v>
      </c>
      <c r="I843" s="2">
        <f t="shared" si="87"/>
        <v>22354.232999999997</v>
      </c>
      <c r="J843" s="2">
        <f t="shared" ref="J843:J906" si="92">AVERAGE(E643:E842)</f>
        <v>20987.728999999999</v>
      </c>
      <c r="K843" s="2">
        <f t="shared" si="90"/>
        <v>-44.299999999999272</v>
      </c>
      <c r="L843" s="7">
        <f t="shared" si="88"/>
        <v>-1.9280023849780879E-3</v>
      </c>
      <c r="M843" s="9"/>
      <c r="N843" s="2">
        <f t="shared" si="91"/>
        <v>22967.65</v>
      </c>
      <c r="O843" s="2">
        <f t="shared" si="89"/>
        <v>-3.4613902597784296E-3</v>
      </c>
      <c r="P843" s="2"/>
    </row>
    <row r="844" spans="1:16" x14ac:dyDescent="0.3">
      <c r="A844" s="3">
        <v>45441</v>
      </c>
      <c r="B844" s="2">
        <v>22762.75</v>
      </c>
      <c r="C844" s="2">
        <v>22825.5</v>
      </c>
      <c r="D844" s="2">
        <v>22685.45</v>
      </c>
      <c r="E844" s="2">
        <v>22704.7</v>
      </c>
      <c r="F844" s="2">
        <v>269932784</v>
      </c>
      <c r="G844" s="2">
        <v>27549.09</v>
      </c>
      <c r="H844" s="2">
        <f t="shared" si="86"/>
        <v>22477.794999999998</v>
      </c>
      <c r="I844" s="2">
        <f t="shared" si="87"/>
        <v>22365.281999999996</v>
      </c>
      <c r="J844" s="2">
        <f t="shared" si="92"/>
        <v>21005.261500000004</v>
      </c>
      <c r="K844" s="2">
        <f t="shared" si="90"/>
        <v>-183.45000000000073</v>
      </c>
      <c r="L844" s="7">
        <f t="shared" si="88"/>
        <v>-8.0592195582695741E-3</v>
      </c>
      <c r="M844" s="9"/>
      <c r="N844" s="2">
        <f t="shared" si="91"/>
        <v>22967.65</v>
      </c>
      <c r="O844" s="2">
        <f t="shared" si="89"/>
        <v>-1.1448711557342617E-2</v>
      </c>
      <c r="P844" s="2"/>
    </row>
    <row r="845" spans="1:16" x14ac:dyDescent="0.3">
      <c r="A845" s="3">
        <v>45442</v>
      </c>
      <c r="B845" s="2">
        <v>22617.45</v>
      </c>
      <c r="C845" s="2">
        <v>22705.75</v>
      </c>
      <c r="D845" s="2">
        <v>22417</v>
      </c>
      <c r="E845" s="2">
        <v>22488.65</v>
      </c>
      <c r="F845" s="2">
        <v>373374457</v>
      </c>
      <c r="G845" s="2">
        <v>32991.46</v>
      </c>
      <c r="H845" s="2">
        <f t="shared" si="86"/>
        <v>22482.787499999999</v>
      </c>
      <c r="I845" s="2">
        <f t="shared" si="87"/>
        <v>22379.421999999999</v>
      </c>
      <c r="J845" s="2">
        <f t="shared" si="92"/>
        <v>21021.200000000004</v>
      </c>
      <c r="K845" s="2">
        <f t="shared" si="90"/>
        <v>-216.04999999999927</v>
      </c>
      <c r="L845" s="7">
        <f t="shared" si="88"/>
        <v>-9.5523589087186788E-3</v>
      </c>
      <c r="M845" s="9"/>
      <c r="N845" s="2">
        <f t="shared" si="91"/>
        <v>22967.65</v>
      </c>
      <c r="O845" s="2">
        <f t="shared" si="89"/>
        <v>-2.0855420558916538E-2</v>
      </c>
      <c r="P845" s="2"/>
    </row>
    <row r="846" spans="1:16" x14ac:dyDescent="0.3">
      <c r="A846" s="3">
        <v>45443</v>
      </c>
      <c r="B846" s="2">
        <v>22568.1</v>
      </c>
      <c r="C846" s="2">
        <v>22653.75</v>
      </c>
      <c r="D846" s="2">
        <v>22465.1</v>
      </c>
      <c r="E846" s="2">
        <v>22530.7</v>
      </c>
      <c r="F846" s="2">
        <v>572122639</v>
      </c>
      <c r="G846" s="2">
        <v>67040.320000000007</v>
      </c>
      <c r="H846" s="2">
        <f t="shared" si="86"/>
        <v>22474.810000000005</v>
      </c>
      <c r="I846" s="2">
        <f t="shared" si="87"/>
        <v>22386.261999999992</v>
      </c>
      <c r="J846" s="2">
        <f t="shared" si="92"/>
        <v>21035.656750000002</v>
      </c>
      <c r="K846" s="2">
        <f t="shared" si="90"/>
        <v>42.049999999999272</v>
      </c>
      <c r="L846" s="7">
        <f t="shared" si="88"/>
        <v>1.863249453875128E-3</v>
      </c>
      <c r="M846" s="9"/>
      <c r="N846" s="2">
        <f t="shared" si="91"/>
        <v>22967.65</v>
      </c>
      <c r="O846" s="2">
        <f t="shared" si="89"/>
        <v>-1.9024584578744452E-2</v>
      </c>
      <c r="P846" s="2"/>
    </row>
    <row r="847" spans="1:16" x14ac:dyDescent="0.3">
      <c r="A847" s="3">
        <v>45446</v>
      </c>
      <c r="B847" s="2">
        <v>23337.9</v>
      </c>
      <c r="C847" s="2">
        <v>23338.7</v>
      </c>
      <c r="D847" s="2">
        <v>23062.3</v>
      </c>
      <c r="E847" s="2">
        <v>23263.9</v>
      </c>
      <c r="F847" s="2">
        <v>569425569</v>
      </c>
      <c r="G847" s="2">
        <v>56418.25</v>
      </c>
      <c r="H847" s="2">
        <f t="shared" si="86"/>
        <v>22477.552500000002</v>
      </c>
      <c r="I847" s="2">
        <f t="shared" si="87"/>
        <v>22396.408999999996</v>
      </c>
      <c r="J847" s="2">
        <f t="shared" si="92"/>
        <v>21050.456000000006</v>
      </c>
      <c r="K847" s="2">
        <f t="shared" si="90"/>
        <v>733.20000000000073</v>
      </c>
      <c r="L847" s="7">
        <f t="shared" si="88"/>
        <v>3.1416708444204522E-2</v>
      </c>
      <c r="M847" s="9"/>
      <c r="N847" s="2">
        <f t="shared" si="91"/>
        <v>23263.9</v>
      </c>
      <c r="O847" s="2">
        <f t="shared" si="89"/>
        <v>0</v>
      </c>
      <c r="P847" s="2"/>
    </row>
    <row r="848" spans="1:16" x14ac:dyDescent="0.3">
      <c r="A848" s="3">
        <v>45447</v>
      </c>
      <c r="B848" s="2">
        <v>23179.5</v>
      </c>
      <c r="C848" s="2">
        <v>23179.5</v>
      </c>
      <c r="D848" s="2">
        <v>21281.45</v>
      </c>
      <c r="E848" s="2">
        <v>21884.5</v>
      </c>
      <c r="F848" s="2">
        <v>1006105058</v>
      </c>
      <c r="G848" s="2">
        <v>93786.44</v>
      </c>
      <c r="H848" s="2">
        <f t="shared" si="86"/>
        <v>22518.612500000007</v>
      </c>
      <c r="I848" s="2">
        <f t="shared" si="87"/>
        <v>22420.572999999993</v>
      </c>
      <c r="J848" s="2">
        <f t="shared" si="92"/>
        <v>21068.612750000004</v>
      </c>
      <c r="K848" s="2">
        <f t="shared" si="90"/>
        <v>-1379.4000000000015</v>
      </c>
      <c r="L848" s="7">
        <f t="shared" si="88"/>
        <v>-5.9509480359800748E-2</v>
      </c>
      <c r="M848" s="9"/>
      <c r="N848" s="2">
        <f t="shared" si="91"/>
        <v>23263.9</v>
      </c>
      <c r="O848" s="2">
        <f t="shared" si="89"/>
        <v>-5.9293583620975032E-2</v>
      </c>
      <c r="P848" s="2"/>
    </row>
    <row r="849" spans="1:16" x14ac:dyDescent="0.3">
      <c r="A849" s="3">
        <v>45448</v>
      </c>
      <c r="B849" s="2">
        <v>22128.35</v>
      </c>
      <c r="C849" s="2">
        <v>22670.400000000001</v>
      </c>
      <c r="D849" s="2">
        <v>21791.95</v>
      </c>
      <c r="E849" s="2">
        <v>22620.35</v>
      </c>
      <c r="F849" s="2">
        <v>638487077</v>
      </c>
      <c r="G849" s="2">
        <v>64326.85</v>
      </c>
      <c r="H849" s="2">
        <f t="shared" si="86"/>
        <v>22497.712500000001</v>
      </c>
      <c r="I849" s="2">
        <f t="shared" si="87"/>
        <v>22421.913999999993</v>
      </c>
      <c r="J849" s="2">
        <f t="shared" si="92"/>
        <v>21080.319750000006</v>
      </c>
      <c r="K849" s="2">
        <f t="shared" si="90"/>
        <v>735.84999999999854</v>
      </c>
      <c r="L849" s="7">
        <f t="shared" si="88"/>
        <v>3.3253722035307583E-2</v>
      </c>
      <c r="M849" s="9"/>
      <c r="N849" s="2">
        <f t="shared" si="91"/>
        <v>23263.9</v>
      </c>
      <c r="O849" s="2">
        <f t="shared" si="89"/>
        <v>-2.7663031563925355E-2</v>
      </c>
      <c r="P849" s="2"/>
    </row>
    <row r="850" spans="1:16" x14ac:dyDescent="0.3">
      <c r="A850" s="3">
        <v>45449</v>
      </c>
      <c r="B850" s="2">
        <v>22798.6</v>
      </c>
      <c r="C850" s="2">
        <v>22910.15</v>
      </c>
      <c r="D850" s="2">
        <v>22642.6</v>
      </c>
      <c r="E850" s="2">
        <v>22821.4</v>
      </c>
      <c r="F850" s="2">
        <v>480413289</v>
      </c>
      <c r="G850" s="2">
        <v>49047.39</v>
      </c>
      <c r="H850" s="2">
        <f t="shared" si="86"/>
        <v>22513.605000000003</v>
      </c>
      <c r="I850" s="2">
        <f t="shared" si="87"/>
        <v>22437.539000000001</v>
      </c>
      <c r="J850" s="2">
        <f t="shared" si="92"/>
        <v>21096.28</v>
      </c>
      <c r="K850" s="2">
        <f t="shared" si="90"/>
        <v>201.05000000000291</v>
      </c>
      <c r="L850" s="7">
        <f t="shared" si="88"/>
        <v>8.8185239444528579E-3</v>
      </c>
      <c r="M850" s="9"/>
      <c r="N850" s="2">
        <f t="shared" si="91"/>
        <v>23263.9</v>
      </c>
      <c r="O850" s="2">
        <f t="shared" si="89"/>
        <v>-1.9020886437785545E-2</v>
      </c>
      <c r="P850" s="2"/>
    </row>
    <row r="851" spans="1:16" x14ac:dyDescent="0.3">
      <c r="A851" s="3">
        <v>45450</v>
      </c>
      <c r="B851" s="2">
        <v>22821.85</v>
      </c>
      <c r="C851" s="2">
        <v>23320.2</v>
      </c>
      <c r="D851" s="2">
        <v>22789.05</v>
      </c>
      <c r="E851" s="2">
        <v>23290.15</v>
      </c>
      <c r="F851" s="2">
        <v>473554898</v>
      </c>
      <c r="G851" s="2">
        <v>47621.54</v>
      </c>
      <c r="H851" s="2">
        <f t="shared" si="86"/>
        <v>22556.800000000003</v>
      </c>
      <c r="I851" s="2">
        <f t="shared" si="87"/>
        <v>22453.727999999999</v>
      </c>
      <c r="J851" s="2">
        <f t="shared" si="92"/>
        <v>21113.214250000005</v>
      </c>
      <c r="K851" s="2">
        <f t="shared" si="90"/>
        <v>468.75</v>
      </c>
      <c r="L851" s="7">
        <f t="shared" si="88"/>
        <v>2.0539526813119883E-2</v>
      </c>
      <c r="M851" s="9"/>
      <c r="N851" s="2">
        <f t="shared" si="91"/>
        <v>23290.15</v>
      </c>
      <c r="O851" s="2">
        <f t="shared" si="89"/>
        <v>0</v>
      </c>
      <c r="P851" s="2"/>
    </row>
    <row r="852" spans="1:16" x14ac:dyDescent="0.3">
      <c r="A852" s="3">
        <v>45453</v>
      </c>
      <c r="B852" s="2">
        <v>23319.15</v>
      </c>
      <c r="C852" s="2">
        <v>23411.9</v>
      </c>
      <c r="D852" s="2">
        <v>23227.15</v>
      </c>
      <c r="E852" s="2">
        <v>23259.200000000001</v>
      </c>
      <c r="F852" s="2">
        <v>304392368</v>
      </c>
      <c r="G852" s="2">
        <v>29060.400000000001</v>
      </c>
      <c r="H852" s="2">
        <f t="shared" si="86"/>
        <v>22618.547500000004</v>
      </c>
      <c r="I852" s="2">
        <f t="shared" si="87"/>
        <v>22477.595999999998</v>
      </c>
      <c r="J852" s="2">
        <f t="shared" si="92"/>
        <v>21132.340000000004</v>
      </c>
      <c r="K852" s="2">
        <f t="shared" si="90"/>
        <v>-30.950000000000728</v>
      </c>
      <c r="L852" s="7">
        <f t="shared" si="88"/>
        <v>-1.3272353409108275E-3</v>
      </c>
      <c r="M852" s="9"/>
      <c r="N852" s="2">
        <f t="shared" si="91"/>
        <v>23290.15</v>
      </c>
      <c r="O852" s="2">
        <f t="shared" si="89"/>
        <v>-1.3288879633664985E-3</v>
      </c>
      <c r="P852" s="2"/>
    </row>
    <row r="853" spans="1:16" x14ac:dyDescent="0.3">
      <c r="A853" s="3">
        <v>45454</v>
      </c>
      <c r="B853" s="2">
        <v>23283.75</v>
      </c>
      <c r="C853" s="2">
        <v>23389.45</v>
      </c>
      <c r="D853" s="2">
        <v>23206.65</v>
      </c>
      <c r="E853" s="2">
        <v>23264.85</v>
      </c>
      <c r="F853" s="2">
        <v>305185666</v>
      </c>
      <c r="G853" s="2">
        <v>29190.91</v>
      </c>
      <c r="H853" s="2">
        <f t="shared" si="86"/>
        <v>22676.305000000004</v>
      </c>
      <c r="I853" s="2">
        <f t="shared" si="87"/>
        <v>22502.685999999998</v>
      </c>
      <c r="J853" s="2">
        <f t="shared" si="92"/>
        <v>21151.80975</v>
      </c>
      <c r="K853" s="2">
        <f t="shared" si="90"/>
        <v>5.6499999999978172</v>
      </c>
      <c r="L853" s="7">
        <f t="shared" si="88"/>
        <v>2.4265850646901024E-4</v>
      </c>
      <c r="M853" s="9"/>
      <c r="N853" s="2">
        <f t="shared" si="91"/>
        <v>23290.15</v>
      </c>
      <c r="O853" s="2">
        <f t="shared" si="89"/>
        <v>-1.0862961380670999E-3</v>
      </c>
      <c r="P853" s="2"/>
    </row>
    <row r="854" spans="1:16" x14ac:dyDescent="0.3">
      <c r="A854" s="3">
        <v>45455</v>
      </c>
      <c r="B854" s="2">
        <v>23344.45</v>
      </c>
      <c r="C854" s="2">
        <v>23441.95</v>
      </c>
      <c r="D854" s="2">
        <v>23295.95</v>
      </c>
      <c r="E854" s="2">
        <v>23322.95</v>
      </c>
      <c r="F854" s="2">
        <v>295630910</v>
      </c>
      <c r="G854" s="2">
        <v>31795.48</v>
      </c>
      <c r="H854" s="2">
        <f t="shared" si="86"/>
        <v>22728.655000000006</v>
      </c>
      <c r="I854" s="2">
        <f t="shared" si="87"/>
        <v>22525.509999999995</v>
      </c>
      <c r="J854" s="2">
        <f t="shared" si="92"/>
        <v>21171.583250000003</v>
      </c>
      <c r="K854" s="2">
        <f t="shared" si="90"/>
        <v>58.100000000002183</v>
      </c>
      <c r="L854" s="7">
        <f t="shared" si="88"/>
        <v>2.4888142577787088E-3</v>
      </c>
      <c r="M854" s="9"/>
      <c r="N854" s="2">
        <f t="shared" si="91"/>
        <v>23322.95</v>
      </c>
      <c r="O854" s="2">
        <f t="shared" si="89"/>
        <v>0</v>
      </c>
      <c r="P854" s="2"/>
    </row>
    <row r="855" spans="1:16" x14ac:dyDescent="0.3">
      <c r="A855" s="3">
        <v>45456</v>
      </c>
      <c r="B855" s="2">
        <v>23480.95</v>
      </c>
      <c r="C855" s="2">
        <v>23481.05</v>
      </c>
      <c r="D855" s="2">
        <v>23353.9</v>
      </c>
      <c r="E855" s="2">
        <v>23398.9</v>
      </c>
      <c r="F855" s="2">
        <v>268279841</v>
      </c>
      <c r="G855" s="2">
        <v>30151.67</v>
      </c>
      <c r="H855" s="2">
        <f t="shared" ref="H855:H918" si="93">AVERAGE(E835:E854)</f>
        <v>22784.775000000001</v>
      </c>
      <c r="I855" s="2">
        <f t="shared" si="87"/>
        <v>22545.431</v>
      </c>
      <c r="J855" s="2">
        <f t="shared" si="92"/>
        <v>21191.230000000003</v>
      </c>
      <c r="K855" s="2">
        <f t="shared" si="90"/>
        <v>75.950000000000728</v>
      </c>
      <c r="L855" s="7">
        <f t="shared" si="88"/>
        <v>3.2345369331309307E-3</v>
      </c>
      <c r="M855" s="9"/>
      <c r="N855" s="2">
        <f t="shared" si="91"/>
        <v>23398.9</v>
      </c>
      <c r="O855" s="2">
        <f t="shared" si="89"/>
        <v>0</v>
      </c>
      <c r="P855" s="2"/>
    </row>
    <row r="856" spans="1:16" x14ac:dyDescent="0.3">
      <c r="A856" s="3">
        <v>45457</v>
      </c>
      <c r="B856" s="2">
        <v>23464.95</v>
      </c>
      <c r="C856" s="2">
        <v>23490.400000000001</v>
      </c>
      <c r="D856" s="2">
        <v>23334.25</v>
      </c>
      <c r="E856" s="2">
        <v>23465.599999999999</v>
      </c>
      <c r="F856" s="2">
        <v>223086741</v>
      </c>
      <c r="G856" s="2">
        <v>25746.34</v>
      </c>
      <c r="H856" s="2">
        <f t="shared" si="93"/>
        <v>22834.527500000004</v>
      </c>
      <c r="I856" s="2">
        <f t="shared" si="87"/>
        <v>22564.168999999998</v>
      </c>
      <c r="J856" s="2">
        <f t="shared" si="92"/>
        <v>21211.242250000007</v>
      </c>
      <c r="K856" s="2">
        <f t="shared" si="90"/>
        <v>66.69999999999709</v>
      </c>
      <c r="L856" s="7">
        <f t="shared" si="88"/>
        <v>2.8425374867620465E-3</v>
      </c>
      <c r="M856" s="9"/>
      <c r="N856" s="2">
        <f t="shared" si="91"/>
        <v>23465.599999999999</v>
      </c>
      <c r="O856" s="2">
        <f t="shared" si="89"/>
        <v>0</v>
      </c>
      <c r="P856" s="2"/>
    </row>
    <row r="857" spans="1:16" x14ac:dyDescent="0.3">
      <c r="A857" s="3">
        <v>45461</v>
      </c>
      <c r="B857" s="2">
        <v>23570.799999999999</v>
      </c>
      <c r="C857" s="2">
        <v>23579.05</v>
      </c>
      <c r="D857" s="2">
        <v>23499.7</v>
      </c>
      <c r="E857" s="2">
        <v>23557.9</v>
      </c>
      <c r="F857" s="2">
        <v>272207297</v>
      </c>
      <c r="G857" s="2">
        <v>29389.75</v>
      </c>
      <c r="H857" s="2">
        <f t="shared" si="93"/>
        <v>22884.502500000002</v>
      </c>
      <c r="I857" s="2">
        <f t="shared" si="87"/>
        <v>22584.415000000001</v>
      </c>
      <c r="J857" s="2">
        <f t="shared" si="92"/>
        <v>21231.350250000003</v>
      </c>
      <c r="K857" s="2">
        <f t="shared" si="90"/>
        <v>92.30000000000291</v>
      </c>
      <c r="L857" s="7">
        <f t="shared" si="88"/>
        <v>3.9158619987443325E-3</v>
      </c>
      <c r="M857" s="9"/>
      <c r="N857" s="2">
        <f t="shared" si="91"/>
        <v>23557.9</v>
      </c>
      <c r="O857" s="2">
        <f t="shared" si="89"/>
        <v>0</v>
      </c>
      <c r="P857" s="2"/>
    </row>
    <row r="858" spans="1:16" x14ac:dyDescent="0.3">
      <c r="A858" s="3">
        <v>45462</v>
      </c>
      <c r="B858" s="2">
        <v>23629.85</v>
      </c>
      <c r="C858" s="2">
        <v>23664</v>
      </c>
      <c r="D858" s="2">
        <v>23412.9</v>
      </c>
      <c r="E858" s="2">
        <v>23516</v>
      </c>
      <c r="F858" s="2">
        <v>328811255</v>
      </c>
      <c r="G858" s="2">
        <v>39430.39</v>
      </c>
      <c r="H858" s="2">
        <f t="shared" si="93"/>
        <v>22937.297500000004</v>
      </c>
      <c r="I858" s="2">
        <f t="shared" si="87"/>
        <v>22606.880000000001</v>
      </c>
      <c r="J858" s="2">
        <f t="shared" si="92"/>
        <v>21252.206250000003</v>
      </c>
      <c r="K858" s="2">
        <f t="shared" si="90"/>
        <v>-41.900000000001455</v>
      </c>
      <c r="L858" s="7">
        <f t="shared" si="88"/>
        <v>-1.7731809554441293E-3</v>
      </c>
      <c r="M858" s="9"/>
      <c r="N858" s="2">
        <f t="shared" si="91"/>
        <v>23557.9</v>
      </c>
      <c r="O858" s="2">
        <f t="shared" si="89"/>
        <v>-1.7785965642099777E-3</v>
      </c>
      <c r="P858" s="2"/>
    </row>
    <row r="859" spans="1:16" x14ac:dyDescent="0.3">
      <c r="A859" s="3">
        <v>45463</v>
      </c>
      <c r="B859" s="2">
        <v>23586.15</v>
      </c>
      <c r="C859" s="2">
        <v>23624</v>
      </c>
      <c r="D859" s="2">
        <v>23442.6</v>
      </c>
      <c r="E859" s="2">
        <v>23567</v>
      </c>
      <c r="F859" s="2">
        <v>280336970</v>
      </c>
      <c r="G859" s="2">
        <v>33390.07</v>
      </c>
      <c r="H859" s="2">
        <f t="shared" si="93"/>
        <v>22986.645000000004</v>
      </c>
      <c r="I859" s="2">
        <f t="shared" si="87"/>
        <v>22626.906999999996</v>
      </c>
      <c r="J859" s="2">
        <f t="shared" si="92"/>
        <v>21273.457250000007</v>
      </c>
      <c r="K859" s="2">
        <f t="shared" si="90"/>
        <v>51</v>
      </c>
      <c r="L859" s="7">
        <f t="shared" si="88"/>
        <v>2.1622859177949771E-3</v>
      </c>
      <c r="M859" s="9"/>
      <c r="N859" s="2">
        <f t="shared" si="91"/>
        <v>23567</v>
      </c>
      <c r="O859" s="2">
        <f t="shared" si="89"/>
        <v>0</v>
      </c>
      <c r="P859" s="2"/>
    </row>
    <row r="860" spans="1:16" x14ac:dyDescent="0.3">
      <c r="A860" s="3">
        <v>45464</v>
      </c>
      <c r="B860" s="2">
        <v>23661.15</v>
      </c>
      <c r="C860" s="2">
        <v>23667.1</v>
      </c>
      <c r="D860" s="2">
        <v>23398.2</v>
      </c>
      <c r="E860" s="2">
        <v>23501.1</v>
      </c>
      <c r="F860" s="2">
        <v>609877803</v>
      </c>
      <c r="G860" s="2">
        <v>70062.97</v>
      </c>
      <c r="H860" s="2">
        <f t="shared" si="93"/>
        <v>23035.105000000003</v>
      </c>
      <c r="I860" s="2">
        <f t="shared" si="87"/>
        <v>22647.972999999998</v>
      </c>
      <c r="J860" s="2">
        <f t="shared" si="92"/>
        <v>21294.762000000006</v>
      </c>
      <c r="K860" s="2">
        <f t="shared" si="90"/>
        <v>-65.900000000001455</v>
      </c>
      <c r="L860" s="7">
        <f t="shared" si="88"/>
        <v>-2.7851562582546265E-3</v>
      </c>
      <c r="M860" s="9"/>
      <c r="N860" s="2">
        <f t="shared" si="91"/>
        <v>23567</v>
      </c>
      <c r="O860" s="2">
        <f t="shared" si="89"/>
        <v>-2.7962829380066001E-3</v>
      </c>
      <c r="P860" s="2"/>
    </row>
    <row r="861" spans="1:16" x14ac:dyDescent="0.3">
      <c r="A861" s="3">
        <v>45467</v>
      </c>
      <c r="B861" s="2">
        <v>23382.3</v>
      </c>
      <c r="C861" s="2">
        <v>23558.1</v>
      </c>
      <c r="D861" s="2">
        <v>23350</v>
      </c>
      <c r="E861" s="2">
        <v>23537.85</v>
      </c>
      <c r="F861" s="2">
        <v>239358460</v>
      </c>
      <c r="G861" s="2">
        <v>24862.37</v>
      </c>
      <c r="H861" s="2">
        <f t="shared" si="93"/>
        <v>23061.7775</v>
      </c>
      <c r="I861" s="2">
        <f t="shared" si="87"/>
        <v>22664.668999999998</v>
      </c>
      <c r="J861" s="2">
        <f t="shared" si="92"/>
        <v>21315.554250000001</v>
      </c>
      <c r="K861" s="2">
        <f t="shared" si="90"/>
        <v>36.75</v>
      </c>
      <c r="L861" s="7">
        <f t="shared" si="88"/>
        <v>1.5717016717773701E-3</v>
      </c>
      <c r="M861" s="9"/>
      <c r="N861" s="2">
        <f t="shared" si="91"/>
        <v>23567</v>
      </c>
      <c r="O861" s="2">
        <f t="shared" si="89"/>
        <v>-1.2368990537616753E-3</v>
      </c>
      <c r="P861" s="2"/>
    </row>
    <row r="862" spans="1:16" x14ac:dyDescent="0.3">
      <c r="A862" s="3">
        <v>45468</v>
      </c>
      <c r="B862" s="2">
        <v>23577.1</v>
      </c>
      <c r="C862" s="2">
        <v>23754.15</v>
      </c>
      <c r="D862" s="2">
        <v>23562.05</v>
      </c>
      <c r="E862" s="2">
        <v>23721.3</v>
      </c>
      <c r="F862" s="2">
        <v>298111025</v>
      </c>
      <c r="G862" s="2">
        <v>34263.360000000001</v>
      </c>
      <c r="H862" s="2">
        <f t="shared" si="93"/>
        <v>23090.814999999999</v>
      </c>
      <c r="I862" s="2">
        <f t="shared" si="87"/>
        <v>22682.571</v>
      </c>
      <c r="J862" s="2">
        <f t="shared" si="92"/>
        <v>21336.506249999999</v>
      </c>
      <c r="K862" s="2">
        <f t="shared" si="90"/>
        <v>183.45000000000073</v>
      </c>
      <c r="L862" s="7">
        <f t="shared" si="88"/>
        <v>7.780855151821078E-3</v>
      </c>
      <c r="M862" s="9"/>
      <c r="N862" s="2">
        <f t="shared" si="91"/>
        <v>23721.3</v>
      </c>
      <c r="O862" s="2">
        <f t="shared" si="89"/>
        <v>0</v>
      </c>
      <c r="P862" s="2"/>
    </row>
    <row r="863" spans="1:16" x14ac:dyDescent="0.3">
      <c r="A863" s="3">
        <v>45469</v>
      </c>
      <c r="B863" s="2">
        <v>23723.1</v>
      </c>
      <c r="C863" s="2">
        <v>23889.9</v>
      </c>
      <c r="D863" s="2">
        <v>23670.45</v>
      </c>
      <c r="E863" s="2">
        <v>23868.799999999999</v>
      </c>
      <c r="F863" s="2">
        <v>287824687</v>
      </c>
      <c r="G863" s="2">
        <v>33979.620000000003</v>
      </c>
      <c r="H863" s="2">
        <f t="shared" si="93"/>
        <v>23130.2575</v>
      </c>
      <c r="I863" s="2">
        <f t="shared" si="87"/>
        <v>22701.921000000002</v>
      </c>
      <c r="J863" s="2">
        <f t="shared" si="92"/>
        <v>21358.843749999996</v>
      </c>
      <c r="K863" s="2">
        <f t="shared" si="90"/>
        <v>147.5</v>
      </c>
      <c r="L863" s="7">
        <f t="shared" si="88"/>
        <v>6.2175685302511058E-3</v>
      </c>
      <c r="M863" s="9"/>
      <c r="N863" s="2">
        <f t="shared" si="91"/>
        <v>23868.799999999999</v>
      </c>
      <c r="O863" s="2">
        <f t="shared" si="89"/>
        <v>0</v>
      </c>
      <c r="P863" s="2"/>
    </row>
    <row r="864" spans="1:16" x14ac:dyDescent="0.3">
      <c r="A864" s="3">
        <v>45470</v>
      </c>
      <c r="B864" s="2">
        <v>23881.55</v>
      </c>
      <c r="C864" s="2">
        <v>24087.45</v>
      </c>
      <c r="D864" s="2">
        <v>23805.4</v>
      </c>
      <c r="E864" s="2">
        <v>24044.5</v>
      </c>
      <c r="F864" s="2">
        <v>515227010</v>
      </c>
      <c r="G864" s="2">
        <v>61216.71</v>
      </c>
      <c r="H864" s="2">
        <f t="shared" si="93"/>
        <v>23179.29</v>
      </c>
      <c r="I864" s="2">
        <f t="shared" si="87"/>
        <v>22728.909000000003</v>
      </c>
      <c r="J864" s="2">
        <f t="shared" si="92"/>
        <v>21381.01125</v>
      </c>
      <c r="K864" s="2">
        <f t="shared" si="90"/>
        <v>175.70000000000073</v>
      </c>
      <c r="L864" s="7">
        <f t="shared" si="88"/>
        <v>7.3571439039761127E-3</v>
      </c>
      <c r="M864" s="9"/>
      <c r="N864" s="2">
        <f t="shared" si="91"/>
        <v>24044.5</v>
      </c>
      <c r="O864" s="2">
        <f t="shared" si="89"/>
        <v>0</v>
      </c>
      <c r="P864" s="2"/>
    </row>
    <row r="865" spans="1:16" x14ac:dyDescent="0.3">
      <c r="A865" s="3">
        <v>45471</v>
      </c>
      <c r="B865" s="2">
        <v>24085.9</v>
      </c>
      <c r="C865" s="2">
        <v>24174</v>
      </c>
      <c r="D865" s="2">
        <v>23985.8</v>
      </c>
      <c r="E865" s="2">
        <v>24010.6</v>
      </c>
      <c r="F865" s="2">
        <v>354779832</v>
      </c>
      <c r="G865" s="2">
        <v>41242.870000000003</v>
      </c>
      <c r="H865" s="2">
        <f t="shared" si="93"/>
        <v>23246.28</v>
      </c>
      <c r="I865" s="2">
        <f t="shared" si="87"/>
        <v>22764.348999999998</v>
      </c>
      <c r="J865" s="2">
        <f t="shared" si="92"/>
        <v>21403.589749999999</v>
      </c>
      <c r="K865" s="2">
        <f t="shared" si="90"/>
        <v>-33.900000000001455</v>
      </c>
      <c r="L865" s="7">
        <f t="shared" si="88"/>
        <v>-1.4074624572883493E-3</v>
      </c>
      <c r="M865" s="9"/>
      <c r="N865" s="2">
        <f t="shared" si="91"/>
        <v>24044.5</v>
      </c>
      <c r="O865" s="2">
        <f t="shared" si="89"/>
        <v>-1.4098858366778932E-3</v>
      </c>
      <c r="P865" s="2"/>
    </row>
    <row r="866" spans="1:16" x14ac:dyDescent="0.3">
      <c r="A866" s="3">
        <v>45474</v>
      </c>
      <c r="B866" s="2">
        <v>23992.95</v>
      </c>
      <c r="C866" s="2">
        <v>24164</v>
      </c>
      <c r="D866" s="2">
        <v>23992.7</v>
      </c>
      <c r="E866" s="2">
        <v>24141.95</v>
      </c>
      <c r="F866" s="2">
        <v>242468081</v>
      </c>
      <c r="G866" s="2">
        <v>28204.06</v>
      </c>
      <c r="H866" s="2">
        <f t="shared" si="93"/>
        <v>23322.377499999995</v>
      </c>
      <c r="I866" s="2">
        <f t="shared" si="87"/>
        <v>22801.602999999999</v>
      </c>
      <c r="J866" s="2">
        <f t="shared" si="92"/>
        <v>21425.768250000001</v>
      </c>
      <c r="K866" s="2">
        <f t="shared" si="90"/>
        <v>131.35000000000218</v>
      </c>
      <c r="L866" s="7">
        <f t="shared" si="88"/>
        <v>5.4745248083292045E-3</v>
      </c>
      <c r="M866" s="9"/>
      <c r="N866" s="2">
        <f t="shared" si="91"/>
        <v>24141.95</v>
      </c>
      <c r="O866" s="2">
        <f t="shared" si="89"/>
        <v>0</v>
      </c>
      <c r="P866" s="2"/>
    </row>
    <row r="867" spans="1:16" x14ac:dyDescent="0.3">
      <c r="A867" s="3">
        <v>45475</v>
      </c>
      <c r="B867" s="2">
        <v>24228.75</v>
      </c>
      <c r="C867" s="2">
        <v>24236.35</v>
      </c>
      <c r="D867" s="2">
        <v>24056.400000000001</v>
      </c>
      <c r="E867" s="2">
        <v>24123.85</v>
      </c>
      <c r="F867" s="2">
        <v>309629240</v>
      </c>
      <c r="G867" s="2">
        <v>34838.65</v>
      </c>
      <c r="H867" s="2">
        <f t="shared" si="93"/>
        <v>23402.939999999995</v>
      </c>
      <c r="I867" s="2">
        <f t="shared" si="87"/>
        <v>22844.524999999994</v>
      </c>
      <c r="J867" s="2">
        <f t="shared" si="92"/>
        <v>21448.422749999998</v>
      </c>
      <c r="K867" s="2">
        <f t="shared" si="90"/>
        <v>-18.100000000002183</v>
      </c>
      <c r="L867" s="7">
        <f t="shared" si="88"/>
        <v>-7.4704638084928789E-4</v>
      </c>
      <c r="M867" s="9"/>
      <c r="N867" s="2">
        <f t="shared" si="91"/>
        <v>24141.95</v>
      </c>
      <c r="O867" s="2">
        <f t="shared" si="89"/>
        <v>-7.4973231242725369E-4</v>
      </c>
      <c r="P867" s="2"/>
    </row>
    <row r="868" spans="1:16" x14ac:dyDescent="0.3">
      <c r="A868" s="3">
        <v>45476</v>
      </c>
      <c r="B868" s="2">
        <v>24291.75</v>
      </c>
      <c r="C868" s="2">
        <v>24309.15</v>
      </c>
      <c r="D868" s="2">
        <v>24207.1</v>
      </c>
      <c r="E868" s="2">
        <v>24286.5</v>
      </c>
      <c r="F868" s="2">
        <v>289201551</v>
      </c>
      <c r="G868" s="2">
        <v>36661.17</v>
      </c>
      <c r="H868" s="2">
        <f t="shared" si="93"/>
        <v>23445.937499999993</v>
      </c>
      <c r="I868" s="2">
        <f t="shared" si="87"/>
        <v>22884.061999999998</v>
      </c>
      <c r="J868" s="2">
        <f t="shared" si="92"/>
        <v>21470.406749999998</v>
      </c>
      <c r="K868" s="2">
        <f t="shared" si="90"/>
        <v>162.65000000000146</v>
      </c>
      <c r="L868" s="7">
        <f t="shared" si="88"/>
        <v>6.6956888655614133E-3</v>
      </c>
      <c r="M868" s="9"/>
      <c r="N868" s="2">
        <f t="shared" si="91"/>
        <v>24286.5</v>
      </c>
      <c r="O868" s="2">
        <f t="shared" si="89"/>
        <v>0</v>
      </c>
      <c r="P868" s="2"/>
    </row>
    <row r="869" spans="1:16" x14ac:dyDescent="0.3">
      <c r="A869" s="3">
        <v>45477</v>
      </c>
      <c r="B869" s="2">
        <v>24369.95</v>
      </c>
      <c r="C869" s="2">
        <v>24401</v>
      </c>
      <c r="D869" s="2">
        <v>24281</v>
      </c>
      <c r="E869" s="2">
        <v>24302.15</v>
      </c>
      <c r="F869" s="2">
        <v>251189844</v>
      </c>
      <c r="G869" s="2">
        <v>28466.6</v>
      </c>
      <c r="H869" s="2">
        <f t="shared" si="93"/>
        <v>23566.037499999995</v>
      </c>
      <c r="I869" s="2">
        <f t="shared" si="87"/>
        <v>22923.063999999998</v>
      </c>
      <c r="J869" s="2">
        <f t="shared" si="92"/>
        <v>21492.739499999996</v>
      </c>
      <c r="K869" s="2">
        <f t="shared" si="90"/>
        <v>15.650000000001455</v>
      </c>
      <c r="L869" s="7">
        <f t="shared" si="88"/>
        <v>6.4218432947139631E-4</v>
      </c>
      <c r="M869" s="9"/>
      <c r="N869" s="2">
        <f t="shared" si="91"/>
        <v>24302.15</v>
      </c>
      <c r="O869" s="2">
        <f t="shared" si="89"/>
        <v>0</v>
      </c>
      <c r="P869" s="2"/>
    </row>
    <row r="870" spans="1:16" x14ac:dyDescent="0.3">
      <c r="A870" s="3">
        <v>45478</v>
      </c>
      <c r="B870" s="2">
        <v>24213.35</v>
      </c>
      <c r="C870" s="2">
        <v>24363</v>
      </c>
      <c r="D870" s="2">
        <v>24168.85</v>
      </c>
      <c r="E870" s="2">
        <v>24323.85</v>
      </c>
      <c r="F870" s="2">
        <v>298381204</v>
      </c>
      <c r="G870" s="2">
        <v>32052.48</v>
      </c>
      <c r="H870" s="2">
        <f t="shared" si="93"/>
        <v>23650.127499999999</v>
      </c>
      <c r="I870" s="2">
        <f t="shared" si="87"/>
        <v>22961.746999999996</v>
      </c>
      <c r="J870" s="2">
        <f t="shared" si="92"/>
        <v>21514.268500000002</v>
      </c>
      <c r="K870" s="2">
        <f t="shared" si="90"/>
        <v>21.69999999999709</v>
      </c>
      <c r="L870" s="7">
        <f t="shared" si="88"/>
        <v>8.9619982365088228E-4</v>
      </c>
      <c r="M870" s="9"/>
      <c r="N870" s="2">
        <f t="shared" si="91"/>
        <v>24323.85</v>
      </c>
      <c r="O870" s="2">
        <f t="shared" si="89"/>
        <v>0</v>
      </c>
      <c r="P870" s="2"/>
    </row>
    <row r="871" spans="1:16" x14ac:dyDescent="0.3">
      <c r="A871" s="3">
        <v>45481</v>
      </c>
      <c r="B871" s="2">
        <v>24329.45</v>
      </c>
      <c r="C871" s="2">
        <v>24344.6</v>
      </c>
      <c r="D871" s="2">
        <v>24240.55</v>
      </c>
      <c r="E871" s="2">
        <v>24320.55</v>
      </c>
      <c r="F871" s="2">
        <v>266299131</v>
      </c>
      <c r="G871" s="2">
        <v>26356.03</v>
      </c>
      <c r="H871" s="2">
        <f t="shared" si="93"/>
        <v>23725.25</v>
      </c>
      <c r="I871" s="2">
        <f t="shared" si="87"/>
        <v>23000.175999999999</v>
      </c>
      <c r="J871" s="2">
        <f t="shared" si="92"/>
        <v>21535.921749999998</v>
      </c>
      <c r="K871" s="2">
        <f t="shared" si="90"/>
        <v>-3.2999999999992724</v>
      </c>
      <c r="L871" s="7">
        <f t="shared" si="88"/>
        <v>-1.3563808470800913E-4</v>
      </c>
      <c r="M871" s="9"/>
      <c r="N871" s="2">
        <f t="shared" si="91"/>
        <v>24323.85</v>
      </c>
      <c r="O871" s="2">
        <f t="shared" si="89"/>
        <v>-1.3566931221820067E-4</v>
      </c>
      <c r="P871" s="2"/>
    </row>
    <row r="872" spans="1:16" x14ac:dyDescent="0.3">
      <c r="A872" s="3">
        <v>45482</v>
      </c>
      <c r="B872" s="2">
        <v>24351</v>
      </c>
      <c r="C872" s="2">
        <v>24443.599999999999</v>
      </c>
      <c r="D872" s="2">
        <v>24331.9</v>
      </c>
      <c r="E872" s="2">
        <v>24433.200000000001</v>
      </c>
      <c r="F872" s="2">
        <v>250537091</v>
      </c>
      <c r="G872" s="2">
        <v>29361.08</v>
      </c>
      <c r="H872" s="2">
        <f t="shared" si="93"/>
        <v>23776.769999999997</v>
      </c>
      <c r="I872" s="2">
        <f t="shared" si="87"/>
        <v>23035.18</v>
      </c>
      <c r="J872" s="2">
        <f t="shared" si="92"/>
        <v>21557.174500000001</v>
      </c>
      <c r="K872" s="2">
        <f t="shared" si="90"/>
        <v>112.65000000000146</v>
      </c>
      <c r="L872" s="7">
        <f t="shared" si="88"/>
        <v>4.6260933842553267E-3</v>
      </c>
      <c r="M872" s="9"/>
      <c r="N872" s="2">
        <f t="shared" si="91"/>
        <v>24433.200000000001</v>
      </c>
      <c r="O872" s="2">
        <f t="shared" si="89"/>
        <v>0</v>
      </c>
      <c r="P872" s="2"/>
    </row>
    <row r="873" spans="1:16" x14ac:dyDescent="0.3">
      <c r="A873" s="3">
        <v>45483</v>
      </c>
      <c r="B873" s="2">
        <v>24459.85</v>
      </c>
      <c r="C873" s="2">
        <v>24461.05</v>
      </c>
      <c r="D873" s="2">
        <v>24141.8</v>
      </c>
      <c r="E873" s="2">
        <v>24324.45</v>
      </c>
      <c r="F873" s="2">
        <v>292263786</v>
      </c>
      <c r="G873" s="2">
        <v>35358.54</v>
      </c>
      <c r="H873" s="2">
        <f t="shared" si="93"/>
        <v>23835.469999999998</v>
      </c>
      <c r="I873" s="2">
        <f t="shared" si="87"/>
        <v>23075.445</v>
      </c>
      <c r="J873" s="2">
        <f t="shared" si="92"/>
        <v>21578.825000000004</v>
      </c>
      <c r="K873" s="2">
        <f t="shared" si="90"/>
        <v>-108.75</v>
      </c>
      <c r="L873" s="7">
        <f t="shared" si="88"/>
        <v>-4.4460616070826275E-3</v>
      </c>
      <c r="M873" s="9"/>
      <c r="N873" s="2">
        <f t="shared" si="91"/>
        <v>24433.200000000001</v>
      </c>
      <c r="O873" s="2">
        <f t="shared" si="89"/>
        <v>-4.4509110554491471E-3</v>
      </c>
      <c r="P873" s="2"/>
    </row>
    <row r="874" spans="1:16" x14ac:dyDescent="0.3">
      <c r="A874" s="3">
        <v>45484</v>
      </c>
      <c r="B874" s="2">
        <v>24396.55</v>
      </c>
      <c r="C874" s="2">
        <v>24402.65</v>
      </c>
      <c r="D874" s="2">
        <v>24193.75</v>
      </c>
      <c r="E874" s="2">
        <v>24315.95</v>
      </c>
      <c r="F874" s="2">
        <v>306404194</v>
      </c>
      <c r="G874" s="2">
        <v>32115.439999999999</v>
      </c>
      <c r="H874" s="2">
        <f t="shared" si="93"/>
        <v>23888.45</v>
      </c>
      <c r="I874" s="2">
        <f t="shared" si="87"/>
        <v>23109.065999999995</v>
      </c>
      <c r="J874" s="2">
        <f t="shared" si="92"/>
        <v>21599.485500000003</v>
      </c>
      <c r="K874" s="2">
        <f t="shared" si="90"/>
        <v>-8.5</v>
      </c>
      <c r="L874" s="7">
        <f t="shared" si="88"/>
        <v>-3.4840991861554197E-4</v>
      </c>
      <c r="M874" s="9"/>
      <c r="N874" s="2">
        <f t="shared" si="91"/>
        <v>24433.200000000001</v>
      </c>
      <c r="O874" s="2">
        <f t="shared" si="89"/>
        <v>-4.798798356334788E-3</v>
      </c>
      <c r="P874" s="2"/>
    </row>
    <row r="875" spans="1:16" x14ac:dyDescent="0.3">
      <c r="A875" s="3">
        <v>45485</v>
      </c>
      <c r="B875" s="2">
        <v>24387.95</v>
      </c>
      <c r="C875" s="2">
        <v>24592.2</v>
      </c>
      <c r="D875" s="2">
        <v>24331.15</v>
      </c>
      <c r="E875" s="2">
        <v>24502.15</v>
      </c>
      <c r="F875" s="2">
        <v>325823474</v>
      </c>
      <c r="G875" s="2">
        <v>39565.33</v>
      </c>
      <c r="H875" s="2">
        <f t="shared" si="93"/>
        <v>23938.1</v>
      </c>
      <c r="I875" s="2">
        <f t="shared" si="87"/>
        <v>23143.287999999997</v>
      </c>
      <c r="J875" s="2">
        <f t="shared" si="92"/>
        <v>21620.398750000004</v>
      </c>
      <c r="K875" s="2">
        <f t="shared" si="90"/>
        <v>186.20000000000073</v>
      </c>
      <c r="L875" s="7">
        <f t="shared" si="88"/>
        <v>7.6349180640439525E-3</v>
      </c>
      <c r="M875" s="9"/>
      <c r="N875" s="2">
        <f t="shared" si="91"/>
        <v>24502.15</v>
      </c>
      <c r="O875" s="2">
        <f t="shared" si="89"/>
        <v>0</v>
      </c>
      <c r="P875" s="2"/>
    </row>
    <row r="876" spans="1:16" x14ac:dyDescent="0.3">
      <c r="A876" s="3">
        <v>45488</v>
      </c>
      <c r="B876" s="2">
        <v>24587.599999999999</v>
      </c>
      <c r="C876" s="2">
        <v>24635.05</v>
      </c>
      <c r="D876" s="2">
        <v>24522.75</v>
      </c>
      <c r="E876" s="2">
        <v>24586.7</v>
      </c>
      <c r="F876" s="2">
        <v>305395934</v>
      </c>
      <c r="G876" s="2">
        <v>31593.040000000001</v>
      </c>
      <c r="H876" s="2">
        <f t="shared" si="93"/>
        <v>23993.262500000004</v>
      </c>
      <c r="I876" s="2">
        <f t="shared" si="87"/>
        <v>23180.366999999998</v>
      </c>
      <c r="J876" s="2">
        <f t="shared" si="92"/>
        <v>21643.402500000011</v>
      </c>
      <c r="K876" s="2">
        <f t="shared" si="90"/>
        <v>84.549999999999272</v>
      </c>
      <c r="L876" s="7">
        <f t="shared" si="88"/>
        <v>3.4387252110819793E-3</v>
      </c>
      <c r="M876" s="9"/>
      <c r="N876" s="2">
        <f t="shared" si="91"/>
        <v>24586.7</v>
      </c>
      <c r="O876" s="2">
        <f t="shared" si="89"/>
        <v>0</v>
      </c>
      <c r="P876" s="2"/>
    </row>
    <row r="877" spans="1:16" x14ac:dyDescent="0.3">
      <c r="A877" s="3">
        <v>45489</v>
      </c>
      <c r="B877" s="2">
        <v>24615.9</v>
      </c>
      <c r="C877" s="2">
        <v>24661.25</v>
      </c>
      <c r="D877" s="2">
        <v>24587.65</v>
      </c>
      <c r="E877" s="2">
        <v>24613</v>
      </c>
      <c r="F877" s="2">
        <v>283212233</v>
      </c>
      <c r="G877" s="2">
        <v>28668.71</v>
      </c>
      <c r="H877" s="2">
        <f t="shared" si="93"/>
        <v>24049.317500000001</v>
      </c>
      <c r="I877" s="2">
        <f t="shared" si="87"/>
        <v>23222.583999999995</v>
      </c>
      <c r="J877" s="2">
        <f t="shared" si="92"/>
        <v>21667.624250000012</v>
      </c>
      <c r="K877" s="2">
        <f t="shared" si="90"/>
        <v>26.299999999999272</v>
      </c>
      <c r="L877" s="7">
        <f t="shared" si="88"/>
        <v>1.0684151300581848E-3</v>
      </c>
      <c r="M877" s="9"/>
      <c r="N877" s="2">
        <f t="shared" si="91"/>
        <v>24613</v>
      </c>
      <c r="O877" s="2">
        <f t="shared" si="89"/>
        <v>0</v>
      </c>
      <c r="P877" s="2"/>
    </row>
    <row r="878" spans="1:16" x14ac:dyDescent="0.3">
      <c r="A878" s="3">
        <v>45491</v>
      </c>
      <c r="B878" s="2">
        <v>24543.8</v>
      </c>
      <c r="C878" s="2">
        <v>24837.75</v>
      </c>
      <c r="D878" s="2">
        <v>24504.45</v>
      </c>
      <c r="E878" s="2">
        <v>24800.85</v>
      </c>
      <c r="F878" s="2">
        <v>350924425</v>
      </c>
      <c r="G878" s="2">
        <v>40477.17</v>
      </c>
      <c r="H878" s="2">
        <f t="shared" si="93"/>
        <v>24102.072500000006</v>
      </c>
      <c r="I878" s="2">
        <f t="shared" si="87"/>
        <v>23265.989999999994</v>
      </c>
      <c r="J878" s="2">
        <f t="shared" si="92"/>
        <v>21692.318000000007</v>
      </c>
      <c r="K878" s="2">
        <f t="shared" si="90"/>
        <v>187.84999999999854</v>
      </c>
      <c r="L878" s="7">
        <f t="shared" si="88"/>
        <v>7.6536640617996619E-3</v>
      </c>
      <c r="M878" s="9"/>
      <c r="N878" s="2">
        <f t="shared" si="91"/>
        <v>24800.85</v>
      </c>
      <c r="O878" s="2">
        <f t="shared" si="89"/>
        <v>0</v>
      </c>
      <c r="P878" s="2"/>
    </row>
    <row r="879" spans="1:16" x14ac:dyDescent="0.3">
      <c r="A879" s="3">
        <v>45492</v>
      </c>
      <c r="B879" s="2">
        <v>24853.8</v>
      </c>
      <c r="C879" s="2">
        <v>24854.799999999999</v>
      </c>
      <c r="D879" s="2">
        <v>24508.15</v>
      </c>
      <c r="E879" s="2">
        <v>24530.9</v>
      </c>
      <c r="F879" s="2">
        <v>343772965</v>
      </c>
      <c r="G879" s="2">
        <v>33588.080000000002</v>
      </c>
      <c r="H879" s="2">
        <f t="shared" si="93"/>
        <v>24166.315000000002</v>
      </c>
      <c r="I879" s="2">
        <f t="shared" si="87"/>
        <v>23315.956999999999</v>
      </c>
      <c r="J879" s="2">
        <f t="shared" si="92"/>
        <v>21717.949500000006</v>
      </c>
      <c r="K879" s="2">
        <f t="shared" si="90"/>
        <v>-269.94999999999709</v>
      </c>
      <c r="L879" s="7">
        <f t="shared" si="88"/>
        <v>-1.0861518158188973E-2</v>
      </c>
      <c r="M879" s="9"/>
      <c r="N879" s="2">
        <f t="shared" si="91"/>
        <v>24800.85</v>
      </c>
      <c r="O879" s="2">
        <f t="shared" si="89"/>
        <v>-1.0884707580586794E-2</v>
      </c>
      <c r="P879" s="2"/>
    </row>
    <row r="880" spans="1:16" x14ac:dyDescent="0.3">
      <c r="A880" s="3">
        <v>45495</v>
      </c>
      <c r="B880" s="2">
        <v>24445.75</v>
      </c>
      <c r="C880" s="2">
        <v>24595.200000000001</v>
      </c>
      <c r="D880" s="2">
        <v>24362.3</v>
      </c>
      <c r="E880" s="2">
        <v>24509.25</v>
      </c>
      <c r="F880" s="2">
        <v>324190553</v>
      </c>
      <c r="G880" s="2">
        <v>32496.23</v>
      </c>
      <c r="H880" s="2">
        <f t="shared" si="93"/>
        <v>24214.510000000002</v>
      </c>
      <c r="I880" s="2">
        <f t="shared" si="87"/>
        <v>23360.524999999994</v>
      </c>
      <c r="J880" s="2">
        <f t="shared" si="92"/>
        <v>21742.280500000008</v>
      </c>
      <c r="K880" s="2">
        <f t="shared" si="90"/>
        <v>-21.650000000001455</v>
      </c>
      <c r="L880" s="7">
        <f t="shared" si="88"/>
        <v>-8.8563451724743385E-4</v>
      </c>
      <c r="M880" s="9"/>
      <c r="N880" s="2">
        <f t="shared" si="91"/>
        <v>24800.85</v>
      </c>
      <c r="O880" s="2">
        <f t="shared" si="89"/>
        <v>-1.1757661531761943E-2</v>
      </c>
      <c r="P880" s="2"/>
    </row>
    <row r="881" spans="1:16" x14ac:dyDescent="0.3">
      <c r="A881" s="3">
        <v>45496</v>
      </c>
      <c r="B881" s="2">
        <v>24568.9</v>
      </c>
      <c r="C881" s="2">
        <v>24582.55</v>
      </c>
      <c r="D881" s="2">
        <v>24074.2</v>
      </c>
      <c r="E881" s="2">
        <v>24479.05</v>
      </c>
      <c r="F881" s="2">
        <v>436408768</v>
      </c>
      <c r="G881" s="2">
        <v>44921.42</v>
      </c>
      <c r="H881" s="2">
        <f t="shared" si="93"/>
        <v>24264.917500000003</v>
      </c>
      <c r="I881" s="2">
        <f t="shared" si="87"/>
        <v>23411.56</v>
      </c>
      <c r="J881" s="2">
        <f t="shared" si="92"/>
        <v>21766.244500000008</v>
      </c>
      <c r="K881" s="2">
        <f t="shared" si="90"/>
        <v>-30.200000000000728</v>
      </c>
      <c r="L881" s="7">
        <f t="shared" si="88"/>
        <v>-1.229196260312864E-3</v>
      </c>
      <c r="M881" s="9"/>
      <c r="N881" s="2">
        <f t="shared" si="91"/>
        <v>24800.85</v>
      </c>
      <c r="O881" s="2">
        <f t="shared" si="89"/>
        <v>-1.2975361731553559E-2</v>
      </c>
      <c r="P881" s="2"/>
    </row>
    <row r="882" spans="1:16" x14ac:dyDescent="0.3">
      <c r="A882" s="3">
        <v>45497</v>
      </c>
      <c r="B882" s="2">
        <v>24444.95</v>
      </c>
      <c r="C882" s="2">
        <v>24504.25</v>
      </c>
      <c r="D882" s="2">
        <v>24307.25</v>
      </c>
      <c r="E882" s="2">
        <v>24413.5</v>
      </c>
      <c r="F882" s="2">
        <v>366616574</v>
      </c>
      <c r="G882" s="2">
        <v>39538.11</v>
      </c>
      <c r="H882" s="2">
        <f t="shared" si="93"/>
        <v>24311.977500000001</v>
      </c>
      <c r="I882" s="2">
        <f t="shared" si="87"/>
        <v>23460.037</v>
      </c>
      <c r="J882" s="2">
        <f t="shared" si="92"/>
        <v>21791.022000000008</v>
      </c>
      <c r="K882" s="2">
        <f t="shared" si="90"/>
        <v>-65.549999999999272</v>
      </c>
      <c r="L882" s="7">
        <f t="shared" si="88"/>
        <v>-2.6815354500622532E-3</v>
      </c>
      <c r="M882" s="9"/>
      <c r="N882" s="2">
        <f t="shared" si="91"/>
        <v>24800.85</v>
      </c>
      <c r="O882" s="2">
        <f t="shared" si="89"/>
        <v>-1.5618416304279847E-2</v>
      </c>
      <c r="P882" s="2"/>
    </row>
    <row r="883" spans="1:16" x14ac:dyDescent="0.3">
      <c r="A883" s="3">
        <v>45498</v>
      </c>
      <c r="B883" s="2">
        <v>24230.95</v>
      </c>
      <c r="C883" s="2">
        <v>24426.15</v>
      </c>
      <c r="D883" s="2">
        <v>24210.799999999999</v>
      </c>
      <c r="E883" s="2">
        <v>24406.1</v>
      </c>
      <c r="F883" s="2">
        <v>391821970</v>
      </c>
      <c r="G883" s="2">
        <v>37853.620000000003</v>
      </c>
      <c r="H883" s="2">
        <f t="shared" si="93"/>
        <v>24346.587500000001</v>
      </c>
      <c r="I883" s="2">
        <f t="shared" si="87"/>
        <v>23506.226000000002</v>
      </c>
      <c r="J883" s="2">
        <f t="shared" si="92"/>
        <v>21814.898000000001</v>
      </c>
      <c r="K883" s="2">
        <f t="shared" si="90"/>
        <v>-7.4000000000014552</v>
      </c>
      <c r="L883" s="7">
        <f t="shared" si="88"/>
        <v>-3.0539454705661378E-4</v>
      </c>
      <c r="M883" s="9"/>
      <c r="N883" s="2">
        <f t="shared" si="91"/>
        <v>24800.85</v>
      </c>
      <c r="O883" s="2">
        <f t="shared" si="89"/>
        <v>-1.5916793174427513E-2</v>
      </c>
      <c r="P883" s="2"/>
    </row>
    <row r="884" spans="1:16" x14ac:dyDescent="0.3">
      <c r="A884" s="3">
        <v>45499</v>
      </c>
      <c r="B884" s="2">
        <v>24423.35</v>
      </c>
      <c r="C884" s="2">
        <v>24861.15</v>
      </c>
      <c r="D884" s="2">
        <v>24410.9</v>
      </c>
      <c r="E884" s="2">
        <v>24834.85</v>
      </c>
      <c r="F884" s="2">
        <v>383826136</v>
      </c>
      <c r="G884" s="2">
        <v>42118.36</v>
      </c>
      <c r="H884" s="2">
        <f t="shared" si="93"/>
        <v>24373.452499999999</v>
      </c>
      <c r="I884" s="2">
        <f t="shared" si="87"/>
        <v>23549.991000000002</v>
      </c>
      <c r="J884" s="2">
        <f t="shared" si="92"/>
        <v>21839.284750000003</v>
      </c>
      <c r="K884" s="2">
        <f t="shared" si="90"/>
        <v>428.75</v>
      </c>
      <c r="L884" s="7">
        <f t="shared" si="88"/>
        <v>1.7554921826858316E-2</v>
      </c>
      <c r="M884" s="9"/>
      <c r="N884" s="2">
        <f t="shared" si="91"/>
        <v>24834.85</v>
      </c>
      <c r="O884" s="2">
        <f t="shared" si="89"/>
        <v>0</v>
      </c>
      <c r="P884" s="2"/>
    </row>
    <row r="885" spans="1:16" x14ac:dyDescent="0.3">
      <c r="A885" s="3">
        <v>45502</v>
      </c>
      <c r="B885" s="2">
        <v>24943.3</v>
      </c>
      <c r="C885" s="2">
        <v>24999.75</v>
      </c>
      <c r="D885" s="2">
        <v>24774.6</v>
      </c>
      <c r="E885" s="2">
        <v>24836.1</v>
      </c>
      <c r="F885" s="2">
        <v>354966070</v>
      </c>
      <c r="G885" s="2">
        <v>37102.92</v>
      </c>
      <c r="H885" s="2">
        <f t="shared" si="93"/>
        <v>24412.969999999998</v>
      </c>
      <c r="I885" s="2">
        <f t="shared" ref="I885:I948" si="94">AVERAGE(E835:E884)</f>
        <v>23602.677000000003</v>
      </c>
      <c r="J885" s="2">
        <f t="shared" si="92"/>
        <v>21866.2785</v>
      </c>
      <c r="K885" s="2">
        <f t="shared" si="90"/>
        <v>1.25</v>
      </c>
      <c r="L885" s="7">
        <f t="shared" si="88"/>
        <v>5.0113657775835596E-5</v>
      </c>
      <c r="M885" s="9"/>
      <c r="N885" s="2">
        <f t="shared" si="91"/>
        <v>24836.1</v>
      </c>
      <c r="O885" s="2">
        <f t="shared" si="89"/>
        <v>0</v>
      </c>
      <c r="P885" s="2"/>
    </row>
    <row r="886" spans="1:16" x14ac:dyDescent="0.3">
      <c r="A886" s="3">
        <v>45503</v>
      </c>
      <c r="B886" s="2">
        <v>24839.4</v>
      </c>
      <c r="C886" s="2">
        <v>24971.75</v>
      </c>
      <c r="D886" s="2">
        <v>24798.65</v>
      </c>
      <c r="E886" s="2">
        <v>24857.3</v>
      </c>
      <c r="F886" s="2">
        <v>384989431</v>
      </c>
      <c r="G886" s="2">
        <v>37576.58</v>
      </c>
      <c r="H886" s="2">
        <f t="shared" si="93"/>
        <v>24454.244999999999</v>
      </c>
      <c r="I886" s="2">
        <f t="shared" si="94"/>
        <v>23651.322000000007</v>
      </c>
      <c r="J886" s="2">
        <f t="shared" si="92"/>
        <v>21892.730250000001</v>
      </c>
      <c r="K886" s="2">
        <f t="shared" si="90"/>
        <v>21.200000000000728</v>
      </c>
      <c r="L886" s="7">
        <f t="shared" si="88"/>
        <v>8.5348277333593915E-4</v>
      </c>
      <c r="M886" s="9"/>
      <c r="N886" s="2">
        <f t="shared" si="91"/>
        <v>24857.3</v>
      </c>
      <c r="O886" s="2">
        <f t="shared" si="89"/>
        <v>0</v>
      </c>
      <c r="P886" s="2"/>
    </row>
    <row r="887" spans="1:16" x14ac:dyDescent="0.3">
      <c r="A887" s="3">
        <v>45504</v>
      </c>
      <c r="B887" s="2">
        <v>24886.7</v>
      </c>
      <c r="C887" s="2">
        <v>24984.6</v>
      </c>
      <c r="D887" s="2">
        <v>24856.5</v>
      </c>
      <c r="E887" s="2">
        <v>24951.15</v>
      </c>
      <c r="F887" s="2">
        <v>333646302</v>
      </c>
      <c r="G887" s="2">
        <v>35411.32</v>
      </c>
      <c r="H887" s="2">
        <f t="shared" si="93"/>
        <v>24490.012499999997</v>
      </c>
      <c r="I887" s="2">
        <f t="shared" si="94"/>
        <v>23699.146000000004</v>
      </c>
      <c r="J887" s="2">
        <f t="shared" si="92"/>
        <v>21918.749249999997</v>
      </c>
      <c r="K887" s="2">
        <f t="shared" si="90"/>
        <v>93.850000000002183</v>
      </c>
      <c r="L887" s="7">
        <f t="shared" si="88"/>
        <v>3.7710905825200682E-3</v>
      </c>
      <c r="M887" s="9"/>
      <c r="N887" s="2">
        <f t="shared" si="91"/>
        <v>24951.15</v>
      </c>
      <c r="O887" s="2">
        <f t="shared" si="89"/>
        <v>0</v>
      </c>
      <c r="P887" s="2"/>
    </row>
    <row r="888" spans="1:16" x14ac:dyDescent="0.3">
      <c r="A888" s="3">
        <v>45505</v>
      </c>
      <c r="B888" s="2">
        <v>25030.95</v>
      </c>
      <c r="C888" s="2">
        <v>25078.3</v>
      </c>
      <c r="D888" s="2">
        <v>24956.400000000001</v>
      </c>
      <c r="E888" s="2">
        <v>25010.9</v>
      </c>
      <c r="F888" s="2">
        <v>431313292</v>
      </c>
      <c r="G888" s="2">
        <v>38822.9</v>
      </c>
      <c r="H888" s="2">
        <f t="shared" si="93"/>
        <v>24531.377499999999</v>
      </c>
      <c r="I888" s="2">
        <f t="shared" si="94"/>
        <v>23748.129000000004</v>
      </c>
      <c r="J888" s="2">
        <f t="shared" si="92"/>
        <v>21945.94325</v>
      </c>
      <c r="K888" s="2">
        <f t="shared" si="90"/>
        <v>59.75</v>
      </c>
      <c r="L888" s="7">
        <f t="shared" si="88"/>
        <v>2.3870448384899494E-3</v>
      </c>
      <c r="M888" s="9"/>
      <c r="N888" s="2">
        <f t="shared" si="91"/>
        <v>25010.9</v>
      </c>
      <c r="O888" s="2">
        <f t="shared" si="89"/>
        <v>0</v>
      </c>
      <c r="P888" s="2"/>
    </row>
    <row r="889" spans="1:16" x14ac:dyDescent="0.3">
      <c r="A889" s="3">
        <v>45506</v>
      </c>
      <c r="B889" s="2">
        <v>24789</v>
      </c>
      <c r="C889" s="2">
        <v>24851.9</v>
      </c>
      <c r="D889" s="2">
        <v>24686.85</v>
      </c>
      <c r="E889" s="2">
        <v>24717.7</v>
      </c>
      <c r="F889" s="2">
        <v>345027881</v>
      </c>
      <c r="G889" s="2">
        <v>35368.54</v>
      </c>
      <c r="H889" s="2">
        <f t="shared" si="93"/>
        <v>24567.597499999996</v>
      </c>
      <c r="I889" s="2">
        <f t="shared" si="94"/>
        <v>23797.766</v>
      </c>
      <c r="J889" s="2">
        <f t="shared" si="92"/>
        <v>21972.548500000004</v>
      </c>
      <c r="K889" s="2">
        <f t="shared" si="90"/>
        <v>-293.20000000000073</v>
      </c>
      <c r="L889" s="7">
        <f t="shared" si="88"/>
        <v>-1.182782685868735E-2</v>
      </c>
      <c r="M889" s="9"/>
      <c r="N889" s="2">
        <f t="shared" si="91"/>
        <v>25010.9</v>
      </c>
      <c r="O889" s="2">
        <f t="shared" si="89"/>
        <v>-1.1722888820474342E-2</v>
      </c>
      <c r="P889" s="2"/>
    </row>
    <row r="890" spans="1:16" x14ac:dyDescent="0.3">
      <c r="A890" s="3">
        <v>45509</v>
      </c>
      <c r="B890" s="2">
        <v>24302.85</v>
      </c>
      <c r="C890" s="2">
        <v>24350.05</v>
      </c>
      <c r="D890" s="2">
        <v>23893.7</v>
      </c>
      <c r="E890" s="2">
        <v>24055.599999999999</v>
      </c>
      <c r="F890" s="2">
        <v>486994718</v>
      </c>
      <c r="G890" s="2">
        <v>45066.65</v>
      </c>
      <c r="H890" s="2">
        <f t="shared" si="93"/>
        <v>24588.374999999996</v>
      </c>
      <c r="I890" s="2">
        <f t="shared" si="94"/>
        <v>23840.163999999993</v>
      </c>
      <c r="J890" s="2">
        <f t="shared" si="92"/>
        <v>21997.08025000001</v>
      </c>
      <c r="K890" s="2">
        <f t="shared" si="90"/>
        <v>-662.10000000000218</v>
      </c>
      <c r="L890" s="7">
        <f t="shared" si="88"/>
        <v>-2.7243718329331836E-2</v>
      </c>
      <c r="M890" s="9"/>
      <c r="N890" s="2">
        <f t="shared" si="91"/>
        <v>25010.9</v>
      </c>
      <c r="O890" s="2">
        <f t="shared" si="89"/>
        <v>-3.8195346828782784E-2</v>
      </c>
      <c r="P890" s="2"/>
    </row>
    <row r="891" spans="1:16" x14ac:dyDescent="0.3">
      <c r="A891" s="3">
        <v>45510</v>
      </c>
      <c r="B891" s="2">
        <v>24189.85</v>
      </c>
      <c r="C891" s="2">
        <v>24382.6</v>
      </c>
      <c r="D891" s="2">
        <v>23960.400000000001</v>
      </c>
      <c r="E891" s="2">
        <v>23992.55</v>
      </c>
      <c r="F891" s="2">
        <v>312339387</v>
      </c>
      <c r="G891" s="2">
        <v>31553.65</v>
      </c>
      <c r="H891" s="2">
        <f t="shared" si="93"/>
        <v>24574.962499999998</v>
      </c>
      <c r="I891" s="2">
        <f t="shared" si="94"/>
        <v>23861.922999999995</v>
      </c>
      <c r="J891" s="2">
        <f t="shared" si="92"/>
        <v>22018.388250000004</v>
      </c>
      <c r="K891" s="2">
        <f t="shared" si="90"/>
        <v>-63.049999999999272</v>
      </c>
      <c r="L891" s="7">
        <f t="shared" si="88"/>
        <v>-2.6064651082995257E-3</v>
      </c>
      <c r="M891" s="9"/>
      <c r="N891" s="2">
        <f t="shared" si="91"/>
        <v>25010.9</v>
      </c>
      <c r="O891" s="2">
        <f t="shared" si="89"/>
        <v>-4.0716247715995912E-2</v>
      </c>
      <c r="P891" s="2"/>
    </row>
    <row r="892" spans="1:16" x14ac:dyDescent="0.3">
      <c r="A892" s="3">
        <v>45511</v>
      </c>
      <c r="B892" s="2">
        <v>24289.4</v>
      </c>
      <c r="C892" s="2">
        <v>24337.7</v>
      </c>
      <c r="D892" s="2">
        <v>24184.9</v>
      </c>
      <c r="E892" s="2">
        <v>24297.5</v>
      </c>
      <c r="F892" s="2">
        <v>317564429</v>
      </c>
      <c r="G892" s="2">
        <v>29738.85</v>
      </c>
      <c r="H892" s="2">
        <f t="shared" si="93"/>
        <v>24558.562499999996</v>
      </c>
      <c r="I892" s="2">
        <f t="shared" si="94"/>
        <v>23882.631999999994</v>
      </c>
      <c r="J892" s="2">
        <f t="shared" si="92"/>
        <v>22039.595750000008</v>
      </c>
      <c r="K892" s="2">
        <f t="shared" si="90"/>
        <v>304.95000000000073</v>
      </c>
      <c r="L892" s="7">
        <f t="shared" si="88"/>
        <v>1.2554859321350084E-2</v>
      </c>
      <c r="M892" s="9"/>
      <c r="N892" s="2">
        <f t="shared" si="91"/>
        <v>25010.9</v>
      </c>
      <c r="O892" s="2">
        <f t="shared" si="89"/>
        <v>-2.8523563726215451E-2</v>
      </c>
      <c r="P892" s="2"/>
    </row>
    <row r="893" spans="1:16" x14ac:dyDescent="0.3">
      <c r="A893" s="3">
        <v>45512</v>
      </c>
      <c r="B893" s="2">
        <v>24248.55</v>
      </c>
      <c r="C893" s="2">
        <v>24340.5</v>
      </c>
      <c r="D893" s="2">
        <v>24079.7</v>
      </c>
      <c r="E893" s="2">
        <v>24117</v>
      </c>
      <c r="F893" s="2">
        <v>311875940</v>
      </c>
      <c r="G893" s="2">
        <v>30858.18</v>
      </c>
      <c r="H893" s="2">
        <f t="shared" si="93"/>
        <v>24551.777499999997</v>
      </c>
      <c r="I893" s="2">
        <f t="shared" si="94"/>
        <v>23909.932999999994</v>
      </c>
      <c r="J893" s="2">
        <f t="shared" si="92"/>
        <v>22062.424500000012</v>
      </c>
      <c r="K893" s="2">
        <f t="shared" si="90"/>
        <v>-180.5</v>
      </c>
      <c r="L893" s="7">
        <f t="shared" si="88"/>
        <v>-7.4437440589231107E-3</v>
      </c>
      <c r="M893" s="9"/>
      <c r="N893" s="2">
        <f t="shared" si="91"/>
        <v>25010.9</v>
      </c>
      <c r="O893" s="2">
        <f t="shared" si="89"/>
        <v>-3.5740417178110384E-2</v>
      </c>
      <c r="P893" s="2"/>
    </row>
    <row r="894" spans="1:16" x14ac:dyDescent="0.3">
      <c r="A894" s="3">
        <v>45513</v>
      </c>
      <c r="B894" s="2">
        <v>24386.85</v>
      </c>
      <c r="C894" s="2">
        <v>24419.75</v>
      </c>
      <c r="D894" s="2">
        <v>24311.200000000001</v>
      </c>
      <c r="E894" s="2">
        <v>24367.5</v>
      </c>
      <c r="F894" s="2">
        <v>215129992</v>
      </c>
      <c r="G894" s="2">
        <v>22339.19</v>
      </c>
      <c r="H894" s="2">
        <f t="shared" si="93"/>
        <v>24541.404999999999</v>
      </c>
      <c r="I894" s="2">
        <f t="shared" si="94"/>
        <v>23934.509999999995</v>
      </c>
      <c r="J894" s="2">
        <f t="shared" si="92"/>
        <v>22083.952000000005</v>
      </c>
      <c r="K894" s="2">
        <f t="shared" si="90"/>
        <v>250.5</v>
      </c>
      <c r="L894" s="7">
        <f t="shared" si="88"/>
        <v>1.0271929338967518E-2</v>
      </c>
      <c r="M894" s="9"/>
      <c r="N894" s="2">
        <f t="shared" si="91"/>
        <v>25010.9</v>
      </c>
      <c r="O894" s="2">
        <f t="shared" si="89"/>
        <v>-2.5724783994178546E-2</v>
      </c>
      <c r="P894" s="2"/>
    </row>
    <row r="895" spans="1:16" x14ac:dyDescent="0.3">
      <c r="A895" s="3">
        <v>45516</v>
      </c>
      <c r="B895" s="2">
        <v>24320.05</v>
      </c>
      <c r="C895" s="2">
        <v>24472.799999999999</v>
      </c>
      <c r="D895" s="2">
        <v>24212.1</v>
      </c>
      <c r="E895" s="2">
        <v>24347</v>
      </c>
      <c r="F895" s="2">
        <v>279925100</v>
      </c>
      <c r="G895" s="2">
        <v>30311.85</v>
      </c>
      <c r="H895" s="2">
        <f t="shared" si="93"/>
        <v>24543.982500000002</v>
      </c>
      <c r="I895" s="2">
        <f t="shared" si="94"/>
        <v>23967.766</v>
      </c>
      <c r="J895" s="2">
        <f t="shared" si="92"/>
        <v>22107.434000000008</v>
      </c>
      <c r="K895" s="2">
        <f t="shared" si="90"/>
        <v>-20.5</v>
      </c>
      <c r="L895" s="7">
        <f t="shared" si="88"/>
        <v>-8.4292589858984664E-4</v>
      </c>
      <c r="M895" s="9"/>
      <c r="N895" s="2">
        <f t="shared" si="91"/>
        <v>25010.9</v>
      </c>
      <c r="O895" s="2">
        <f t="shared" si="89"/>
        <v>-2.6544426629989348E-2</v>
      </c>
      <c r="P895" s="2"/>
    </row>
    <row r="896" spans="1:16" x14ac:dyDescent="0.3">
      <c r="A896" s="3">
        <v>45517</v>
      </c>
      <c r="B896" s="2">
        <v>24342.35</v>
      </c>
      <c r="C896" s="2">
        <v>24359.95</v>
      </c>
      <c r="D896" s="2">
        <v>24116.5</v>
      </c>
      <c r="E896" s="2">
        <v>24139</v>
      </c>
      <c r="F896" s="2">
        <v>239727640</v>
      </c>
      <c r="G896" s="2">
        <v>25459.58</v>
      </c>
      <c r="H896" s="2">
        <f t="shared" si="93"/>
        <v>24536.224999999999</v>
      </c>
      <c r="I896" s="2">
        <f t="shared" si="94"/>
        <v>24004.932999999997</v>
      </c>
      <c r="J896" s="2">
        <f t="shared" si="92"/>
        <v>22131.045500000011</v>
      </c>
      <c r="K896" s="2">
        <f t="shared" si="90"/>
        <v>-208</v>
      </c>
      <c r="L896" s="7">
        <f t="shared" si="88"/>
        <v>-8.5447789551953701E-3</v>
      </c>
      <c r="M896" s="9"/>
      <c r="N896" s="2">
        <f t="shared" si="91"/>
        <v>25010.9</v>
      </c>
      <c r="O896" s="2">
        <f t="shared" si="89"/>
        <v>-3.4860800690898808E-2</v>
      </c>
      <c r="P896" s="2"/>
    </row>
    <row r="897" spans="1:16" x14ac:dyDescent="0.3">
      <c r="A897" s="3">
        <v>45518</v>
      </c>
      <c r="B897" s="2">
        <v>24184.400000000001</v>
      </c>
      <c r="C897" s="2">
        <v>24196.5</v>
      </c>
      <c r="D897" s="2">
        <v>24099.7</v>
      </c>
      <c r="E897" s="2">
        <v>24143.75</v>
      </c>
      <c r="F897" s="2">
        <v>303254705</v>
      </c>
      <c r="G897" s="2">
        <v>27834.61</v>
      </c>
      <c r="H897" s="2">
        <f t="shared" si="93"/>
        <v>24513.84</v>
      </c>
      <c r="I897" s="2">
        <f t="shared" si="94"/>
        <v>24037.098999999998</v>
      </c>
      <c r="J897" s="2">
        <f t="shared" si="92"/>
        <v>22154.027250000006</v>
      </c>
      <c r="K897" s="2">
        <f t="shared" si="90"/>
        <v>4.75</v>
      </c>
      <c r="L897" s="7">
        <f t="shared" si="88"/>
        <v>1.9640760159441622E-4</v>
      </c>
      <c r="M897" s="9"/>
      <c r="N897" s="2">
        <f t="shared" si="91"/>
        <v>25010.9</v>
      </c>
      <c r="O897" s="2">
        <f t="shared" si="89"/>
        <v>-3.4670883494796301E-2</v>
      </c>
      <c r="P897" s="2"/>
    </row>
    <row r="898" spans="1:16" x14ac:dyDescent="0.3">
      <c r="A898" s="3">
        <v>45520</v>
      </c>
      <c r="B898" s="2">
        <v>24334.85</v>
      </c>
      <c r="C898" s="2">
        <v>24563.9</v>
      </c>
      <c r="D898" s="2">
        <v>24204.5</v>
      </c>
      <c r="E898" s="2">
        <v>24541.15</v>
      </c>
      <c r="F898" s="2">
        <v>271611087</v>
      </c>
      <c r="G898" s="2">
        <v>28521.9</v>
      </c>
      <c r="H898" s="2">
        <f t="shared" si="93"/>
        <v>24490.377499999999</v>
      </c>
      <c r="I898" s="2">
        <f t="shared" si="94"/>
        <v>24054.695999999996</v>
      </c>
      <c r="J898" s="2">
        <f t="shared" si="92"/>
        <v>22178.337250000004</v>
      </c>
      <c r="K898" s="2">
        <f t="shared" si="90"/>
        <v>397.40000000000146</v>
      </c>
      <c r="L898" s="7">
        <f t="shared" si="88"/>
        <v>1.6330488990069857E-2</v>
      </c>
      <c r="M898" s="9"/>
      <c r="N898" s="2">
        <f t="shared" si="91"/>
        <v>25010.9</v>
      </c>
      <c r="O898" s="2">
        <f t="shared" si="89"/>
        <v>-1.8781811130347159E-2</v>
      </c>
      <c r="P898" s="2"/>
    </row>
    <row r="899" spans="1:16" x14ac:dyDescent="0.3">
      <c r="A899" s="3">
        <v>45523</v>
      </c>
      <c r="B899" s="2">
        <v>24636.35</v>
      </c>
      <c r="C899" s="2">
        <v>24638.799999999999</v>
      </c>
      <c r="D899" s="2">
        <v>24522.95</v>
      </c>
      <c r="E899" s="2">
        <v>24572.65</v>
      </c>
      <c r="F899" s="2">
        <v>243645503</v>
      </c>
      <c r="G899" s="2">
        <v>22124.41</v>
      </c>
      <c r="H899" s="2">
        <f t="shared" si="93"/>
        <v>24477.392499999998</v>
      </c>
      <c r="I899" s="2">
        <f t="shared" si="94"/>
        <v>24107.828999999994</v>
      </c>
      <c r="J899" s="2">
        <f t="shared" si="92"/>
        <v>22205.432250000005</v>
      </c>
      <c r="K899" s="2">
        <f t="shared" si="90"/>
        <v>31.5</v>
      </c>
      <c r="L899" s="7">
        <f t="shared" ref="L899:L962" si="95">(K899/(B899))</f>
        <v>1.2785984936892032E-3</v>
      </c>
      <c r="M899" s="9"/>
      <c r="N899" s="2">
        <f t="shared" si="91"/>
        <v>25010.9</v>
      </c>
      <c r="O899" s="2">
        <f t="shared" ref="O899:O962" si="96">(E899/N899)-1</f>
        <v>-1.7522360250930569E-2</v>
      </c>
      <c r="P899" s="2"/>
    </row>
    <row r="900" spans="1:16" x14ac:dyDescent="0.3">
      <c r="A900" s="3">
        <v>45524</v>
      </c>
      <c r="B900" s="2">
        <v>24648.9</v>
      </c>
      <c r="C900" s="2">
        <v>24734.3</v>
      </c>
      <c r="D900" s="2">
        <v>24607.200000000001</v>
      </c>
      <c r="E900" s="2">
        <v>24698.85</v>
      </c>
      <c r="F900" s="2">
        <v>238318940</v>
      </c>
      <c r="G900" s="2">
        <v>25478.73</v>
      </c>
      <c r="H900" s="2">
        <f t="shared" si="93"/>
        <v>24479.480000000003</v>
      </c>
      <c r="I900" s="2">
        <f t="shared" si="94"/>
        <v>24146.874999999989</v>
      </c>
      <c r="J900" s="2">
        <f t="shared" si="92"/>
        <v>22234.009250000003</v>
      </c>
      <c r="K900" s="2">
        <f t="shared" ref="K900:K963" si="97">E900-E899</f>
        <v>126.19999999999709</v>
      </c>
      <c r="L900" s="7">
        <f t="shared" si="95"/>
        <v>5.1199039308040964E-3</v>
      </c>
      <c r="M900" s="9"/>
      <c r="N900" s="2">
        <f t="shared" si="91"/>
        <v>25010.9</v>
      </c>
      <c r="O900" s="2">
        <f t="shared" si="96"/>
        <v>-1.2476560219744304E-2</v>
      </c>
      <c r="P900" s="2"/>
    </row>
    <row r="901" spans="1:16" x14ac:dyDescent="0.3">
      <c r="A901" s="3">
        <v>45525</v>
      </c>
      <c r="B901" s="2">
        <v>24680.55</v>
      </c>
      <c r="C901" s="2">
        <v>24787.95</v>
      </c>
      <c r="D901" s="2">
        <v>24654.5</v>
      </c>
      <c r="E901" s="2">
        <v>24770.2</v>
      </c>
      <c r="F901" s="2">
        <v>257114212</v>
      </c>
      <c r="G901" s="2">
        <v>27404.63</v>
      </c>
      <c r="H901" s="2">
        <f t="shared" si="93"/>
        <v>24488.959999999999</v>
      </c>
      <c r="I901" s="2">
        <f t="shared" si="94"/>
        <v>24184.423999999995</v>
      </c>
      <c r="J901" s="2">
        <f t="shared" si="92"/>
        <v>22262.267250000004</v>
      </c>
      <c r="K901" s="2">
        <f t="shared" si="97"/>
        <v>71.350000000002183</v>
      </c>
      <c r="L901" s="7">
        <f t="shared" si="95"/>
        <v>2.8909404369028319E-3</v>
      </c>
      <c r="M901" s="9"/>
      <c r="N901" s="2">
        <f t="shared" ref="N901:N964" si="98">MAX(N900,E901)</f>
        <v>25010.9</v>
      </c>
      <c r="O901" s="2">
        <f t="shared" si="96"/>
        <v>-9.6238040214466913E-3</v>
      </c>
      <c r="P901" s="2"/>
    </row>
    <row r="902" spans="1:16" x14ac:dyDescent="0.3">
      <c r="A902" s="3">
        <v>45526</v>
      </c>
      <c r="B902" s="2">
        <v>24863.4</v>
      </c>
      <c r="C902" s="2">
        <v>24867.35</v>
      </c>
      <c r="D902" s="2">
        <v>24784.45</v>
      </c>
      <c r="E902" s="2">
        <v>24811.5</v>
      </c>
      <c r="F902" s="2">
        <v>220345125</v>
      </c>
      <c r="G902" s="2">
        <v>24227.03</v>
      </c>
      <c r="H902" s="2">
        <f t="shared" si="93"/>
        <v>24503.517500000002</v>
      </c>
      <c r="I902" s="2">
        <f t="shared" si="94"/>
        <v>24214.024999999994</v>
      </c>
      <c r="J902" s="2">
        <f t="shared" si="92"/>
        <v>22290.413750000011</v>
      </c>
      <c r="K902" s="2">
        <f t="shared" si="97"/>
        <v>41.299999999999272</v>
      </c>
      <c r="L902" s="7">
        <f t="shared" si="95"/>
        <v>1.6610761199192094E-3</v>
      </c>
      <c r="M902" s="9"/>
      <c r="N902" s="2">
        <f t="shared" si="98"/>
        <v>25010.9</v>
      </c>
      <c r="O902" s="2">
        <f t="shared" si="96"/>
        <v>-7.9725239795449543E-3</v>
      </c>
      <c r="P902" s="2"/>
    </row>
    <row r="903" spans="1:16" x14ac:dyDescent="0.3">
      <c r="A903" s="3">
        <v>45527</v>
      </c>
      <c r="B903" s="2">
        <v>24845.4</v>
      </c>
      <c r="C903" s="2">
        <v>24858.400000000001</v>
      </c>
      <c r="D903" s="2">
        <v>24771.65</v>
      </c>
      <c r="E903" s="2">
        <v>24823.15</v>
      </c>
      <c r="F903" s="2">
        <v>206800655</v>
      </c>
      <c r="G903" s="2">
        <v>23134.22</v>
      </c>
      <c r="H903" s="2">
        <f t="shared" si="93"/>
        <v>24523.417500000003</v>
      </c>
      <c r="I903" s="2">
        <f t="shared" si="94"/>
        <v>24245.070999999996</v>
      </c>
      <c r="J903" s="2">
        <f t="shared" si="92"/>
        <v>22319.073250000005</v>
      </c>
      <c r="K903" s="2">
        <f t="shared" si="97"/>
        <v>11.650000000001455</v>
      </c>
      <c r="L903" s="7">
        <f t="shared" si="95"/>
        <v>4.6889967559393106E-4</v>
      </c>
      <c r="M903" s="9"/>
      <c r="N903" s="2">
        <f t="shared" si="98"/>
        <v>25010.9</v>
      </c>
      <c r="O903" s="2">
        <f t="shared" si="96"/>
        <v>-7.5067270669988417E-3</v>
      </c>
      <c r="P903" s="2"/>
    </row>
    <row r="904" spans="1:16" x14ac:dyDescent="0.3">
      <c r="A904" s="3">
        <v>45530</v>
      </c>
      <c r="B904" s="2">
        <v>24906.1</v>
      </c>
      <c r="C904" s="2">
        <v>25043.8</v>
      </c>
      <c r="D904" s="2">
        <v>24874.7</v>
      </c>
      <c r="E904" s="2">
        <v>25010.6</v>
      </c>
      <c r="F904" s="2">
        <v>210266456</v>
      </c>
      <c r="G904" s="2">
        <v>22166.86</v>
      </c>
      <c r="H904" s="2">
        <f t="shared" si="93"/>
        <v>24544.270000000004</v>
      </c>
      <c r="I904" s="2">
        <f t="shared" si="94"/>
        <v>24276.236999999997</v>
      </c>
      <c r="J904" s="2">
        <f t="shared" si="92"/>
        <v>22348.243250000007</v>
      </c>
      <c r="K904" s="2">
        <f t="shared" si="97"/>
        <v>187.44999999999709</v>
      </c>
      <c r="L904" s="7">
        <f t="shared" si="95"/>
        <v>7.5262686651060224E-3</v>
      </c>
      <c r="M904" s="9"/>
      <c r="N904" s="2">
        <f t="shared" si="98"/>
        <v>25010.9</v>
      </c>
      <c r="O904" s="2">
        <f t="shared" si="96"/>
        <v>-1.199477028024365E-5</v>
      </c>
      <c r="P904" s="2"/>
    </row>
    <row r="905" spans="1:16" x14ac:dyDescent="0.3">
      <c r="A905" s="3">
        <v>45531</v>
      </c>
      <c r="B905" s="2">
        <v>25024.799999999999</v>
      </c>
      <c r="C905" s="2">
        <v>25073.1</v>
      </c>
      <c r="D905" s="2">
        <v>24973.65</v>
      </c>
      <c r="E905" s="2">
        <v>25017.75</v>
      </c>
      <c r="F905" s="2">
        <v>223346636</v>
      </c>
      <c r="G905" s="2">
        <v>26695</v>
      </c>
      <c r="H905" s="2">
        <f t="shared" si="93"/>
        <v>24553.057499999999</v>
      </c>
      <c r="I905" s="2">
        <f t="shared" si="94"/>
        <v>24309.99</v>
      </c>
      <c r="J905" s="2">
        <f t="shared" si="92"/>
        <v>22377.630000000005</v>
      </c>
      <c r="K905" s="2">
        <f t="shared" si="97"/>
        <v>7.1500000000014552</v>
      </c>
      <c r="L905" s="7">
        <f t="shared" si="95"/>
        <v>2.8571656916344808E-4</v>
      </c>
      <c r="M905" s="9"/>
      <c r="N905" s="2">
        <f t="shared" si="98"/>
        <v>25017.75</v>
      </c>
      <c r="O905" s="2">
        <f t="shared" si="96"/>
        <v>0</v>
      </c>
      <c r="P905" s="2"/>
    </row>
    <row r="906" spans="1:16" x14ac:dyDescent="0.3">
      <c r="A906" s="3">
        <v>45532</v>
      </c>
      <c r="B906" s="2">
        <v>25030.799999999999</v>
      </c>
      <c r="C906" s="2">
        <v>25129.599999999999</v>
      </c>
      <c r="D906" s="2">
        <v>24964.65</v>
      </c>
      <c r="E906" s="2">
        <v>25052.35</v>
      </c>
      <c r="F906" s="2">
        <v>220419448</v>
      </c>
      <c r="G906" s="2">
        <v>26994.19</v>
      </c>
      <c r="H906" s="2">
        <f t="shared" si="93"/>
        <v>24562.14</v>
      </c>
      <c r="I906" s="2">
        <f t="shared" si="94"/>
        <v>24342.367000000002</v>
      </c>
      <c r="J906" s="2">
        <f t="shared" si="92"/>
        <v>22406.565750000005</v>
      </c>
      <c r="K906" s="2">
        <f t="shared" si="97"/>
        <v>34.599999999998545</v>
      </c>
      <c r="L906" s="7">
        <f t="shared" si="95"/>
        <v>1.3822970100835189E-3</v>
      </c>
      <c r="M906" s="9"/>
      <c r="N906" s="2">
        <f t="shared" si="98"/>
        <v>25052.35</v>
      </c>
      <c r="O906" s="2">
        <f t="shared" si="96"/>
        <v>0</v>
      </c>
      <c r="P906" s="2"/>
    </row>
    <row r="907" spans="1:16" x14ac:dyDescent="0.3">
      <c r="A907" s="3">
        <v>45533</v>
      </c>
      <c r="B907" s="2">
        <v>25035.3</v>
      </c>
      <c r="C907" s="2">
        <v>25192.9</v>
      </c>
      <c r="D907" s="2">
        <v>24998.5</v>
      </c>
      <c r="E907" s="2">
        <v>25151.95</v>
      </c>
      <c r="F907" s="2">
        <v>353993900</v>
      </c>
      <c r="G907" s="2">
        <v>43221.73</v>
      </c>
      <c r="H907" s="2">
        <f t="shared" si="93"/>
        <v>24571.892500000002</v>
      </c>
      <c r="I907" s="2">
        <f t="shared" si="94"/>
        <v>24374.102000000006</v>
      </c>
      <c r="J907" s="2">
        <f t="shared" ref="J907:J970" si="99">AVERAGE(E707:E906)</f>
        <v>22434.768750000003</v>
      </c>
      <c r="K907" s="2">
        <f t="shared" si="97"/>
        <v>99.600000000002183</v>
      </c>
      <c r="L907" s="7">
        <f t="shared" si="95"/>
        <v>3.9783825238763736E-3</v>
      </c>
      <c r="M907" s="9"/>
      <c r="N907" s="2">
        <f t="shared" si="98"/>
        <v>25151.95</v>
      </c>
      <c r="O907" s="2">
        <f t="shared" si="96"/>
        <v>0</v>
      </c>
      <c r="P907" s="2"/>
    </row>
    <row r="908" spans="1:16" x14ac:dyDescent="0.3">
      <c r="A908" s="3">
        <v>45534</v>
      </c>
      <c r="B908" s="2">
        <v>25249.7</v>
      </c>
      <c r="C908" s="2">
        <v>25268.35</v>
      </c>
      <c r="D908" s="2">
        <v>25199.4</v>
      </c>
      <c r="E908" s="2">
        <v>25235.9</v>
      </c>
      <c r="F908" s="2">
        <v>638166179</v>
      </c>
      <c r="G908" s="2">
        <v>89554.91</v>
      </c>
      <c r="H908" s="2">
        <f t="shared" si="93"/>
        <v>24581.932500000003</v>
      </c>
      <c r="I908" s="2">
        <f t="shared" si="94"/>
        <v>24405.983000000004</v>
      </c>
      <c r="J908" s="2">
        <f t="shared" si="99"/>
        <v>22463.495000000006</v>
      </c>
      <c r="K908" s="2">
        <f t="shared" si="97"/>
        <v>83.950000000000728</v>
      </c>
      <c r="L908" s="7">
        <f t="shared" si="95"/>
        <v>3.3247919777264967E-3</v>
      </c>
      <c r="M908" s="9"/>
      <c r="N908" s="2">
        <f t="shared" si="98"/>
        <v>25235.9</v>
      </c>
      <c r="O908" s="2">
        <f t="shared" si="96"/>
        <v>0</v>
      </c>
      <c r="P908" s="2"/>
    </row>
    <row r="909" spans="1:16" x14ac:dyDescent="0.3">
      <c r="A909" s="3">
        <v>45537</v>
      </c>
      <c r="B909" s="2">
        <v>25333.599999999999</v>
      </c>
      <c r="C909" s="2">
        <v>25333.65</v>
      </c>
      <c r="D909" s="2">
        <v>25235.5</v>
      </c>
      <c r="E909" s="2">
        <v>25278.7</v>
      </c>
      <c r="F909" s="2">
        <v>222815249</v>
      </c>
      <c r="G909" s="2">
        <v>28187.71</v>
      </c>
      <c r="H909" s="2">
        <f t="shared" si="93"/>
        <v>24593.182500000003</v>
      </c>
      <c r="I909" s="2">
        <f t="shared" si="94"/>
        <v>24440.381000000001</v>
      </c>
      <c r="J909" s="2">
        <f t="shared" si="99"/>
        <v>22492.457000000006</v>
      </c>
      <c r="K909" s="2">
        <f t="shared" si="97"/>
        <v>42.799999999999272</v>
      </c>
      <c r="L909" s="7">
        <f t="shared" si="95"/>
        <v>1.689455900464177E-3</v>
      </c>
      <c r="M909" s="9"/>
      <c r="N909" s="2">
        <f t="shared" si="98"/>
        <v>25278.7</v>
      </c>
      <c r="O909" s="2">
        <f t="shared" si="96"/>
        <v>0</v>
      </c>
      <c r="P909" s="2"/>
    </row>
    <row r="910" spans="1:16" x14ac:dyDescent="0.3">
      <c r="A910" s="3">
        <v>45538</v>
      </c>
      <c r="B910" s="2">
        <v>25313.4</v>
      </c>
      <c r="C910" s="2">
        <v>25321.7</v>
      </c>
      <c r="D910" s="2">
        <v>25235.8</v>
      </c>
      <c r="E910" s="2">
        <v>25279.85</v>
      </c>
      <c r="F910" s="2">
        <v>212131921</v>
      </c>
      <c r="G910" s="2">
        <v>27276.14</v>
      </c>
      <c r="H910" s="2">
        <f t="shared" si="93"/>
        <v>24621.232500000002</v>
      </c>
      <c r="I910" s="2">
        <f t="shared" si="94"/>
        <v>24474.615000000002</v>
      </c>
      <c r="J910" s="2">
        <f t="shared" si="99"/>
        <v>22521.874000000007</v>
      </c>
      <c r="K910" s="2">
        <f t="shared" si="97"/>
        <v>1.1499999999978172</v>
      </c>
      <c r="L910" s="7">
        <f t="shared" si="95"/>
        <v>4.5430483459267313E-5</v>
      </c>
      <c r="M910" s="9"/>
      <c r="N910" s="2">
        <f t="shared" si="98"/>
        <v>25279.85</v>
      </c>
      <c r="O910" s="2">
        <f t="shared" si="96"/>
        <v>0</v>
      </c>
      <c r="P910" s="2"/>
    </row>
    <row r="911" spans="1:16" x14ac:dyDescent="0.3">
      <c r="A911" s="3">
        <v>45539</v>
      </c>
      <c r="B911" s="2">
        <v>25089.95</v>
      </c>
      <c r="C911" s="2">
        <v>25216</v>
      </c>
      <c r="D911" s="2">
        <v>25083.8</v>
      </c>
      <c r="E911" s="2">
        <v>25198.7</v>
      </c>
      <c r="F911" s="2">
        <v>253788501</v>
      </c>
      <c r="G911" s="2">
        <v>26293.35</v>
      </c>
      <c r="H911" s="2">
        <f t="shared" si="93"/>
        <v>24682.445</v>
      </c>
      <c r="I911" s="2">
        <f t="shared" si="94"/>
        <v>24510.190000000006</v>
      </c>
      <c r="J911" s="2">
        <f t="shared" si="99"/>
        <v>22551.14650000001</v>
      </c>
      <c r="K911" s="2">
        <f t="shared" si="97"/>
        <v>-81.149999999997817</v>
      </c>
      <c r="L911" s="7">
        <f t="shared" si="95"/>
        <v>-3.2343627627794322E-3</v>
      </c>
      <c r="M911" s="9"/>
      <c r="N911" s="2">
        <f t="shared" si="98"/>
        <v>25279.85</v>
      </c>
      <c r="O911" s="2">
        <f t="shared" si="96"/>
        <v>-3.2100665154262131E-3</v>
      </c>
      <c r="P911" s="2"/>
    </row>
    <row r="912" spans="1:16" x14ac:dyDescent="0.3">
      <c r="A912" s="3">
        <v>45540</v>
      </c>
      <c r="B912" s="2">
        <v>25250.5</v>
      </c>
      <c r="C912" s="2">
        <v>25275.45</v>
      </c>
      <c r="D912" s="2">
        <v>25127.75</v>
      </c>
      <c r="E912" s="2">
        <v>25145.1</v>
      </c>
      <c r="F912" s="2">
        <v>222242223</v>
      </c>
      <c r="G912" s="2">
        <v>26272.38</v>
      </c>
      <c r="H912" s="2">
        <f t="shared" si="93"/>
        <v>24742.752499999999</v>
      </c>
      <c r="I912" s="2">
        <f t="shared" si="94"/>
        <v>24543.407000000003</v>
      </c>
      <c r="J912" s="2">
        <f t="shared" si="99"/>
        <v>22579.512250000007</v>
      </c>
      <c r="K912" s="2">
        <f t="shared" si="97"/>
        <v>-53.600000000002183</v>
      </c>
      <c r="L912" s="7">
        <f t="shared" si="95"/>
        <v>-2.1227302429655723E-3</v>
      </c>
      <c r="M912" s="9"/>
      <c r="N912" s="2">
        <f t="shared" si="98"/>
        <v>25279.85</v>
      </c>
      <c r="O912" s="2">
        <f t="shared" si="96"/>
        <v>-5.3303322606740311E-3</v>
      </c>
      <c r="P912" s="2"/>
    </row>
    <row r="913" spans="1:16" x14ac:dyDescent="0.3">
      <c r="A913" s="3">
        <v>45541</v>
      </c>
      <c r="B913" s="2">
        <v>25093.7</v>
      </c>
      <c r="C913" s="2">
        <v>25168.75</v>
      </c>
      <c r="D913" s="2">
        <v>24801.3</v>
      </c>
      <c r="E913" s="2">
        <v>24852.15</v>
      </c>
      <c r="F913" s="2">
        <v>311671856</v>
      </c>
      <c r="G913" s="2">
        <v>33001.17</v>
      </c>
      <c r="H913" s="2">
        <f t="shared" si="93"/>
        <v>24785.1325</v>
      </c>
      <c r="I913" s="2">
        <f t="shared" si="94"/>
        <v>24571.883000000002</v>
      </c>
      <c r="J913" s="2">
        <f t="shared" si="99"/>
        <v>22608.02</v>
      </c>
      <c r="K913" s="2">
        <f t="shared" si="97"/>
        <v>-292.94999999999709</v>
      </c>
      <c r="L913" s="7">
        <f t="shared" si="95"/>
        <v>-1.1674244930002235E-2</v>
      </c>
      <c r="M913" s="9"/>
      <c r="N913" s="2">
        <f t="shared" si="98"/>
        <v>25279.85</v>
      </c>
      <c r="O913" s="2">
        <f t="shared" si="96"/>
        <v>-1.6918613045567854E-2</v>
      </c>
      <c r="P913" s="2"/>
    </row>
    <row r="914" spans="1:16" x14ac:dyDescent="0.3">
      <c r="A914" s="3">
        <v>45544</v>
      </c>
      <c r="B914" s="2">
        <v>24823.4</v>
      </c>
      <c r="C914" s="2">
        <v>24957.5</v>
      </c>
      <c r="D914" s="2">
        <v>24753.15</v>
      </c>
      <c r="E914" s="2">
        <v>24936.400000000001</v>
      </c>
      <c r="F914" s="2">
        <v>254367252</v>
      </c>
      <c r="G914" s="2">
        <v>25180.28</v>
      </c>
      <c r="H914" s="2">
        <f t="shared" si="93"/>
        <v>24821.89</v>
      </c>
      <c r="I914" s="2">
        <f t="shared" si="94"/>
        <v>24591.55</v>
      </c>
      <c r="J914" s="2">
        <f t="shared" si="99"/>
        <v>22633.903500000004</v>
      </c>
      <c r="K914" s="2">
        <f t="shared" si="97"/>
        <v>84.25</v>
      </c>
      <c r="L914" s="7">
        <f t="shared" si="95"/>
        <v>3.3939750396803016E-3</v>
      </c>
      <c r="M914" s="9"/>
      <c r="N914" s="2">
        <f t="shared" si="98"/>
        <v>25279.85</v>
      </c>
      <c r="O914" s="2">
        <f t="shared" si="96"/>
        <v>-1.3585919220248432E-2</v>
      </c>
      <c r="P914" s="2"/>
    </row>
    <row r="915" spans="1:16" x14ac:dyDescent="0.3">
      <c r="A915" s="3">
        <v>45545</v>
      </c>
      <c r="B915" s="2">
        <v>24999.4</v>
      </c>
      <c r="C915" s="2">
        <v>25130.5</v>
      </c>
      <c r="D915" s="2">
        <v>24896.799999999999</v>
      </c>
      <c r="E915" s="2">
        <v>25041.1</v>
      </c>
      <c r="F915" s="2">
        <v>251274802</v>
      </c>
      <c r="G915" s="2">
        <v>27846.31</v>
      </c>
      <c r="H915" s="2">
        <f t="shared" si="93"/>
        <v>24850.334999999999</v>
      </c>
      <c r="I915" s="2">
        <f t="shared" si="94"/>
        <v>24609.387999999992</v>
      </c>
      <c r="J915" s="2">
        <f t="shared" si="99"/>
        <v>22659.759500000007</v>
      </c>
      <c r="K915" s="2">
        <f t="shared" si="97"/>
        <v>104.69999999999709</v>
      </c>
      <c r="L915" s="7">
        <f t="shared" si="95"/>
        <v>4.1881005144122291E-3</v>
      </c>
      <c r="M915" s="9"/>
      <c r="N915" s="2">
        <f t="shared" si="98"/>
        <v>25279.85</v>
      </c>
      <c r="O915" s="2">
        <f t="shared" si="96"/>
        <v>-9.4442807216024161E-3</v>
      </c>
      <c r="P915" s="2"/>
    </row>
    <row r="916" spans="1:16" x14ac:dyDescent="0.3">
      <c r="A916" s="3">
        <v>45546</v>
      </c>
      <c r="B916" s="2">
        <v>25034</v>
      </c>
      <c r="C916" s="2">
        <v>25113.7</v>
      </c>
      <c r="D916" s="2">
        <v>24885.15</v>
      </c>
      <c r="E916" s="2">
        <v>24918.45</v>
      </c>
      <c r="F916" s="2">
        <v>279229206</v>
      </c>
      <c r="G916" s="2">
        <v>29395.73</v>
      </c>
      <c r="H916" s="2">
        <f t="shared" si="93"/>
        <v>24885.040000000001</v>
      </c>
      <c r="I916" s="2">
        <f t="shared" si="94"/>
        <v>24629.998</v>
      </c>
      <c r="J916" s="2">
        <f t="shared" si="99"/>
        <v>22686.306000000004</v>
      </c>
      <c r="K916" s="2">
        <f t="shared" si="97"/>
        <v>-122.64999999999782</v>
      </c>
      <c r="L916" s="7">
        <f t="shared" si="95"/>
        <v>-4.8993369018134466E-3</v>
      </c>
      <c r="M916" s="9"/>
      <c r="N916" s="2">
        <f t="shared" si="98"/>
        <v>25279.85</v>
      </c>
      <c r="O916" s="2">
        <f t="shared" si="96"/>
        <v>-1.4295970901725963E-2</v>
      </c>
      <c r="P916" s="2"/>
    </row>
    <row r="917" spans="1:16" x14ac:dyDescent="0.3">
      <c r="A917" s="3">
        <v>45547</v>
      </c>
      <c r="B917" s="2">
        <v>25059.65</v>
      </c>
      <c r="C917" s="2">
        <v>25433.35</v>
      </c>
      <c r="D917" s="2">
        <v>24941.45</v>
      </c>
      <c r="E917" s="2">
        <v>25388.9</v>
      </c>
      <c r="F917" s="2">
        <v>380069653</v>
      </c>
      <c r="G917" s="2">
        <v>41747.910000000003</v>
      </c>
      <c r="H917" s="2">
        <f t="shared" si="93"/>
        <v>24924.012500000001</v>
      </c>
      <c r="I917" s="2">
        <f t="shared" si="94"/>
        <v>24645.527999999998</v>
      </c>
      <c r="J917" s="2">
        <f t="shared" si="99"/>
        <v>22712.428250000008</v>
      </c>
      <c r="K917" s="2">
        <f t="shared" si="97"/>
        <v>470.45000000000073</v>
      </c>
      <c r="L917" s="7">
        <f t="shared" si="95"/>
        <v>1.8773207127793113E-2</v>
      </c>
      <c r="M917" s="9"/>
      <c r="N917" s="2">
        <f t="shared" si="98"/>
        <v>25388.9</v>
      </c>
      <c r="O917" s="2">
        <f t="shared" si="96"/>
        <v>0</v>
      </c>
      <c r="P917" s="2"/>
    </row>
    <row r="918" spans="1:16" x14ac:dyDescent="0.3">
      <c r="A918" s="3">
        <v>45548</v>
      </c>
      <c r="B918" s="2">
        <v>25430.45</v>
      </c>
      <c r="C918" s="2">
        <v>25430.5</v>
      </c>
      <c r="D918" s="2">
        <v>25292.45</v>
      </c>
      <c r="E918" s="2">
        <v>25356.5</v>
      </c>
      <c r="F918" s="2">
        <v>250781898</v>
      </c>
      <c r="G918" s="2">
        <v>25530.69</v>
      </c>
      <c r="H918" s="2">
        <f t="shared" si="93"/>
        <v>24986.270000000004</v>
      </c>
      <c r="I918" s="2">
        <f t="shared" si="94"/>
        <v>24670.828999999994</v>
      </c>
      <c r="J918" s="2">
        <f t="shared" si="99"/>
        <v>22740.455750000008</v>
      </c>
      <c r="K918" s="2">
        <f t="shared" si="97"/>
        <v>-32.400000000001455</v>
      </c>
      <c r="L918" s="7">
        <f t="shared" si="95"/>
        <v>-1.2740631801639946E-3</v>
      </c>
      <c r="M918" s="9"/>
      <c r="N918" s="2">
        <f t="shared" si="98"/>
        <v>25388.9</v>
      </c>
      <c r="O918" s="2">
        <f t="shared" si="96"/>
        <v>-1.276148238009589E-3</v>
      </c>
      <c r="P918" s="2"/>
    </row>
    <row r="919" spans="1:16" x14ac:dyDescent="0.3">
      <c r="A919" s="3">
        <v>45551</v>
      </c>
      <c r="B919" s="2">
        <v>25406.65</v>
      </c>
      <c r="C919" s="2">
        <v>25445.7</v>
      </c>
      <c r="D919" s="2">
        <v>25336.2</v>
      </c>
      <c r="E919" s="2">
        <v>25383.75</v>
      </c>
      <c r="F919" s="2">
        <v>168694880</v>
      </c>
      <c r="G919" s="2">
        <v>18705.009999999998</v>
      </c>
      <c r="H919" s="2">
        <f t="shared" ref="H919:H982" si="100">AVERAGE(E899:E918)</f>
        <v>25027.037500000002</v>
      </c>
      <c r="I919" s="2">
        <f t="shared" si="94"/>
        <v>24692.228999999996</v>
      </c>
      <c r="J919" s="2">
        <f t="shared" si="99"/>
        <v>22768.179000000007</v>
      </c>
      <c r="K919" s="2">
        <f t="shared" si="97"/>
        <v>27.25</v>
      </c>
      <c r="L919" s="7">
        <f t="shared" si="95"/>
        <v>1.0725538392507472E-3</v>
      </c>
      <c r="M919" s="9"/>
      <c r="N919" s="2">
        <f t="shared" si="98"/>
        <v>25388.9</v>
      </c>
      <c r="O919" s="2">
        <f t="shared" si="96"/>
        <v>-2.0284455017749448E-4</v>
      </c>
      <c r="P919" s="2"/>
    </row>
    <row r="920" spans="1:16" x14ac:dyDescent="0.3">
      <c r="A920" s="3">
        <v>45552</v>
      </c>
      <c r="B920" s="2">
        <v>25416.9</v>
      </c>
      <c r="C920" s="2">
        <v>25441.65</v>
      </c>
      <c r="D920" s="2">
        <v>25352.25</v>
      </c>
      <c r="E920" s="2">
        <v>25418.55</v>
      </c>
      <c r="F920" s="2">
        <v>215956868</v>
      </c>
      <c r="G920" s="2">
        <v>25280.83</v>
      </c>
      <c r="H920" s="2">
        <f t="shared" si="100"/>
        <v>25067.592500000006</v>
      </c>
      <c r="I920" s="2">
        <f t="shared" si="94"/>
        <v>24713.86099999999</v>
      </c>
      <c r="J920" s="2">
        <f t="shared" si="99"/>
        <v>22796.08775000001</v>
      </c>
      <c r="K920" s="2">
        <f t="shared" si="97"/>
        <v>34.799999999999272</v>
      </c>
      <c r="L920" s="7">
        <f t="shared" si="95"/>
        <v>1.3691677584598935E-3</v>
      </c>
      <c r="M920" s="9"/>
      <c r="N920" s="2">
        <f t="shared" si="98"/>
        <v>25418.55</v>
      </c>
      <c r="O920" s="2">
        <f t="shared" si="96"/>
        <v>0</v>
      </c>
      <c r="P920" s="2"/>
    </row>
    <row r="921" spans="1:16" x14ac:dyDescent="0.3">
      <c r="A921" s="3">
        <v>45553</v>
      </c>
      <c r="B921" s="2">
        <v>25402.400000000001</v>
      </c>
      <c r="C921" s="2">
        <v>25482.2</v>
      </c>
      <c r="D921" s="2">
        <v>25285.55</v>
      </c>
      <c r="E921" s="2">
        <v>25377.55</v>
      </c>
      <c r="F921" s="2">
        <v>215727159</v>
      </c>
      <c r="G921" s="2">
        <v>28832</v>
      </c>
      <c r="H921" s="2">
        <f t="shared" si="100"/>
        <v>25103.577500000003</v>
      </c>
      <c r="I921" s="2">
        <f t="shared" si="94"/>
        <v>24735.75499999999</v>
      </c>
      <c r="J921" s="2">
        <f t="shared" si="99"/>
        <v>22824.207000000009</v>
      </c>
      <c r="K921" s="2">
        <f t="shared" si="97"/>
        <v>-41</v>
      </c>
      <c r="L921" s="7">
        <f t="shared" si="95"/>
        <v>-1.6140207224514219E-3</v>
      </c>
      <c r="M921" s="9"/>
      <c r="N921" s="2">
        <f t="shared" si="98"/>
        <v>25418.55</v>
      </c>
      <c r="O921" s="2">
        <f t="shared" si="96"/>
        <v>-1.6129952337957665E-3</v>
      </c>
      <c r="P921" s="2"/>
    </row>
    <row r="922" spans="1:16" x14ac:dyDescent="0.3">
      <c r="A922" s="3">
        <v>45554</v>
      </c>
      <c r="B922" s="2">
        <v>25487.05</v>
      </c>
      <c r="C922" s="2">
        <v>25611.95</v>
      </c>
      <c r="D922" s="2">
        <v>25376.05</v>
      </c>
      <c r="E922" s="2">
        <v>25415.8</v>
      </c>
      <c r="F922" s="2">
        <v>314461263</v>
      </c>
      <c r="G922" s="2">
        <v>34389.269999999997</v>
      </c>
      <c r="H922" s="2">
        <f t="shared" si="100"/>
        <v>25133.945000000003</v>
      </c>
      <c r="I922" s="2">
        <f t="shared" si="94"/>
        <v>24756.894999999997</v>
      </c>
      <c r="J922" s="2">
        <f t="shared" si="99"/>
        <v>22851.646250000009</v>
      </c>
      <c r="K922" s="2">
        <f t="shared" si="97"/>
        <v>38.25</v>
      </c>
      <c r="L922" s="7">
        <f t="shared" si="95"/>
        <v>1.5007621517594231E-3</v>
      </c>
      <c r="M922" s="9"/>
      <c r="N922" s="2">
        <f t="shared" si="98"/>
        <v>25418.55</v>
      </c>
      <c r="O922" s="2">
        <f t="shared" si="96"/>
        <v>-1.0818870470585829E-4</v>
      </c>
      <c r="P922" s="2"/>
    </row>
    <row r="923" spans="1:16" x14ac:dyDescent="0.3">
      <c r="A923" s="3">
        <v>45555</v>
      </c>
      <c r="B923" s="2">
        <v>25525.95</v>
      </c>
      <c r="C923" s="2">
        <v>25849.25</v>
      </c>
      <c r="D923" s="2">
        <v>25426.6</v>
      </c>
      <c r="E923" s="2">
        <v>25790.95</v>
      </c>
      <c r="F923" s="2">
        <v>533067422</v>
      </c>
      <c r="G923" s="2">
        <v>68915.27</v>
      </c>
      <c r="H923" s="2">
        <f t="shared" si="100"/>
        <v>25164.160000000003</v>
      </c>
      <c r="I923" s="2">
        <f t="shared" si="94"/>
        <v>24776.546999999999</v>
      </c>
      <c r="J923" s="2">
        <f t="shared" si="99"/>
        <v>22878.242250000007</v>
      </c>
      <c r="K923" s="2">
        <f t="shared" si="97"/>
        <v>375.15000000000146</v>
      </c>
      <c r="L923" s="7">
        <f t="shared" si="95"/>
        <v>1.4696808541895657E-2</v>
      </c>
      <c r="M923" s="9"/>
      <c r="N923" s="2">
        <f t="shared" si="98"/>
        <v>25790.95</v>
      </c>
      <c r="O923" s="2">
        <f t="shared" si="96"/>
        <v>0</v>
      </c>
      <c r="P923" s="2"/>
    </row>
    <row r="924" spans="1:16" x14ac:dyDescent="0.3">
      <c r="A924" s="3">
        <v>45558</v>
      </c>
      <c r="B924" s="2">
        <v>25872.55</v>
      </c>
      <c r="C924" s="2">
        <v>25956</v>
      </c>
      <c r="D924" s="2">
        <v>25847.35</v>
      </c>
      <c r="E924" s="2">
        <v>25939.05</v>
      </c>
      <c r="F924" s="2">
        <v>209187756</v>
      </c>
      <c r="G924" s="2">
        <v>24825.74</v>
      </c>
      <c r="H924" s="2">
        <f t="shared" si="100"/>
        <v>25212.55</v>
      </c>
      <c r="I924" s="2">
        <f t="shared" si="94"/>
        <v>24805.876999999997</v>
      </c>
      <c r="J924" s="2">
        <f t="shared" si="99"/>
        <v>22906.531250000011</v>
      </c>
      <c r="K924" s="2">
        <f t="shared" si="97"/>
        <v>148.09999999999854</v>
      </c>
      <c r="L924" s="7">
        <f t="shared" si="95"/>
        <v>5.7242135004086786E-3</v>
      </c>
      <c r="M924" s="9"/>
      <c r="N924" s="2">
        <f t="shared" si="98"/>
        <v>25939.05</v>
      </c>
      <c r="O924" s="2">
        <f t="shared" si="96"/>
        <v>0</v>
      </c>
      <c r="P924" s="2"/>
    </row>
    <row r="925" spans="1:16" x14ac:dyDescent="0.3">
      <c r="A925" s="3">
        <v>45559</v>
      </c>
      <c r="B925" s="2">
        <v>25921.45</v>
      </c>
      <c r="C925" s="2">
        <v>26011.55</v>
      </c>
      <c r="D925" s="2">
        <v>25886.85</v>
      </c>
      <c r="E925" s="2">
        <v>25940.400000000001</v>
      </c>
      <c r="F925" s="2">
        <v>384115033</v>
      </c>
      <c r="G925" s="2">
        <v>35573.629999999997</v>
      </c>
      <c r="H925" s="2">
        <f t="shared" si="100"/>
        <v>25258.9725</v>
      </c>
      <c r="I925" s="2">
        <f t="shared" si="94"/>
        <v>24838.339</v>
      </c>
      <c r="J925" s="2">
        <f t="shared" si="99"/>
        <v>22934.887000000002</v>
      </c>
      <c r="K925" s="2">
        <f t="shared" si="97"/>
        <v>1.3500000000021828</v>
      </c>
      <c r="L925" s="7">
        <f t="shared" si="95"/>
        <v>5.2080419884002739E-5</v>
      </c>
      <c r="M925" s="9"/>
      <c r="N925" s="2">
        <f t="shared" si="98"/>
        <v>25940.400000000001</v>
      </c>
      <c r="O925" s="2">
        <f t="shared" si="96"/>
        <v>0</v>
      </c>
      <c r="P925" s="2"/>
    </row>
    <row r="926" spans="1:16" x14ac:dyDescent="0.3">
      <c r="A926" s="3">
        <v>45560</v>
      </c>
      <c r="B926" s="2">
        <v>25899.45</v>
      </c>
      <c r="C926" s="2">
        <v>26032.799999999999</v>
      </c>
      <c r="D926" s="2">
        <v>25871.35</v>
      </c>
      <c r="E926" s="2">
        <v>26004.15</v>
      </c>
      <c r="F926" s="2">
        <v>278540972</v>
      </c>
      <c r="G926" s="2">
        <v>27868.080000000002</v>
      </c>
      <c r="H926" s="2">
        <f t="shared" si="100"/>
        <v>25305.105000000003</v>
      </c>
      <c r="I926" s="2">
        <f t="shared" si="94"/>
        <v>24867.103999999999</v>
      </c>
      <c r="J926" s="2">
        <f t="shared" si="99"/>
        <v>22961.15500000001</v>
      </c>
      <c r="K926" s="2">
        <f t="shared" si="97"/>
        <v>63.75</v>
      </c>
      <c r="L926" s="7">
        <f t="shared" si="95"/>
        <v>2.461442231398736E-3</v>
      </c>
      <c r="M926" s="9"/>
      <c r="N926" s="2">
        <f t="shared" si="98"/>
        <v>26004.15</v>
      </c>
      <c r="O926" s="2">
        <f t="shared" si="96"/>
        <v>0</v>
      </c>
      <c r="P926" s="2"/>
    </row>
    <row r="927" spans="1:16" x14ac:dyDescent="0.3">
      <c r="A927" s="3">
        <v>45561</v>
      </c>
      <c r="B927" s="2">
        <v>26005.4</v>
      </c>
      <c r="C927" s="2">
        <v>26250.9</v>
      </c>
      <c r="D927" s="2">
        <v>25998.400000000001</v>
      </c>
      <c r="E927" s="2">
        <v>26216.05</v>
      </c>
      <c r="F927" s="2">
        <v>370895477</v>
      </c>
      <c r="G927" s="2">
        <v>40838.36</v>
      </c>
      <c r="H927" s="2">
        <f t="shared" si="100"/>
        <v>25352.695</v>
      </c>
      <c r="I927" s="2">
        <f t="shared" si="94"/>
        <v>24895.452999999994</v>
      </c>
      <c r="J927" s="2">
        <f t="shared" si="99"/>
        <v>22986.90025000001</v>
      </c>
      <c r="K927" s="2">
        <f t="shared" si="97"/>
        <v>211.89999999999782</v>
      </c>
      <c r="L927" s="7">
        <f t="shared" si="95"/>
        <v>8.1483076591783946E-3</v>
      </c>
      <c r="M927" s="9"/>
      <c r="N927" s="2">
        <f t="shared" si="98"/>
        <v>26216.05</v>
      </c>
      <c r="O927" s="2">
        <f t="shared" si="96"/>
        <v>0</v>
      </c>
      <c r="P927" s="2"/>
    </row>
    <row r="928" spans="1:16" x14ac:dyDescent="0.3">
      <c r="A928" s="3">
        <v>45562</v>
      </c>
      <c r="B928" s="2">
        <v>26248.25</v>
      </c>
      <c r="C928" s="2">
        <v>26277.35</v>
      </c>
      <c r="D928" s="2">
        <v>26151.4</v>
      </c>
      <c r="E928" s="2">
        <v>26178.95</v>
      </c>
      <c r="F928" s="2">
        <v>490332370</v>
      </c>
      <c r="G928" s="2">
        <v>55420.63</v>
      </c>
      <c r="H928" s="2">
        <f t="shared" si="100"/>
        <v>25405.9</v>
      </c>
      <c r="I928" s="2">
        <f t="shared" si="94"/>
        <v>24927.513999999996</v>
      </c>
      <c r="J928" s="2">
        <f t="shared" si="99"/>
        <v>23013.292000000005</v>
      </c>
      <c r="K928" s="2">
        <f t="shared" si="97"/>
        <v>-37.099999999998545</v>
      </c>
      <c r="L928" s="7">
        <f t="shared" si="95"/>
        <v>-1.4134275618374005E-3</v>
      </c>
      <c r="M928" s="9"/>
      <c r="N928" s="2">
        <f t="shared" si="98"/>
        <v>26216.05</v>
      </c>
      <c r="O928" s="2">
        <f t="shared" si="96"/>
        <v>-1.4151636116043198E-3</v>
      </c>
      <c r="P928" s="2"/>
    </row>
    <row r="929" spans="1:16" x14ac:dyDescent="0.3">
      <c r="A929" s="3">
        <v>45565</v>
      </c>
      <c r="B929" s="2">
        <v>26061.3</v>
      </c>
      <c r="C929" s="2">
        <v>26134.7</v>
      </c>
      <c r="D929" s="2">
        <v>25794.1</v>
      </c>
      <c r="E929" s="2">
        <v>25810.85</v>
      </c>
      <c r="F929" s="2">
        <v>375370974</v>
      </c>
      <c r="G929" s="2">
        <v>36028.06</v>
      </c>
      <c r="H929" s="2">
        <f t="shared" si="100"/>
        <v>25453.052499999998</v>
      </c>
      <c r="I929" s="2">
        <f t="shared" si="94"/>
        <v>24955.07599999999</v>
      </c>
      <c r="J929" s="2">
        <f t="shared" si="99"/>
        <v>23039.681000000011</v>
      </c>
      <c r="K929" s="2">
        <f t="shared" si="97"/>
        <v>-368.10000000000218</v>
      </c>
      <c r="L929" s="7">
        <f t="shared" si="95"/>
        <v>-1.4124391338881874E-2</v>
      </c>
      <c r="M929" s="9"/>
      <c r="N929" s="2">
        <f t="shared" si="98"/>
        <v>26216.05</v>
      </c>
      <c r="O929" s="2">
        <f t="shared" si="96"/>
        <v>-1.5456180469597847E-2</v>
      </c>
      <c r="P929" s="2"/>
    </row>
    <row r="930" spans="1:16" x14ac:dyDescent="0.3">
      <c r="A930" s="3">
        <v>45566</v>
      </c>
      <c r="B930" s="2">
        <v>25788.45</v>
      </c>
      <c r="C930" s="2">
        <v>25907.599999999999</v>
      </c>
      <c r="D930" s="2">
        <v>25739.200000000001</v>
      </c>
      <c r="E930" s="2">
        <v>25796.9</v>
      </c>
      <c r="F930" s="2">
        <v>247423786</v>
      </c>
      <c r="G930" s="2">
        <v>27473.29</v>
      </c>
      <c r="H930" s="2">
        <f t="shared" si="100"/>
        <v>25479.66</v>
      </c>
      <c r="I930" s="2">
        <f t="shared" si="94"/>
        <v>24980.674999999996</v>
      </c>
      <c r="J930" s="2">
        <f t="shared" si="99"/>
        <v>23063.888250000011</v>
      </c>
      <c r="K930" s="2">
        <f t="shared" si="97"/>
        <v>-13.94999999999709</v>
      </c>
      <c r="L930" s="7">
        <f t="shared" si="95"/>
        <v>-5.4093983934657135E-4</v>
      </c>
      <c r="M930" s="9"/>
      <c r="N930" s="2">
        <f t="shared" si="98"/>
        <v>26216.05</v>
      </c>
      <c r="O930" s="2">
        <f t="shared" si="96"/>
        <v>-1.5988297245389638E-2</v>
      </c>
      <c r="P930" s="2"/>
    </row>
    <row r="931" spans="1:16" x14ac:dyDescent="0.3">
      <c r="A931" s="3">
        <v>45568</v>
      </c>
      <c r="B931" s="2">
        <v>25452.85</v>
      </c>
      <c r="C931" s="2">
        <v>25639.45</v>
      </c>
      <c r="D931" s="2">
        <v>25230.3</v>
      </c>
      <c r="E931" s="2">
        <v>25250.1</v>
      </c>
      <c r="F931" s="2">
        <v>423395030</v>
      </c>
      <c r="G931" s="2">
        <v>45689.5</v>
      </c>
      <c r="H931" s="2">
        <f t="shared" si="100"/>
        <v>25505.512500000004</v>
      </c>
      <c r="I931" s="2">
        <f t="shared" si="94"/>
        <v>25006.428</v>
      </c>
      <c r="J931" s="2">
        <f t="shared" si="99"/>
        <v>23087.887250000007</v>
      </c>
      <c r="K931" s="2">
        <f t="shared" si="97"/>
        <v>-546.80000000000291</v>
      </c>
      <c r="L931" s="7">
        <f t="shared" si="95"/>
        <v>-2.1482859483319273E-2</v>
      </c>
      <c r="M931" s="9"/>
      <c r="N931" s="2">
        <f t="shared" si="98"/>
        <v>26216.05</v>
      </c>
      <c r="O931" s="2">
        <f t="shared" si="96"/>
        <v>-3.6845749073563749E-2</v>
      </c>
      <c r="P931" s="2"/>
    </row>
    <row r="932" spans="1:16" x14ac:dyDescent="0.3">
      <c r="A932" s="3">
        <v>45569</v>
      </c>
      <c r="B932" s="2">
        <v>25181.9</v>
      </c>
      <c r="C932" s="2">
        <v>25485.05</v>
      </c>
      <c r="D932" s="2">
        <v>24966.799999999999</v>
      </c>
      <c r="E932" s="2">
        <v>25014.6</v>
      </c>
      <c r="F932" s="2">
        <v>374914801</v>
      </c>
      <c r="G932" s="2">
        <v>42719.71</v>
      </c>
      <c r="H932" s="2">
        <f t="shared" si="100"/>
        <v>25508.0825</v>
      </c>
      <c r="I932" s="2">
        <f t="shared" si="94"/>
        <v>25021.848999999995</v>
      </c>
      <c r="J932" s="2">
        <f t="shared" si="99"/>
        <v>23109.605750000006</v>
      </c>
      <c r="K932" s="2">
        <f t="shared" si="97"/>
        <v>-235.5</v>
      </c>
      <c r="L932" s="7">
        <f t="shared" si="95"/>
        <v>-9.3519551741528626E-3</v>
      </c>
      <c r="M932" s="9"/>
      <c r="N932" s="2">
        <f t="shared" si="98"/>
        <v>26216.05</v>
      </c>
      <c r="O932" s="2">
        <f t="shared" si="96"/>
        <v>-4.5828795718653281E-2</v>
      </c>
      <c r="P932" s="2"/>
    </row>
    <row r="933" spans="1:16" x14ac:dyDescent="0.3">
      <c r="A933" s="3">
        <v>45572</v>
      </c>
      <c r="B933" s="2">
        <v>25084.1</v>
      </c>
      <c r="C933" s="2">
        <v>25143</v>
      </c>
      <c r="D933" s="2">
        <v>24694.35</v>
      </c>
      <c r="E933" s="2">
        <v>24795.75</v>
      </c>
      <c r="F933" s="2">
        <v>374345795</v>
      </c>
      <c r="G933" s="2">
        <v>40550.239999999998</v>
      </c>
      <c r="H933" s="2">
        <f t="shared" si="100"/>
        <v>25501.557499999999</v>
      </c>
      <c r="I933" s="2">
        <f t="shared" si="94"/>
        <v>25033.870999999999</v>
      </c>
      <c r="J933" s="2">
        <f t="shared" si="99"/>
        <v>23130.047000000002</v>
      </c>
      <c r="K933" s="2">
        <f t="shared" si="97"/>
        <v>-218.84999999999854</v>
      </c>
      <c r="L933" s="7">
        <f t="shared" si="95"/>
        <v>-8.7246502764698978E-3</v>
      </c>
      <c r="M933" s="9"/>
      <c r="N933" s="2">
        <f t="shared" si="98"/>
        <v>26216.05</v>
      </c>
      <c r="O933" s="2">
        <f t="shared" si="96"/>
        <v>-5.4176735244249152E-2</v>
      </c>
      <c r="P933" s="2"/>
    </row>
    <row r="934" spans="1:16" x14ac:dyDescent="0.3">
      <c r="A934" s="3">
        <v>45573</v>
      </c>
      <c r="B934" s="2">
        <v>24832.2</v>
      </c>
      <c r="C934" s="2">
        <v>25044</v>
      </c>
      <c r="D934" s="2">
        <v>24756.799999999999</v>
      </c>
      <c r="E934" s="2">
        <v>25013.15</v>
      </c>
      <c r="F934" s="2">
        <v>333220055</v>
      </c>
      <c r="G934" s="2">
        <v>33493.360000000001</v>
      </c>
      <c r="H934" s="2">
        <f t="shared" si="100"/>
        <v>25498.737499999999</v>
      </c>
      <c r="I934" s="2">
        <f t="shared" si="94"/>
        <v>25041.664000000004</v>
      </c>
      <c r="J934" s="2">
        <f t="shared" si="99"/>
        <v>23148.112250000006</v>
      </c>
      <c r="K934" s="2">
        <f t="shared" si="97"/>
        <v>217.40000000000146</v>
      </c>
      <c r="L934" s="7">
        <f t="shared" si="95"/>
        <v>8.754761962290955E-3</v>
      </c>
      <c r="M934" s="9"/>
      <c r="N934" s="2">
        <f t="shared" si="98"/>
        <v>26216.05</v>
      </c>
      <c r="O934" s="2">
        <f t="shared" si="96"/>
        <v>-4.5884105347678172E-2</v>
      </c>
      <c r="P934" s="2"/>
    </row>
    <row r="935" spans="1:16" x14ac:dyDescent="0.3">
      <c r="A935" s="3">
        <v>45574</v>
      </c>
      <c r="B935" s="2">
        <v>25065.8</v>
      </c>
      <c r="C935" s="2">
        <v>25234.05</v>
      </c>
      <c r="D935" s="2">
        <v>24947.7</v>
      </c>
      <c r="E935" s="2">
        <v>24981.95</v>
      </c>
      <c r="F935" s="2">
        <v>290562844</v>
      </c>
      <c r="G935" s="2">
        <v>30877.63</v>
      </c>
      <c r="H935" s="2">
        <f t="shared" si="100"/>
        <v>25502.575000000001</v>
      </c>
      <c r="I935" s="2">
        <f t="shared" si="94"/>
        <v>25045.23</v>
      </c>
      <c r="J935" s="2">
        <f t="shared" si="99"/>
        <v>23165.894750000007</v>
      </c>
      <c r="K935" s="2">
        <f t="shared" si="97"/>
        <v>-31.200000000000728</v>
      </c>
      <c r="L935" s="7">
        <f t="shared" si="95"/>
        <v>-1.2447238867301553E-3</v>
      </c>
      <c r="M935" s="9"/>
      <c r="N935" s="2">
        <f t="shared" si="98"/>
        <v>26216.05</v>
      </c>
      <c r="O935" s="2">
        <f t="shared" si="96"/>
        <v>-4.7074215986008472E-2</v>
      </c>
      <c r="P935" s="2"/>
    </row>
    <row r="936" spans="1:16" x14ac:dyDescent="0.3">
      <c r="A936" s="3">
        <v>45575</v>
      </c>
      <c r="B936" s="2">
        <v>25067.05</v>
      </c>
      <c r="C936" s="2">
        <v>25134.05</v>
      </c>
      <c r="D936" s="2">
        <v>24979.4</v>
      </c>
      <c r="E936" s="2">
        <v>24998.45</v>
      </c>
      <c r="F936" s="2">
        <v>261364749</v>
      </c>
      <c r="G936" s="2">
        <v>28046.45</v>
      </c>
      <c r="H936" s="2">
        <f t="shared" si="100"/>
        <v>25499.6175</v>
      </c>
      <c r="I936" s="2">
        <f t="shared" si="94"/>
        <v>25048.147000000001</v>
      </c>
      <c r="J936" s="2">
        <f t="shared" si="99"/>
        <v>23183.711250000004</v>
      </c>
      <c r="K936" s="2">
        <f t="shared" si="97"/>
        <v>16.5</v>
      </c>
      <c r="L936" s="7">
        <f t="shared" si="95"/>
        <v>6.5823461476320513E-4</v>
      </c>
      <c r="M936" s="9"/>
      <c r="N936" s="2">
        <f t="shared" si="98"/>
        <v>26216.05</v>
      </c>
      <c r="O936" s="2">
        <f t="shared" si="96"/>
        <v>-4.6444830552276106E-2</v>
      </c>
      <c r="P936" s="2"/>
    </row>
    <row r="937" spans="1:16" x14ac:dyDescent="0.3">
      <c r="A937" s="3">
        <v>45576</v>
      </c>
      <c r="B937" s="2">
        <v>24985.3</v>
      </c>
      <c r="C937" s="2">
        <v>25028.65</v>
      </c>
      <c r="D937" s="2">
        <v>24920.05</v>
      </c>
      <c r="E937" s="2">
        <v>24964.25</v>
      </c>
      <c r="F937" s="2">
        <v>210462717</v>
      </c>
      <c r="G937" s="2">
        <v>21734.97</v>
      </c>
      <c r="H937" s="2">
        <f t="shared" si="100"/>
        <v>25503.6175</v>
      </c>
      <c r="I937" s="2">
        <f t="shared" si="94"/>
        <v>25050.970000000005</v>
      </c>
      <c r="J937" s="2">
        <f t="shared" si="99"/>
        <v>23201.438000000002</v>
      </c>
      <c r="K937" s="2">
        <f t="shared" si="97"/>
        <v>-34.200000000000728</v>
      </c>
      <c r="L937" s="7">
        <f t="shared" si="95"/>
        <v>-1.3688048572560957E-3</v>
      </c>
      <c r="M937" s="9"/>
      <c r="N937" s="2">
        <f t="shared" si="98"/>
        <v>26216.05</v>
      </c>
      <c r="O937" s="2">
        <f t="shared" si="96"/>
        <v>-4.7749374905830533E-2</v>
      </c>
      <c r="P937" s="2"/>
    </row>
    <row r="938" spans="1:16" x14ac:dyDescent="0.3">
      <c r="A938" s="3">
        <v>45579</v>
      </c>
      <c r="B938" s="2">
        <v>25023.45</v>
      </c>
      <c r="C938" s="2">
        <v>25159.75</v>
      </c>
      <c r="D938" s="2">
        <v>25017.5</v>
      </c>
      <c r="E938" s="2">
        <v>25127.95</v>
      </c>
      <c r="F938" s="2">
        <v>206423311</v>
      </c>
      <c r="G938" s="2">
        <v>21270.9</v>
      </c>
      <c r="H938" s="2">
        <f t="shared" si="100"/>
        <v>25482.384999999998</v>
      </c>
      <c r="I938" s="2">
        <f t="shared" si="94"/>
        <v>25051.232000000004</v>
      </c>
      <c r="J938" s="2">
        <f t="shared" si="99"/>
        <v>23220.508500000007</v>
      </c>
      <c r="K938" s="2">
        <f t="shared" si="97"/>
        <v>163.70000000000073</v>
      </c>
      <c r="L938" s="7">
        <f t="shared" si="95"/>
        <v>6.5418637318195826E-3</v>
      </c>
      <c r="M938" s="9"/>
      <c r="N938" s="2">
        <f t="shared" si="98"/>
        <v>26216.05</v>
      </c>
      <c r="O938" s="2">
        <f t="shared" si="96"/>
        <v>-4.1505108511770361E-2</v>
      </c>
      <c r="P938" s="2"/>
    </row>
    <row r="939" spans="1:16" x14ac:dyDescent="0.3">
      <c r="A939" s="3">
        <v>45580</v>
      </c>
      <c r="B939" s="2">
        <v>25186.3</v>
      </c>
      <c r="C939" s="2">
        <v>25212.05</v>
      </c>
      <c r="D939" s="2">
        <v>25008.15</v>
      </c>
      <c r="E939" s="2">
        <v>25057.35</v>
      </c>
      <c r="F939" s="2">
        <v>257228772</v>
      </c>
      <c r="G939" s="2">
        <v>29113.88</v>
      </c>
      <c r="H939" s="2">
        <f t="shared" si="100"/>
        <v>25470.9575</v>
      </c>
      <c r="I939" s="2">
        <f t="shared" si="94"/>
        <v>25053.573000000004</v>
      </c>
      <c r="J939" s="2">
        <f t="shared" si="99"/>
        <v>23239.873000000007</v>
      </c>
      <c r="K939" s="2">
        <f t="shared" si="97"/>
        <v>-70.600000000002183</v>
      </c>
      <c r="L939" s="7">
        <f t="shared" si="95"/>
        <v>-2.8031112152242365E-3</v>
      </c>
      <c r="M939" s="9"/>
      <c r="N939" s="2">
        <f t="shared" si="98"/>
        <v>26216.05</v>
      </c>
      <c r="O939" s="2">
        <f t="shared" si="96"/>
        <v>-4.4198115276710248E-2</v>
      </c>
      <c r="P939" s="2"/>
    </row>
    <row r="940" spans="1:16" x14ac:dyDescent="0.3">
      <c r="A940" s="3">
        <v>45581</v>
      </c>
      <c r="B940" s="2">
        <v>25008.55</v>
      </c>
      <c r="C940" s="2">
        <v>25093.4</v>
      </c>
      <c r="D940" s="2">
        <v>24908.45</v>
      </c>
      <c r="E940" s="2">
        <v>24971.3</v>
      </c>
      <c r="F940" s="2">
        <v>226774456</v>
      </c>
      <c r="G940" s="2">
        <v>24115.83</v>
      </c>
      <c r="H940" s="2">
        <f t="shared" si="100"/>
        <v>25454.637500000001</v>
      </c>
      <c r="I940" s="2">
        <f t="shared" si="94"/>
        <v>25060.366000000002</v>
      </c>
      <c r="J940" s="2">
        <f t="shared" si="99"/>
        <v>23258.412750000007</v>
      </c>
      <c r="K940" s="2">
        <f t="shared" si="97"/>
        <v>-86.049999999999272</v>
      </c>
      <c r="L940" s="7">
        <f t="shared" si="95"/>
        <v>-3.4408232384524201E-3</v>
      </c>
      <c r="M940" s="9"/>
      <c r="N940" s="2">
        <f t="shared" si="98"/>
        <v>26216.05</v>
      </c>
      <c r="O940" s="2">
        <f t="shared" si="96"/>
        <v>-4.748045567505399E-2</v>
      </c>
      <c r="P940" s="2"/>
    </row>
    <row r="941" spans="1:16" x14ac:dyDescent="0.3">
      <c r="A941" s="3">
        <v>45582</v>
      </c>
      <c r="B941" s="2">
        <v>25027.4</v>
      </c>
      <c r="C941" s="2">
        <v>25029.5</v>
      </c>
      <c r="D941" s="2">
        <v>24728.9</v>
      </c>
      <c r="E941" s="2">
        <v>24749.85</v>
      </c>
      <c r="F941" s="2">
        <v>252755662</v>
      </c>
      <c r="G941" s="2">
        <v>32606.34</v>
      </c>
      <c r="H941" s="2">
        <f t="shared" si="100"/>
        <v>25432.275000000001</v>
      </c>
      <c r="I941" s="2">
        <f t="shared" si="94"/>
        <v>25078.68</v>
      </c>
      <c r="J941" s="2">
        <f t="shared" si="99"/>
        <v>23276.062500000004</v>
      </c>
      <c r="K941" s="2">
        <f t="shared" si="97"/>
        <v>-221.45000000000073</v>
      </c>
      <c r="L941" s="7">
        <f t="shared" si="95"/>
        <v>-8.8483022607222777E-3</v>
      </c>
      <c r="M941" s="9"/>
      <c r="N941" s="2">
        <f t="shared" si="98"/>
        <v>26216.05</v>
      </c>
      <c r="O941" s="2">
        <f t="shared" si="96"/>
        <v>-5.5927571087177497E-2</v>
      </c>
      <c r="P941" s="2"/>
    </row>
    <row r="942" spans="1:16" x14ac:dyDescent="0.3">
      <c r="A942" s="3">
        <v>45583</v>
      </c>
      <c r="B942" s="2">
        <v>24664.95</v>
      </c>
      <c r="C942" s="2">
        <v>24886.2</v>
      </c>
      <c r="D942" s="2">
        <v>24567.65</v>
      </c>
      <c r="E942" s="2">
        <v>24854.05</v>
      </c>
      <c r="F942" s="2">
        <v>290855392</v>
      </c>
      <c r="G942" s="2">
        <v>31772.76</v>
      </c>
      <c r="H942" s="2">
        <f t="shared" si="100"/>
        <v>25400.89</v>
      </c>
      <c r="I942" s="2">
        <f t="shared" si="94"/>
        <v>25093.826000000001</v>
      </c>
      <c r="J942" s="2">
        <f t="shared" si="99"/>
        <v>23291.538000000004</v>
      </c>
      <c r="K942" s="2">
        <f t="shared" si="97"/>
        <v>104.20000000000073</v>
      </c>
      <c r="L942" s="7">
        <f t="shared" si="95"/>
        <v>4.2246183349246898E-3</v>
      </c>
      <c r="M942" s="9"/>
      <c r="N942" s="2">
        <f t="shared" si="98"/>
        <v>26216.05</v>
      </c>
      <c r="O942" s="2">
        <f t="shared" si="96"/>
        <v>-5.1952906711728142E-2</v>
      </c>
      <c r="P942" s="2"/>
    </row>
    <row r="943" spans="1:16" x14ac:dyDescent="0.3">
      <c r="A943" s="3">
        <v>45586</v>
      </c>
      <c r="B943" s="2">
        <v>24956.15</v>
      </c>
      <c r="C943" s="2">
        <v>24978.3</v>
      </c>
      <c r="D943" s="2">
        <v>24679.599999999999</v>
      </c>
      <c r="E943" s="2">
        <v>24781.1</v>
      </c>
      <c r="F943" s="2">
        <v>241978957</v>
      </c>
      <c r="G943" s="2">
        <v>32207.22</v>
      </c>
      <c r="H943" s="2">
        <f t="shared" si="100"/>
        <v>25372.802499999998</v>
      </c>
      <c r="I943" s="2">
        <f t="shared" si="94"/>
        <v>25104.957000000002</v>
      </c>
      <c r="J943" s="2">
        <f t="shared" si="99"/>
        <v>23306.914750000007</v>
      </c>
      <c r="K943" s="2">
        <f t="shared" si="97"/>
        <v>-72.950000000000728</v>
      </c>
      <c r="L943" s="7">
        <f t="shared" si="95"/>
        <v>-2.9231271650475223E-3</v>
      </c>
      <c r="M943" s="9"/>
      <c r="N943" s="2">
        <f t="shared" si="98"/>
        <v>26216.05</v>
      </c>
      <c r="O943" s="2">
        <f t="shared" si="96"/>
        <v>-5.4735553220260136E-2</v>
      </c>
      <c r="P943" s="2"/>
    </row>
    <row r="944" spans="1:16" x14ac:dyDescent="0.3">
      <c r="A944" s="3">
        <v>45587</v>
      </c>
      <c r="B944" s="2">
        <v>24798.65</v>
      </c>
      <c r="C944" s="2">
        <v>24882</v>
      </c>
      <c r="D944" s="2">
        <v>24445.8</v>
      </c>
      <c r="E944" s="2">
        <v>24472.1</v>
      </c>
      <c r="F944" s="2">
        <v>279484697</v>
      </c>
      <c r="G944" s="2">
        <v>32801.589999999997</v>
      </c>
      <c r="H944" s="2">
        <f t="shared" si="100"/>
        <v>25322.309999999998</v>
      </c>
      <c r="I944" s="2">
        <f t="shared" si="94"/>
        <v>25118.239000000009</v>
      </c>
      <c r="J944" s="2">
        <f t="shared" si="99"/>
        <v>23322.163249999998</v>
      </c>
      <c r="K944" s="2">
        <f t="shared" si="97"/>
        <v>-309</v>
      </c>
      <c r="L944" s="7">
        <f t="shared" si="95"/>
        <v>-1.2460355704846836E-2</v>
      </c>
      <c r="M944" s="9"/>
      <c r="N944" s="2">
        <f t="shared" si="98"/>
        <v>26216.05</v>
      </c>
      <c r="O944" s="2">
        <f t="shared" si="96"/>
        <v>-6.6522225888339448E-2</v>
      </c>
      <c r="P944" s="2"/>
    </row>
    <row r="945" spans="1:16" x14ac:dyDescent="0.3">
      <c r="A945" s="3">
        <v>45588</v>
      </c>
      <c r="B945" s="2">
        <v>24378.15</v>
      </c>
      <c r="C945" s="2">
        <v>24604.25</v>
      </c>
      <c r="D945" s="2">
        <v>24378.1</v>
      </c>
      <c r="E945" s="2">
        <v>24435.5</v>
      </c>
      <c r="F945" s="2">
        <v>284556771</v>
      </c>
      <c r="G945" s="2">
        <v>31928.1</v>
      </c>
      <c r="H945" s="2">
        <f t="shared" si="100"/>
        <v>25248.962499999994</v>
      </c>
      <c r="I945" s="2">
        <f t="shared" si="94"/>
        <v>25120.331000000009</v>
      </c>
      <c r="J945" s="2">
        <f t="shared" si="99"/>
        <v>23335.814249999999</v>
      </c>
      <c r="K945" s="2">
        <f t="shared" si="97"/>
        <v>-36.599999999998545</v>
      </c>
      <c r="L945" s="7">
        <f t="shared" si="95"/>
        <v>-1.5013444416413281E-3</v>
      </c>
      <c r="M945" s="9"/>
      <c r="N945" s="2">
        <f t="shared" si="98"/>
        <v>26216.05</v>
      </c>
      <c r="O945" s="2">
        <f t="shared" si="96"/>
        <v>-6.7918317214073043E-2</v>
      </c>
      <c r="P945" s="2"/>
    </row>
    <row r="946" spans="1:16" x14ac:dyDescent="0.3">
      <c r="A946" s="3">
        <v>45589</v>
      </c>
      <c r="B946" s="2">
        <v>24412.7</v>
      </c>
      <c r="C946" s="2">
        <v>24480.65</v>
      </c>
      <c r="D946" s="2">
        <v>24341.200000000001</v>
      </c>
      <c r="E946" s="2">
        <v>24399.4</v>
      </c>
      <c r="F946" s="2">
        <v>216686434</v>
      </c>
      <c r="G946" s="2">
        <v>27817.66</v>
      </c>
      <c r="H946" s="2">
        <f t="shared" si="100"/>
        <v>25173.717499999995</v>
      </c>
      <c r="I946" s="2">
        <f t="shared" si="94"/>
        <v>25122.10100000001</v>
      </c>
      <c r="J946" s="2">
        <f t="shared" si="99"/>
        <v>23349.66275</v>
      </c>
      <c r="K946" s="2">
        <f t="shared" si="97"/>
        <v>-36.099999999998545</v>
      </c>
      <c r="L946" s="7">
        <f t="shared" si="95"/>
        <v>-1.478738525439568E-3</v>
      </c>
      <c r="M946" s="9"/>
      <c r="N946" s="2">
        <f t="shared" si="98"/>
        <v>26216.05</v>
      </c>
      <c r="O946" s="2">
        <f t="shared" si="96"/>
        <v>-6.9295336253935913E-2</v>
      </c>
      <c r="P946" s="2"/>
    </row>
    <row r="947" spans="1:16" x14ac:dyDescent="0.3">
      <c r="A947" s="3">
        <v>45590</v>
      </c>
      <c r="B947" s="2">
        <v>24418.05</v>
      </c>
      <c r="C947" s="2">
        <v>24440.25</v>
      </c>
      <c r="D947" s="2">
        <v>24073.9</v>
      </c>
      <c r="E947" s="2">
        <v>24180.799999999999</v>
      </c>
      <c r="F947" s="2">
        <v>372642214</v>
      </c>
      <c r="G947" s="2">
        <v>37068.910000000003</v>
      </c>
      <c r="H947" s="2">
        <f t="shared" si="100"/>
        <v>25093.479999999996</v>
      </c>
      <c r="I947" s="2">
        <f t="shared" si="94"/>
        <v>25127.309000000008</v>
      </c>
      <c r="J947" s="2">
        <f t="shared" si="99"/>
        <v>23364.072999999997</v>
      </c>
      <c r="K947" s="2">
        <f t="shared" si="97"/>
        <v>-218.60000000000218</v>
      </c>
      <c r="L947" s="7">
        <f t="shared" si="95"/>
        <v>-8.9523938234216983E-3</v>
      </c>
      <c r="M947" s="9"/>
      <c r="N947" s="2">
        <f t="shared" si="98"/>
        <v>26216.05</v>
      </c>
      <c r="O947" s="2">
        <f t="shared" si="96"/>
        <v>-7.7633739636596699E-2</v>
      </c>
      <c r="P947" s="2"/>
    </row>
    <row r="948" spans="1:16" x14ac:dyDescent="0.3">
      <c r="A948" s="3">
        <v>45593</v>
      </c>
      <c r="B948" s="2">
        <v>24251.1</v>
      </c>
      <c r="C948" s="2">
        <v>24492.6</v>
      </c>
      <c r="D948" s="2">
        <v>24134.9</v>
      </c>
      <c r="E948" s="2">
        <v>24339.15</v>
      </c>
      <c r="F948" s="2">
        <v>278562235</v>
      </c>
      <c r="G948" s="2">
        <v>28136.06</v>
      </c>
      <c r="H948" s="2">
        <f t="shared" si="100"/>
        <v>24991.717499999995</v>
      </c>
      <c r="I948" s="2">
        <f t="shared" si="94"/>
        <v>25128.05000000001</v>
      </c>
      <c r="J948" s="2">
        <f t="shared" si="99"/>
        <v>23376.683999999994</v>
      </c>
      <c r="K948" s="2">
        <f t="shared" si="97"/>
        <v>158.35000000000218</v>
      </c>
      <c r="L948" s="7">
        <f t="shared" si="95"/>
        <v>6.5296007191427271E-3</v>
      </c>
      <c r="M948" s="9"/>
      <c r="N948" s="2">
        <f t="shared" si="98"/>
        <v>26216.05</v>
      </c>
      <c r="O948" s="2">
        <f t="shared" si="96"/>
        <v>-7.1593546701352762E-2</v>
      </c>
      <c r="P948" s="2"/>
    </row>
    <row r="949" spans="1:16" x14ac:dyDescent="0.3">
      <c r="A949" s="3">
        <v>45594</v>
      </c>
      <c r="B949" s="2">
        <v>24328.85</v>
      </c>
      <c r="C949" s="2">
        <v>24484.5</v>
      </c>
      <c r="D949" s="2">
        <v>24140.85</v>
      </c>
      <c r="E949" s="2">
        <v>24466.85</v>
      </c>
      <c r="F949" s="2">
        <v>332044690</v>
      </c>
      <c r="G949" s="2">
        <v>35579.480000000003</v>
      </c>
      <c r="H949" s="2">
        <f t="shared" si="100"/>
        <v>24899.727500000001</v>
      </c>
      <c r="I949" s="2">
        <f t="shared" ref="I949:I1012" si="101">AVERAGE(E899:E948)</f>
        <v>25124.010000000006</v>
      </c>
      <c r="J949" s="2">
        <f t="shared" si="99"/>
        <v>23389.825750000004</v>
      </c>
      <c r="K949" s="2">
        <f t="shared" si="97"/>
        <v>127.69999999999709</v>
      </c>
      <c r="L949" s="7">
        <f t="shared" si="95"/>
        <v>5.2489122995948061E-3</v>
      </c>
      <c r="M949" s="9"/>
      <c r="N949" s="2">
        <f t="shared" si="98"/>
        <v>26216.05</v>
      </c>
      <c r="O949" s="2">
        <f t="shared" si="96"/>
        <v>-6.6722484889981559E-2</v>
      </c>
      <c r="P949" s="2"/>
    </row>
    <row r="950" spans="1:16" x14ac:dyDescent="0.3">
      <c r="A950" s="3">
        <v>45595</v>
      </c>
      <c r="B950" s="2">
        <v>24371.45</v>
      </c>
      <c r="C950" s="2">
        <v>24498.2</v>
      </c>
      <c r="D950" s="2">
        <v>24307.3</v>
      </c>
      <c r="E950" s="2">
        <v>24340.85</v>
      </c>
      <c r="F950" s="2">
        <v>285196335</v>
      </c>
      <c r="G950" s="2">
        <v>31068.7</v>
      </c>
      <c r="H950" s="2">
        <f t="shared" si="100"/>
        <v>24832.5275</v>
      </c>
      <c r="I950" s="2">
        <f t="shared" si="101"/>
        <v>25121.894000000008</v>
      </c>
      <c r="J950" s="2">
        <f t="shared" si="99"/>
        <v>23404.594999999994</v>
      </c>
      <c r="K950" s="2">
        <f t="shared" si="97"/>
        <v>-126</v>
      </c>
      <c r="L950" s="7">
        <f t="shared" si="95"/>
        <v>-5.169983730963894E-3</v>
      </c>
      <c r="M950" s="9"/>
      <c r="N950" s="2">
        <f t="shared" si="98"/>
        <v>26216.05</v>
      </c>
      <c r="O950" s="2">
        <f t="shared" si="96"/>
        <v>-7.1528700929392564E-2</v>
      </c>
      <c r="P950" s="2"/>
    </row>
    <row r="951" spans="1:16" x14ac:dyDescent="0.3">
      <c r="A951" s="3">
        <v>45596</v>
      </c>
      <c r="B951" s="2">
        <v>24349.85</v>
      </c>
      <c r="C951" s="2">
        <v>24372.45</v>
      </c>
      <c r="D951" s="2">
        <v>24172.6</v>
      </c>
      <c r="E951" s="2">
        <v>24205.35</v>
      </c>
      <c r="F951" s="2">
        <v>287007588</v>
      </c>
      <c r="G951" s="2">
        <v>33403.89</v>
      </c>
      <c r="H951" s="2">
        <f t="shared" si="100"/>
        <v>24759.724999999999</v>
      </c>
      <c r="I951" s="2">
        <f t="shared" si="101"/>
        <v>25114.734000000004</v>
      </c>
      <c r="J951" s="2">
        <f t="shared" si="99"/>
        <v>23418.574999999997</v>
      </c>
      <c r="K951" s="2">
        <f t="shared" si="97"/>
        <v>-135.5</v>
      </c>
      <c r="L951" s="7">
        <f t="shared" si="95"/>
        <v>-5.5647160044107052E-3</v>
      </c>
      <c r="M951" s="9"/>
      <c r="N951" s="2">
        <f t="shared" si="98"/>
        <v>26216.05</v>
      </c>
      <c r="O951" s="2">
        <f t="shared" si="96"/>
        <v>-7.6697290400346341E-2</v>
      </c>
      <c r="P951" s="2"/>
    </row>
    <row r="952" spans="1:16" x14ac:dyDescent="0.3">
      <c r="A952" s="3">
        <v>45597</v>
      </c>
      <c r="B952" s="2">
        <v>24302.75</v>
      </c>
      <c r="C952" s="2">
        <v>24368.25</v>
      </c>
      <c r="D952" s="2">
        <v>24280.2</v>
      </c>
      <c r="E952" s="2">
        <v>24304.35</v>
      </c>
      <c r="F952" s="2">
        <v>38811387</v>
      </c>
      <c r="G952" s="2">
        <v>3348.45</v>
      </c>
      <c r="H952" s="2">
        <f t="shared" si="100"/>
        <v>24707.487499999996</v>
      </c>
      <c r="I952" s="2">
        <f t="shared" si="101"/>
        <v>25103.437000000005</v>
      </c>
      <c r="J952" s="2">
        <f t="shared" si="99"/>
        <v>23431.508249999992</v>
      </c>
      <c r="K952" s="2">
        <f t="shared" si="97"/>
        <v>99</v>
      </c>
      <c r="L952" s="7">
        <f t="shared" si="95"/>
        <v>4.0736130684799043E-3</v>
      </c>
      <c r="M952" s="9"/>
      <c r="N952" s="2">
        <f t="shared" si="98"/>
        <v>26216.05</v>
      </c>
      <c r="O952" s="2">
        <f t="shared" si="96"/>
        <v>-7.2920977797952036E-2</v>
      </c>
      <c r="P952" s="2"/>
    </row>
    <row r="953" spans="1:16" x14ac:dyDescent="0.3">
      <c r="A953" s="3">
        <v>45600</v>
      </c>
      <c r="B953" s="2">
        <v>24315.75</v>
      </c>
      <c r="C953" s="2">
        <v>24316.75</v>
      </c>
      <c r="D953" s="2">
        <v>23816.15</v>
      </c>
      <c r="E953" s="2">
        <v>23995.35</v>
      </c>
      <c r="F953" s="2">
        <v>285531635</v>
      </c>
      <c r="G953" s="2">
        <v>31561.52</v>
      </c>
      <c r="H953" s="2">
        <f t="shared" si="100"/>
        <v>24671.974999999995</v>
      </c>
      <c r="I953" s="2">
        <f t="shared" si="101"/>
        <v>25093.294000000005</v>
      </c>
      <c r="J953" s="2">
        <f t="shared" si="99"/>
        <v>23444.793999999994</v>
      </c>
      <c r="K953" s="2">
        <f t="shared" si="97"/>
        <v>-309</v>
      </c>
      <c r="L953" s="7">
        <f t="shared" si="95"/>
        <v>-1.2707812837358503E-2</v>
      </c>
      <c r="M953" s="9"/>
      <c r="N953" s="2">
        <f t="shared" si="98"/>
        <v>26216.05</v>
      </c>
      <c r="O953" s="2">
        <f t="shared" si="96"/>
        <v>-8.4707650466031348E-2</v>
      </c>
      <c r="P953" s="2"/>
    </row>
    <row r="954" spans="1:16" x14ac:dyDescent="0.3">
      <c r="A954" s="3">
        <v>45601</v>
      </c>
      <c r="B954" s="2">
        <v>23916.5</v>
      </c>
      <c r="C954" s="2">
        <v>24229.05</v>
      </c>
      <c r="D954" s="2">
        <v>23842.75</v>
      </c>
      <c r="E954" s="2">
        <v>24213.3</v>
      </c>
      <c r="F954" s="2">
        <v>289511197</v>
      </c>
      <c r="G954" s="2">
        <v>30074.77</v>
      </c>
      <c r="H954" s="2">
        <f t="shared" si="100"/>
        <v>24631.954999999994</v>
      </c>
      <c r="I954" s="2">
        <f t="shared" si="101"/>
        <v>25076.738000000001</v>
      </c>
      <c r="J954" s="2">
        <f t="shared" si="99"/>
        <v>23455.297999999988</v>
      </c>
      <c r="K954" s="2">
        <f t="shared" si="97"/>
        <v>217.95000000000073</v>
      </c>
      <c r="L954" s="7">
        <f t="shared" si="95"/>
        <v>9.1129554909790619E-3</v>
      </c>
      <c r="M954" s="9"/>
      <c r="N954" s="2">
        <f t="shared" si="98"/>
        <v>26216.05</v>
      </c>
      <c r="O954" s="2">
        <f t="shared" si="96"/>
        <v>-7.6394041055002582E-2</v>
      </c>
      <c r="P954" s="2"/>
    </row>
    <row r="955" spans="1:16" x14ac:dyDescent="0.3">
      <c r="A955" s="3">
        <v>45602</v>
      </c>
      <c r="B955" s="2">
        <v>24308.75</v>
      </c>
      <c r="C955" s="2">
        <v>24537.599999999999</v>
      </c>
      <c r="D955" s="2">
        <v>24204.05</v>
      </c>
      <c r="E955" s="2">
        <v>24484.05</v>
      </c>
      <c r="F955" s="2">
        <v>351082031</v>
      </c>
      <c r="G955" s="2">
        <v>34108.839999999997</v>
      </c>
      <c r="H955" s="2">
        <f t="shared" si="100"/>
        <v>24591.962499999994</v>
      </c>
      <c r="I955" s="2">
        <f t="shared" si="101"/>
        <v>25060.792000000005</v>
      </c>
      <c r="J955" s="2">
        <f t="shared" si="99"/>
        <v>23465.877249999987</v>
      </c>
      <c r="K955" s="2">
        <f t="shared" si="97"/>
        <v>270.75</v>
      </c>
      <c r="L955" s="7">
        <f t="shared" si="95"/>
        <v>1.1137964724636192E-2</v>
      </c>
      <c r="M955" s="9"/>
      <c r="N955" s="2">
        <f t="shared" si="98"/>
        <v>26216.05</v>
      </c>
      <c r="O955" s="2">
        <f t="shared" si="96"/>
        <v>-6.6066398256030223E-2</v>
      </c>
      <c r="P955" s="2"/>
    </row>
    <row r="956" spans="1:16" x14ac:dyDescent="0.3">
      <c r="A956" s="3">
        <v>45603</v>
      </c>
      <c r="B956" s="2">
        <v>24489.599999999999</v>
      </c>
      <c r="C956" s="2">
        <v>24503.35</v>
      </c>
      <c r="D956" s="2">
        <v>24179.05</v>
      </c>
      <c r="E956" s="2">
        <v>24199.35</v>
      </c>
      <c r="F956" s="2">
        <v>322185588</v>
      </c>
      <c r="G956" s="2">
        <v>30971.89</v>
      </c>
      <c r="H956" s="2">
        <f t="shared" si="100"/>
        <v>24567.067499999994</v>
      </c>
      <c r="I956" s="2">
        <f t="shared" si="101"/>
        <v>25050.118000000006</v>
      </c>
      <c r="J956" s="2">
        <f t="shared" si="99"/>
        <v>23478.135999999988</v>
      </c>
      <c r="K956" s="2">
        <f t="shared" si="97"/>
        <v>-284.70000000000073</v>
      </c>
      <c r="L956" s="7">
        <f t="shared" si="95"/>
        <v>-1.1625343002744053E-2</v>
      </c>
      <c r="M956" s="9"/>
      <c r="N956" s="2">
        <f t="shared" si="98"/>
        <v>26216.05</v>
      </c>
      <c r="O956" s="2">
        <f t="shared" si="96"/>
        <v>-7.6926157830794484E-2</v>
      </c>
      <c r="P956" s="2"/>
    </row>
    <row r="957" spans="1:16" x14ac:dyDescent="0.3">
      <c r="A957" s="3">
        <v>45604</v>
      </c>
      <c r="B957" s="2">
        <v>24207.7</v>
      </c>
      <c r="C957" s="2">
        <v>24276.15</v>
      </c>
      <c r="D957" s="2">
        <v>24066.65</v>
      </c>
      <c r="E957" s="2">
        <v>24148.2</v>
      </c>
      <c r="F957" s="2">
        <v>298725122</v>
      </c>
      <c r="G957" s="2">
        <v>27670.3</v>
      </c>
      <c r="H957" s="2">
        <f t="shared" si="100"/>
        <v>24527.112499999992</v>
      </c>
      <c r="I957" s="2">
        <f t="shared" si="101"/>
        <v>25033.058000000012</v>
      </c>
      <c r="J957" s="2">
        <f t="shared" si="99"/>
        <v>23491.272999999983</v>
      </c>
      <c r="K957" s="2">
        <f t="shared" si="97"/>
        <v>-51.149999999997817</v>
      </c>
      <c r="L957" s="7">
        <f t="shared" si="95"/>
        <v>-2.1129640568908988E-3</v>
      </c>
      <c r="M957" s="9"/>
      <c r="N957" s="2">
        <f t="shared" si="98"/>
        <v>26216.05</v>
      </c>
      <c r="O957" s="2">
        <f t="shared" si="96"/>
        <v>-7.8877252675364828E-2</v>
      </c>
      <c r="P957" s="2"/>
    </row>
    <row r="958" spans="1:16" x14ac:dyDescent="0.3">
      <c r="A958" s="3">
        <v>45607</v>
      </c>
      <c r="B958" s="2">
        <v>24087.25</v>
      </c>
      <c r="C958" s="2">
        <v>24336.799999999999</v>
      </c>
      <c r="D958" s="2">
        <v>24004.6</v>
      </c>
      <c r="E958" s="2">
        <v>24141.3</v>
      </c>
      <c r="F958" s="2">
        <v>273370562</v>
      </c>
      <c r="G958" s="2">
        <v>26600.28</v>
      </c>
      <c r="H958" s="2">
        <f t="shared" si="100"/>
        <v>24486.30999999999</v>
      </c>
      <c r="I958" s="2">
        <f t="shared" si="101"/>
        <v>25012.983000000007</v>
      </c>
      <c r="J958" s="2">
        <f t="shared" si="99"/>
        <v>23504.702749999989</v>
      </c>
      <c r="K958" s="2">
        <f t="shared" si="97"/>
        <v>-6.9000000000014552</v>
      </c>
      <c r="L958" s="7">
        <f t="shared" si="95"/>
        <v>-2.864586036181571E-4</v>
      </c>
      <c r="M958" s="9"/>
      <c r="N958" s="2">
        <f t="shared" si="98"/>
        <v>26216.05</v>
      </c>
      <c r="O958" s="2">
        <f t="shared" si="96"/>
        <v>-7.9140450220380298E-2</v>
      </c>
      <c r="P958" s="2"/>
    </row>
    <row r="959" spans="1:16" x14ac:dyDescent="0.3">
      <c r="A959" s="3">
        <v>45608</v>
      </c>
      <c r="B959" s="2">
        <v>24225.8</v>
      </c>
      <c r="C959" s="2">
        <v>24242</v>
      </c>
      <c r="D959" s="2">
        <v>23839.15</v>
      </c>
      <c r="E959" s="2">
        <v>23883.45</v>
      </c>
      <c r="F959" s="2">
        <v>255825829</v>
      </c>
      <c r="G959" s="2">
        <v>26852.73</v>
      </c>
      <c r="H959" s="2">
        <f t="shared" si="100"/>
        <v>24436.97749999999</v>
      </c>
      <c r="I959" s="2">
        <f t="shared" si="101"/>
        <v>24991.091000000011</v>
      </c>
      <c r="J959" s="2">
        <f t="shared" si="99"/>
        <v>23517.297249999981</v>
      </c>
      <c r="K959" s="2">
        <f t="shared" si="97"/>
        <v>-257.84999999999854</v>
      </c>
      <c r="L959" s="7">
        <f t="shared" si="95"/>
        <v>-1.0643611356487651E-2</v>
      </c>
      <c r="M959" s="9"/>
      <c r="N959" s="2">
        <f t="shared" si="98"/>
        <v>26216.05</v>
      </c>
      <c r="O959" s="2">
        <f t="shared" si="96"/>
        <v>-8.8976028043889044E-2</v>
      </c>
      <c r="P959" s="2"/>
    </row>
    <row r="960" spans="1:16" x14ac:dyDescent="0.3">
      <c r="A960" s="3">
        <v>45609</v>
      </c>
      <c r="B960" s="2">
        <v>23822.45</v>
      </c>
      <c r="C960" s="2">
        <v>23873.599999999999</v>
      </c>
      <c r="D960" s="2">
        <v>23509.599999999999</v>
      </c>
      <c r="E960" s="2">
        <v>23559.05</v>
      </c>
      <c r="F960" s="2">
        <v>304569316</v>
      </c>
      <c r="G960" s="2">
        <v>27765.81</v>
      </c>
      <c r="H960" s="2">
        <f t="shared" si="100"/>
        <v>24378.282499999994</v>
      </c>
      <c r="I960" s="2">
        <f t="shared" si="101"/>
        <v>24963.186000000005</v>
      </c>
      <c r="J960" s="2">
        <f t="shared" si="99"/>
        <v>23528.855499999991</v>
      </c>
      <c r="K960" s="2">
        <f t="shared" si="97"/>
        <v>-324.40000000000146</v>
      </c>
      <c r="L960" s="7">
        <f t="shared" si="95"/>
        <v>-1.3617407109680216E-2</v>
      </c>
      <c r="M960" s="9"/>
      <c r="N960" s="2">
        <f t="shared" si="98"/>
        <v>26216.05</v>
      </c>
      <c r="O960" s="2">
        <f t="shared" si="96"/>
        <v>-0.10135012711678537</v>
      </c>
      <c r="P960" s="2"/>
    </row>
    <row r="961" spans="1:16" x14ac:dyDescent="0.3">
      <c r="A961" s="3">
        <v>45610</v>
      </c>
      <c r="B961" s="2">
        <v>23542.15</v>
      </c>
      <c r="C961" s="2">
        <v>23675.9</v>
      </c>
      <c r="D961" s="2">
        <v>23484.15</v>
      </c>
      <c r="E961" s="2">
        <v>23532.7</v>
      </c>
      <c r="F961" s="2">
        <v>257708474</v>
      </c>
      <c r="G961" s="2">
        <v>24814.37</v>
      </c>
      <c r="H961" s="2">
        <f t="shared" si="100"/>
        <v>24307.669999999995</v>
      </c>
      <c r="I961" s="2">
        <f t="shared" si="101"/>
        <v>24928.770000000004</v>
      </c>
      <c r="J961" s="2">
        <f t="shared" si="99"/>
        <v>23540.456749999983</v>
      </c>
      <c r="K961" s="2">
        <f t="shared" si="97"/>
        <v>-26.349999999998545</v>
      </c>
      <c r="L961" s="7">
        <f t="shared" si="95"/>
        <v>-1.1192690557149004E-3</v>
      </c>
      <c r="M961" s="9"/>
      <c r="N961" s="2">
        <f t="shared" si="98"/>
        <v>26216.05</v>
      </c>
      <c r="O961" s="2">
        <f t="shared" si="96"/>
        <v>-0.10235523658217005</v>
      </c>
      <c r="P961" s="2"/>
    </row>
    <row r="962" spans="1:16" x14ac:dyDescent="0.3">
      <c r="A962" s="3">
        <v>45614</v>
      </c>
      <c r="B962" s="2">
        <v>23605.3</v>
      </c>
      <c r="C962" s="2">
        <v>23606.799999999999</v>
      </c>
      <c r="D962" s="2">
        <v>23350.400000000001</v>
      </c>
      <c r="E962" s="2">
        <v>23453.8</v>
      </c>
      <c r="F962" s="2">
        <v>263311912</v>
      </c>
      <c r="G962" s="2">
        <v>25257.33</v>
      </c>
      <c r="H962" s="2">
        <f t="shared" si="100"/>
        <v>24246.812499999996</v>
      </c>
      <c r="I962" s="2">
        <f t="shared" si="101"/>
        <v>24895.45</v>
      </c>
      <c r="J962" s="2">
        <f t="shared" si="99"/>
        <v>23550.85049999999</v>
      </c>
      <c r="K962" s="2">
        <f t="shared" si="97"/>
        <v>-78.900000000001455</v>
      </c>
      <c r="L962" s="7">
        <f t="shared" si="95"/>
        <v>-3.3424696996014226E-3</v>
      </c>
      <c r="M962" s="9"/>
      <c r="N962" s="2">
        <f t="shared" si="98"/>
        <v>26216.05</v>
      </c>
      <c r="O962" s="2">
        <f t="shared" si="96"/>
        <v>-0.10536484329256313</v>
      </c>
      <c r="P962" s="2"/>
    </row>
    <row r="963" spans="1:16" x14ac:dyDescent="0.3">
      <c r="A963" s="3">
        <v>45615</v>
      </c>
      <c r="B963" s="2">
        <v>23529.55</v>
      </c>
      <c r="C963" s="2">
        <v>23780.65</v>
      </c>
      <c r="D963" s="2">
        <v>23464.799999999999</v>
      </c>
      <c r="E963" s="2">
        <v>23518.5</v>
      </c>
      <c r="F963" s="2">
        <v>297477279</v>
      </c>
      <c r="G963" s="2">
        <v>30486.78</v>
      </c>
      <c r="H963" s="2">
        <f t="shared" si="100"/>
        <v>24176.799999999999</v>
      </c>
      <c r="I963" s="2">
        <f t="shared" si="101"/>
        <v>24861.624</v>
      </c>
      <c r="J963" s="2">
        <f t="shared" si="99"/>
        <v>23561.356499999983</v>
      </c>
      <c r="K963" s="2">
        <f t="shared" si="97"/>
        <v>64.700000000000728</v>
      </c>
      <c r="L963" s="7">
        <f t="shared" ref="L963:L1026" si="102">(K963/(B963))</f>
        <v>2.74973384531369E-3</v>
      </c>
      <c r="M963" s="9"/>
      <c r="N963" s="2">
        <f t="shared" si="98"/>
        <v>26216.05</v>
      </c>
      <c r="O963" s="2">
        <f t="shared" ref="O963:O1026" si="103">(E963/N963)-1</f>
        <v>-0.10289688950089737</v>
      </c>
      <c r="P963" s="2"/>
    </row>
    <row r="964" spans="1:16" x14ac:dyDescent="0.3">
      <c r="A964" s="3">
        <v>45617</v>
      </c>
      <c r="B964" s="2">
        <v>23488.45</v>
      </c>
      <c r="C964" s="2">
        <v>23507.3</v>
      </c>
      <c r="D964" s="2">
        <v>23263.15</v>
      </c>
      <c r="E964" s="2">
        <v>23349.9</v>
      </c>
      <c r="F964" s="2">
        <v>420332354</v>
      </c>
      <c r="G964" s="2">
        <v>40900.89</v>
      </c>
      <c r="H964" s="2">
        <f t="shared" si="100"/>
        <v>24113.670000000002</v>
      </c>
      <c r="I964" s="2">
        <f t="shared" si="101"/>
        <v>24834.951000000001</v>
      </c>
      <c r="J964" s="2">
        <f t="shared" si="99"/>
        <v>23570.260999999991</v>
      </c>
      <c r="K964" s="2">
        <f t="shared" ref="K964:K1027" si="104">E964-E963</f>
        <v>-168.59999999999854</v>
      </c>
      <c r="L964" s="7">
        <f t="shared" si="102"/>
        <v>-7.1779959937756021E-3</v>
      </c>
      <c r="M964" s="9"/>
      <c r="N964" s="2">
        <f t="shared" si="98"/>
        <v>26216.05</v>
      </c>
      <c r="O964" s="2">
        <f t="shared" si="103"/>
        <v>-0.10932806429649</v>
      </c>
      <c r="P964" s="2"/>
    </row>
    <row r="965" spans="1:16" x14ac:dyDescent="0.3">
      <c r="A965" s="3">
        <v>45618</v>
      </c>
      <c r="B965" s="2">
        <v>23411.8</v>
      </c>
      <c r="C965" s="2">
        <v>23956.1</v>
      </c>
      <c r="D965" s="2">
        <v>23359</v>
      </c>
      <c r="E965" s="2">
        <v>23907.25</v>
      </c>
      <c r="F965" s="2">
        <v>367562789</v>
      </c>
      <c r="G965" s="2">
        <v>39257.519999999997</v>
      </c>
      <c r="H965" s="2">
        <f t="shared" si="100"/>
        <v>24057.56</v>
      </c>
      <c r="I965" s="2">
        <f t="shared" si="101"/>
        <v>24803.220999999998</v>
      </c>
      <c r="J965" s="2">
        <f t="shared" si="99"/>
        <v>23579.399999999991</v>
      </c>
      <c r="K965" s="2">
        <f t="shared" si="104"/>
        <v>557.34999999999854</v>
      </c>
      <c r="L965" s="7">
        <f t="shared" si="102"/>
        <v>2.380637114617409E-2</v>
      </c>
      <c r="M965" s="9"/>
      <c r="N965" s="2">
        <f t="shared" ref="N965:N1028" si="105">MAX(N964,E965)</f>
        <v>26216.05</v>
      </c>
      <c r="O965" s="2">
        <f t="shared" si="103"/>
        <v>-8.8068187236444828E-2</v>
      </c>
      <c r="P965" s="2"/>
    </row>
    <row r="966" spans="1:16" x14ac:dyDescent="0.3">
      <c r="A966" s="3">
        <v>45621</v>
      </c>
      <c r="B966" s="2">
        <v>24253.55</v>
      </c>
      <c r="C966" s="2">
        <v>24351.55</v>
      </c>
      <c r="D966" s="2">
        <v>24135.45</v>
      </c>
      <c r="E966" s="2">
        <v>24221.9</v>
      </c>
      <c r="F966" s="2">
        <v>687172787</v>
      </c>
      <c r="G966" s="2">
        <v>85975.81</v>
      </c>
      <c r="H966" s="2">
        <f t="shared" si="100"/>
        <v>24031.147499999999</v>
      </c>
      <c r="I966" s="2">
        <f t="shared" si="101"/>
        <v>24780.543999999998</v>
      </c>
      <c r="J966" s="2">
        <f t="shared" si="99"/>
        <v>23590.307749999993</v>
      </c>
      <c r="K966" s="2">
        <f t="shared" si="104"/>
        <v>314.65000000000146</v>
      </c>
      <c r="L966" s="7">
        <f t="shared" si="102"/>
        <v>1.2973358539265446E-2</v>
      </c>
      <c r="M966" s="9"/>
      <c r="N966" s="2">
        <f t="shared" si="105"/>
        <v>26216.05</v>
      </c>
      <c r="O966" s="2">
        <f t="shared" si="103"/>
        <v>-7.6065997738026803E-2</v>
      </c>
      <c r="P966" s="2"/>
    </row>
    <row r="967" spans="1:16" x14ac:dyDescent="0.3">
      <c r="A967" s="3">
        <v>45622</v>
      </c>
      <c r="B967" s="2">
        <v>24343.3</v>
      </c>
      <c r="C967" s="2">
        <v>24343.3</v>
      </c>
      <c r="D967" s="2">
        <v>24125.4</v>
      </c>
      <c r="E967" s="2">
        <v>24194.5</v>
      </c>
      <c r="F967" s="2">
        <v>230691771</v>
      </c>
      <c r="G967" s="2">
        <v>24140.67</v>
      </c>
      <c r="H967" s="2">
        <f t="shared" si="100"/>
        <v>24022.272499999999</v>
      </c>
      <c r="I967" s="2">
        <f t="shared" si="101"/>
        <v>24766.612999999994</v>
      </c>
      <c r="J967" s="2">
        <f t="shared" si="99"/>
        <v>23602.929999999997</v>
      </c>
      <c r="K967" s="2">
        <f t="shared" si="104"/>
        <v>-27.400000000001455</v>
      </c>
      <c r="L967" s="7">
        <f t="shared" si="102"/>
        <v>-1.12556637760704E-3</v>
      </c>
      <c r="M967" s="9"/>
      <c r="N967" s="2">
        <f t="shared" si="105"/>
        <v>26216.05</v>
      </c>
      <c r="O967" s="2">
        <f t="shared" si="103"/>
        <v>-7.7111159003740104E-2</v>
      </c>
      <c r="P967" s="2"/>
    </row>
    <row r="968" spans="1:16" x14ac:dyDescent="0.3">
      <c r="A968" s="3">
        <v>45623</v>
      </c>
      <c r="B968" s="2">
        <v>24204.799999999999</v>
      </c>
      <c r="C968" s="2">
        <v>24354.55</v>
      </c>
      <c r="D968" s="2">
        <v>24145.65</v>
      </c>
      <c r="E968" s="2">
        <v>24274.9</v>
      </c>
      <c r="F968" s="2">
        <v>295011445</v>
      </c>
      <c r="G968" s="2">
        <v>31149.09</v>
      </c>
      <c r="H968" s="2">
        <f t="shared" si="100"/>
        <v>24022.957500000004</v>
      </c>
      <c r="I968" s="2">
        <f t="shared" si="101"/>
        <v>24742.724999999995</v>
      </c>
      <c r="J968" s="2">
        <f t="shared" si="99"/>
        <v>23614.633499999996</v>
      </c>
      <c r="K968" s="2">
        <f t="shared" si="104"/>
        <v>80.400000000001455</v>
      </c>
      <c r="L968" s="7">
        <f t="shared" si="102"/>
        <v>3.3216552088842486E-3</v>
      </c>
      <c r="M968" s="9"/>
      <c r="N968" s="2">
        <f t="shared" si="105"/>
        <v>26216.05</v>
      </c>
      <c r="O968" s="2">
        <f t="shared" si="103"/>
        <v>-7.4044335435734854E-2</v>
      </c>
      <c r="P968" s="2"/>
    </row>
    <row r="969" spans="1:16" x14ac:dyDescent="0.3">
      <c r="A969" s="3">
        <v>45624</v>
      </c>
      <c r="B969" s="2">
        <v>24274.15</v>
      </c>
      <c r="C969" s="2">
        <v>24345.75</v>
      </c>
      <c r="D969" s="2">
        <v>23873.35</v>
      </c>
      <c r="E969" s="2">
        <v>23914.15</v>
      </c>
      <c r="F969" s="2">
        <v>366745300</v>
      </c>
      <c r="G969" s="2">
        <v>41198.269999999997</v>
      </c>
      <c r="H969" s="2">
        <f t="shared" si="100"/>
        <v>24019.745000000003</v>
      </c>
      <c r="I969" s="2">
        <f t="shared" si="101"/>
        <v>24721.092999999997</v>
      </c>
      <c r="J969" s="2">
        <f t="shared" si="99"/>
        <v>23627.149499999996</v>
      </c>
      <c r="K969" s="2">
        <f t="shared" si="104"/>
        <v>-360.75</v>
      </c>
      <c r="L969" s="7">
        <f t="shared" si="102"/>
        <v>-1.4861488455826464E-2</v>
      </c>
      <c r="M969" s="9"/>
      <c r="N969" s="2">
        <f t="shared" si="105"/>
        <v>26216.05</v>
      </c>
      <c r="O969" s="2">
        <f t="shared" si="103"/>
        <v>-8.7804989691429358E-2</v>
      </c>
      <c r="P969" s="2"/>
    </row>
    <row r="970" spans="1:16" x14ac:dyDescent="0.3">
      <c r="A970" s="3">
        <v>45625</v>
      </c>
      <c r="B970" s="2">
        <v>23927.15</v>
      </c>
      <c r="C970" s="2">
        <v>24188.45</v>
      </c>
      <c r="D970" s="2">
        <v>23927.15</v>
      </c>
      <c r="E970" s="2">
        <v>24131.1</v>
      </c>
      <c r="F970" s="2">
        <v>282104071</v>
      </c>
      <c r="G970" s="2">
        <v>30509.98</v>
      </c>
      <c r="H970" s="2">
        <f t="shared" si="100"/>
        <v>23992.110000000008</v>
      </c>
      <c r="I970" s="2">
        <f t="shared" si="101"/>
        <v>24691.70099999999</v>
      </c>
      <c r="J970" s="2">
        <f t="shared" si="99"/>
        <v>23637.073250000001</v>
      </c>
      <c r="K970" s="2">
        <f t="shared" si="104"/>
        <v>216.94999999999709</v>
      </c>
      <c r="L970" s="7">
        <f t="shared" si="102"/>
        <v>9.0671057773281435E-3</v>
      </c>
      <c r="M970" s="9"/>
      <c r="N970" s="2">
        <f t="shared" si="105"/>
        <v>26216.05</v>
      </c>
      <c r="O970" s="2">
        <f t="shared" si="103"/>
        <v>-7.9529524852142153E-2</v>
      </c>
      <c r="P970" s="2"/>
    </row>
    <row r="971" spans="1:16" x14ac:dyDescent="0.3">
      <c r="A971" s="3">
        <v>45628</v>
      </c>
      <c r="B971" s="2">
        <v>24140.85</v>
      </c>
      <c r="C971" s="2">
        <v>24301.7</v>
      </c>
      <c r="D971" s="2">
        <v>24008.65</v>
      </c>
      <c r="E971" s="2">
        <v>24276.05</v>
      </c>
      <c r="F971" s="2">
        <v>220384187</v>
      </c>
      <c r="G971" s="2">
        <v>23162.75</v>
      </c>
      <c r="H971" s="2">
        <f t="shared" si="100"/>
        <v>23981.622500000005</v>
      </c>
      <c r="I971" s="2">
        <f t="shared" si="101"/>
        <v>24665.951999999994</v>
      </c>
      <c r="J971" s="2">
        <f t="shared" ref="J971:J1034" si="106">AVERAGE(E771:E970)</f>
        <v>23648.076249999998</v>
      </c>
      <c r="K971" s="2">
        <f t="shared" si="104"/>
        <v>144.95000000000073</v>
      </c>
      <c r="L971" s="7">
        <f t="shared" si="102"/>
        <v>6.0043453316681369E-3</v>
      </c>
      <c r="M971" s="9"/>
      <c r="N971" s="2">
        <f t="shared" si="105"/>
        <v>26216.05</v>
      </c>
      <c r="O971" s="2">
        <f t="shared" si="103"/>
        <v>-7.4000469178232442E-2</v>
      </c>
      <c r="P971" s="2"/>
    </row>
    <row r="972" spans="1:16" x14ac:dyDescent="0.3">
      <c r="A972" s="3">
        <v>45629</v>
      </c>
      <c r="B972" s="2">
        <v>24367.5</v>
      </c>
      <c r="C972" s="2">
        <v>24481.35</v>
      </c>
      <c r="D972" s="2">
        <v>24280</v>
      </c>
      <c r="E972" s="2">
        <v>24457.15</v>
      </c>
      <c r="F972" s="2">
        <v>339470947</v>
      </c>
      <c r="G972" s="2">
        <v>34228.300000000003</v>
      </c>
      <c r="H972" s="2">
        <f t="shared" si="100"/>
        <v>23985.157500000005</v>
      </c>
      <c r="I972" s="2">
        <f t="shared" si="101"/>
        <v>24643.921999999999</v>
      </c>
      <c r="J972" s="2">
        <f t="shared" si="106"/>
        <v>23660.866749999997</v>
      </c>
      <c r="K972" s="2">
        <f t="shared" si="104"/>
        <v>181.10000000000218</v>
      </c>
      <c r="L972" s="7">
        <f t="shared" si="102"/>
        <v>7.4320303683185467E-3</v>
      </c>
      <c r="M972" s="9"/>
      <c r="N972" s="2">
        <f t="shared" si="105"/>
        <v>26216.05</v>
      </c>
      <c r="O972" s="2">
        <f t="shared" si="103"/>
        <v>-6.7092487235872578E-2</v>
      </c>
      <c r="P972" s="2"/>
    </row>
    <row r="973" spans="1:16" x14ac:dyDescent="0.3">
      <c r="A973" s="3">
        <v>45630</v>
      </c>
      <c r="B973" s="2">
        <v>24488.75</v>
      </c>
      <c r="C973" s="2">
        <v>24573.200000000001</v>
      </c>
      <c r="D973" s="2">
        <v>24366.3</v>
      </c>
      <c r="E973" s="2">
        <v>24467.45</v>
      </c>
      <c r="F973" s="2">
        <v>348003156</v>
      </c>
      <c r="G973" s="2">
        <v>34639.78</v>
      </c>
      <c r="H973" s="2">
        <f t="shared" si="100"/>
        <v>23992.797500000004</v>
      </c>
      <c r="I973" s="2">
        <f t="shared" si="101"/>
        <v>24624.749</v>
      </c>
      <c r="J973" s="2">
        <f t="shared" si="106"/>
        <v>23674.240000000002</v>
      </c>
      <c r="K973" s="2">
        <f t="shared" si="104"/>
        <v>10.299999999999272</v>
      </c>
      <c r="L973" s="7">
        <f t="shared" si="102"/>
        <v>4.2060129651367559E-4</v>
      </c>
      <c r="M973" s="9"/>
      <c r="N973" s="2">
        <f t="shared" si="105"/>
        <v>26216.05</v>
      </c>
      <c r="O973" s="2">
        <f t="shared" si="103"/>
        <v>-6.6699598146936601E-2</v>
      </c>
      <c r="P973" s="2"/>
    </row>
    <row r="974" spans="1:16" x14ac:dyDescent="0.3">
      <c r="A974" s="3">
        <v>45631</v>
      </c>
      <c r="B974" s="2">
        <v>24539.15</v>
      </c>
      <c r="C974" s="2">
        <v>24857.75</v>
      </c>
      <c r="D974" s="2">
        <v>24295.55</v>
      </c>
      <c r="E974" s="2">
        <v>24708.400000000001</v>
      </c>
      <c r="F974" s="2">
        <v>361469920</v>
      </c>
      <c r="G974" s="2">
        <v>40471.33</v>
      </c>
      <c r="H974" s="2">
        <f t="shared" si="100"/>
        <v>24016.402500000004</v>
      </c>
      <c r="I974" s="2">
        <f t="shared" si="101"/>
        <v>24598.278999999995</v>
      </c>
      <c r="J974" s="2">
        <f t="shared" si="106"/>
        <v>23688.497000000007</v>
      </c>
      <c r="K974" s="2">
        <f t="shared" si="104"/>
        <v>240.95000000000073</v>
      </c>
      <c r="L974" s="7">
        <f t="shared" si="102"/>
        <v>9.8190035107165782E-3</v>
      </c>
      <c r="M974" s="9"/>
      <c r="N974" s="2">
        <f t="shared" si="105"/>
        <v>26216.05</v>
      </c>
      <c r="O974" s="2">
        <f t="shared" si="103"/>
        <v>-5.7508663585856712E-2</v>
      </c>
      <c r="P974" s="2"/>
    </row>
    <row r="975" spans="1:16" x14ac:dyDescent="0.3">
      <c r="A975" s="3">
        <v>45632</v>
      </c>
      <c r="B975" s="2">
        <v>24729.45</v>
      </c>
      <c r="C975" s="2">
        <v>24751.05</v>
      </c>
      <c r="D975" s="2">
        <v>24620.5</v>
      </c>
      <c r="E975" s="2">
        <v>24677.8</v>
      </c>
      <c r="F975" s="2">
        <v>226731303</v>
      </c>
      <c r="G975" s="2">
        <v>23904.13</v>
      </c>
      <c r="H975" s="2">
        <f t="shared" si="100"/>
        <v>24041.157500000005</v>
      </c>
      <c r="I975" s="2">
        <f t="shared" si="101"/>
        <v>24573.665999999997</v>
      </c>
      <c r="J975" s="2">
        <f t="shared" si="106"/>
        <v>23703.322750000007</v>
      </c>
      <c r="K975" s="2">
        <f t="shared" si="104"/>
        <v>-30.600000000002183</v>
      </c>
      <c r="L975" s="7">
        <f t="shared" si="102"/>
        <v>-1.2373910458988041E-3</v>
      </c>
      <c r="M975" s="9"/>
      <c r="N975" s="2">
        <f t="shared" si="105"/>
        <v>26216.05</v>
      </c>
      <c r="O975" s="2">
        <f t="shared" si="103"/>
        <v>-5.8675887481142275E-2</v>
      </c>
      <c r="P975" s="2"/>
    </row>
    <row r="976" spans="1:16" x14ac:dyDescent="0.3">
      <c r="A976" s="3">
        <v>45635</v>
      </c>
      <c r="B976" s="2">
        <v>24633.9</v>
      </c>
      <c r="C976" s="2">
        <v>24705</v>
      </c>
      <c r="D976" s="2">
        <v>24580.05</v>
      </c>
      <c r="E976" s="2">
        <v>24619</v>
      </c>
      <c r="F976" s="2">
        <v>248139308</v>
      </c>
      <c r="G976" s="2">
        <v>25099.79</v>
      </c>
      <c r="H976" s="2">
        <f t="shared" si="100"/>
        <v>24050.845000000005</v>
      </c>
      <c r="I976" s="2">
        <f t="shared" si="101"/>
        <v>24548.413999999993</v>
      </c>
      <c r="J976" s="2">
        <f t="shared" si="106"/>
        <v>23717.511500000011</v>
      </c>
      <c r="K976" s="2">
        <f t="shared" si="104"/>
        <v>-58.799999999999272</v>
      </c>
      <c r="L976" s="7">
        <f t="shared" si="102"/>
        <v>-2.3869545626149036E-3</v>
      </c>
      <c r="M976" s="9"/>
      <c r="N976" s="2">
        <f t="shared" si="105"/>
        <v>26216.05</v>
      </c>
      <c r="O976" s="2">
        <f t="shared" si="103"/>
        <v>-6.091878829953401E-2</v>
      </c>
      <c r="P976" s="2"/>
    </row>
    <row r="977" spans="1:16" x14ac:dyDescent="0.3">
      <c r="A977" s="3">
        <v>45636</v>
      </c>
      <c r="B977" s="2">
        <v>24652.65</v>
      </c>
      <c r="C977" s="2">
        <v>24677.8</v>
      </c>
      <c r="D977" s="2">
        <v>24510.65</v>
      </c>
      <c r="E977" s="2">
        <v>24610.05</v>
      </c>
      <c r="F977" s="2">
        <v>261048951</v>
      </c>
      <c r="G977" s="2">
        <v>26093.38</v>
      </c>
      <c r="H977" s="2">
        <f t="shared" si="100"/>
        <v>24071.827500000003</v>
      </c>
      <c r="I977" s="2">
        <f t="shared" si="101"/>
        <v>24520.710999999996</v>
      </c>
      <c r="J977" s="2">
        <f t="shared" si="106"/>
        <v>23731.052750000013</v>
      </c>
      <c r="K977" s="2">
        <f t="shared" si="104"/>
        <v>-8.9500000000007276</v>
      </c>
      <c r="L977" s="7">
        <f t="shared" si="102"/>
        <v>-3.6304413521470215E-4</v>
      </c>
      <c r="M977" s="9"/>
      <c r="N977" s="2">
        <f t="shared" si="105"/>
        <v>26216.05</v>
      </c>
      <c r="O977" s="2">
        <f t="shared" si="103"/>
        <v>-6.1260182216619219E-2</v>
      </c>
      <c r="P977" s="2"/>
    </row>
    <row r="978" spans="1:16" x14ac:dyDescent="0.3">
      <c r="A978" s="3">
        <v>45637</v>
      </c>
      <c r="B978" s="2">
        <v>24620.5</v>
      </c>
      <c r="C978" s="2">
        <v>24691.75</v>
      </c>
      <c r="D978" s="2">
        <v>24583.85</v>
      </c>
      <c r="E978" s="2">
        <v>24641.8</v>
      </c>
      <c r="F978" s="2">
        <v>187252712</v>
      </c>
      <c r="G978" s="2">
        <v>21592.23</v>
      </c>
      <c r="H978" s="2">
        <f t="shared" si="100"/>
        <v>24094.92</v>
      </c>
      <c r="I978" s="2">
        <f t="shared" si="101"/>
        <v>24488.591</v>
      </c>
      <c r="J978" s="2">
        <f t="shared" si="106"/>
        <v>23743.89950000001</v>
      </c>
      <c r="K978" s="2">
        <f t="shared" si="104"/>
        <v>31.75</v>
      </c>
      <c r="L978" s="7">
        <f t="shared" si="102"/>
        <v>1.2895757600373673E-3</v>
      </c>
      <c r="M978" s="9"/>
      <c r="N978" s="2">
        <f t="shared" si="105"/>
        <v>26216.05</v>
      </c>
      <c r="O978" s="2">
        <f t="shared" si="103"/>
        <v>-6.0049092063831133E-2</v>
      </c>
      <c r="P978" s="2"/>
    </row>
    <row r="979" spans="1:16" x14ac:dyDescent="0.3">
      <c r="A979" s="3">
        <v>45638</v>
      </c>
      <c r="B979" s="2">
        <v>24604.45</v>
      </c>
      <c r="C979" s="2">
        <v>24675.25</v>
      </c>
      <c r="D979" s="2">
        <v>24527.95</v>
      </c>
      <c r="E979" s="2">
        <v>24548.7</v>
      </c>
      <c r="F979" s="2">
        <v>266051129</v>
      </c>
      <c r="G979" s="2">
        <v>28235.17</v>
      </c>
      <c r="H979" s="2">
        <f t="shared" si="100"/>
        <v>24119.945</v>
      </c>
      <c r="I979" s="2">
        <f t="shared" si="101"/>
        <v>24457.847999999998</v>
      </c>
      <c r="J979" s="2">
        <f t="shared" si="106"/>
        <v>23756.497250000011</v>
      </c>
      <c r="K979" s="2">
        <f t="shared" si="104"/>
        <v>-93.099999999998545</v>
      </c>
      <c r="L979" s="7">
        <f t="shared" si="102"/>
        <v>-3.7838683652753279E-3</v>
      </c>
      <c r="M979" s="9"/>
      <c r="N979" s="2">
        <f t="shared" si="105"/>
        <v>26216.05</v>
      </c>
      <c r="O979" s="2">
        <f t="shared" si="103"/>
        <v>-6.3600351692951418E-2</v>
      </c>
      <c r="P979" s="2"/>
    </row>
    <row r="980" spans="1:16" x14ac:dyDescent="0.3">
      <c r="A980" s="3">
        <v>45639</v>
      </c>
      <c r="B980" s="2">
        <v>24498.35</v>
      </c>
      <c r="C980" s="2">
        <v>24792.3</v>
      </c>
      <c r="D980" s="2">
        <v>24180.799999999999</v>
      </c>
      <c r="E980" s="2">
        <v>24768.3</v>
      </c>
      <c r="F980" s="2">
        <v>310080852</v>
      </c>
      <c r="G980" s="2">
        <v>30429.73</v>
      </c>
      <c r="H980" s="2">
        <f t="shared" si="100"/>
        <v>24153.2075</v>
      </c>
      <c r="I980" s="2">
        <f t="shared" si="101"/>
        <v>24432.605</v>
      </c>
      <c r="J980" s="2">
        <f t="shared" si="106"/>
        <v>23768.256000000016</v>
      </c>
      <c r="K980" s="2">
        <f t="shared" si="104"/>
        <v>219.59999999999854</v>
      </c>
      <c r="L980" s="7">
        <f t="shared" si="102"/>
        <v>8.9638689952588058E-3</v>
      </c>
      <c r="M980" s="9"/>
      <c r="N980" s="2">
        <f t="shared" si="105"/>
        <v>26216.05</v>
      </c>
      <c r="O980" s="2">
        <f t="shared" si="103"/>
        <v>-5.5223803738549515E-2</v>
      </c>
      <c r="P980" s="2"/>
    </row>
    <row r="981" spans="1:16" x14ac:dyDescent="0.3">
      <c r="A981" s="3">
        <v>45642</v>
      </c>
      <c r="B981" s="2">
        <v>24753.4</v>
      </c>
      <c r="C981" s="2">
        <v>24781.25</v>
      </c>
      <c r="D981" s="2">
        <v>24601.75</v>
      </c>
      <c r="E981" s="2">
        <v>24668.25</v>
      </c>
      <c r="F981" s="2">
        <v>187551629</v>
      </c>
      <c r="G981" s="2">
        <v>18608.23</v>
      </c>
      <c r="H981" s="2">
        <f t="shared" si="100"/>
        <v>24213.670000000002</v>
      </c>
      <c r="I981" s="2">
        <f t="shared" si="101"/>
        <v>24412.033000000003</v>
      </c>
      <c r="J981" s="2">
        <f t="shared" si="106"/>
        <v>23781.822250000012</v>
      </c>
      <c r="K981" s="2">
        <f t="shared" si="104"/>
        <v>-100.04999999999927</v>
      </c>
      <c r="L981" s="7">
        <f t="shared" si="102"/>
        <v>-4.0418689957742882E-3</v>
      </c>
      <c r="M981" s="9"/>
      <c r="N981" s="2">
        <f t="shared" si="105"/>
        <v>26216.05</v>
      </c>
      <c r="O981" s="2">
        <f t="shared" si="103"/>
        <v>-5.904016814127222E-2</v>
      </c>
      <c r="P981" s="2"/>
    </row>
    <row r="982" spans="1:16" x14ac:dyDescent="0.3">
      <c r="A982" s="3">
        <v>45643</v>
      </c>
      <c r="B982" s="2">
        <v>24584.799999999999</v>
      </c>
      <c r="C982" s="2">
        <v>24624.1</v>
      </c>
      <c r="D982" s="2">
        <v>24303.45</v>
      </c>
      <c r="E982" s="2">
        <v>24336</v>
      </c>
      <c r="F982" s="2">
        <v>264881033</v>
      </c>
      <c r="G982" s="2">
        <v>26765.16</v>
      </c>
      <c r="H982" s="2">
        <f t="shared" si="100"/>
        <v>24270.447500000002</v>
      </c>
      <c r="I982" s="2">
        <f t="shared" si="101"/>
        <v>24400.396000000004</v>
      </c>
      <c r="J982" s="2">
        <f t="shared" si="106"/>
        <v>23794.076250000013</v>
      </c>
      <c r="K982" s="2">
        <f t="shared" si="104"/>
        <v>-332.25</v>
      </c>
      <c r="L982" s="7">
        <f t="shared" si="102"/>
        <v>-1.3514447951579838E-2</v>
      </c>
      <c r="M982" s="9"/>
      <c r="N982" s="2">
        <f t="shared" si="105"/>
        <v>26216.05</v>
      </c>
      <c r="O982" s="2">
        <f t="shared" si="103"/>
        <v>-7.1713702102338073E-2</v>
      </c>
      <c r="P982" s="2"/>
    </row>
    <row r="983" spans="1:16" x14ac:dyDescent="0.3">
      <c r="A983" s="3">
        <v>45644</v>
      </c>
      <c r="B983" s="2">
        <v>24297.95</v>
      </c>
      <c r="C983" s="2">
        <v>24394.45</v>
      </c>
      <c r="D983" s="2">
        <v>24149.85</v>
      </c>
      <c r="E983" s="2">
        <v>24198.85</v>
      </c>
      <c r="F983" s="2">
        <v>235346534</v>
      </c>
      <c r="G983" s="2">
        <v>23315.919999999998</v>
      </c>
      <c r="H983" s="2">
        <f t="shared" ref="H983:H1046" si="107">AVERAGE(E963:E982)</f>
        <v>24314.557499999999</v>
      </c>
      <c r="I983" s="2">
        <f t="shared" si="101"/>
        <v>24386.824000000004</v>
      </c>
      <c r="J983" s="2">
        <f t="shared" si="106"/>
        <v>23804.692750000009</v>
      </c>
      <c r="K983" s="2">
        <f t="shared" si="104"/>
        <v>-137.15000000000146</v>
      </c>
      <c r="L983" s="7">
        <f t="shared" si="102"/>
        <v>-5.6445091046776145E-3</v>
      </c>
      <c r="M983" s="9"/>
      <c r="N983" s="2">
        <f t="shared" si="105"/>
        <v>26216.05</v>
      </c>
      <c r="O983" s="2">
        <f t="shared" si="103"/>
        <v>-7.6945230116665209E-2</v>
      </c>
      <c r="P983" s="2"/>
    </row>
    <row r="984" spans="1:16" x14ac:dyDescent="0.3">
      <c r="A984" s="3">
        <v>45645</v>
      </c>
      <c r="B984" s="2">
        <v>23877.15</v>
      </c>
      <c r="C984" s="2">
        <v>24004.9</v>
      </c>
      <c r="D984" s="2">
        <v>23870.3</v>
      </c>
      <c r="E984" s="2">
        <v>23951.7</v>
      </c>
      <c r="F984" s="2">
        <v>271128027</v>
      </c>
      <c r="G984" s="2">
        <v>27815.23</v>
      </c>
      <c r="H984" s="2">
        <f t="shared" si="107"/>
        <v>24348.574999999997</v>
      </c>
      <c r="I984" s="2">
        <f t="shared" si="101"/>
        <v>24374.886000000006</v>
      </c>
      <c r="J984" s="2">
        <f t="shared" si="106"/>
        <v>23815.076750000007</v>
      </c>
      <c r="K984" s="2">
        <f t="shared" si="104"/>
        <v>-247.14999999999782</v>
      </c>
      <c r="L984" s="7">
        <f t="shared" si="102"/>
        <v>-1.0350900337770539E-2</v>
      </c>
      <c r="M984" s="9"/>
      <c r="N984" s="2">
        <f t="shared" si="105"/>
        <v>26216.05</v>
      </c>
      <c r="O984" s="2">
        <f t="shared" si="103"/>
        <v>-8.6372661022541486E-2</v>
      </c>
      <c r="P984" s="2"/>
    </row>
    <row r="985" spans="1:16" x14ac:dyDescent="0.3">
      <c r="A985" s="3">
        <v>45646</v>
      </c>
      <c r="B985" s="2">
        <v>23960.7</v>
      </c>
      <c r="C985" s="2">
        <v>24065.8</v>
      </c>
      <c r="D985" s="2">
        <v>23537.35</v>
      </c>
      <c r="E985" s="2">
        <v>23587.5</v>
      </c>
      <c r="F985" s="2">
        <v>442714411</v>
      </c>
      <c r="G985" s="2">
        <v>47084.68</v>
      </c>
      <c r="H985" s="2">
        <f t="shared" si="107"/>
        <v>24378.664999999997</v>
      </c>
      <c r="I985" s="2">
        <f t="shared" si="101"/>
        <v>24353.657000000003</v>
      </c>
      <c r="J985" s="2">
        <f t="shared" si="106"/>
        <v>23823.843500000006</v>
      </c>
      <c r="K985" s="2">
        <f t="shared" si="104"/>
        <v>-364.20000000000073</v>
      </c>
      <c r="L985" s="7">
        <f t="shared" si="102"/>
        <v>-1.5199889819579591E-2</v>
      </c>
      <c r="M985" s="9"/>
      <c r="N985" s="2">
        <f t="shared" si="105"/>
        <v>26216.05</v>
      </c>
      <c r="O985" s="2">
        <f t="shared" si="103"/>
        <v>-0.10026491405074367</v>
      </c>
      <c r="P985" s="2"/>
    </row>
    <row r="986" spans="1:16" x14ac:dyDescent="0.3">
      <c r="A986" s="3">
        <v>45649</v>
      </c>
      <c r="B986" s="2">
        <v>23738.2</v>
      </c>
      <c r="C986" s="2">
        <v>23869.55</v>
      </c>
      <c r="D986" s="2">
        <v>23647.200000000001</v>
      </c>
      <c r="E986" s="2">
        <v>23753.45</v>
      </c>
      <c r="F986" s="2">
        <v>189758237</v>
      </c>
      <c r="G986" s="2">
        <v>18243.28</v>
      </c>
      <c r="H986" s="2">
        <f t="shared" si="107"/>
        <v>24362.677499999998</v>
      </c>
      <c r="I986" s="2">
        <f t="shared" si="101"/>
        <v>24325.768000000004</v>
      </c>
      <c r="J986" s="2">
        <f t="shared" si="106"/>
        <v>23832.02525000001</v>
      </c>
      <c r="K986" s="2">
        <f t="shared" si="104"/>
        <v>165.95000000000073</v>
      </c>
      <c r="L986" s="7">
        <f t="shared" si="102"/>
        <v>6.9908417655930406E-3</v>
      </c>
      <c r="M986" s="9"/>
      <c r="N986" s="2">
        <f t="shared" si="105"/>
        <v>26216.05</v>
      </c>
      <c r="O986" s="2">
        <f t="shared" si="103"/>
        <v>-9.3934822370265514E-2</v>
      </c>
      <c r="P986" s="2"/>
    </row>
    <row r="987" spans="1:16" x14ac:dyDescent="0.3">
      <c r="A987" s="3">
        <v>45650</v>
      </c>
      <c r="B987" s="2">
        <v>23769.1</v>
      </c>
      <c r="C987" s="2">
        <v>23867.65</v>
      </c>
      <c r="D987" s="2">
        <v>23685.15</v>
      </c>
      <c r="E987" s="2">
        <v>23727.65</v>
      </c>
      <c r="F987" s="2">
        <v>177664746</v>
      </c>
      <c r="G987" s="2">
        <v>16010.71</v>
      </c>
      <c r="H987" s="2">
        <f t="shared" si="107"/>
        <v>24339.254999999997</v>
      </c>
      <c r="I987" s="2">
        <f t="shared" si="101"/>
        <v>24300.868000000002</v>
      </c>
      <c r="J987" s="2">
        <f t="shared" si="106"/>
        <v>23840.87850000001</v>
      </c>
      <c r="K987" s="2">
        <f t="shared" si="104"/>
        <v>-25.799999999999272</v>
      </c>
      <c r="L987" s="7">
        <f t="shared" si="102"/>
        <v>-1.0854428648959899E-3</v>
      </c>
      <c r="M987" s="9"/>
      <c r="N987" s="2">
        <f t="shared" si="105"/>
        <v>26216.05</v>
      </c>
      <c r="O987" s="2">
        <f t="shared" si="103"/>
        <v>-9.4918952321192518E-2</v>
      </c>
      <c r="P987" s="2"/>
    </row>
    <row r="988" spans="1:16" x14ac:dyDescent="0.3">
      <c r="A988" s="3">
        <v>45652</v>
      </c>
      <c r="B988" s="2">
        <v>23775.8</v>
      </c>
      <c r="C988" s="2">
        <v>23854.5</v>
      </c>
      <c r="D988" s="2">
        <v>23653.599999999999</v>
      </c>
      <c r="E988" s="2">
        <v>23750.2</v>
      </c>
      <c r="F988" s="2">
        <v>177681783</v>
      </c>
      <c r="G988" s="2">
        <v>16695.099999999999</v>
      </c>
      <c r="H988" s="2">
        <f t="shared" si="107"/>
        <v>24315.912499999999</v>
      </c>
      <c r="I988" s="2">
        <f t="shared" si="101"/>
        <v>24276.136000000002</v>
      </c>
      <c r="J988" s="2">
        <f t="shared" si="106"/>
        <v>23847.823000000008</v>
      </c>
      <c r="K988" s="2">
        <f t="shared" si="104"/>
        <v>22.549999999999272</v>
      </c>
      <c r="L988" s="7">
        <f t="shared" si="102"/>
        <v>9.4844337519659795E-4</v>
      </c>
      <c r="M988" s="9"/>
      <c r="N988" s="2">
        <f t="shared" si="105"/>
        <v>26216.05</v>
      </c>
      <c r="O988" s="2">
        <f t="shared" si="103"/>
        <v>-9.4058792228424948E-2</v>
      </c>
      <c r="P988" s="2"/>
    </row>
    <row r="989" spans="1:16" x14ac:dyDescent="0.3">
      <c r="A989" s="3">
        <v>45653</v>
      </c>
      <c r="B989" s="2">
        <v>23801.4</v>
      </c>
      <c r="C989" s="2">
        <v>23938.85</v>
      </c>
      <c r="D989" s="2">
        <v>23800.6</v>
      </c>
      <c r="E989" s="2">
        <v>23813.4</v>
      </c>
      <c r="F989" s="2">
        <v>176821521</v>
      </c>
      <c r="G989" s="2">
        <v>17164.990000000002</v>
      </c>
      <c r="H989" s="2">
        <f t="shared" si="107"/>
        <v>24289.677499999998</v>
      </c>
      <c r="I989" s="2">
        <f t="shared" si="101"/>
        <v>24248.581000000002</v>
      </c>
      <c r="J989" s="2">
        <f t="shared" si="106"/>
        <v>23854.546000000006</v>
      </c>
      <c r="K989" s="2">
        <f t="shared" si="104"/>
        <v>63.200000000000728</v>
      </c>
      <c r="L989" s="7">
        <f t="shared" si="102"/>
        <v>2.6553059904039561E-3</v>
      </c>
      <c r="M989" s="9"/>
      <c r="N989" s="2">
        <f t="shared" si="105"/>
        <v>26216.05</v>
      </c>
      <c r="O989" s="2">
        <f t="shared" si="103"/>
        <v>-9.1648055294371145E-2</v>
      </c>
      <c r="P989" s="2"/>
    </row>
    <row r="990" spans="1:16" x14ac:dyDescent="0.3">
      <c r="A990" s="3">
        <v>45656</v>
      </c>
      <c r="B990" s="2">
        <v>23796.9</v>
      </c>
      <c r="C990" s="2">
        <v>23915.35</v>
      </c>
      <c r="D990" s="2">
        <v>23599.3</v>
      </c>
      <c r="E990" s="2">
        <v>23644.9</v>
      </c>
      <c r="F990" s="2">
        <v>364929453</v>
      </c>
      <c r="G990" s="2">
        <v>33823.949999999997</v>
      </c>
      <c r="H990" s="2">
        <f t="shared" si="107"/>
        <v>24284.640000000003</v>
      </c>
      <c r="I990" s="2">
        <f t="shared" si="101"/>
        <v>24223.701999999997</v>
      </c>
      <c r="J990" s="2">
        <f t="shared" si="106"/>
        <v>23861.831500000008</v>
      </c>
      <c r="K990" s="2">
        <f t="shared" si="104"/>
        <v>-168.5</v>
      </c>
      <c r="L990" s="7">
        <f t="shared" si="102"/>
        <v>-7.0807542158852618E-3</v>
      </c>
      <c r="M990" s="9"/>
      <c r="N990" s="2">
        <f t="shared" si="105"/>
        <v>26216.05</v>
      </c>
      <c r="O990" s="2">
        <f t="shared" si="103"/>
        <v>-9.8075415632789764E-2</v>
      </c>
      <c r="P990" s="2"/>
    </row>
    <row r="991" spans="1:16" x14ac:dyDescent="0.3">
      <c r="A991" s="3">
        <v>45657</v>
      </c>
      <c r="B991" s="2">
        <v>23560.6</v>
      </c>
      <c r="C991" s="2">
        <v>23689.85</v>
      </c>
      <c r="D991" s="2">
        <v>23460.45</v>
      </c>
      <c r="E991" s="2">
        <v>23644.799999999999</v>
      </c>
      <c r="F991" s="2">
        <v>193627727</v>
      </c>
      <c r="G991" s="2">
        <v>18646.79</v>
      </c>
      <c r="H991" s="2">
        <f t="shared" si="107"/>
        <v>24260.33</v>
      </c>
      <c r="I991" s="2">
        <f t="shared" si="101"/>
        <v>24197.173999999995</v>
      </c>
      <c r="J991" s="2">
        <f t="shared" si="106"/>
        <v>23867.685750000011</v>
      </c>
      <c r="K991" s="2">
        <f t="shared" si="104"/>
        <v>-0.10000000000218279</v>
      </c>
      <c r="L991" s="7">
        <f t="shared" si="102"/>
        <v>-4.244374082246751E-6</v>
      </c>
      <c r="M991" s="9"/>
      <c r="N991" s="2">
        <f t="shared" si="105"/>
        <v>26216.05</v>
      </c>
      <c r="O991" s="2">
        <f t="shared" si="103"/>
        <v>-9.8079230089963998E-2</v>
      </c>
      <c r="P991" s="2"/>
    </row>
    <row r="992" spans="1:16" x14ac:dyDescent="0.3">
      <c r="A992" s="3">
        <v>45658</v>
      </c>
      <c r="B992" s="2">
        <v>23637.65</v>
      </c>
      <c r="C992" s="2">
        <v>23822.799999999999</v>
      </c>
      <c r="D992" s="2">
        <v>23562.799999999999</v>
      </c>
      <c r="E992" s="2">
        <v>23742.9</v>
      </c>
      <c r="F992" s="2">
        <v>154921938</v>
      </c>
      <c r="G992" s="2">
        <v>14266.26</v>
      </c>
      <c r="H992" s="2">
        <f t="shared" si="107"/>
        <v>24228.767500000005</v>
      </c>
      <c r="I992" s="2">
        <f t="shared" si="101"/>
        <v>24175.072999999993</v>
      </c>
      <c r="J992" s="2">
        <f t="shared" si="106"/>
        <v>23873.442000000006</v>
      </c>
      <c r="K992" s="2">
        <f t="shared" si="104"/>
        <v>98.100000000002183</v>
      </c>
      <c r="L992" s="7">
        <f t="shared" si="102"/>
        <v>4.15015875097576E-3</v>
      </c>
      <c r="M992" s="9"/>
      <c r="N992" s="2">
        <f t="shared" si="105"/>
        <v>26216.05</v>
      </c>
      <c r="O992" s="2">
        <f t="shared" si="103"/>
        <v>-9.4337247602136798E-2</v>
      </c>
      <c r="P992" s="2"/>
    </row>
    <row r="993" spans="1:16" x14ac:dyDescent="0.3">
      <c r="A993" s="3">
        <v>45659</v>
      </c>
      <c r="B993" s="2">
        <v>23783</v>
      </c>
      <c r="C993" s="2">
        <v>24226.7</v>
      </c>
      <c r="D993" s="2">
        <v>23751.55</v>
      </c>
      <c r="E993" s="2">
        <v>24188.65</v>
      </c>
      <c r="F993" s="2">
        <v>283200811</v>
      </c>
      <c r="G993" s="2">
        <v>32237.25</v>
      </c>
      <c r="H993" s="2">
        <f t="shared" si="107"/>
        <v>24193.055000000004</v>
      </c>
      <c r="I993" s="2">
        <f t="shared" si="101"/>
        <v>24152.849999999995</v>
      </c>
      <c r="J993" s="2">
        <f t="shared" si="106"/>
        <v>23880.493250000007</v>
      </c>
      <c r="K993" s="2">
        <f t="shared" si="104"/>
        <v>445.75</v>
      </c>
      <c r="L993" s="7">
        <f t="shared" si="102"/>
        <v>1.8742379010217382E-2</v>
      </c>
      <c r="M993" s="9"/>
      <c r="N993" s="2">
        <f t="shared" si="105"/>
        <v>26216.05</v>
      </c>
      <c r="O993" s="2">
        <f t="shared" si="103"/>
        <v>-7.7334304748426952E-2</v>
      </c>
      <c r="P993" s="2"/>
    </row>
    <row r="994" spans="1:16" x14ac:dyDescent="0.3">
      <c r="A994" s="3">
        <v>45660</v>
      </c>
      <c r="B994" s="2">
        <v>24196.400000000001</v>
      </c>
      <c r="C994" s="2">
        <v>24196.45</v>
      </c>
      <c r="D994" s="2">
        <v>23976</v>
      </c>
      <c r="E994" s="2">
        <v>24004.75</v>
      </c>
      <c r="F994" s="2">
        <v>312279515</v>
      </c>
      <c r="G994" s="2">
        <v>29411.99</v>
      </c>
      <c r="H994" s="2">
        <f t="shared" si="107"/>
        <v>24179.115000000005</v>
      </c>
      <c r="I994" s="2">
        <f t="shared" si="101"/>
        <v>24141.000999999997</v>
      </c>
      <c r="J994" s="2">
        <f t="shared" si="106"/>
        <v>23889.758000000009</v>
      </c>
      <c r="K994" s="2">
        <f t="shared" si="104"/>
        <v>-183.90000000000146</v>
      </c>
      <c r="L994" s="7">
        <f t="shared" si="102"/>
        <v>-7.6003041774810069E-3</v>
      </c>
      <c r="M994" s="9"/>
      <c r="N994" s="2">
        <f t="shared" si="105"/>
        <v>26216.05</v>
      </c>
      <c r="O994" s="2">
        <f t="shared" si="103"/>
        <v>-8.4349091491662476E-2</v>
      </c>
      <c r="P994" s="2"/>
    </row>
    <row r="995" spans="1:16" x14ac:dyDescent="0.3">
      <c r="A995" s="3">
        <v>45663</v>
      </c>
      <c r="B995" s="2">
        <v>24045.8</v>
      </c>
      <c r="C995" s="2">
        <v>24089.95</v>
      </c>
      <c r="D995" s="2">
        <v>23551.9</v>
      </c>
      <c r="E995" s="2">
        <v>23616.05</v>
      </c>
      <c r="F995" s="2">
        <v>278061806</v>
      </c>
      <c r="G995" s="2">
        <v>25853.64</v>
      </c>
      <c r="H995" s="2">
        <f t="shared" si="107"/>
        <v>24143.932500000006</v>
      </c>
      <c r="I995" s="2">
        <f t="shared" si="101"/>
        <v>24131.653999999995</v>
      </c>
      <c r="J995" s="2">
        <f t="shared" si="106"/>
        <v>23899.79325000001</v>
      </c>
      <c r="K995" s="2">
        <f t="shared" si="104"/>
        <v>-388.70000000000073</v>
      </c>
      <c r="L995" s="7">
        <f t="shared" si="102"/>
        <v>-1.6164985153332423E-2</v>
      </c>
      <c r="M995" s="9"/>
      <c r="N995" s="2">
        <f t="shared" si="105"/>
        <v>26216.05</v>
      </c>
      <c r="O995" s="2">
        <f t="shared" si="103"/>
        <v>-9.9175886527527957E-2</v>
      </c>
      <c r="P995" s="2"/>
    </row>
    <row r="996" spans="1:16" x14ac:dyDescent="0.3">
      <c r="A996" s="3">
        <v>45664</v>
      </c>
      <c r="B996" s="2">
        <v>23679.9</v>
      </c>
      <c r="C996" s="2">
        <v>23795.200000000001</v>
      </c>
      <c r="D996" s="2">
        <v>23637.8</v>
      </c>
      <c r="E996" s="2">
        <v>23707.9</v>
      </c>
      <c r="F996" s="2">
        <v>262337253</v>
      </c>
      <c r="G996" s="2">
        <v>22485.65</v>
      </c>
      <c r="H996" s="2">
        <f t="shared" si="107"/>
        <v>24090.845000000008</v>
      </c>
      <c r="I996" s="2">
        <f t="shared" si="101"/>
        <v>24115.264999999999</v>
      </c>
      <c r="J996" s="2">
        <f t="shared" si="106"/>
        <v>23907.140250000008</v>
      </c>
      <c r="K996" s="2">
        <f t="shared" si="104"/>
        <v>91.850000000002183</v>
      </c>
      <c r="L996" s="7">
        <f t="shared" si="102"/>
        <v>3.8788170558153616E-3</v>
      </c>
      <c r="M996" s="9"/>
      <c r="N996" s="2">
        <f t="shared" si="105"/>
        <v>26216.05</v>
      </c>
      <c r="O996" s="2">
        <f t="shared" si="103"/>
        <v>-9.5672307613084318E-2</v>
      </c>
      <c r="P996" s="2"/>
    </row>
    <row r="997" spans="1:16" x14ac:dyDescent="0.3">
      <c r="A997" s="3">
        <v>45665</v>
      </c>
      <c r="B997" s="2">
        <v>23746.65</v>
      </c>
      <c r="C997" s="2">
        <v>23751.85</v>
      </c>
      <c r="D997" s="2">
        <v>23496.15</v>
      </c>
      <c r="E997" s="2">
        <v>23688.95</v>
      </c>
      <c r="F997" s="2">
        <v>266375381</v>
      </c>
      <c r="G997" s="2">
        <v>24718.54</v>
      </c>
      <c r="H997" s="2">
        <f t="shared" si="107"/>
        <v>24045.290000000008</v>
      </c>
      <c r="I997" s="2">
        <f t="shared" si="101"/>
        <v>24101.434999999994</v>
      </c>
      <c r="J997" s="2">
        <f t="shared" si="106"/>
        <v>23915.563000000013</v>
      </c>
      <c r="K997" s="2">
        <f t="shared" si="104"/>
        <v>-18.950000000000728</v>
      </c>
      <c r="L997" s="7">
        <f t="shared" si="102"/>
        <v>-7.9800729787151987E-4</v>
      </c>
      <c r="M997" s="9"/>
      <c r="N997" s="2">
        <f t="shared" si="105"/>
        <v>26216.05</v>
      </c>
      <c r="O997" s="2">
        <f t="shared" si="103"/>
        <v>-9.6395147247583024E-2</v>
      </c>
      <c r="P997" s="2"/>
    </row>
    <row r="998" spans="1:16" x14ac:dyDescent="0.3">
      <c r="A998" s="3">
        <v>45666</v>
      </c>
      <c r="B998" s="2">
        <v>23674.75</v>
      </c>
      <c r="C998" s="2">
        <v>23689.5</v>
      </c>
      <c r="D998" s="2">
        <v>23503.05</v>
      </c>
      <c r="E998" s="2">
        <v>23526.5</v>
      </c>
      <c r="F998" s="2">
        <v>269239831</v>
      </c>
      <c r="G998" s="2">
        <v>26793.85</v>
      </c>
      <c r="H998" s="2">
        <f t="shared" si="107"/>
        <v>23999.235000000008</v>
      </c>
      <c r="I998" s="2">
        <f t="shared" si="101"/>
        <v>24091.597999999998</v>
      </c>
      <c r="J998" s="2">
        <f t="shared" si="106"/>
        <v>23923.729250000011</v>
      </c>
      <c r="K998" s="2">
        <f t="shared" si="104"/>
        <v>-162.45000000000073</v>
      </c>
      <c r="L998" s="7">
        <f t="shared" si="102"/>
        <v>-6.8617408842754721E-3</v>
      </c>
      <c r="M998" s="9"/>
      <c r="N998" s="2">
        <f t="shared" si="105"/>
        <v>26216.05</v>
      </c>
      <c r="O998" s="2">
        <f t="shared" si="103"/>
        <v>-0.10259173292696644</v>
      </c>
      <c r="P998" s="2"/>
    </row>
    <row r="999" spans="1:16" x14ac:dyDescent="0.3">
      <c r="A999" s="3">
        <v>45667</v>
      </c>
      <c r="B999" s="2">
        <v>23551.9</v>
      </c>
      <c r="C999" s="2">
        <v>23596.6</v>
      </c>
      <c r="D999" s="2">
        <v>23344.35</v>
      </c>
      <c r="E999" s="2">
        <v>23431.5</v>
      </c>
      <c r="F999" s="2">
        <v>261022434</v>
      </c>
      <c r="G999" s="2">
        <v>25017.599999999999</v>
      </c>
      <c r="H999" s="2">
        <f t="shared" si="107"/>
        <v>23943.470000000008</v>
      </c>
      <c r="I999" s="2">
        <f t="shared" si="101"/>
        <v>24075.345000000001</v>
      </c>
      <c r="J999" s="2">
        <f t="shared" si="106"/>
        <v>23932.27450000001</v>
      </c>
      <c r="K999" s="2">
        <f t="shared" si="104"/>
        <v>-95</v>
      </c>
      <c r="L999" s="7">
        <f t="shared" si="102"/>
        <v>-4.033644843940404E-3</v>
      </c>
      <c r="M999" s="9"/>
      <c r="N999" s="2">
        <f t="shared" si="105"/>
        <v>26216.05</v>
      </c>
      <c r="O999" s="2">
        <f t="shared" si="103"/>
        <v>-0.10621546724239539</v>
      </c>
      <c r="P999" s="2"/>
    </row>
    <row r="1000" spans="1:16" x14ac:dyDescent="0.3">
      <c r="A1000" s="3">
        <v>45670</v>
      </c>
      <c r="B1000" s="2">
        <v>23195.4</v>
      </c>
      <c r="C1000" s="2">
        <v>23340.95</v>
      </c>
      <c r="D1000" s="2">
        <v>23047.25</v>
      </c>
      <c r="E1000" s="2">
        <v>23085.95</v>
      </c>
      <c r="F1000" s="2">
        <v>316481107</v>
      </c>
      <c r="G1000" s="2">
        <v>26890.37</v>
      </c>
      <c r="H1000" s="2">
        <f t="shared" si="107"/>
        <v>23887.610000000004</v>
      </c>
      <c r="I1000" s="2">
        <f t="shared" si="101"/>
        <v>24054.638000000003</v>
      </c>
      <c r="J1000" s="2">
        <f t="shared" si="106"/>
        <v>23940.23650000001</v>
      </c>
      <c r="K1000" s="2">
        <f t="shared" si="104"/>
        <v>-345.54999999999927</v>
      </c>
      <c r="L1000" s="7">
        <f t="shared" si="102"/>
        <v>-1.4897350336704659E-2</v>
      </c>
      <c r="M1000" s="9"/>
      <c r="N1000" s="2">
        <f t="shared" si="105"/>
        <v>26216.05</v>
      </c>
      <c r="O1000" s="2">
        <f t="shared" si="103"/>
        <v>-0.11939632400762124</v>
      </c>
      <c r="P1000" s="2"/>
    </row>
    <row r="1001" spans="1:16" x14ac:dyDescent="0.3">
      <c r="A1001" s="3">
        <v>45671</v>
      </c>
      <c r="B1001" s="2">
        <v>23165.9</v>
      </c>
      <c r="C1001" s="2">
        <v>23264.95</v>
      </c>
      <c r="D1001" s="2">
        <v>23134.15</v>
      </c>
      <c r="E1001" s="2">
        <v>23176.05</v>
      </c>
      <c r="F1001" s="2">
        <v>311235510</v>
      </c>
      <c r="G1001" s="2">
        <v>31174.05</v>
      </c>
      <c r="H1001" s="2">
        <f t="shared" si="107"/>
        <v>23803.492500000004</v>
      </c>
      <c r="I1001" s="2">
        <f t="shared" si="101"/>
        <v>24029.54</v>
      </c>
      <c r="J1001" s="2">
        <f t="shared" si="106"/>
        <v>23945.606500000009</v>
      </c>
      <c r="K1001" s="2">
        <f t="shared" si="104"/>
        <v>90.099999999998545</v>
      </c>
      <c r="L1001" s="7">
        <f t="shared" si="102"/>
        <v>3.8893373449768211E-3</v>
      </c>
      <c r="M1001" s="9"/>
      <c r="N1001" s="2">
        <f t="shared" si="105"/>
        <v>26216.05</v>
      </c>
      <c r="O1001" s="2">
        <f t="shared" si="103"/>
        <v>-0.11595949809372508</v>
      </c>
      <c r="P1001" s="2"/>
    </row>
    <row r="1002" spans="1:16" x14ac:dyDescent="0.3">
      <c r="A1002" s="3">
        <v>45672</v>
      </c>
      <c r="B1002" s="2">
        <v>23250.45</v>
      </c>
      <c r="C1002" s="2">
        <v>23293.65</v>
      </c>
      <c r="D1002" s="2">
        <v>23146.45</v>
      </c>
      <c r="E1002" s="2">
        <v>23213.200000000001</v>
      </c>
      <c r="F1002" s="2">
        <v>228039156</v>
      </c>
      <c r="G1002" s="2">
        <v>21587.78</v>
      </c>
      <c r="H1002" s="2">
        <f t="shared" si="107"/>
        <v>23728.8825</v>
      </c>
      <c r="I1002" s="2">
        <f t="shared" si="101"/>
        <v>24008.954000000005</v>
      </c>
      <c r="J1002" s="2">
        <f t="shared" si="106"/>
        <v>23951.003000000012</v>
      </c>
      <c r="K1002" s="2">
        <f t="shared" si="104"/>
        <v>37.150000000001455</v>
      </c>
      <c r="L1002" s="7">
        <f t="shared" si="102"/>
        <v>1.597818536845586E-3</v>
      </c>
      <c r="M1002" s="9"/>
      <c r="N1002" s="2">
        <f t="shared" si="105"/>
        <v>26216.05</v>
      </c>
      <c r="O1002" s="2">
        <f t="shared" si="103"/>
        <v>-0.11454242725353359</v>
      </c>
      <c r="P1002" s="2"/>
    </row>
    <row r="1003" spans="1:16" x14ac:dyDescent="0.3">
      <c r="A1003" s="3">
        <v>45673</v>
      </c>
      <c r="B1003" s="2">
        <v>23377.25</v>
      </c>
      <c r="C1003" s="2">
        <v>23391.65</v>
      </c>
      <c r="D1003" s="2">
        <v>23272.05</v>
      </c>
      <c r="E1003" s="2">
        <v>23311.8</v>
      </c>
      <c r="F1003" s="2">
        <v>299416081</v>
      </c>
      <c r="G1003" s="2">
        <v>29784.82</v>
      </c>
      <c r="H1003" s="2">
        <f t="shared" si="107"/>
        <v>23672.7425</v>
      </c>
      <c r="I1003" s="2">
        <f t="shared" si="101"/>
        <v>23987.131000000001</v>
      </c>
      <c r="J1003" s="2">
        <f t="shared" si="106"/>
        <v>23957.045500000011</v>
      </c>
      <c r="K1003" s="2">
        <f t="shared" si="104"/>
        <v>98.599999999998545</v>
      </c>
      <c r="L1003" s="7">
        <f t="shared" si="102"/>
        <v>4.2177758290645202E-3</v>
      </c>
      <c r="M1003" s="9"/>
      <c r="N1003" s="2">
        <f t="shared" si="105"/>
        <v>26216.05</v>
      </c>
      <c r="O1003" s="2">
        <f t="shared" si="103"/>
        <v>-0.11078137247983588</v>
      </c>
      <c r="P1003" s="2"/>
    </row>
    <row r="1004" spans="1:16" x14ac:dyDescent="0.3">
      <c r="A1004" s="3">
        <v>45674</v>
      </c>
      <c r="B1004" s="2">
        <v>23277.1</v>
      </c>
      <c r="C1004" s="2">
        <v>23292.1</v>
      </c>
      <c r="D1004" s="2">
        <v>23100.35</v>
      </c>
      <c r="E1004" s="2">
        <v>23203.200000000001</v>
      </c>
      <c r="F1004" s="2">
        <v>272945267</v>
      </c>
      <c r="G1004" s="2">
        <v>27040.78</v>
      </c>
      <c r="H1004" s="2">
        <f t="shared" si="107"/>
        <v>23628.39</v>
      </c>
      <c r="I1004" s="2">
        <f t="shared" si="101"/>
        <v>23973.460000000006</v>
      </c>
      <c r="J1004" s="2">
        <f t="shared" si="106"/>
        <v>23962.986250000009</v>
      </c>
      <c r="K1004" s="2">
        <f t="shared" si="104"/>
        <v>-108.59999999999854</v>
      </c>
      <c r="L1004" s="7">
        <f t="shared" si="102"/>
        <v>-4.665529640719787E-3</v>
      </c>
      <c r="M1004" s="9"/>
      <c r="N1004" s="2">
        <f t="shared" si="105"/>
        <v>26216.05</v>
      </c>
      <c r="O1004" s="2">
        <f t="shared" si="103"/>
        <v>-0.11492387297094708</v>
      </c>
      <c r="P1004" s="2"/>
    </row>
    <row r="1005" spans="1:16" x14ac:dyDescent="0.3">
      <c r="A1005" s="3">
        <v>45677</v>
      </c>
      <c r="B1005" s="2">
        <v>23290.400000000001</v>
      </c>
      <c r="C1005" s="2">
        <v>23391.1</v>
      </c>
      <c r="D1005" s="2">
        <v>23170.65</v>
      </c>
      <c r="E1005" s="2">
        <v>23344.75</v>
      </c>
      <c r="F1005" s="2">
        <v>301455455</v>
      </c>
      <c r="G1005" s="2">
        <v>27333.97</v>
      </c>
      <c r="H1005" s="2">
        <f t="shared" si="107"/>
        <v>23590.965</v>
      </c>
      <c r="I1005" s="2">
        <f t="shared" si="101"/>
        <v>23953.258000000002</v>
      </c>
      <c r="J1005" s="2">
        <f t="shared" si="106"/>
        <v>23967.367750000009</v>
      </c>
      <c r="K1005" s="2">
        <f t="shared" si="104"/>
        <v>141.54999999999927</v>
      </c>
      <c r="L1005" s="7">
        <f t="shared" si="102"/>
        <v>6.077611376361044E-3</v>
      </c>
      <c r="M1005" s="9"/>
      <c r="N1005" s="2">
        <f t="shared" si="105"/>
        <v>26216.05</v>
      </c>
      <c r="O1005" s="2">
        <f t="shared" si="103"/>
        <v>-0.1095245088409581</v>
      </c>
      <c r="P1005" s="2"/>
    </row>
    <row r="1006" spans="1:16" x14ac:dyDescent="0.3">
      <c r="A1006" s="3">
        <v>45678</v>
      </c>
      <c r="B1006" s="2">
        <v>23421.65</v>
      </c>
      <c r="C1006" s="2">
        <v>23426.3</v>
      </c>
      <c r="D1006" s="2">
        <v>22976.85</v>
      </c>
      <c r="E1006" s="2">
        <v>23024.65</v>
      </c>
      <c r="F1006" s="2">
        <v>312871897</v>
      </c>
      <c r="G1006" s="2">
        <v>30106.720000000001</v>
      </c>
      <c r="H1006" s="2">
        <f t="shared" si="107"/>
        <v>23578.827499999999</v>
      </c>
      <c r="I1006" s="2">
        <f t="shared" si="101"/>
        <v>23930.472000000002</v>
      </c>
      <c r="J1006" s="2">
        <f t="shared" si="106"/>
        <v>23971.781500000012</v>
      </c>
      <c r="K1006" s="2">
        <f t="shared" si="104"/>
        <v>-320.09999999999854</v>
      </c>
      <c r="L1006" s="7">
        <f t="shared" si="102"/>
        <v>-1.3666842429973914E-2</v>
      </c>
      <c r="M1006" s="9"/>
      <c r="N1006" s="2">
        <f t="shared" si="105"/>
        <v>26216.05</v>
      </c>
      <c r="O1006" s="2">
        <f t="shared" si="103"/>
        <v>-0.12173458625536637</v>
      </c>
      <c r="P1006" s="2"/>
    </row>
    <row r="1007" spans="1:16" x14ac:dyDescent="0.3">
      <c r="A1007" s="3">
        <v>45679</v>
      </c>
      <c r="B1007" s="2">
        <v>23099.15</v>
      </c>
      <c r="C1007" s="2">
        <v>23169.55</v>
      </c>
      <c r="D1007" s="2">
        <v>22981.3</v>
      </c>
      <c r="E1007" s="2">
        <v>23155.35</v>
      </c>
      <c r="F1007" s="2">
        <v>275951918</v>
      </c>
      <c r="G1007" s="2">
        <v>25462.05</v>
      </c>
      <c r="H1007" s="2">
        <f t="shared" si="107"/>
        <v>23542.387500000004</v>
      </c>
      <c r="I1007" s="2">
        <f t="shared" si="101"/>
        <v>23906.977999999999</v>
      </c>
      <c r="J1007" s="2">
        <f t="shared" si="106"/>
        <v>23974.638250000015</v>
      </c>
      <c r="K1007" s="2">
        <f t="shared" si="104"/>
        <v>130.69999999999709</v>
      </c>
      <c r="L1007" s="7">
        <f t="shared" si="102"/>
        <v>5.6582168607934528E-3</v>
      </c>
      <c r="M1007" s="9"/>
      <c r="N1007" s="2">
        <f t="shared" si="105"/>
        <v>26216.05</v>
      </c>
      <c r="O1007" s="2">
        <f t="shared" si="103"/>
        <v>-0.11674909072877115</v>
      </c>
      <c r="P1007" s="2"/>
    </row>
    <row r="1008" spans="1:16" x14ac:dyDescent="0.3">
      <c r="A1008" s="3">
        <v>45680</v>
      </c>
      <c r="B1008" s="2">
        <v>23128.3</v>
      </c>
      <c r="C1008" s="2">
        <v>23270.799999999999</v>
      </c>
      <c r="D1008" s="2">
        <v>23090.65</v>
      </c>
      <c r="E1008" s="2">
        <v>23205.35</v>
      </c>
      <c r="F1008" s="2">
        <v>275558357</v>
      </c>
      <c r="G1008" s="2">
        <v>27723.78</v>
      </c>
      <c r="H1008" s="2">
        <f t="shared" si="107"/>
        <v>23513.772499999999</v>
      </c>
      <c r="I1008" s="2">
        <f t="shared" si="101"/>
        <v>23887.120999999996</v>
      </c>
      <c r="J1008" s="2">
        <f t="shared" si="106"/>
        <v>23978.241750000012</v>
      </c>
      <c r="K1008" s="2">
        <f t="shared" si="104"/>
        <v>50</v>
      </c>
      <c r="L1008" s="7">
        <f t="shared" si="102"/>
        <v>2.1618536598020607E-3</v>
      </c>
      <c r="M1008" s="9"/>
      <c r="N1008" s="2">
        <f t="shared" si="105"/>
        <v>26216.05</v>
      </c>
      <c r="O1008" s="2">
        <f t="shared" si="103"/>
        <v>-0.11484186214170333</v>
      </c>
      <c r="P1008" s="2"/>
    </row>
    <row r="1009" spans="1:16" x14ac:dyDescent="0.3">
      <c r="A1009" s="3">
        <v>45681</v>
      </c>
      <c r="B1009" s="2">
        <v>23183.9</v>
      </c>
      <c r="C1009" s="2">
        <v>23347.3</v>
      </c>
      <c r="D1009" s="2">
        <v>23050</v>
      </c>
      <c r="E1009" s="2">
        <v>23092.2</v>
      </c>
      <c r="F1009" s="2">
        <v>264336332</v>
      </c>
      <c r="G1009" s="2">
        <v>24412.46</v>
      </c>
      <c r="H1009" s="2">
        <f t="shared" si="107"/>
        <v>23486.53</v>
      </c>
      <c r="I1009" s="2">
        <f t="shared" si="101"/>
        <v>23868.402000000002</v>
      </c>
      <c r="J1009" s="2">
        <f t="shared" si="106"/>
        <v>23981.695250000012</v>
      </c>
      <c r="K1009" s="2">
        <f t="shared" si="104"/>
        <v>-113.14999999999782</v>
      </c>
      <c r="L1009" s="7">
        <f t="shared" si="102"/>
        <v>-4.8805421003367769E-3</v>
      </c>
      <c r="M1009" s="9"/>
      <c r="N1009" s="2">
        <f t="shared" si="105"/>
        <v>26216.05</v>
      </c>
      <c r="O1009" s="2">
        <f t="shared" si="103"/>
        <v>-0.11915792043423779</v>
      </c>
      <c r="P1009" s="2"/>
    </row>
    <row r="1010" spans="1:16" x14ac:dyDescent="0.3">
      <c r="A1010" s="3">
        <v>45684</v>
      </c>
      <c r="B1010" s="2">
        <v>22940.15</v>
      </c>
      <c r="C1010" s="2">
        <v>23007.45</v>
      </c>
      <c r="D1010" s="2">
        <v>22786.9</v>
      </c>
      <c r="E1010" s="2">
        <v>22829.15</v>
      </c>
      <c r="F1010" s="2">
        <v>257372790</v>
      </c>
      <c r="G1010" s="2">
        <v>24202.41</v>
      </c>
      <c r="H1010" s="2">
        <f t="shared" si="107"/>
        <v>23450.47</v>
      </c>
      <c r="I1010" s="2">
        <f t="shared" si="101"/>
        <v>23852.576999999997</v>
      </c>
      <c r="J1010" s="2">
        <f t="shared" si="106"/>
        <v>23984.587750000013</v>
      </c>
      <c r="K1010" s="2">
        <f t="shared" si="104"/>
        <v>-263.04999999999927</v>
      </c>
      <c r="L1010" s="7">
        <f t="shared" si="102"/>
        <v>-1.1466795116858402E-2</v>
      </c>
      <c r="M1010" s="9"/>
      <c r="N1010" s="2">
        <f t="shared" si="105"/>
        <v>26216.05</v>
      </c>
      <c r="O1010" s="2">
        <f t="shared" si="103"/>
        <v>-0.12919185003080169</v>
      </c>
      <c r="P1010" s="2"/>
    </row>
    <row r="1011" spans="1:16" x14ac:dyDescent="0.3">
      <c r="A1011" s="3">
        <v>45685</v>
      </c>
      <c r="B1011" s="2">
        <v>22960.45</v>
      </c>
      <c r="C1011" s="2">
        <v>23137.95</v>
      </c>
      <c r="D1011" s="2">
        <v>22857.65</v>
      </c>
      <c r="E1011" s="2">
        <v>22957.25</v>
      </c>
      <c r="F1011" s="2">
        <v>361868609</v>
      </c>
      <c r="G1011" s="2">
        <v>33221.800000000003</v>
      </c>
      <c r="H1011" s="2">
        <f t="shared" si="107"/>
        <v>23409.682500000003</v>
      </c>
      <c r="I1011" s="2">
        <f t="shared" si="101"/>
        <v>23837.978999999999</v>
      </c>
      <c r="J1011" s="2">
        <f t="shared" si="106"/>
        <v>23985.402000000016</v>
      </c>
      <c r="K1011" s="2">
        <f t="shared" si="104"/>
        <v>128.09999999999854</v>
      </c>
      <c r="L1011" s="7">
        <f t="shared" si="102"/>
        <v>5.5791589450554556E-3</v>
      </c>
      <c r="M1011" s="9"/>
      <c r="N1011" s="2">
        <f t="shared" si="105"/>
        <v>26216.05</v>
      </c>
      <c r="O1011" s="2">
        <f t="shared" si="103"/>
        <v>-0.12430553039073389</v>
      </c>
      <c r="P1011" s="2"/>
    </row>
    <row r="1012" spans="1:16" x14ac:dyDescent="0.3">
      <c r="A1012" s="3">
        <v>45686</v>
      </c>
      <c r="B1012" s="2">
        <v>23026.75</v>
      </c>
      <c r="C1012" s="2">
        <v>23183.35</v>
      </c>
      <c r="D1012" s="2">
        <v>22976.5</v>
      </c>
      <c r="E1012" s="2">
        <v>23163.1</v>
      </c>
      <c r="F1012" s="2">
        <v>251208119</v>
      </c>
      <c r="G1012" s="2">
        <v>22307.38</v>
      </c>
      <c r="H1012" s="2">
        <f t="shared" si="107"/>
        <v>23375.305</v>
      </c>
      <c r="I1012" s="2">
        <f t="shared" si="101"/>
        <v>23826.47</v>
      </c>
      <c r="J1012" s="2">
        <f t="shared" si="106"/>
        <v>23986.974500000011</v>
      </c>
      <c r="K1012" s="2">
        <f t="shared" si="104"/>
        <v>205.84999999999854</v>
      </c>
      <c r="L1012" s="7">
        <f t="shared" si="102"/>
        <v>8.9396028532032767E-3</v>
      </c>
      <c r="M1012" s="9"/>
      <c r="N1012" s="2">
        <f t="shared" si="105"/>
        <v>26216.05</v>
      </c>
      <c r="O1012" s="2">
        <f t="shared" si="103"/>
        <v>-0.11645347029777564</v>
      </c>
      <c r="P1012" s="2"/>
    </row>
    <row r="1013" spans="1:16" x14ac:dyDescent="0.3">
      <c r="A1013" s="3">
        <v>45687</v>
      </c>
      <c r="B1013" s="2">
        <v>23169.5</v>
      </c>
      <c r="C1013" s="2">
        <v>23322.05</v>
      </c>
      <c r="D1013" s="2">
        <v>23139.200000000001</v>
      </c>
      <c r="E1013" s="2">
        <v>23249.5</v>
      </c>
      <c r="F1013" s="2">
        <v>384687127</v>
      </c>
      <c r="G1013" s="2">
        <v>35252.870000000003</v>
      </c>
      <c r="H1013" s="2">
        <f t="shared" si="107"/>
        <v>23346.314999999999</v>
      </c>
      <c r="I1013" s="2">
        <f t="shared" ref="I1013:I1076" si="108">AVERAGE(E963:E1012)</f>
        <v>23820.656000000003</v>
      </c>
      <c r="J1013" s="2">
        <f t="shared" si="106"/>
        <v>23989.021000000012</v>
      </c>
      <c r="K1013" s="2">
        <f t="shared" si="104"/>
        <v>86.400000000001455</v>
      </c>
      <c r="L1013" s="7">
        <f t="shared" si="102"/>
        <v>3.7290403331967223E-3</v>
      </c>
      <c r="M1013" s="9"/>
      <c r="N1013" s="2">
        <f t="shared" si="105"/>
        <v>26216.05</v>
      </c>
      <c r="O1013" s="2">
        <f t="shared" si="103"/>
        <v>-0.11315777929932236</v>
      </c>
      <c r="P1013" s="2"/>
    </row>
    <row r="1014" spans="1:16" x14ac:dyDescent="0.3">
      <c r="A1014" s="3">
        <v>45688</v>
      </c>
      <c r="B1014" s="2">
        <v>23296.75</v>
      </c>
      <c r="C1014" s="2">
        <v>23546.799999999999</v>
      </c>
      <c r="D1014" s="2">
        <v>23277.4</v>
      </c>
      <c r="E1014" s="2">
        <v>23508.400000000001</v>
      </c>
      <c r="F1014" s="2">
        <v>326919177</v>
      </c>
      <c r="G1014" s="2">
        <v>28638.01</v>
      </c>
      <c r="H1014" s="2">
        <f t="shared" si="107"/>
        <v>23299.357500000002</v>
      </c>
      <c r="I1014" s="2">
        <f t="shared" si="108"/>
        <v>23815.276000000002</v>
      </c>
      <c r="J1014" s="2">
        <f t="shared" si="106"/>
        <v>23992.671500000008</v>
      </c>
      <c r="K1014" s="2">
        <f t="shared" si="104"/>
        <v>258.90000000000146</v>
      </c>
      <c r="L1014" s="7">
        <f t="shared" si="102"/>
        <v>1.1113138098661893E-2</v>
      </c>
      <c r="M1014" s="9"/>
      <c r="N1014" s="2">
        <f t="shared" si="105"/>
        <v>26216.05</v>
      </c>
      <c r="O1014" s="2">
        <f t="shared" si="103"/>
        <v>-0.10328214967548499</v>
      </c>
      <c r="P1014" s="2"/>
    </row>
    <row r="1015" spans="1:16" x14ac:dyDescent="0.3">
      <c r="A1015" s="3">
        <v>45689</v>
      </c>
      <c r="B1015" s="2">
        <v>23528.6</v>
      </c>
      <c r="C1015" s="2">
        <v>23632.45</v>
      </c>
      <c r="D1015" s="2">
        <v>23318.3</v>
      </c>
      <c r="E1015" s="2">
        <v>23482.15</v>
      </c>
      <c r="F1015" s="2">
        <v>287703637</v>
      </c>
      <c r="G1015" s="2">
        <v>25741.040000000001</v>
      </c>
      <c r="H1015" s="2">
        <f t="shared" si="107"/>
        <v>23274.54</v>
      </c>
      <c r="I1015" s="2">
        <f t="shared" si="108"/>
        <v>23818.445999999996</v>
      </c>
      <c r="J1015" s="2">
        <f t="shared" si="106"/>
        <v>23998.85100000001</v>
      </c>
      <c r="K1015" s="2">
        <f t="shared" si="104"/>
        <v>-26.25</v>
      </c>
      <c r="L1015" s="7">
        <f t="shared" si="102"/>
        <v>-1.1156634903904186E-3</v>
      </c>
      <c r="M1015" s="9"/>
      <c r="N1015" s="2">
        <f t="shared" si="105"/>
        <v>26216.05</v>
      </c>
      <c r="O1015" s="2">
        <f t="shared" si="103"/>
        <v>-0.10428344468369555</v>
      </c>
      <c r="P1015" s="2"/>
    </row>
    <row r="1016" spans="1:16" x14ac:dyDescent="0.3">
      <c r="A1016" s="3">
        <v>45691</v>
      </c>
      <c r="B1016" s="2">
        <v>23319.35</v>
      </c>
      <c r="C1016" s="2">
        <v>23381.599999999999</v>
      </c>
      <c r="D1016" s="2">
        <v>23222</v>
      </c>
      <c r="E1016" s="2">
        <v>23361.05</v>
      </c>
      <c r="F1016" s="2">
        <v>347241171</v>
      </c>
      <c r="G1016" s="2">
        <v>32019.13</v>
      </c>
      <c r="H1016" s="2">
        <f t="shared" si="107"/>
        <v>23267.845000000001</v>
      </c>
      <c r="I1016" s="2">
        <f t="shared" si="108"/>
        <v>23809.944</v>
      </c>
      <c r="J1016" s="2">
        <f t="shared" si="106"/>
        <v>24005.522250000005</v>
      </c>
      <c r="K1016" s="2">
        <f t="shared" si="104"/>
        <v>-121.10000000000218</v>
      </c>
      <c r="L1016" s="7">
        <f t="shared" si="102"/>
        <v>-5.1931121579290246E-3</v>
      </c>
      <c r="M1016" s="9"/>
      <c r="N1016" s="2">
        <f t="shared" si="105"/>
        <v>26216.05</v>
      </c>
      <c r="O1016" s="2">
        <f t="shared" si="103"/>
        <v>-0.10890275232157398</v>
      </c>
      <c r="P1016" s="2"/>
    </row>
    <row r="1017" spans="1:16" x14ac:dyDescent="0.3">
      <c r="A1017" s="3">
        <v>45692</v>
      </c>
      <c r="B1017" s="2">
        <v>23509.9</v>
      </c>
      <c r="C1017" s="2">
        <v>23762.75</v>
      </c>
      <c r="D1017" s="2">
        <v>23423.15</v>
      </c>
      <c r="E1017" s="2">
        <v>23739.25</v>
      </c>
      <c r="F1017" s="2">
        <v>376742506</v>
      </c>
      <c r="G1017" s="2">
        <v>35974.300000000003</v>
      </c>
      <c r="H1017" s="2">
        <f t="shared" si="107"/>
        <v>23250.502500000002</v>
      </c>
      <c r="I1017" s="2">
        <f t="shared" si="108"/>
        <v>23792.726999999999</v>
      </c>
      <c r="J1017" s="2">
        <f t="shared" si="106"/>
        <v>24012.348250000006</v>
      </c>
      <c r="K1017" s="2">
        <f t="shared" si="104"/>
        <v>378.20000000000073</v>
      </c>
      <c r="L1017" s="7">
        <f t="shared" si="102"/>
        <v>1.6086840012080047E-2</v>
      </c>
      <c r="M1017" s="9"/>
      <c r="N1017" s="2">
        <f t="shared" si="105"/>
        <v>26216.05</v>
      </c>
      <c r="O1017" s="2">
        <f t="shared" si="103"/>
        <v>-9.4476475288992834E-2</v>
      </c>
      <c r="P1017" s="2"/>
    </row>
    <row r="1018" spans="1:16" x14ac:dyDescent="0.3">
      <c r="A1018" s="3">
        <v>45693</v>
      </c>
      <c r="B1018" s="2">
        <v>23801.75</v>
      </c>
      <c r="C1018" s="2">
        <v>23807.3</v>
      </c>
      <c r="D1018" s="2">
        <v>23680.45</v>
      </c>
      <c r="E1018" s="2">
        <v>23696.3</v>
      </c>
      <c r="F1018" s="2">
        <v>267014345</v>
      </c>
      <c r="G1018" s="2">
        <v>25806.44</v>
      </c>
      <c r="H1018" s="2">
        <f t="shared" si="107"/>
        <v>23253.017500000002</v>
      </c>
      <c r="I1018" s="2">
        <f t="shared" si="108"/>
        <v>23783.621999999996</v>
      </c>
      <c r="J1018" s="2">
        <f t="shared" si="106"/>
        <v>24020.309500000007</v>
      </c>
      <c r="K1018" s="2">
        <f t="shared" si="104"/>
        <v>-42.950000000000728</v>
      </c>
      <c r="L1018" s="7">
        <f t="shared" si="102"/>
        <v>-1.8044891657126357E-3</v>
      </c>
      <c r="M1018" s="9"/>
      <c r="N1018" s="2">
        <f t="shared" si="105"/>
        <v>26216.05</v>
      </c>
      <c r="O1018" s="2">
        <f t="shared" si="103"/>
        <v>-9.6114784645284113E-2</v>
      </c>
      <c r="P1018" s="2"/>
    </row>
    <row r="1019" spans="1:16" x14ac:dyDescent="0.3">
      <c r="A1019" s="3">
        <v>45694</v>
      </c>
      <c r="B1019" s="2">
        <v>23761.95</v>
      </c>
      <c r="C1019" s="2">
        <v>23773.55</v>
      </c>
      <c r="D1019" s="2">
        <v>23556.25</v>
      </c>
      <c r="E1019" s="2">
        <v>23603.35</v>
      </c>
      <c r="F1019" s="2">
        <v>306978683</v>
      </c>
      <c r="G1019" s="2">
        <v>30885.59</v>
      </c>
      <c r="H1019" s="2">
        <f t="shared" si="107"/>
        <v>23261.5075</v>
      </c>
      <c r="I1019" s="2">
        <f t="shared" si="108"/>
        <v>23772.05</v>
      </c>
      <c r="J1019" s="2">
        <f t="shared" si="106"/>
        <v>24027.109000000004</v>
      </c>
      <c r="K1019" s="2">
        <f t="shared" si="104"/>
        <v>-92.950000000000728</v>
      </c>
      <c r="L1019" s="7">
        <f t="shared" si="102"/>
        <v>-3.9117159997391088E-3</v>
      </c>
      <c r="M1019" s="9"/>
      <c r="N1019" s="2">
        <f t="shared" si="105"/>
        <v>26216.05</v>
      </c>
      <c r="O1019" s="2">
        <f t="shared" si="103"/>
        <v>-9.9660322588643213E-2</v>
      </c>
      <c r="P1019" s="2"/>
    </row>
    <row r="1020" spans="1:16" x14ac:dyDescent="0.3">
      <c r="A1020" s="3">
        <v>45695</v>
      </c>
      <c r="B1020" s="2">
        <v>23649.5</v>
      </c>
      <c r="C1020" s="2">
        <v>23694.5</v>
      </c>
      <c r="D1020" s="2">
        <v>23443.200000000001</v>
      </c>
      <c r="E1020" s="2">
        <v>23559.95</v>
      </c>
      <c r="F1020" s="2">
        <v>368092482</v>
      </c>
      <c r="G1020" s="2">
        <v>30042</v>
      </c>
      <c r="H1020" s="2">
        <f t="shared" si="107"/>
        <v>23270.1</v>
      </c>
      <c r="I1020" s="2">
        <f t="shared" si="108"/>
        <v>23765.834000000003</v>
      </c>
      <c r="J1020" s="2">
        <f t="shared" si="106"/>
        <v>24033.285749999995</v>
      </c>
      <c r="K1020" s="2">
        <f t="shared" si="104"/>
        <v>-43.399999999997817</v>
      </c>
      <c r="L1020" s="7">
        <f t="shared" si="102"/>
        <v>-1.8351339351782413E-3</v>
      </c>
      <c r="M1020" s="9"/>
      <c r="N1020" s="2">
        <f t="shared" si="105"/>
        <v>26216.05</v>
      </c>
      <c r="O1020" s="2">
        <f t="shared" si="103"/>
        <v>-0.10131579700221804</v>
      </c>
      <c r="P1020" s="2"/>
    </row>
    <row r="1021" spans="1:16" x14ac:dyDescent="0.3">
      <c r="A1021" s="3">
        <v>45698</v>
      </c>
      <c r="B1021" s="2">
        <v>23543.8</v>
      </c>
      <c r="C1021" s="2">
        <v>23568.6</v>
      </c>
      <c r="D1021" s="2">
        <v>23316.3</v>
      </c>
      <c r="E1021" s="2">
        <v>23381.599999999999</v>
      </c>
      <c r="F1021" s="2">
        <v>225529166</v>
      </c>
      <c r="G1021" s="2">
        <v>21254.720000000001</v>
      </c>
      <c r="H1021" s="2">
        <f t="shared" si="107"/>
        <v>23293.8</v>
      </c>
      <c r="I1021" s="2">
        <f t="shared" si="108"/>
        <v>23754.411</v>
      </c>
      <c r="J1021" s="2">
        <f t="shared" si="106"/>
        <v>24039.073500000002</v>
      </c>
      <c r="K1021" s="2">
        <f t="shared" si="104"/>
        <v>-178.35000000000218</v>
      </c>
      <c r="L1021" s="7">
        <f t="shared" si="102"/>
        <v>-7.5752427390651548E-3</v>
      </c>
      <c r="M1021" s="9"/>
      <c r="N1021" s="2">
        <f t="shared" si="105"/>
        <v>26216.05</v>
      </c>
      <c r="O1021" s="2">
        <f t="shared" si="103"/>
        <v>-0.10811888137228909</v>
      </c>
      <c r="P1021" s="2"/>
    </row>
    <row r="1022" spans="1:16" x14ac:dyDescent="0.3">
      <c r="A1022" s="3">
        <v>45699</v>
      </c>
      <c r="B1022" s="2">
        <v>23383.55</v>
      </c>
      <c r="C1022" s="2">
        <v>23390.05</v>
      </c>
      <c r="D1022" s="2">
        <v>22986.65</v>
      </c>
      <c r="E1022" s="2">
        <v>23071.8</v>
      </c>
      <c r="F1022" s="2">
        <v>267969979</v>
      </c>
      <c r="G1022" s="2">
        <v>27191.96</v>
      </c>
      <c r="H1022" s="2">
        <f t="shared" si="107"/>
        <v>23304.077499999999</v>
      </c>
      <c r="I1022" s="2">
        <f t="shared" si="108"/>
        <v>23736.522000000008</v>
      </c>
      <c r="J1022" s="2">
        <f t="shared" si="106"/>
        <v>24043.129749999996</v>
      </c>
      <c r="K1022" s="2">
        <f t="shared" si="104"/>
        <v>-309.79999999999927</v>
      </c>
      <c r="L1022" s="7">
        <f t="shared" si="102"/>
        <v>-1.324862991290883E-2</v>
      </c>
      <c r="M1022" s="9"/>
      <c r="N1022" s="2">
        <f t="shared" si="105"/>
        <v>26216.05</v>
      </c>
      <c r="O1022" s="2">
        <f t="shared" si="103"/>
        <v>-0.11993606969776149</v>
      </c>
      <c r="P1022" s="2"/>
    </row>
    <row r="1023" spans="1:16" x14ac:dyDescent="0.3">
      <c r="A1023" s="3">
        <v>45700</v>
      </c>
      <c r="B1023" s="2">
        <v>23050.799999999999</v>
      </c>
      <c r="C1023" s="2">
        <v>23144.7</v>
      </c>
      <c r="D1023" s="2">
        <v>22798.35</v>
      </c>
      <c r="E1023" s="2">
        <v>23045.25</v>
      </c>
      <c r="F1023" s="2">
        <v>279656513</v>
      </c>
      <c r="G1023" s="2">
        <v>26989.94</v>
      </c>
      <c r="H1023" s="2">
        <f t="shared" si="107"/>
        <v>23297.0075</v>
      </c>
      <c r="I1023" s="2">
        <f t="shared" si="108"/>
        <v>23708.815000000006</v>
      </c>
      <c r="J1023" s="2">
        <f t="shared" si="106"/>
        <v>24046.388999999996</v>
      </c>
      <c r="K1023" s="2">
        <f t="shared" si="104"/>
        <v>-26.549999999999272</v>
      </c>
      <c r="L1023" s="7">
        <f t="shared" si="102"/>
        <v>-1.1518038419490548E-3</v>
      </c>
      <c r="M1023" s="9"/>
      <c r="N1023" s="2">
        <f t="shared" si="105"/>
        <v>26216.05</v>
      </c>
      <c r="O1023" s="2">
        <f t="shared" si="103"/>
        <v>-0.12094880807749453</v>
      </c>
      <c r="P1023" s="2"/>
    </row>
    <row r="1024" spans="1:16" x14ac:dyDescent="0.3">
      <c r="A1024" s="3">
        <v>45701</v>
      </c>
      <c r="B1024" s="2">
        <v>23055.75</v>
      </c>
      <c r="C1024" s="2">
        <v>23235.5</v>
      </c>
      <c r="D1024" s="2">
        <v>22992.2</v>
      </c>
      <c r="E1024" s="2">
        <v>23031.4</v>
      </c>
      <c r="F1024" s="2">
        <v>265706855</v>
      </c>
      <c r="G1024" s="2">
        <v>25218.86</v>
      </c>
      <c r="H1024" s="2">
        <f t="shared" si="107"/>
        <v>23283.68</v>
      </c>
      <c r="I1024" s="2">
        <f t="shared" si="108"/>
        <v>23680.371000000006</v>
      </c>
      <c r="J1024" s="2">
        <f t="shared" si="106"/>
        <v>24048.398249999987</v>
      </c>
      <c r="K1024" s="2">
        <f t="shared" si="104"/>
        <v>-13.849999999998545</v>
      </c>
      <c r="L1024" s="7">
        <f t="shared" si="102"/>
        <v>-6.0071782527129007E-4</v>
      </c>
      <c r="M1024" s="9"/>
      <c r="N1024" s="2">
        <f t="shared" si="105"/>
        <v>26216.05</v>
      </c>
      <c r="O1024" s="2">
        <f t="shared" si="103"/>
        <v>-0.1214771103961122</v>
      </c>
      <c r="P1024" s="2"/>
    </row>
    <row r="1025" spans="1:16" x14ac:dyDescent="0.3">
      <c r="A1025" s="3">
        <v>45702</v>
      </c>
      <c r="B1025" s="2">
        <v>23096.45</v>
      </c>
      <c r="C1025" s="2">
        <v>23133.7</v>
      </c>
      <c r="D1025" s="2">
        <v>22774.85</v>
      </c>
      <c r="E1025" s="2">
        <v>22929.25</v>
      </c>
      <c r="F1025" s="2">
        <v>254479643</v>
      </c>
      <c r="G1025" s="2">
        <v>22049.89</v>
      </c>
      <c r="H1025" s="2">
        <f t="shared" si="107"/>
        <v>23275.09</v>
      </c>
      <c r="I1025" s="2">
        <f t="shared" si="108"/>
        <v>23646.831000000002</v>
      </c>
      <c r="J1025" s="2">
        <f t="shared" si="106"/>
        <v>24050.530999999995</v>
      </c>
      <c r="K1025" s="2">
        <f t="shared" si="104"/>
        <v>-102.15000000000146</v>
      </c>
      <c r="L1025" s="7">
        <f t="shared" si="102"/>
        <v>-4.4227576099357888E-3</v>
      </c>
      <c r="M1025" s="9"/>
      <c r="N1025" s="2">
        <f t="shared" si="105"/>
        <v>26216.05</v>
      </c>
      <c r="O1025" s="2">
        <f t="shared" si="103"/>
        <v>-0.12537357839949193</v>
      </c>
      <c r="P1025" s="2"/>
    </row>
    <row r="1026" spans="1:16" x14ac:dyDescent="0.3">
      <c r="A1026" s="3">
        <v>45705</v>
      </c>
      <c r="B1026" s="2">
        <v>22809.9</v>
      </c>
      <c r="C1026" s="2">
        <v>22974.2</v>
      </c>
      <c r="D1026" s="2">
        <v>22725.45</v>
      </c>
      <c r="E1026" s="2">
        <v>22959.5</v>
      </c>
      <c r="F1026" s="2">
        <v>207393944</v>
      </c>
      <c r="G1026" s="2">
        <v>19809.439999999999</v>
      </c>
      <c r="H1026" s="2">
        <f t="shared" si="107"/>
        <v>23254.314999999999</v>
      </c>
      <c r="I1026" s="2">
        <f t="shared" si="108"/>
        <v>23611.860000000004</v>
      </c>
      <c r="J1026" s="2">
        <f t="shared" si="106"/>
        <v>24051.936249999992</v>
      </c>
      <c r="K1026" s="2">
        <f t="shared" si="104"/>
        <v>30.25</v>
      </c>
      <c r="L1026" s="7">
        <f t="shared" si="102"/>
        <v>1.326178545280777E-3</v>
      </c>
      <c r="M1026" s="9"/>
      <c r="N1026" s="2">
        <f t="shared" si="105"/>
        <v>26216.05</v>
      </c>
      <c r="O1026" s="2">
        <f t="shared" si="103"/>
        <v>-0.12421970510431579</v>
      </c>
      <c r="P1026" s="2"/>
    </row>
    <row r="1027" spans="1:16" x14ac:dyDescent="0.3">
      <c r="A1027" s="3">
        <v>45706</v>
      </c>
      <c r="B1027" s="2">
        <v>22963.65</v>
      </c>
      <c r="C1027" s="2">
        <v>22992.5</v>
      </c>
      <c r="D1027" s="2">
        <v>22801.5</v>
      </c>
      <c r="E1027" s="2">
        <v>22945.3</v>
      </c>
      <c r="F1027" s="2">
        <v>210616675</v>
      </c>
      <c r="G1027" s="2">
        <v>19431.37</v>
      </c>
      <c r="H1027" s="2">
        <f t="shared" si="107"/>
        <v>23251.057499999999</v>
      </c>
      <c r="I1027" s="2">
        <f t="shared" si="108"/>
        <v>23578.670000000006</v>
      </c>
      <c r="J1027" s="2">
        <f t="shared" si="106"/>
        <v>24054.354499999994</v>
      </c>
      <c r="K1027" s="2">
        <f t="shared" si="104"/>
        <v>-14.200000000000728</v>
      </c>
      <c r="L1027" s="7">
        <f t="shared" ref="L1027:L1090" si="109">(K1027/(B1027))</f>
        <v>-6.1836859558479275E-4</v>
      </c>
      <c r="M1027" s="9"/>
      <c r="N1027" s="2">
        <f t="shared" si="105"/>
        <v>26216.05</v>
      </c>
      <c r="O1027" s="2">
        <f t="shared" ref="O1027:O1090" si="110">(E1027/N1027)-1</f>
        <v>-0.12476135802304311</v>
      </c>
      <c r="P1027" s="2"/>
    </row>
    <row r="1028" spans="1:16" x14ac:dyDescent="0.3">
      <c r="A1028" s="3">
        <v>45707</v>
      </c>
      <c r="B1028" s="2">
        <v>22847.25</v>
      </c>
      <c r="C1028" s="2">
        <v>23049.95</v>
      </c>
      <c r="D1028" s="2">
        <v>22814.85</v>
      </c>
      <c r="E1028" s="2">
        <v>22932.9</v>
      </c>
      <c r="F1028" s="2">
        <v>206999204</v>
      </c>
      <c r="G1028" s="2">
        <v>19817.93</v>
      </c>
      <c r="H1028" s="2">
        <f t="shared" si="107"/>
        <v>23240.555</v>
      </c>
      <c r="I1028" s="2">
        <f t="shared" si="108"/>
        <v>23545.375</v>
      </c>
      <c r="J1028" s="2">
        <f t="shared" si="106"/>
        <v>24056.867499999989</v>
      </c>
      <c r="K1028" s="2">
        <f t="shared" ref="K1028:K1091" si="111">E1028-E1027</f>
        <v>-12.399999999997817</v>
      </c>
      <c r="L1028" s="7">
        <f t="shared" si="109"/>
        <v>-5.4273490244987114E-4</v>
      </c>
      <c r="M1028" s="9"/>
      <c r="N1028" s="2">
        <f t="shared" si="105"/>
        <v>26216.05</v>
      </c>
      <c r="O1028" s="2">
        <f t="shared" si="110"/>
        <v>-0.12523435071263589</v>
      </c>
      <c r="P1028" s="2"/>
    </row>
    <row r="1029" spans="1:16" x14ac:dyDescent="0.3">
      <c r="A1029" s="3">
        <v>45708</v>
      </c>
      <c r="B1029" s="2">
        <v>22821.1</v>
      </c>
      <c r="C1029" s="2">
        <v>22923.85</v>
      </c>
      <c r="D1029" s="2">
        <v>22812.75</v>
      </c>
      <c r="E1029" s="2">
        <v>22913.15</v>
      </c>
      <c r="F1029" s="2">
        <v>240836647</v>
      </c>
      <c r="G1029" s="2">
        <v>21303.88</v>
      </c>
      <c r="H1029" s="2">
        <f t="shared" si="107"/>
        <v>23226.932499999999</v>
      </c>
      <c r="I1029" s="2">
        <f t="shared" si="108"/>
        <v>23511.196999999996</v>
      </c>
      <c r="J1029" s="2">
        <f t="shared" si="106"/>
        <v>24060.019499999991</v>
      </c>
      <c r="K1029" s="2">
        <f t="shared" si="111"/>
        <v>-19.75</v>
      </c>
      <c r="L1029" s="7">
        <f t="shared" si="109"/>
        <v>-8.6542717046943403E-4</v>
      </c>
      <c r="M1029" s="9"/>
      <c r="N1029" s="2">
        <f t="shared" ref="N1029:N1092" si="112">MAX(N1028,E1029)</f>
        <v>26216.05</v>
      </c>
      <c r="O1029" s="2">
        <f t="shared" si="110"/>
        <v>-0.12598770600452769</v>
      </c>
      <c r="P1029" s="2"/>
    </row>
    <row r="1030" spans="1:16" x14ac:dyDescent="0.3">
      <c r="A1030" s="3">
        <v>45709</v>
      </c>
      <c r="B1030" s="2">
        <v>22857.200000000001</v>
      </c>
      <c r="C1030" s="2">
        <v>22921</v>
      </c>
      <c r="D1030" s="2">
        <v>22720.3</v>
      </c>
      <c r="E1030" s="2">
        <v>22795.9</v>
      </c>
      <c r="F1030" s="2">
        <v>242753984</v>
      </c>
      <c r="G1030" s="2">
        <v>21994.37</v>
      </c>
      <c r="H1030" s="2">
        <f t="shared" si="107"/>
        <v>23217.980000000003</v>
      </c>
      <c r="I1030" s="2">
        <f t="shared" si="108"/>
        <v>23478.485999999997</v>
      </c>
      <c r="J1030" s="2">
        <f t="shared" si="106"/>
        <v>24063.072749999996</v>
      </c>
      <c r="K1030" s="2">
        <f t="shared" si="111"/>
        <v>-117.25</v>
      </c>
      <c r="L1030" s="7">
        <f t="shared" si="109"/>
        <v>-5.1296746758133106E-3</v>
      </c>
      <c r="M1030" s="9"/>
      <c r="N1030" s="2">
        <f t="shared" si="112"/>
        <v>26216.05</v>
      </c>
      <c r="O1030" s="2">
        <f t="shared" si="110"/>
        <v>-0.13046015704120173</v>
      </c>
      <c r="P1030" s="2"/>
    </row>
    <row r="1031" spans="1:16" x14ac:dyDescent="0.3">
      <c r="A1031" s="3">
        <v>45712</v>
      </c>
      <c r="B1031" s="2">
        <v>22609.35</v>
      </c>
      <c r="C1031" s="2">
        <v>22668.05</v>
      </c>
      <c r="D1031" s="2">
        <v>22518.799999999999</v>
      </c>
      <c r="E1031" s="2">
        <v>22553.35</v>
      </c>
      <c r="F1031" s="2">
        <v>214317552</v>
      </c>
      <c r="G1031" s="2">
        <v>20772.95</v>
      </c>
      <c r="H1031" s="2">
        <f t="shared" si="107"/>
        <v>23216.317500000005</v>
      </c>
      <c r="I1031" s="2">
        <f t="shared" si="108"/>
        <v>23439.037999999997</v>
      </c>
      <c r="J1031" s="2">
        <f t="shared" si="106"/>
        <v>24067.264749999995</v>
      </c>
      <c r="K1031" s="2">
        <f t="shared" si="111"/>
        <v>-242.55000000000291</v>
      </c>
      <c r="L1031" s="7">
        <f t="shared" si="109"/>
        <v>-1.0727862587823309E-2</v>
      </c>
      <c r="M1031" s="9"/>
      <c r="N1031" s="2">
        <f t="shared" si="112"/>
        <v>26216.05</v>
      </c>
      <c r="O1031" s="2">
        <f t="shared" si="110"/>
        <v>-0.13971212291706803</v>
      </c>
      <c r="P1031" s="2"/>
    </row>
    <row r="1032" spans="1:16" x14ac:dyDescent="0.3">
      <c r="A1032" s="3">
        <v>45713</v>
      </c>
      <c r="B1032" s="2">
        <v>22516.45</v>
      </c>
      <c r="C1032" s="2">
        <v>22625.3</v>
      </c>
      <c r="D1032" s="2">
        <v>22513.9</v>
      </c>
      <c r="E1032" s="2">
        <v>22547.55</v>
      </c>
      <c r="F1032" s="2">
        <v>250279519</v>
      </c>
      <c r="G1032" s="2">
        <v>24917.83</v>
      </c>
      <c r="H1032" s="2">
        <f t="shared" si="107"/>
        <v>23196.122500000005</v>
      </c>
      <c r="I1032" s="2">
        <f t="shared" si="108"/>
        <v>23396.739999999994</v>
      </c>
      <c r="J1032" s="2">
        <f t="shared" si="106"/>
        <v>24069.755499999999</v>
      </c>
      <c r="K1032" s="2">
        <f t="shared" si="111"/>
        <v>-5.7999999999992724</v>
      </c>
      <c r="L1032" s="7">
        <f t="shared" si="109"/>
        <v>-2.5758945126781854E-4</v>
      </c>
      <c r="M1032" s="9"/>
      <c r="N1032" s="2">
        <f t="shared" si="112"/>
        <v>26216.05</v>
      </c>
      <c r="O1032" s="2">
        <f t="shared" si="110"/>
        <v>-0.13993336143316781</v>
      </c>
      <c r="P1032" s="2"/>
    </row>
    <row r="1033" spans="1:16" x14ac:dyDescent="0.3">
      <c r="A1033" s="3">
        <v>45715</v>
      </c>
      <c r="B1033" s="2">
        <v>22568.95</v>
      </c>
      <c r="C1033" s="2">
        <v>22613.3</v>
      </c>
      <c r="D1033" s="2">
        <v>22508.400000000001</v>
      </c>
      <c r="E1033" s="2">
        <v>22545.05</v>
      </c>
      <c r="F1033" s="2">
        <v>289230479</v>
      </c>
      <c r="G1033" s="2">
        <v>29775.64</v>
      </c>
      <c r="H1033" s="2">
        <f t="shared" si="107"/>
        <v>23165.345000000001</v>
      </c>
      <c r="I1033" s="2">
        <f t="shared" si="108"/>
        <v>23360.971000000001</v>
      </c>
      <c r="J1033" s="2">
        <f t="shared" si="106"/>
        <v>24071.972999999994</v>
      </c>
      <c r="K1033" s="2">
        <f t="shared" si="111"/>
        <v>-2.5</v>
      </c>
      <c r="L1033" s="7">
        <f t="shared" si="109"/>
        <v>-1.1077165752062015E-4</v>
      </c>
      <c r="M1033" s="9"/>
      <c r="N1033" s="2">
        <f t="shared" si="112"/>
        <v>26216.05</v>
      </c>
      <c r="O1033" s="2">
        <f t="shared" si="110"/>
        <v>-0.14002872286252122</v>
      </c>
      <c r="P1033" s="2"/>
    </row>
    <row r="1034" spans="1:16" x14ac:dyDescent="0.3">
      <c r="A1034" s="3">
        <v>45716</v>
      </c>
      <c r="B1034" s="2">
        <v>22433.4</v>
      </c>
      <c r="C1034" s="2">
        <v>22450.35</v>
      </c>
      <c r="D1034" s="2">
        <v>22104.85</v>
      </c>
      <c r="E1034" s="2">
        <v>22124.7</v>
      </c>
      <c r="F1034" s="2">
        <v>551285287</v>
      </c>
      <c r="G1034" s="2">
        <v>52745.2</v>
      </c>
      <c r="H1034" s="2">
        <f t="shared" si="107"/>
        <v>23130.122500000001</v>
      </c>
      <c r="I1034" s="2">
        <f t="shared" si="108"/>
        <v>23327.895</v>
      </c>
      <c r="J1034" s="2">
        <f t="shared" si="106"/>
        <v>24073.608999999993</v>
      </c>
      <c r="K1034" s="2">
        <f t="shared" si="111"/>
        <v>-420.34999999999854</v>
      </c>
      <c r="L1034" s="7">
        <f t="shared" si="109"/>
        <v>-1.8737685772107594E-2</v>
      </c>
      <c r="M1034" s="9"/>
      <c r="N1034" s="2">
        <f t="shared" si="112"/>
        <v>26216.05</v>
      </c>
      <c r="O1034" s="2">
        <f t="shared" si="110"/>
        <v>-0.15606279359400055</v>
      </c>
      <c r="P1034" s="2"/>
    </row>
    <row r="1035" spans="1:16" x14ac:dyDescent="0.3">
      <c r="A1035" s="3">
        <v>45719</v>
      </c>
      <c r="B1035" s="2">
        <v>22194.55</v>
      </c>
      <c r="C1035" s="2">
        <v>22261.55</v>
      </c>
      <c r="D1035" s="2">
        <v>22004.7</v>
      </c>
      <c r="E1035" s="2">
        <v>22119.3</v>
      </c>
      <c r="F1035" s="2">
        <v>282399735</v>
      </c>
      <c r="G1035" s="2">
        <v>25942.05</v>
      </c>
      <c r="H1035" s="2">
        <f t="shared" si="107"/>
        <v>23060.9375</v>
      </c>
      <c r="I1035" s="2">
        <f t="shared" si="108"/>
        <v>23291.355000000003</v>
      </c>
      <c r="J1035" s="2">
        <f t="shared" ref="J1035:J1098" si="113">AVERAGE(E835:E1034)</f>
        <v>24073.229749999995</v>
      </c>
      <c r="K1035" s="2">
        <f t="shared" si="111"/>
        <v>-5.4000000000014552</v>
      </c>
      <c r="L1035" s="7">
        <f t="shared" si="109"/>
        <v>-2.4330297302722765E-4</v>
      </c>
      <c r="M1035" s="9"/>
      <c r="N1035" s="2">
        <f t="shared" si="112"/>
        <v>26216.05</v>
      </c>
      <c r="O1035" s="2">
        <f t="shared" si="110"/>
        <v>-0.15626877428140395</v>
      </c>
      <c r="P1035" s="2"/>
    </row>
    <row r="1036" spans="1:16" x14ac:dyDescent="0.3">
      <c r="A1036" s="3">
        <v>45720</v>
      </c>
      <c r="B1036" s="2">
        <v>21974.45</v>
      </c>
      <c r="C1036" s="2">
        <v>22105.05</v>
      </c>
      <c r="D1036" s="2">
        <v>21964.6</v>
      </c>
      <c r="E1036" s="2">
        <v>22082.65</v>
      </c>
      <c r="F1036" s="2">
        <v>253260641</v>
      </c>
      <c r="G1036" s="2">
        <v>22979.56</v>
      </c>
      <c r="H1036" s="2">
        <f t="shared" si="107"/>
        <v>22992.795000000002</v>
      </c>
      <c r="I1036" s="2">
        <f t="shared" si="108"/>
        <v>23261.991000000005</v>
      </c>
      <c r="J1036" s="2">
        <f t="shared" si="113"/>
        <v>24071.806999999997</v>
      </c>
      <c r="K1036" s="2">
        <f t="shared" si="111"/>
        <v>-36.649999999997817</v>
      </c>
      <c r="L1036" s="7">
        <f t="shared" si="109"/>
        <v>-1.667846066681888E-3</v>
      </c>
      <c r="M1036" s="9"/>
      <c r="N1036" s="2">
        <f t="shared" si="112"/>
        <v>26216.05</v>
      </c>
      <c r="O1036" s="2">
        <f t="shared" si="110"/>
        <v>-0.15766677283572461</v>
      </c>
      <c r="P1036" s="2"/>
    </row>
    <row r="1037" spans="1:16" x14ac:dyDescent="0.3">
      <c r="A1037" s="3">
        <v>45721</v>
      </c>
      <c r="B1037" s="2">
        <v>22073.05</v>
      </c>
      <c r="C1037" s="2">
        <v>22394.9</v>
      </c>
      <c r="D1037" s="2">
        <v>22067.8</v>
      </c>
      <c r="E1037" s="2">
        <v>22337.3</v>
      </c>
      <c r="F1037" s="2">
        <v>305942691</v>
      </c>
      <c r="G1037" s="2">
        <v>26371.61</v>
      </c>
      <c r="H1037" s="2">
        <f t="shared" si="107"/>
        <v>22928.875</v>
      </c>
      <c r="I1037" s="2">
        <f t="shared" si="108"/>
        <v>23228.575000000004</v>
      </c>
      <c r="J1037" s="2">
        <f t="shared" si="113"/>
        <v>24069.889750000002</v>
      </c>
      <c r="K1037" s="2">
        <f t="shared" si="111"/>
        <v>254.64999999999782</v>
      </c>
      <c r="L1037" s="7">
        <f t="shared" si="109"/>
        <v>1.1536692935502697E-2</v>
      </c>
      <c r="M1037" s="9"/>
      <c r="N1037" s="2">
        <f t="shared" si="112"/>
        <v>26216.05</v>
      </c>
      <c r="O1037" s="2">
        <f t="shared" si="110"/>
        <v>-0.14795325764178813</v>
      </c>
      <c r="P1037" s="2"/>
    </row>
    <row r="1038" spans="1:16" x14ac:dyDescent="0.3">
      <c r="A1038" s="3">
        <v>45722</v>
      </c>
      <c r="B1038" s="2">
        <v>22476.35</v>
      </c>
      <c r="C1038" s="2">
        <v>22556.45</v>
      </c>
      <c r="D1038" s="2">
        <v>22245.85</v>
      </c>
      <c r="E1038" s="2">
        <v>22544.7</v>
      </c>
      <c r="F1038" s="2">
        <v>372083680</v>
      </c>
      <c r="G1038" s="2">
        <v>30550.28</v>
      </c>
      <c r="H1038" s="2">
        <f t="shared" si="107"/>
        <v>22858.7775</v>
      </c>
      <c r="I1038" s="2">
        <f t="shared" si="108"/>
        <v>23200.768000000004</v>
      </c>
      <c r="J1038" s="2">
        <f t="shared" si="113"/>
        <v>24069.06625</v>
      </c>
      <c r="K1038" s="2">
        <f t="shared" si="111"/>
        <v>207.40000000000146</v>
      </c>
      <c r="L1038" s="7">
        <f t="shared" si="109"/>
        <v>9.2274768812552511E-3</v>
      </c>
      <c r="M1038" s="9"/>
      <c r="N1038" s="2">
        <f t="shared" si="112"/>
        <v>26216.05</v>
      </c>
      <c r="O1038" s="2">
        <f t="shared" si="110"/>
        <v>-0.14004207346263065</v>
      </c>
      <c r="P1038" s="2"/>
    </row>
    <row r="1039" spans="1:16" x14ac:dyDescent="0.3">
      <c r="A1039" s="3">
        <v>45723</v>
      </c>
      <c r="B1039" s="2">
        <v>22508.65</v>
      </c>
      <c r="C1039" s="2">
        <v>22633.8</v>
      </c>
      <c r="D1039" s="2">
        <v>22464.75</v>
      </c>
      <c r="E1039" s="2">
        <v>22552.5</v>
      </c>
      <c r="F1039" s="2">
        <v>289765795</v>
      </c>
      <c r="G1039" s="2">
        <v>21446.95</v>
      </c>
      <c r="H1039" s="2">
        <f t="shared" si="107"/>
        <v>22801.197499999998</v>
      </c>
      <c r="I1039" s="2">
        <f t="shared" si="108"/>
        <v>23176.658000000003</v>
      </c>
      <c r="J1039" s="2">
        <f t="shared" si="113"/>
        <v>24069.144500000002</v>
      </c>
      <c r="K1039" s="2">
        <f t="shared" si="111"/>
        <v>7.7999999999992724</v>
      </c>
      <c r="L1039" s="7">
        <f t="shared" si="109"/>
        <v>3.4653344380934761E-4</v>
      </c>
      <c r="M1039" s="9"/>
      <c r="N1039" s="2">
        <f t="shared" si="112"/>
        <v>26216.05</v>
      </c>
      <c r="O1039" s="2">
        <f t="shared" si="110"/>
        <v>-0.13974454580304807</v>
      </c>
      <c r="P1039" s="2"/>
    </row>
    <row r="1040" spans="1:16" x14ac:dyDescent="0.3">
      <c r="A1040" s="3">
        <v>45726</v>
      </c>
      <c r="B1040" s="2">
        <v>22521.85</v>
      </c>
      <c r="C1040" s="2">
        <v>22676.75</v>
      </c>
      <c r="D1040" s="2">
        <v>22429.05</v>
      </c>
      <c r="E1040" s="2">
        <v>22460.3</v>
      </c>
      <c r="F1040" s="2">
        <v>293855491</v>
      </c>
      <c r="G1040" s="2">
        <v>22330.86</v>
      </c>
      <c r="H1040" s="2">
        <f t="shared" si="107"/>
        <v>22748.654999999999</v>
      </c>
      <c r="I1040" s="2">
        <f t="shared" si="108"/>
        <v>23151.440000000006</v>
      </c>
      <c r="J1040" s="2">
        <f t="shared" si="113"/>
        <v>24068.918000000001</v>
      </c>
      <c r="K1040" s="2">
        <f t="shared" si="111"/>
        <v>-92.200000000000728</v>
      </c>
      <c r="L1040" s="7">
        <f t="shared" si="109"/>
        <v>-4.093802240934947E-3</v>
      </c>
      <c r="M1040" s="9"/>
      <c r="N1040" s="2">
        <f t="shared" si="112"/>
        <v>26216.05</v>
      </c>
      <c r="O1040" s="2">
        <f t="shared" si="110"/>
        <v>-0.14326147531760125</v>
      </c>
      <c r="P1040" s="2"/>
    </row>
    <row r="1041" spans="1:16" x14ac:dyDescent="0.3">
      <c r="A1041" s="3">
        <v>45727</v>
      </c>
      <c r="B1041" s="2">
        <v>22345.95</v>
      </c>
      <c r="C1041" s="2">
        <v>22522.1</v>
      </c>
      <c r="D1041" s="2">
        <v>22314.7</v>
      </c>
      <c r="E1041" s="2">
        <v>22497.9</v>
      </c>
      <c r="F1041" s="2">
        <v>347924102</v>
      </c>
      <c r="G1041" s="2">
        <v>29208.22</v>
      </c>
      <c r="H1041" s="2">
        <f t="shared" si="107"/>
        <v>22693.672499999997</v>
      </c>
      <c r="I1041" s="2">
        <f t="shared" si="108"/>
        <v>23127.748000000007</v>
      </c>
      <c r="J1041" s="2">
        <f t="shared" si="113"/>
        <v>24066.381249999999</v>
      </c>
      <c r="K1041" s="2">
        <f t="shared" si="111"/>
        <v>37.600000000002183</v>
      </c>
      <c r="L1041" s="7">
        <f t="shared" si="109"/>
        <v>1.6826315283083593E-3</v>
      </c>
      <c r="M1041" s="9"/>
      <c r="N1041" s="2">
        <f t="shared" si="112"/>
        <v>26216.05</v>
      </c>
      <c r="O1041" s="2">
        <f t="shared" si="110"/>
        <v>-0.14182723942012609</v>
      </c>
      <c r="P1041" s="2"/>
    </row>
    <row r="1042" spans="1:16" x14ac:dyDescent="0.3">
      <c r="A1042" s="3">
        <v>45728</v>
      </c>
      <c r="B1042" s="2">
        <v>22536.35</v>
      </c>
      <c r="C1042" s="2">
        <v>22577.4</v>
      </c>
      <c r="D1042" s="2">
        <v>22329.55</v>
      </c>
      <c r="E1042" s="2">
        <v>22470.5</v>
      </c>
      <c r="F1042" s="2">
        <v>369736725</v>
      </c>
      <c r="G1042" s="2">
        <v>33406.410000000003</v>
      </c>
      <c r="H1042" s="2">
        <f t="shared" si="107"/>
        <v>22649.487499999999</v>
      </c>
      <c r="I1042" s="2">
        <f t="shared" si="108"/>
        <v>23104.810000000005</v>
      </c>
      <c r="J1042" s="2">
        <f t="shared" si="113"/>
        <v>24064.08525</v>
      </c>
      <c r="K1042" s="2">
        <f t="shared" si="111"/>
        <v>-27.400000000001455</v>
      </c>
      <c r="L1042" s="7">
        <f t="shared" si="109"/>
        <v>-1.215813563420938E-3</v>
      </c>
      <c r="M1042" s="9"/>
      <c r="N1042" s="2">
        <f t="shared" si="112"/>
        <v>26216.05</v>
      </c>
      <c r="O1042" s="2">
        <f t="shared" si="110"/>
        <v>-0.1428724006858394</v>
      </c>
      <c r="P1042" s="2"/>
    </row>
    <row r="1043" spans="1:16" x14ac:dyDescent="0.3">
      <c r="A1043" s="3">
        <v>45729</v>
      </c>
      <c r="B1043" s="2">
        <v>22541.5</v>
      </c>
      <c r="C1043" s="2">
        <v>22558.05</v>
      </c>
      <c r="D1043" s="2">
        <v>22377.35</v>
      </c>
      <c r="E1043" s="2">
        <v>22397.200000000001</v>
      </c>
      <c r="F1043" s="2">
        <v>287535243</v>
      </c>
      <c r="G1043" s="2">
        <v>22855.58</v>
      </c>
      <c r="H1043" s="2">
        <f t="shared" si="107"/>
        <v>22619.422500000001</v>
      </c>
      <c r="I1043" s="2">
        <f t="shared" si="108"/>
        <v>23079.362000000008</v>
      </c>
      <c r="J1043" s="2">
        <f t="shared" si="113"/>
        <v>24061.7755</v>
      </c>
      <c r="K1043" s="2">
        <f t="shared" si="111"/>
        <v>-73.299999999999272</v>
      </c>
      <c r="L1043" s="7">
        <f t="shared" si="109"/>
        <v>-3.2517800501297282E-3</v>
      </c>
      <c r="M1043" s="9"/>
      <c r="N1043" s="2">
        <f t="shared" si="112"/>
        <v>26216.05</v>
      </c>
      <c r="O1043" s="2">
        <f t="shared" si="110"/>
        <v>-0.14566839779448082</v>
      </c>
      <c r="P1043" s="2"/>
    </row>
    <row r="1044" spans="1:16" x14ac:dyDescent="0.3">
      <c r="A1044" s="3">
        <v>45733</v>
      </c>
      <c r="B1044" s="2">
        <v>22353.15</v>
      </c>
      <c r="C1044" s="2">
        <v>22577</v>
      </c>
      <c r="D1044" s="2">
        <v>22353.15</v>
      </c>
      <c r="E1044" s="2">
        <v>22508.75</v>
      </c>
      <c r="F1044" s="2">
        <v>251102239</v>
      </c>
      <c r="G1044" s="2">
        <v>24122.27</v>
      </c>
      <c r="H1044" s="2">
        <f t="shared" si="107"/>
        <v>22587.02</v>
      </c>
      <c r="I1044" s="2">
        <f t="shared" si="108"/>
        <v>23043.533000000007</v>
      </c>
      <c r="J1044" s="2">
        <f t="shared" si="113"/>
        <v>24059.320749999999</v>
      </c>
      <c r="K1044" s="2">
        <f t="shared" si="111"/>
        <v>111.54999999999927</v>
      </c>
      <c r="L1044" s="7">
        <f t="shared" si="109"/>
        <v>4.9903481164846686E-3</v>
      </c>
      <c r="M1044" s="9"/>
      <c r="N1044" s="2">
        <f t="shared" si="112"/>
        <v>26216.05</v>
      </c>
      <c r="O1044" s="2">
        <f t="shared" si="110"/>
        <v>-0.14141337081673244</v>
      </c>
      <c r="P1044" s="2"/>
    </row>
    <row r="1045" spans="1:16" x14ac:dyDescent="0.3">
      <c r="A1045" s="3">
        <v>45734</v>
      </c>
      <c r="B1045" s="2">
        <v>22662.25</v>
      </c>
      <c r="C1045" s="2">
        <v>22857.8</v>
      </c>
      <c r="D1045" s="2">
        <v>22599.200000000001</v>
      </c>
      <c r="E1045" s="2">
        <v>22834.3</v>
      </c>
      <c r="F1045" s="2">
        <v>272578844</v>
      </c>
      <c r="G1045" s="2">
        <v>26387.47</v>
      </c>
      <c r="H1045" s="2">
        <f t="shared" si="107"/>
        <v>22560.887500000001</v>
      </c>
      <c r="I1045" s="2">
        <f t="shared" si="108"/>
        <v>23013.613000000001</v>
      </c>
      <c r="J1045" s="2">
        <f t="shared" si="113"/>
        <v>24058.340999999997</v>
      </c>
      <c r="K1045" s="2">
        <f t="shared" si="111"/>
        <v>325.54999999999927</v>
      </c>
      <c r="L1045" s="7">
        <f t="shared" si="109"/>
        <v>1.4365299120784533E-2</v>
      </c>
      <c r="M1045" s="9"/>
      <c r="N1045" s="2">
        <f t="shared" si="112"/>
        <v>26216.05</v>
      </c>
      <c r="O1045" s="2">
        <f t="shared" si="110"/>
        <v>-0.1289954054863337</v>
      </c>
      <c r="P1045" s="2"/>
    </row>
    <row r="1046" spans="1:16" x14ac:dyDescent="0.3">
      <c r="A1046" s="3">
        <v>45735</v>
      </c>
      <c r="B1046" s="2">
        <v>22874.95</v>
      </c>
      <c r="C1046" s="2">
        <v>22940.7</v>
      </c>
      <c r="D1046" s="2">
        <v>22807.95</v>
      </c>
      <c r="E1046" s="2">
        <v>22907.599999999999</v>
      </c>
      <c r="F1046" s="2">
        <v>323992121</v>
      </c>
      <c r="G1046" s="2">
        <v>26994.95</v>
      </c>
      <c r="H1046" s="2">
        <f t="shared" si="107"/>
        <v>22556.14</v>
      </c>
      <c r="I1046" s="2">
        <f t="shared" si="108"/>
        <v>22997.978000000003</v>
      </c>
      <c r="J1046" s="2">
        <f t="shared" si="113"/>
        <v>24060.069249999997</v>
      </c>
      <c r="K1046" s="2">
        <f t="shared" si="111"/>
        <v>73.299999999999272</v>
      </c>
      <c r="L1046" s="7">
        <f t="shared" si="109"/>
        <v>3.2043785888056266E-3</v>
      </c>
      <c r="M1046" s="9"/>
      <c r="N1046" s="2">
        <f t="shared" si="112"/>
        <v>26216.05</v>
      </c>
      <c r="O1046" s="2">
        <f t="shared" si="110"/>
        <v>-0.12619940837769228</v>
      </c>
      <c r="P1046" s="2"/>
    </row>
    <row r="1047" spans="1:16" x14ac:dyDescent="0.3">
      <c r="A1047" s="3">
        <v>45736</v>
      </c>
      <c r="B1047" s="2">
        <v>23036.6</v>
      </c>
      <c r="C1047" s="2">
        <v>23216.7</v>
      </c>
      <c r="D1047" s="2">
        <v>22973.95</v>
      </c>
      <c r="E1047" s="2">
        <v>23190.65</v>
      </c>
      <c r="F1047" s="2">
        <v>313729818</v>
      </c>
      <c r="G1047" s="2">
        <v>27573.99</v>
      </c>
      <c r="H1047" s="2">
        <f t="shared" ref="H1047:H1110" si="114">AVERAGE(E1027:E1046)</f>
        <v>22553.544999999998</v>
      </c>
      <c r="I1047" s="2">
        <f t="shared" si="108"/>
        <v>22981.972000000012</v>
      </c>
      <c r="J1047" s="2">
        <f t="shared" si="113"/>
        <v>24061.953749999997</v>
      </c>
      <c r="K1047" s="2">
        <f t="shared" si="111"/>
        <v>283.05000000000291</v>
      </c>
      <c r="L1047" s="7">
        <f t="shared" si="109"/>
        <v>1.2286969431253004E-2</v>
      </c>
      <c r="M1047" s="9"/>
      <c r="N1047" s="2">
        <f t="shared" si="112"/>
        <v>26216.05</v>
      </c>
      <c r="O1047" s="2">
        <f t="shared" si="110"/>
        <v>-0.11540258734630116</v>
      </c>
      <c r="P1047" s="2"/>
    </row>
    <row r="1048" spans="1:16" x14ac:dyDescent="0.3">
      <c r="A1048" s="3">
        <v>45737</v>
      </c>
      <c r="B1048" s="2">
        <v>23168.25</v>
      </c>
      <c r="C1048" s="2">
        <v>23402.7</v>
      </c>
      <c r="D1048" s="2">
        <v>23132.799999999999</v>
      </c>
      <c r="E1048" s="2">
        <v>23350.400000000001</v>
      </c>
      <c r="F1048" s="2">
        <v>540966316</v>
      </c>
      <c r="G1048" s="2">
        <v>51005.67</v>
      </c>
      <c r="H1048" s="2">
        <f t="shared" si="114"/>
        <v>22565.812500000004</v>
      </c>
      <c r="I1048" s="2">
        <f t="shared" si="108"/>
        <v>22972.006000000005</v>
      </c>
      <c r="J1048" s="2">
        <f t="shared" si="113"/>
        <v>24061.587499999994</v>
      </c>
      <c r="K1048" s="2">
        <f t="shared" si="111"/>
        <v>159.75</v>
      </c>
      <c r="L1048" s="7">
        <f t="shared" si="109"/>
        <v>6.8952121977274936E-3</v>
      </c>
      <c r="M1048" s="9"/>
      <c r="N1048" s="2">
        <f t="shared" si="112"/>
        <v>26216.05</v>
      </c>
      <c r="O1048" s="2">
        <f t="shared" si="110"/>
        <v>-0.10930899201061939</v>
      </c>
      <c r="P1048" s="2"/>
    </row>
    <row r="1049" spans="1:16" x14ac:dyDescent="0.3">
      <c r="A1049" s="3">
        <v>45740</v>
      </c>
      <c r="B1049" s="2">
        <v>23515.4</v>
      </c>
      <c r="C1049" s="2">
        <v>23708.75</v>
      </c>
      <c r="D1049" s="2">
        <v>23433.5</v>
      </c>
      <c r="E1049" s="2">
        <v>23658.35</v>
      </c>
      <c r="F1049" s="2">
        <v>311900413</v>
      </c>
      <c r="G1049" s="2">
        <v>28871.35</v>
      </c>
      <c r="H1049" s="2">
        <f t="shared" si="114"/>
        <v>22586.687500000004</v>
      </c>
      <c r="I1049" s="2">
        <f t="shared" si="108"/>
        <v>22968.484000000008</v>
      </c>
      <c r="J1049" s="2">
        <f t="shared" si="113"/>
        <v>24068.917000000001</v>
      </c>
      <c r="K1049" s="2">
        <f t="shared" si="111"/>
        <v>307.94999999999709</v>
      </c>
      <c r="L1049" s="7">
        <f t="shared" si="109"/>
        <v>1.3095673473553376E-2</v>
      </c>
      <c r="M1049" s="9"/>
      <c r="N1049" s="2">
        <f t="shared" si="112"/>
        <v>26216.05</v>
      </c>
      <c r="O1049" s="2">
        <f t="shared" si="110"/>
        <v>-9.7562371142868587E-2</v>
      </c>
      <c r="P1049" s="2"/>
    </row>
    <row r="1050" spans="1:16" x14ac:dyDescent="0.3">
      <c r="A1050" s="3">
        <v>45741</v>
      </c>
      <c r="B1050" s="2">
        <v>23751.5</v>
      </c>
      <c r="C1050" s="2">
        <v>23869.599999999999</v>
      </c>
      <c r="D1050" s="2">
        <v>23601.4</v>
      </c>
      <c r="E1050" s="2">
        <v>23668.65</v>
      </c>
      <c r="F1050" s="2">
        <v>338216746</v>
      </c>
      <c r="G1050" s="2">
        <v>35415.03</v>
      </c>
      <c r="H1050" s="2">
        <f t="shared" si="114"/>
        <v>22623.947500000002</v>
      </c>
      <c r="I1050" s="2">
        <f t="shared" si="108"/>
        <v>22973.021000000004</v>
      </c>
      <c r="J1050" s="2">
        <f t="shared" si="113"/>
        <v>24074.107000000004</v>
      </c>
      <c r="K1050" s="2">
        <f t="shared" si="111"/>
        <v>10.30000000000291</v>
      </c>
      <c r="L1050" s="7">
        <f t="shared" si="109"/>
        <v>4.3365682167454311E-4</v>
      </c>
      <c r="M1050" s="9"/>
      <c r="N1050" s="2">
        <f t="shared" si="112"/>
        <v>26216.05</v>
      </c>
      <c r="O1050" s="2">
        <f t="shared" si="110"/>
        <v>-9.7169482053932499E-2</v>
      </c>
      <c r="P1050" s="2"/>
    </row>
    <row r="1051" spans="1:16" x14ac:dyDescent="0.3">
      <c r="A1051" s="3">
        <v>45742</v>
      </c>
      <c r="B1051" s="2">
        <v>23700.95</v>
      </c>
      <c r="C1051" s="2">
        <v>23736.5</v>
      </c>
      <c r="D1051" s="2">
        <v>23451.7</v>
      </c>
      <c r="E1051" s="2">
        <v>23486.85</v>
      </c>
      <c r="F1051" s="2">
        <v>278590831</v>
      </c>
      <c r="G1051" s="2">
        <v>26877.279999999999</v>
      </c>
      <c r="H1051" s="2">
        <f t="shared" si="114"/>
        <v>22667.584999999999</v>
      </c>
      <c r="I1051" s="2">
        <f t="shared" si="108"/>
        <v>22984.674999999999</v>
      </c>
      <c r="J1051" s="2">
        <f t="shared" si="113"/>
        <v>24078.343250000002</v>
      </c>
      <c r="K1051" s="2">
        <f t="shared" si="111"/>
        <v>-181.80000000000291</v>
      </c>
      <c r="L1051" s="7">
        <f t="shared" si="109"/>
        <v>-7.670578605499058E-3</v>
      </c>
      <c r="M1051" s="9"/>
      <c r="N1051" s="2">
        <f t="shared" si="112"/>
        <v>26216.05</v>
      </c>
      <c r="O1051" s="2">
        <f t="shared" si="110"/>
        <v>-0.10410416519651133</v>
      </c>
      <c r="P1051" s="2"/>
    </row>
    <row r="1052" spans="1:16" x14ac:dyDescent="0.3">
      <c r="A1052" s="3">
        <v>45743</v>
      </c>
      <c r="B1052" s="2">
        <v>23433.95</v>
      </c>
      <c r="C1052" s="2">
        <v>23646.45</v>
      </c>
      <c r="D1052" s="2">
        <v>23412.2</v>
      </c>
      <c r="E1052" s="2">
        <v>23591.95</v>
      </c>
      <c r="F1052" s="2">
        <v>510302142</v>
      </c>
      <c r="G1052" s="2">
        <v>46481.84</v>
      </c>
      <c r="H1052" s="2">
        <f t="shared" si="114"/>
        <v>22714.26</v>
      </c>
      <c r="I1052" s="2">
        <f t="shared" si="108"/>
        <v>22990.891000000007</v>
      </c>
      <c r="J1052" s="2">
        <f t="shared" si="113"/>
        <v>24079.326749999997</v>
      </c>
      <c r="K1052" s="2">
        <f t="shared" si="111"/>
        <v>105.10000000000218</v>
      </c>
      <c r="L1052" s="7">
        <f t="shared" si="109"/>
        <v>4.4849459864855128E-3</v>
      </c>
      <c r="M1052" s="9"/>
      <c r="N1052" s="2">
        <f t="shared" si="112"/>
        <v>26216.05</v>
      </c>
      <c r="O1052" s="2">
        <f t="shared" si="110"/>
        <v>-0.10009517070649465</v>
      </c>
      <c r="P1052" s="2"/>
    </row>
    <row r="1053" spans="1:16" x14ac:dyDescent="0.3">
      <c r="A1053" s="3">
        <v>45744</v>
      </c>
      <c r="B1053" s="2">
        <v>23600.400000000001</v>
      </c>
      <c r="C1053" s="2">
        <v>23649.200000000001</v>
      </c>
      <c r="D1053" s="2">
        <v>23450.2</v>
      </c>
      <c r="E1053" s="2">
        <v>23519.35</v>
      </c>
      <c r="F1053" s="2">
        <v>387455531</v>
      </c>
      <c r="G1053" s="2">
        <v>29156.37</v>
      </c>
      <c r="H1053" s="2">
        <f t="shared" si="114"/>
        <v>22766.48</v>
      </c>
      <c r="I1053" s="2">
        <f t="shared" si="108"/>
        <v>22998.466000000004</v>
      </c>
      <c r="J1053" s="2">
        <f t="shared" si="113"/>
        <v>24080.9905</v>
      </c>
      <c r="K1053" s="2">
        <f t="shared" si="111"/>
        <v>-72.600000000002183</v>
      </c>
      <c r="L1053" s="7">
        <f t="shared" si="109"/>
        <v>-3.0762190471348865E-3</v>
      </c>
      <c r="M1053" s="9"/>
      <c r="N1053" s="2">
        <f t="shared" si="112"/>
        <v>26216.05</v>
      </c>
      <c r="O1053" s="2">
        <f t="shared" si="110"/>
        <v>-0.10286446661491722</v>
      </c>
      <c r="P1053" s="2"/>
    </row>
    <row r="1054" spans="1:16" x14ac:dyDescent="0.3">
      <c r="A1054" s="3">
        <v>45748</v>
      </c>
      <c r="B1054" s="2">
        <v>23341.1</v>
      </c>
      <c r="C1054" s="2">
        <v>23565.15</v>
      </c>
      <c r="D1054" s="2">
        <v>23136.400000000001</v>
      </c>
      <c r="E1054" s="2">
        <v>23165.7</v>
      </c>
      <c r="F1054" s="2">
        <v>375118343</v>
      </c>
      <c r="G1054" s="2">
        <v>30680.7</v>
      </c>
      <c r="H1054" s="2">
        <f t="shared" si="114"/>
        <v>22815.195</v>
      </c>
      <c r="I1054" s="2">
        <f t="shared" si="108"/>
        <v>23002.617000000006</v>
      </c>
      <c r="J1054" s="2">
        <f t="shared" si="113"/>
        <v>24082.262999999992</v>
      </c>
      <c r="K1054" s="2">
        <f t="shared" si="111"/>
        <v>-353.64999999999782</v>
      </c>
      <c r="L1054" s="7">
        <f t="shared" si="109"/>
        <v>-1.5151385324599006E-2</v>
      </c>
      <c r="M1054" s="9"/>
      <c r="N1054" s="2">
        <f t="shared" si="112"/>
        <v>26216.05</v>
      </c>
      <c r="O1054" s="2">
        <f t="shared" si="110"/>
        <v>-0.116354294411248</v>
      </c>
      <c r="P1054" s="2"/>
    </row>
    <row r="1055" spans="1:16" x14ac:dyDescent="0.3">
      <c r="A1055" s="3">
        <v>45749</v>
      </c>
      <c r="B1055" s="2">
        <v>23192.6</v>
      </c>
      <c r="C1055" s="2">
        <v>23350</v>
      </c>
      <c r="D1055" s="2">
        <v>23158.45</v>
      </c>
      <c r="E1055" s="2">
        <v>23332.35</v>
      </c>
      <c r="F1055" s="2">
        <v>340970371</v>
      </c>
      <c r="G1055" s="2">
        <v>24334.3</v>
      </c>
      <c r="H1055" s="2">
        <f t="shared" si="114"/>
        <v>22867.245000000003</v>
      </c>
      <c r="I1055" s="2">
        <f t="shared" si="108"/>
        <v>23001.867000000006</v>
      </c>
      <c r="J1055" s="2">
        <f t="shared" si="113"/>
        <v>24081.476749999998</v>
      </c>
      <c r="K1055" s="2">
        <f t="shared" si="111"/>
        <v>166.64999999999782</v>
      </c>
      <c r="L1055" s="7">
        <f t="shared" si="109"/>
        <v>7.1854815760198434E-3</v>
      </c>
      <c r="M1055" s="9"/>
      <c r="N1055" s="2">
        <f t="shared" si="112"/>
        <v>26216.05</v>
      </c>
      <c r="O1055" s="2">
        <f t="shared" si="110"/>
        <v>-0.10999750153055099</v>
      </c>
      <c r="P1055" s="2"/>
    </row>
    <row r="1056" spans="1:16" x14ac:dyDescent="0.3">
      <c r="A1056" s="3">
        <v>45750</v>
      </c>
      <c r="B1056" s="2">
        <v>23150.3</v>
      </c>
      <c r="C1056" s="2">
        <v>23306.5</v>
      </c>
      <c r="D1056" s="2">
        <v>23145.8</v>
      </c>
      <c r="E1056" s="2">
        <v>23250.1</v>
      </c>
      <c r="F1056" s="2">
        <v>283196379</v>
      </c>
      <c r="G1056" s="2">
        <v>23501.33</v>
      </c>
      <c r="H1056" s="2">
        <f t="shared" si="114"/>
        <v>22927.897499999999</v>
      </c>
      <c r="I1056" s="2">
        <f t="shared" si="108"/>
        <v>23001.61900000001</v>
      </c>
      <c r="J1056" s="2">
        <f t="shared" si="113"/>
        <v>24081.143999999993</v>
      </c>
      <c r="K1056" s="2">
        <f t="shared" si="111"/>
        <v>-82.25</v>
      </c>
      <c r="L1056" s="7">
        <f t="shared" si="109"/>
        <v>-3.5528697252303425E-3</v>
      </c>
      <c r="M1056" s="9"/>
      <c r="N1056" s="2">
        <f t="shared" si="112"/>
        <v>26216.05</v>
      </c>
      <c r="O1056" s="2">
        <f t="shared" si="110"/>
        <v>-0.11313489255627762</v>
      </c>
      <c r="P1056" s="2"/>
    </row>
    <row r="1057" spans="1:16" x14ac:dyDescent="0.3">
      <c r="A1057" s="3">
        <v>45751</v>
      </c>
      <c r="B1057" s="2">
        <v>23190.400000000001</v>
      </c>
      <c r="C1057" s="2">
        <v>23214.7</v>
      </c>
      <c r="D1057" s="2">
        <v>22857.45</v>
      </c>
      <c r="E1057" s="2">
        <v>22904.45</v>
      </c>
      <c r="F1057" s="2">
        <v>466776198</v>
      </c>
      <c r="G1057" s="2">
        <v>33761.96</v>
      </c>
      <c r="H1057" s="2">
        <f t="shared" si="114"/>
        <v>22986.269999999997</v>
      </c>
      <c r="I1057" s="2">
        <f t="shared" si="108"/>
        <v>23006.128000000008</v>
      </c>
      <c r="J1057" s="2">
        <f t="shared" si="113"/>
        <v>24080.06649999999</v>
      </c>
      <c r="K1057" s="2">
        <f t="shared" si="111"/>
        <v>-345.64999999999782</v>
      </c>
      <c r="L1057" s="7">
        <f t="shared" si="109"/>
        <v>-1.4904874430798857E-2</v>
      </c>
      <c r="M1057" s="9"/>
      <c r="N1057" s="2">
        <f t="shared" si="112"/>
        <v>26216.05</v>
      </c>
      <c r="O1057" s="2">
        <f t="shared" si="110"/>
        <v>-0.12631956377867748</v>
      </c>
      <c r="P1057" s="2"/>
    </row>
    <row r="1058" spans="1:16" x14ac:dyDescent="0.3">
      <c r="A1058" s="3">
        <v>45754</v>
      </c>
      <c r="B1058" s="2">
        <v>21758.400000000001</v>
      </c>
      <c r="C1058" s="2">
        <v>22254</v>
      </c>
      <c r="D1058" s="2">
        <v>21743.65</v>
      </c>
      <c r="E1058" s="2">
        <v>22161.599999999999</v>
      </c>
      <c r="F1058" s="2">
        <v>647107618</v>
      </c>
      <c r="G1058" s="2">
        <v>49172.14</v>
      </c>
      <c r="H1058" s="2">
        <f t="shared" si="114"/>
        <v>23014.627499999995</v>
      </c>
      <c r="I1058" s="2">
        <f t="shared" si="108"/>
        <v>23001.110000000004</v>
      </c>
      <c r="J1058" s="2">
        <f t="shared" si="113"/>
        <v>24076.799249999989</v>
      </c>
      <c r="K1058" s="2">
        <f t="shared" si="111"/>
        <v>-742.85000000000218</v>
      </c>
      <c r="L1058" s="7">
        <f t="shared" si="109"/>
        <v>-3.4140837561585508E-2</v>
      </c>
      <c r="M1058" s="9"/>
      <c r="N1058" s="2">
        <f t="shared" si="112"/>
        <v>26216.05</v>
      </c>
      <c r="O1058" s="2">
        <f t="shared" si="110"/>
        <v>-0.15465525889674459</v>
      </c>
      <c r="P1058" s="2"/>
    </row>
    <row r="1059" spans="1:16" x14ac:dyDescent="0.3">
      <c r="A1059" s="3">
        <v>45755</v>
      </c>
      <c r="B1059" s="2">
        <v>22446.75</v>
      </c>
      <c r="C1059" s="2">
        <v>22697.200000000001</v>
      </c>
      <c r="D1059" s="2">
        <v>22270.85</v>
      </c>
      <c r="E1059" s="2">
        <v>22535.85</v>
      </c>
      <c r="F1059" s="2">
        <v>468250807</v>
      </c>
      <c r="G1059" s="2">
        <v>37226.82</v>
      </c>
      <c r="H1059" s="2">
        <f t="shared" si="114"/>
        <v>22995.472499999996</v>
      </c>
      <c r="I1059" s="2">
        <f t="shared" si="108"/>
        <v>22980.235000000008</v>
      </c>
      <c r="J1059" s="2">
        <f t="shared" si="113"/>
        <v>24070.027249999988</v>
      </c>
      <c r="K1059" s="2">
        <f t="shared" si="111"/>
        <v>374.25</v>
      </c>
      <c r="L1059" s="7">
        <f t="shared" si="109"/>
        <v>1.6672792275050953E-2</v>
      </c>
      <c r="M1059" s="9"/>
      <c r="N1059" s="2">
        <f t="shared" si="112"/>
        <v>26216.05</v>
      </c>
      <c r="O1059" s="2">
        <f t="shared" si="110"/>
        <v>-0.14037965292254173</v>
      </c>
      <c r="P1059" s="2"/>
    </row>
    <row r="1060" spans="1:16" x14ac:dyDescent="0.3">
      <c r="A1060" s="3">
        <v>45756</v>
      </c>
      <c r="B1060" s="2">
        <v>22460.3</v>
      </c>
      <c r="C1060" s="2">
        <v>22468.7</v>
      </c>
      <c r="D1060" s="2">
        <v>22353.25</v>
      </c>
      <c r="E1060" s="2">
        <v>22399.15</v>
      </c>
      <c r="F1060" s="2">
        <v>383822618</v>
      </c>
      <c r="G1060" s="2">
        <v>28996.55</v>
      </c>
      <c r="H1060" s="2">
        <f t="shared" si="114"/>
        <v>22994.639999999992</v>
      </c>
      <c r="I1060" s="2">
        <f t="shared" si="108"/>
        <v>22969.108000000007</v>
      </c>
      <c r="J1060" s="2">
        <f t="shared" si="113"/>
        <v>24064.87149999999</v>
      </c>
      <c r="K1060" s="2">
        <f t="shared" si="111"/>
        <v>-136.69999999999709</v>
      </c>
      <c r="L1060" s="7">
        <f t="shared" si="109"/>
        <v>-6.0862944840450522E-3</v>
      </c>
      <c r="M1060" s="9"/>
      <c r="N1060" s="2">
        <f t="shared" si="112"/>
        <v>26216.05</v>
      </c>
      <c r="O1060" s="2">
        <f t="shared" si="110"/>
        <v>-0.14559401587958509</v>
      </c>
      <c r="P1060" s="2"/>
    </row>
    <row r="1061" spans="1:16" x14ac:dyDescent="0.3">
      <c r="A1061" s="3">
        <v>45758</v>
      </c>
      <c r="B1061" s="2">
        <v>22695.4</v>
      </c>
      <c r="C1061" s="2">
        <v>22923.9</v>
      </c>
      <c r="D1061" s="2">
        <v>22695.4</v>
      </c>
      <c r="E1061" s="2">
        <v>22828.55</v>
      </c>
      <c r="F1061" s="2">
        <v>402162001</v>
      </c>
      <c r="G1061" s="2">
        <v>33683.599999999999</v>
      </c>
      <c r="H1061" s="2">
        <f t="shared" si="114"/>
        <v>22991.582499999997</v>
      </c>
      <c r="I1061" s="2">
        <f t="shared" si="108"/>
        <v>22960.508000000002</v>
      </c>
      <c r="J1061" s="2">
        <f t="shared" si="113"/>
        <v>24059.361749999989</v>
      </c>
      <c r="K1061" s="2">
        <f t="shared" si="111"/>
        <v>429.39999999999782</v>
      </c>
      <c r="L1061" s="7">
        <f t="shared" si="109"/>
        <v>1.8920133595354029E-2</v>
      </c>
      <c r="M1061" s="9"/>
      <c r="N1061" s="2">
        <f t="shared" si="112"/>
        <v>26216.05</v>
      </c>
      <c r="O1061" s="2">
        <f t="shared" si="110"/>
        <v>-0.12921473677384654</v>
      </c>
      <c r="P1061" s="2"/>
    </row>
    <row r="1062" spans="1:16" x14ac:dyDescent="0.3">
      <c r="A1062" s="3">
        <v>45762</v>
      </c>
      <c r="B1062" s="2">
        <v>23368.35</v>
      </c>
      <c r="C1062" s="2">
        <v>23368.35</v>
      </c>
      <c r="D1062" s="2">
        <v>23207</v>
      </c>
      <c r="E1062" s="2">
        <v>23328.55</v>
      </c>
      <c r="F1062" s="2">
        <v>388321931</v>
      </c>
      <c r="G1062" s="2">
        <v>34216.17</v>
      </c>
      <c r="H1062" s="2">
        <f t="shared" si="114"/>
        <v>23008.114999999998</v>
      </c>
      <c r="I1062" s="2">
        <f t="shared" si="108"/>
        <v>22957.934000000005</v>
      </c>
      <c r="J1062" s="2">
        <f t="shared" si="113"/>
        <v>24055.815249999989</v>
      </c>
      <c r="K1062" s="2">
        <f t="shared" si="111"/>
        <v>500</v>
      </c>
      <c r="L1062" s="7">
        <f t="shared" si="109"/>
        <v>2.1396461453204872E-2</v>
      </c>
      <c r="M1062" s="9"/>
      <c r="N1062" s="2">
        <f t="shared" si="112"/>
        <v>26216.05</v>
      </c>
      <c r="O1062" s="2">
        <f t="shared" si="110"/>
        <v>-0.1101424509031681</v>
      </c>
      <c r="P1062" s="2"/>
    </row>
    <row r="1063" spans="1:16" x14ac:dyDescent="0.3">
      <c r="A1063" s="3">
        <v>45763</v>
      </c>
      <c r="B1063" s="2">
        <v>23344.1</v>
      </c>
      <c r="C1063" s="2">
        <v>23452.2</v>
      </c>
      <c r="D1063" s="2">
        <v>23273.05</v>
      </c>
      <c r="E1063" s="2">
        <v>23437.200000000001</v>
      </c>
      <c r="F1063" s="2">
        <v>348424960</v>
      </c>
      <c r="G1063" s="2">
        <v>28102.36</v>
      </c>
      <c r="H1063" s="2">
        <f t="shared" si="114"/>
        <v>23051.017499999994</v>
      </c>
      <c r="I1063" s="2">
        <f t="shared" si="108"/>
        <v>22961.243000000002</v>
      </c>
      <c r="J1063" s="2">
        <f t="shared" si="113"/>
        <v>24053.851499999986</v>
      </c>
      <c r="K1063" s="2">
        <f t="shared" si="111"/>
        <v>108.65000000000146</v>
      </c>
      <c r="L1063" s="7">
        <f t="shared" si="109"/>
        <v>4.6542809532173638E-3</v>
      </c>
      <c r="M1063" s="9"/>
      <c r="N1063" s="2">
        <f t="shared" si="112"/>
        <v>26216.05</v>
      </c>
      <c r="O1063" s="2">
        <f t="shared" si="110"/>
        <v>-0.10599804318346961</v>
      </c>
      <c r="P1063" s="2"/>
    </row>
    <row r="1064" spans="1:16" x14ac:dyDescent="0.3">
      <c r="A1064" s="3">
        <v>45764</v>
      </c>
      <c r="B1064" s="2">
        <v>23401.85</v>
      </c>
      <c r="C1064" s="2">
        <v>23872.35</v>
      </c>
      <c r="D1064" s="2">
        <v>23298.55</v>
      </c>
      <c r="E1064" s="2">
        <v>23851.65</v>
      </c>
      <c r="F1064" s="2">
        <v>505333905</v>
      </c>
      <c r="G1064" s="2">
        <v>38450.089999999997</v>
      </c>
      <c r="H1064" s="2">
        <f t="shared" si="114"/>
        <v>23103.017499999998</v>
      </c>
      <c r="I1064" s="2">
        <f t="shared" si="108"/>
        <v>22964.996999999996</v>
      </c>
      <c r="J1064" s="2">
        <f t="shared" si="113"/>
        <v>24051.693499999987</v>
      </c>
      <c r="K1064" s="2">
        <f t="shared" si="111"/>
        <v>414.45000000000073</v>
      </c>
      <c r="L1064" s="7">
        <f t="shared" si="109"/>
        <v>1.7710138301031787E-2</v>
      </c>
      <c r="M1064" s="9"/>
      <c r="N1064" s="2">
        <f t="shared" si="112"/>
        <v>26216.05</v>
      </c>
      <c r="O1064" s="2">
        <f t="shared" si="110"/>
        <v>-9.0189025425264191E-2</v>
      </c>
      <c r="P1064" s="2"/>
    </row>
    <row r="1065" spans="1:16" x14ac:dyDescent="0.3">
      <c r="A1065" s="3">
        <v>45768</v>
      </c>
      <c r="B1065" s="2">
        <v>23949.15</v>
      </c>
      <c r="C1065" s="2">
        <v>24189.55</v>
      </c>
      <c r="D1065" s="2">
        <v>23903.65</v>
      </c>
      <c r="E1065" s="2">
        <v>24125.55</v>
      </c>
      <c r="F1065" s="2">
        <v>406145632</v>
      </c>
      <c r="G1065" s="2">
        <v>33125.620000000003</v>
      </c>
      <c r="H1065" s="2">
        <f t="shared" si="114"/>
        <v>23170.162499999999</v>
      </c>
      <c r="I1065" s="2">
        <f t="shared" si="108"/>
        <v>22971.861999999994</v>
      </c>
      <c r="J1065" s="2">
        <f t="shared" si="113"/>
        <v>24050.729249999986</v>
      </c>
      <c r="K1065" s="2">
        <f t="shared" si="111"/>
        <v>273.89999999999782</v>
      </c>
      <c r="L1065" s="7">
        <f t="shared" si="109"/>
        <v>1.1436731575024492E-2</v>
      </c>
      <c r="M1065" s="9"/>
      <c r="N1065" s="2">
        <f t="shared" si="112"/>
        <v>26216.05</v>
      </c>
      <c r="O1065" s="2">
        <f t="shared" si="110"/>
        <v>-7.9741227225306632E-2</v>
      </c>
      <c r="P1065" s="2"/>
    </row>
    <row r="1066" spans="1:16" x14ac:dyDescent="0.3">
      <c r="A1066" s="3">
        <v>45769</v>
      </c>
      <c r="B1066" s="2">
        <v>24185.4</v>
      </c>
      <c r="C1066" s="2">
        <v>24242.6</v>
      </c>
      <c r="D1066" s="2">
        <v>24072</v>
      </c>
      <c r="E1066" s="2">
        <v>24167.25</v>
      </c>
      <c r="F1066" s="2">
        <v>440940490</v>
      </c>
      <c r="G1066" s="2">
        <v>35479.29</v>
      </c>
      <c r="H1066" s="2">
        <f t="shared" si="114"/>
        <v>23234.724999999999</v>
      </c>
      <c r="I1066" s="2">
        <f t="shared" si="108"/>
        <v>22984.729999999996</v>
      </c>
      <c r="J1066" s="2">
        <f t="shared" si="113"/>
        <v>24051.303999999986</v>
      </c>
      <c r="K1066" s="2">
        <f t="shared" si="111"/>
        <v>41.700000000000728</v>
      </c>
      <c r="L1066" s="7">
        <f t="shared" si="109"/>
        <v>1.7241807040611578E-3</v>
      </c>
      <c r="M1066" s="9"/>
      <c r="N1066" s="2">
        <f t="shared" si="112"/>
        <v>26216.05</v>
      </c>
      <c r="O1066" s="2">
        <f t="shared" si="110"/>
        <v>-7.8150598583691999E-2</v>
      </c>
      <c r="P1066" s="2"/>
    </row>
    <row r="1067" spans="1:16" x14ac:dyDescent="0.3">
      <c r="A1067" s="3">
        <v>45770</v>
      </c>
      <c r="B1067" s="2">
        <v>24357.599999999999</v>
      </c>
      <c r="C1067" s="2">
        <v>24359.3</v>
      </c>
      <c r="D1067" s="2">
        <v>24119.95</v>
      </c>
      <c r="E1067" s="2">
        <v>24328.95</v>
      </c>
      <c r="F1067" s="2">
        <v>415042544</v>
      </c>
      <c r="G1067" s="2">
        <v>34527.08</v>
      </c>
      <c r="H1067" s="2">
        <f t="shared" si="114"/>
        <v>23297.7075</v>
      </c>
      <c r="I1067" s="2">
        <f t="shared" si="108"/>
        <v>23000.853999999996</v>
      </c>
      <c r="J1067" s="2">
        <f t="shared" si="113"/>
        <v>24051.430499999988</v>
      </c>
      <c r="K1067" s="2">
        <f t="shared" si="111"/>
        <v>161.70000000000073</v>
      </c>
      <c r="L1067" s="7">
        <f t="shared" si="109"/>
        <v>6.6385850822741456E-3</v>
      </c>
      <c r="M1067" s="9"/>
      <c r="N1067" s="2">
        <f t="shared" si="112"/>
        <v>26216.05</v>
      </c>
      <c r="O1067" s="2">
        <f t="shared" si="110"/>
        <v>-7.1982621333114616E-2</v>
      </c>
      <c r="P1067" s="2"/>
    </row>
    <row r="1068" spans="1:16" x14ac:dyDescent="0.3">
      <c r="A1068" s="3">
        <v>45771</v>
      </c>
      <c r="B1068" s="2">
        <v>24277.9</v>
      </c>
      <c r="C1068" s="2">
        <v>24347.85</v>
      </c>
      <c r="D1068" s="2">
        <v>24216.15</v>
      </c>
      <c r="E1068" s="2">
        <v>24246.7</v>
      </c>
      <c r="F1068" s="2">
        <v>358768165</v>
      </c>
      <c r="G1068" s="2">
        <v>33057.29</v>
      </c>
      <c r="H1068" s="2">
        <f t="shared" si="114"/>
        <v>23354.622500000005</v>
      </c>
      <c r="I1068" s="2">
        <f t="shared" si="108"/>
        <v>23012.647999999997</v>
      </c>
      <c r="J1068" s="2">
        <f t="shared" si="113"/>
        <v>24052.455999999987</v>
      </c>
      <c r="K1068" s="2">
        <f t="shared" si="111"/>
        <v>-82.25</v>
      </c>
      <c r="L1068" s="7">
        <f t="shared" si="109"/>
        <v>-3.3878547979849984E-3</v>
      </c>
      <c r="M1068" s="9"/>
      <c r="N1068" s="2">
        <f t="shared" si="112"/>
        <v>26216.05</v>
      </c>
      <c r="O1068" s="2">
        <f t="shared" si="110"/>
        <v>-7.5120012358841137E-2</v>
      </c>
      <c r="P1068" s="2"/>
    </row>
    <row r="1069" spans="1:16" x14ac:dyDescent="0.3">
      <c r="A1069" s="3">
        <v>45772</v>
      </c>
      <c r="B1069" s="2">
        <v>24289</v>
      </c>
      <c r="C1069" s="2">
        <v>24365.45</v>
      </c>
      <c r="D1069" s="2">
        <v>23847.85</v>
      </c>
      <c r="E1069" s="2">
        <v>24039.35</v>
      </c>
      <c r="F1069" s="2">
        <v>387741866</v>
      </c>
      <c r="G1069" s="2">
        <v>33430.86</v>
      </c>
      <c r="H1069" s="2">
        <f t="shared" si="114"/>
        <v>23399.437500000004</v>
      </c>
      <c r="I1069" s="2">
        <f t="shared" si="108"/>
        <v>23023.655999999992</v>
      </c>
      <c r="J1069" s="2">
        <f t="shared" si="113"/>
        <v>24052.256999999987</v>
      </c>
      <c r="K1069" s="2">
        <f t="shared" si="111"/>
        <v>-207.35000000000218</v>
      </c>
      <c r="L1069" s="7">
        <f t="shared" si="109"/>
        <v>-8.5367861995142725E-3</v>
      </c>
      <c r="M1069" s="9"/>
      <c r="N1069" s="2">
        <f t="shared" si="112"/>
        <v>26216.05</v>
      </c>
      <c r="O1069" s="2">
        <f t="shared" si="110"/>
        <v>-8.3029289309411669E-2</v>
      </c>
      <c r="P1069" s="2"/>
    </row>
    <row r="1070" spans="1:16" x14ac:dyDescent="0.3">
      <c r="A1070" s="3">
        <v>45775</v>
      </c>
      <c r="B1070" s="2">
        <v>24070.25</v>
      </c>
      <c r="C1070" s="2">
        <v>24355.1</v>
      </c>
      <c r="D1070" s="2">
        <v>24054.05</v>
      </c>
      <c r="E1070" s="2">
        <v>24328.5</v>
      </c>
      <c r="F1070" s="2">
        <v>320467976</v>
      </c>
      <c r="G1070" s="2">
        <v>28278.82</v>
      </c>
      <c r="H1070" s="2">
        <f t="shared" si="114"/>
        <v>23418.487499999999</v>
      </c>
      <c r="I1070" s="2">
        <f t="shared" si="108"/>
        <v>23032.375999999997</v>
      </c>
      <c r="J1070" s="2">
        <f t="shared" si="113"/>
        <v>24050.942999999985</v>
      </c>
      <c r="K1070" s="2">
        <f t="shared" si="111"/>
        <v>289.15000000000146</v>
      </c>
      <c r="L1070" s="7">
        <f t="shared" si="109"/>
        <v>1.2012754333669216E-2</v>
      </c>
      <c r="M1070" s="9"/>
      <c r="N1070" s="2">
        <f t="shared" si="112"/>
        <v>26216.05</v>
      </c>
      <c r="O1070" s="2">
        <f t="shared" si="110"/>
        <v>-7.1999786390398168E-2</v>
      </c>
      <c r="P1070" s="2"/>
    </row>
    <row r="1071" spans="1:16" x14ac:dyDescent="0.3">
      <c r="A1071" s="3">
        <v>45776</v>
      </c>
      <c r="B1071" s="2">
        <v>24370.7</v>
      </c>
      <c r="C1071" s="2">
        <v>24457.65</v>
      </c>
      <c r="D1071" s="2">
        <v>24290.75</v>
      </c>
      <c r="E1071" s="2">
        <v>24335.95</v>
      </c>
      <c r="F1071" s="2">
        <v>357563224</v>
      </c>
      <c r="G1071" s="2">
        <v>30436.880000000001</v>
      </c>
      <c r="H1071" s="2">
        <f t="shared" si="114"/>
        <v>23451.480000000003</v>
      </c>
      <c r="I1071" s="2">
        <f t="shared" si="108"/>
        <v>23047.747000000003</v>
      </c>
      <c r="J1071" s="2">
        <f t="shared" si="113"/>
        <v>24050.966249999987</v>
      </c>
      <c r="K1071" s="2">
        <f t="shared" si="111"/>
        <v>7.4500000000007276</v>
      </c>
      <c r="L1071" s="7">
        <f t="shared" si="109"/>
        <v>3.0569495336616213E-4</v>
      </c>
      <c r="M1071" s="9"/>
      <c r="N1071" s="2">
        <f t="shared" si="112"/>
        <v>26216.05</v>
      </c>
      <c r="O1071" s="2">
        <f t="shared" si="110"/>
        <v>-7.1715609330925134E-2</v>
      </c>
      <c r="P1071" s="2"/>
    </row>
    <row r="1072" spans="1:16" x14ac:dyDescent="0.3">
      <c r="A1072" s="3">
        <v>45777</v>
      </c>
      <c r="B1072" s="2">
        <v>24342.05</v>
      </c>
      <c r="C1072" s="2">
        <v>24396.15</v>
      </c>
      <c r="D1072" s="2">
        <v>24198.75</v>
      </c>
      <c r="E1072" s="2">
        <v>24334.2</v>
      </c>
      <c r="F1072" s="2">
        <v>424452559</v>
      </c>
      <c r="G1072" s="2">
        <v>41073.480000000003</v>
      </c>
      <c r="H1072" s="2">
        <f t="shared" si="114"/>
        <v>23493.935000000001</v>
      </c>
      <c r="I1072" s="2">
        <f t="shared" si="108"/>
        <v>23066.833999999999</v>
      </c>
      <c r="J1072" s="2">
        <f t="shared" si="113"/>
        <v>24051.043249999988</v>
      </c>
      <c r="K1072" s="2">
        <f t="shared" si="111"/>
        <v>-1.75</v>
      </c>
      <c r="L1072" s="7">
        <f t="shared" si="109"/>
        <v>-7.1892055106287272E-5</v>
      </c>
      <c r="M1072" s="9"/>
      <c r="N1072" s="2">
        <f t="shared" si="112"/>
        <v>26216.05</v>
      </c>
      <c r="O1072" s="2">
        <f t="shared" si="110"/>
        <v>-7.1782362331472505E-2</v>
      </c>
      <c r="P1072" s="2"/>
    </row>
    <row r="1073" spans="1:16" x14ac:dyDescent="0.3">
      <c r="A1073" s="3">
        <v>45779</v>
      </c>
      <c r="B1073" s="2">
        <v>24311.9</v>
      </c>
      <c r="C1073" s="2">
        <v>24589.15</v>
      </c>
      <c r="D1073" s="2">
        <v>24238.5</v>
      </c>
      <c r="E1073" s="2">
        <v>24346.7</v>
      </c>
      <c r="F1073" s="2">
        <v>421112627</v>
      </c>
      <c r="G1073" s="2">
        <v>34043.269999999997</v>
      </c>
      <c r="H1073" s="2">
        <f t="shared" si="114"/>
        <v>23531.047500000001</v>
      </c>
      <c r="I1073" s="2">
        <f t="shared" si="108"/>
        <v>23092.081999999999</v>
      </c>
      <c r="J1073" s="2">
        <f t="shared" si="113"/>
        <v>24050.548249999989</v>
      </c>
      <c r="K1073" s="2">
        <f t="shared" si="111"/>
        <v>12.5</v>
      </c>
      <c r="L1073" s="7">
        <f t="shared" si="109"/>
        <v>5.1415150605259145E-4</v>
      </c>
      <c r="M1073" s="9"/>
      <c r="N1073" s="2">
        <f t="shared" si="112"/>
        <v>26216.05</v>
      </c>
      <c r="O1073" s="2">
        <f t="shared" si="110"/>
        <v>-7.1305555184705494E-2</v>
      </c>
      <c r="P1073" s="2"/>
    </row>
    <row r="1074" spans="1:16" x14ac:dyDescent="0.3">
      <c r="A1074" s="3">
        <v>45782</v>
      </c>
      <c r="B1074" s="2">
        <v>24419.5</v>
      </c>
      <c r="C1074" s="2">
        <v>24526.400000000001</v>
      </c>
      <c r="D1074" s="2">
        <v>24400.65</v>
      </c>
      <c r="E1074" s="2">
        <v>24461.15</v>
      </c>
      <c r="F1074" s="2">
        <v>291471628</v>
      </c>
      <c r="G1074" s="2">
        <v>26918.36</v>
      </c>
      <c r="H1074" s="2">
        <f t="shared" si="114"/>
        <v>23572.415000000001</v>
      </c>
      <c r="I1074" s="2">
        <f t="shared" si="108"/>
        <v>23118.11099999999</v>
      </c>
      <c r="J1074" s="2">
        <f t="shared" si="113"/>
        <v>24050.659499999994</v>
      </c>
      <c r="K1074" s="2">
        <f t="shared" si="111"/>
        <v>114.45000000000073</v>
      </c>
      <c r="L1074" s="7">
        <f t="shared" si="109"/>
        <v>4.6868281496345431E-3</v>
      </c>
      <c r="M1074" s="9"/>
      <c r="N1074" s="2">
        <f t="shared" si="112"/>
        <v>26216.05</v>
      </c>
      <c r="O1074" s="2">
        <f t="shared" si="110"/>
        <v>-6.6939908948907223E-2</v>
      </c>
      <c r="P1074" s="2"/>
    </row>
    <row r="1075" spans="1:16" x14ac:dyDescent="0.3">
      <c r="A1075" s="3">
        <v>45783</v>
      </c>
      <c r="B1075" s="2">
        <v>24500.75</v>
      </c>
      <c r="C1075" s="2">
        <v>24509.65</v>
      </c>
      <c r="D1075" s="2">
        <v>24331.8</v>
      </c>
      <c r="E1075" s="2">
        <v>24379.599999999999</v>
      </c>
      <c r="F1075" s="2">
        <v>302354059</v>
      </c>
      <c r="G1075" s="2">
        <v>26481.15</v>
      </c>
      <c r="H1075" s="2">
        <f t="shared" si="114"/>
        <v>23637.187500000004</v>
      </c>
      <c r="I1075" s="2">
        <f t="shared" si="108"/>
        <v>23146.705999999991</v>
      </c>
      <c r="J1075" s="2">
        <f t="shared" si="113"/>
        <v>24051.385499999989</v>
      </c>
      <c r="K1075" s="2">
        <f t="shared" si="111"/>
        <v>-81.55000000000291</v>
      </c>
      <c r="L1075" s="7">
        <f t="shared" si="109"/>
        <v>-3.3284695366469562E-3</v>
      </c>
      <c r="M1075" s="9"/>
      <c r="N1075" s="2">
        <f t="shared" si="112"/>
        <v>26216.05</v>
      </c>
      <c r="O1075" s="2">
        <f t="shared" si="110"/>
        <v>-7.0050598774414885E-2</v>
      </c>
      <c r="P1075" s="2"/>
    </row>
    <row r="1076" spans="1:16" x14ac:dyDescent="0.3">
      <c r="A1076" s="3">
        <v>45784</v>
      </c>
      <c r="B1076" s="2">
        <v>24233.3</v>
      </c>
      <c r="C1076" s="2">
        <v>24449.599999999999</v>
      </c>
      <c r="D1076" s="2">
        <v>24220</v>
      </c>
      <c r="E1076" s="2">
        <v>24414.400000000001</v>
      </c>
      <c r="F1076" s="2">
        <v>330137191</v>
      </c>
      <c r="G1076" s="2">
        <v>27648.34</v>
      </c>
      <c r="H1076" s="2">
        <f t="shared" si="114"/>
        <v>23689.55</v>
      </c>
      <c r="I1076" s="2">
        <f t="shared" si="108"/>
        <v>23175.712999999992</v>
      </c>
      <c r="J1076" s="2">
        <f t="shared" si="113"/>
        <v>24050.772749999989</v>
      </c>
      <c r="K1076" s="2">
        <f t="shared" si="111"/>
        <v>34.80000000000291</v>
      </c>
      <c r="L1076" s="7">
        <f t="shared" si="109"/>
        <v>1.4360404897394458E-3</v>
      </c>
      <c r="M1076" s="9"/>
      <c r="N1076" s="2">
        <f t="shared" si="112"/>
        <v>26216.05</v>
      </c>
      <c r="O1076" s="2">
        <f t="shared" si="110"/>
        <v>-6.8723167677815611E-2</v>
      </c>
      <c r="P1076" s="2"/>
    </row>
    <row r="1077" spans="1:16" x14ac:dyDescent="0.3">
      <c r="A1077" s="3">
        <v>45785</v>
      </c>
      <c r="B1077" s="2">
        <v>24431.5</v>
      </c>
      <c r="C1077" s="2">
        <v>24447.25</v>
      </c>
      <c r="D1077" s="2">
        <v>24150.2</v>
      </c>
      <c r="E1077" s="2">
        <v>24273.8</v>
      </c>
      <c r="F1077" s="2">
        <v>411362230</v>
      </c>
      <c r="G1077" s="2">
        <v>36893.06</v>
      </c>
      <c r="H1077" s="2">
        <f t="shared" si="114"/>
        <v>23747.765000000003</v>
      </c>
      <c r="I1077" s="2">
        <f t="shared" ref="I1077:I1140" si="115">AVERAGE(E1027:E1076)</f>
        <v>23204.810999999991</v>
      </c>
      <c r="J1077" s="2">
        <f t="shared" si="113"/>
        <v>24049.91124999999</v>
      </c>
      <c r="K1077" s="2">
        <f t="shared" si="111"/>
        <v>-140.60000000000218</v>
      </c>
      <c r="L1077" s="7">
        <f t="shared" si="109"/>
        <v>-5.7548656447619743E-3</v>
      </c>
      <c r="M1077" s="9"/>
      <c r="N1077" s="2">
        <f t="shared" si="112"/>
        <v>26216.05</v>
      </c>
      <c r="O1077" s="2">
        <f t="shared" si="110"/>
        <v>-7.4086294464650426E-2</v>
      </c>
      <c r="P1077" s="2"/>
    </row>
    <row r="1078" spans="1:16" x14ac:dyDescent="0.3">
      <c r="A1078" s="3">
        <v>45786</v>
      </c>
      <c r="B1078" s="2">
        <v>23935.75</v>
      </c>
      <c r="C1078" s="2">
        <v>24164.25</v>
      </c>
      <c r="D1078" s="2">
        <v>23935.75</v>
      </c>
      <c r="E1078" s="2">
        <v>24008</v>
      </c>
      <c r="F1078" s="2">
        <v>335550680</v>
      </c>
      <c r="G1078" s="2">
        <v>28942.61</v>
      </c>
      <c r="H1078" s="2">
        <f t="shared" si="114"/>
        <v>23816.232500000006</v>
      </c>
      <c r="I1078" s="2">
        <f t="shared" si="115"/>
        <v>23231.380999999998</v>
      </c>
      <c r="J1078" s="2">
        <f t="shared" si="113"/>
        <v>24048.21524999999</v>
      </c>
      <c r="K1078" s="2">
        <f t="shared" si="111"/>
        <v>-265.79999999999927</v>
      </c>
      <c r="L1078" s="7">
        <f t="shared" si="109"/>
        <v>-1.1104728283007605E-2</v>
      </c>
      <c r="M1078" s="9"/>
      <c r="N1078" s="2">
        <f t="shared" si="112"/>
        <v>26216.05</v>
      </c>
      <c r="O1078" s="2">
        <f t="shared" si="110"/>
        <v>-8.4225121633503153E-2</v>
      </c>
      <c r="P1078" s="2"/>
    </row>
    <row r="1079" spans="1:16" x14ac:dyDescent="0.3">
      <c r="A1079" s="3">
        <v>45789</v>
      </c>
      <c r="B1079" s="2">
        <v>24420.1</v>
      </c>
      <c r="C1079" s="2">
        <v>24944.799999999999</v>
      </c>
      <c r="D1079" s="2">
        <v>24378.85</v>
      </c>
      <c r="E1079" s="2">
        <v>24924.7</v>
      </c>
      <c r="F1079" s="2">
        <v>368707684</v>
      </c>
      <c r="G1079" s="2">
        <v>30362.27</v>
      </c>
      <c r="H1079" s="2">
        <f t="shared" si="114"/>
        <v>23908.552500000002</v>
      </c>
      <c r="I1079" s="2">
        <f t="shared" si="115"/>
        <v>23252.882999999994</v>
      </c>
      <c r="J1079" s="2">
        <f t="shared" si="113"/>
        <v>24044.250999999993</v>
      </c>
      <c r="K1079" s="2">
        <f t="shared" si="111"/>
        <v>916.70000000000073</v>
      </c>
      <c r="L1079" s="7">
        <f t="shared" si="109"/>
        <v>3.7538748817572444E-2</v>
      </c>
      <c r="M1079" s="9"/>
      <c r="N1079" s="2">
        <f t="shared" si="112"/>
        <v>26216.05</v>
      </c>
      <c r="O1079" s="2">
        <f t="shared" si="110"/>
        <v>-4.9257992718201193E-2</v>
      </c>
      <c r="P1079" s="2"/>
    </row>
    <row r="1080" spans="1:16" x14ac:dyDescent="0.3">
      <c r="A1080" s="3">
        <v>45790</v>
      </c>
      <c r="B1080" s="2">
        <v>24864.05</v>
      </c>
      <c r="C1080" s="2">
        <v>24973.8</v>
      </c>
      <c r="D1080" s="2">
        <v>24547.5</v>
      </c>
      <c r="E1080" s="2">
        <v>24578.35</v>
      </c>
      <c r="F1080" s="2">
        <v>422977876</v>
      </c>
      <c r="G1080" s="2">
        <v>34576.660000000003</v>
      </c>
      <c r="H1080" s="2">
        <f t="shared" si="114"/>
        <v>24027.995000000003</v>
      </c>
      <c r="I1080" s="2">
        <f t="shared" si="115"/>
        <v>23293.113999999994</v>
      </c>
      <c r="J1080" s="2">
        <f t="shared" si="113"/>
        <v>24046.219999999994</v>
      </c>
      <c r="K1080" s="2">
        <f t="shared" si="111"/>
        <v>-346.35000000000218</v>
      </c>
      <c r="L1080" s="7">
        <f t="shared" si="109"/>
        <v>-1.3929749980393468E-2</v>
      </c>
      <c r="M1080" s="9"/>
      <c r="N1080" s="2">
        <f t="shared" si="112"/>
        <v>26216.05</v>
      </c>
      <c r="O1080" s="2">
        <f t="shared" si="110"/>
        <v>-6.2469365140820243E-2</v>
      </c>
      <c r="P1080" s="2"/>
    </row>
    <row r="1081" spans="1:16" x14ac:dyDescent="0.3">
      <c r="A1081" s="3">
        <v>45791</v>
      </c>
      <c r="B1081" s="2">
        <v>24613.8</v>
      </c>
      <c r="C1081" s="2">
        <v>24767.55</v>
      </c>
      <c r="D1081" s="2">
        <v>24535.55</v>
      </c>
      <c r="E1081" s="2">
        <v>24666.9</v>
      </c>
      <c r="F1081" s="2">
        <v>345490805</v>
      </c>
      <c r="G1081" s="2">
        <v>25585.37</v>
      </c>
      <c r="H1081" s="2">
        <f t="shared" si="114"/>
        <v>24136.955000000002</v>
      </c>
      <c r="I1081" s="2">
        <f t="shared" si="115"/>
        <v>23328.762999999992</v>
      </c>
      <c r="J1081" s="2">
        <f t="shared" si="113"/>
        <v>24046.565499999993</v>
      </c>
      <c r="K1081" s="2">
        <f t="shared" si="111"/>
        <v>88.55000000000291</v>
      </c>
      <c r="L1081" s="7">
        <f t="shared" si="109"/>
        <v>3.5975753439128825E-3</v>
      </c>
      <c r="M1081" s="9"/>
      <c r="N1081" s="2">
        <f t="shared" si="112"/>
        <v>26216.05</v>
      </c>
      <c r="O1081" s="2">
        <f t="shared" si="110"/>
        <v>-5.9091663313122988E-2</v>
      </c>
      <c r="P1081" s="2"/>
    </row>
    <row r="1082" spans="1:16" x14ac:dyDescent="0.3">
      <c r="A1082" s="3">
        <v>45792</v>
      </c>
      <c r="B1082" s="2">
        <v>24694.45</v>
      </c>
      <c r="C1082" s="2">
        <v>25116.25</v>
      </c>
      <c r="D1082" s="2">
        <v>24494.45</v>
      </c>
      <c r="E1082" s="2">
        <v>25062.1</v>
      </c>
      <c r="F1082" s="2">
        <v>500821889</v>
      </c>
      <c r="G1082" s="2">
        <v>44147.39</v>
      </c>
      <c r="H1082" s="2">
        <f t="shared" si="114"/>
        <v>24228.872500000005</v>
      </c>
      <c r="I1082" s="2">
        <f t="shared" si="115"/>
        <v>23371.033999999996</v>
      </c>
      <c r="J1082" s="2">
        <f t="shared" si="113"/>
        <v>24047.504749999996</v>
      </c>
      <c r="K1082" s="2">
        <f t="shared" si="111"/>
        <v>395.19999999999709</v>
      </c>
      <c r="L1082" s="7">
        <f t="shared" si="109"/>
        <v>1.600359594969708E-2</v>
      </c>
      <c r="M1082" s="9"/>
      <c r="N1082" s="2">
        <f t="shared" si="112"/>
        <v>26216.05</v>
      </c>
      <c r="O1082" s="2">
        <f t="shared" si="110"/>
        <v>-4.4016928560938862E-2</v>
      </c>
      <c r="P1082" s="2"/>
    </row>
    <row r="1083" spans="1:16" x14ac:dyDescent="0.3">
      <c r="A1083" s="3">
        <v>45793</v>
      </c>
      <c r="B1083" s="2">
        <v>25064.65</v>
      </c>
      <c r="C1083" s="2">
        <v>25070</v>
      </c>
      <c r="D1083" s="2">
        <v>24953.05</v>
      </c>
      <c r="E1083" s="2">
        <v>25019.8</v>
      </c>
      <c r="F1083" s="2">
        <v>432717092</v>
      </c>
      <c r="G1083" s="2">
        <v>43815.86</v>
      </c>
      <c r="H1083" s="2">
        <f t="shared" si="114"/>
        <v>24315.550000000003</v>
      </c>
      <c r="I1083" s="2">
        <f t="shared" si="115"/>
        <v>23421.324999999997</v>
      </c>
      <c r="J1083" s="2">
        <f t="shared" si="113"/>
        <v>24050.747749999995</v>
      </c>
      <c r="K1083" s="2">
        <f t="shared" si="111"/>
        <v>-42.299999999999272</v>
      </c>
      <c r="L1083" s="7">
        <f t="shared" si="109"/>
        <v>-1.6876357738886947E-3</v>
      </c>
      <c r="M1083" s="9"/>
      <c r="N1083" s="2">
        <f t="shared" si="112"/>
        <v>26216.05</v>
      </c>
      <c r="O1083" s="2">
        <f t="shared" si="110"/>
        <v>-4.5630443945598231E-2</v>
      </c>
      <c r="P1083" s="2"/>
    </row>
    <row r="1084" spans="1:16" x14ac:dyDescent="0.3">
      <c r="A1084" s="3">
        <v>45796</v>
      </c>
      <c r="B1084" s="2">
        <v>25005.35</v>
      </c>
      <c r="C1084" s="2">
        <v>25062.95</v>
      </c>
      <c r="D1084" s="2">
        <v>24916.65</v>
      </c>
      <c r="E1084" s="2">
        <v>24945.45</v>
      </c>
      <c r="F1084" s="2">
        <v>255254340</v>
      </c>
      <c r="G1084" s="2">
        <v>21598.6</v>
      </c>
      <c r="H1084" s="2">
        <f t="shared" si="114"/>
        <v>24394.68</v>
      </c>
      <c r="I1084" s="2">
        <f t="shared" si="115"/>
        <v>23470.82</v>
      </c>
      <c r="J1084" s="2">
        <f t="shared" si="113"/>
        <v>24053.81625</v>
      </c>
      <c r="K1084" s="2">
        <f t="shared" si="111"/>
        <v>-74.349999999998545</v>
      </c>
      <c r="L1084" s="7">
        <f t="shared" si="109"/>
        <v>-2.9733637001681059E-3</v>
      </c>
      <c r="M1084" s="9"/>
      <c r="N1084" s="2">
        <f t="shared" si="112"/>
        <v>26216.05</v>
      </c>
      <c r="O1084" s="2">
        <f t="shared" si="110"/>
        <v>-4.8466492854568055E-2</v>
      </c>
      <c r="P1084" s="2"/>
    </row>
    <row r="1085" spans="1:16" x14ac:dyDescent="0.3">
      <c r="A1085" s="3">
        <v>45797</v>
      </c>
      <c r="B1085" s="2">
        <v>24996.2</v>
      </c>
      <c r="C1085" s="2">
        <v>25010.35</v>
      </c>
      <c r="D1085" s="2">
        <v>24669.7</v>
      </c>
      <c r="E1085" s="2">
        <v>24683.9</v>
      </c>
      <c r="F1085" s="2">
        <v>414799113</v>
      </c>
      <c r="G1085" s="2">
        <v>31063.03</v>
      </c>
      <c r="H1085" s="2">
        <f t="shared" si="114"/>
        <v>24449.370000000003</v>
      </c>
      <c r="I1085" s="2">
        <f t="shared" si="115"/>
        <v>23527.235000000001</v>
      </c>
      <c r="J1085" s="2">
        <f t="shared" si="113"/>
        <v>24054.369250000003</v>
      </c>
      <c r="K1085" s="2">
        <f t="shared" si="111"/>
        <v>-261.54999999999927</v>
      </c>
      <c r="L1085" s="7">
        <f t="shared" si="109"/>
        <v>-1.0463590465750764E-2</v>
      </c>
      <c r="M1085" s="9"/>
      <c r="N1085" s="2">
        <f t="shared" si="112"/>
        <v>26216.05</v>
      </c>
      <c r="O1085" s="2">
        <f t="shared" si="110"/>
        <v>-5.8443205593519898E-2</v>
      </c>
      <c r="P1085" s="2"/>
    </row>
    <row r="1086" spans="1:16" x14ac:dyDescent="0.3">
      <c r="A1086" s="3">
        <v>45798</v>
      </c>
      <c r="B1086" s="2">
        <v>24744.25</v>
      </c>
      <c r="C1086" s="2">
        <v>24946.2</v>
      </c>
      <c r="D1086" s="2">
        <v>24685.35</v>
      </c>
      <c r="E1086" s="2">
        <v>24813.45</v>
      </c>
      <c r="F1086" s="2">
        <v>332724952</v>
      </c>
      <c r="G1086" s="2">
        <v>23179.85</v>
      </c>
      <c r="H1086" s="2">
        <f t="shared" si="114"/>
        <v>24477.287500000002</v>
      </c>
      <c r="I1086" s="2">
        <f t="shared" si="115"/>
        <v>23578.526999999998</v>
      </c>
      <c r="J1086" s="2">
        <f t="shared" si="113"/>
        <v>24053.608250000001</v>
      </c>
      <c r="K1086" s="2">
        <f t="shared" si="111"/>
        <v>129.54999999999927</v>
      </c>
      <c r="L1086" s="7">
        <f t="shared" si="109"/>
        <v>5.2355597765137065E-3</v>
      </c>
      <c r="M1086" s="9"/>
      <c r="N1086" s="2">
        <f t="shared" si="112"/>
        <v>26216.05</v>
      </c>
      <c r="O1086" s="2">
        <f t="shared" si="110"/>
        <v>-5.3501576324427202E-2</v>
      </c>
      <c r="P1086" s="2"/>
    </row>
    <row r="1087" spans="1:16" x14ac:dyDescent="0.3">
      <c r="A1087" s="3">
        <v>45799</v>
      </c>
      <c r="B1087" s="2">
        <v>24733.95</v>
      </c>
      <c r="C1087" s="2">
        <v>24737.5</v>
      </c>
      <c r="D1087" s="2">
        <v>24462.400000000001</v>
      </c>
      <c r="E1087" s="2">
        <v>24609.7</v>
      </c>
      <c r="F1087" s="2">
        <v>403279638</v>
      </c>
      <c r="G1087" s="2">
        <v>30579.52</v>
      </c>
      <c r="H1087" s="2">
        <f t="shared" si="114"/>
        <v>24509.5975</v>
      </c>
      <c r="I1087" s="2">
        <f t="shared" si="115"/>
        <v>23633.142999999993</v>
      </c>
      <c r="J1087" s="2">
        <f t="shared" si="113"/>
        <v>24053.38900000001</v>
      </c>
      <c r="K1087" s="2">
        <f t="shared" si="111"/>
        <v>-203.75</v>
      </c>
      <c r="L1087" s="7">
        <f t="shared" si="109"/>
        <v>-8.2376652334139912E-3</v>
      </c>
      <c r="M1087" s="9"/>
      <c r="N1087" s="2">
        <f t="shared" si="112"/>
        <v>26216.05</v>
      </c>
      <c r="O1087" s="2">
        <f t="shared" si="110"/>
        <v>-6.1273532816728649E-2</v>
      </c>
      <c r="P1087" s="2"/>
    </row>
    <row r="1088" spans="1:16" x14ac:dyDescent="0.3">
      <c r="A1088" s="3">
        <v>45800</v>
      </c>
      <c r="B1088" s="2">
        <v>24639.5</v>
      </c>
      <c r="C1088" s="2">
        <v>24909.05</v>
      </c>
      <c r="D1088" s="2">
        <v>24614.05</v>
      </c>
      <c r="E1088" s="2">
        <v>24853.15</v>
      </c>
      <c r="F1088" s="2">
        <v>270470348</v>
      </c>
      <c r="G1088" s="2">
        <v>20200.73</v>
      </c>
      <c r="H1088" s="2">
        <f t="shared" si="114"/>
        <v>24523.635000000002</v>
      </c>
      <c r="I1088" s="2">
        <f t="shared" si="115"/>
        <v>23678.590999999993</v>
      </c>
      <c r="J1088" s="2">
        <f t="shared" si="113"/>
        <v>24051.681750000007</v>
      </c>
      <c r="K1088" s="2">
        <f t="shared" si="111"/>
        <v>243.45000000000073</v>
      </c>
      <c r="L1088" s="7">
        <f t="shared" si="109"/>
        <v>9.8804764707076335E-3</v>
      </c>
      <c r="M1088" s="9"/>
      <c r="N1088" s="2">
        <f t="shared" si="112"/>
        <v>26216.05</v>
      </c>
      <c r="O1088" s="2">
        <f t="shared" si="110"/>
        <v>-5.1987236826295247E-2</v>
      </c>
      <c r="P1088" s="2"/>
    </row>
    <row r="1089" spans="1:16" x14ac:dyDescent="0.3">
      <c r="A1089" s="3">
        <v>45803</v>
      </c>
      <c r="B1089" s="2">
        <v>24919.35</v>
      </c>
      <c r="C1089" s="2">
        <v>25079.200000000001</v>
      </c>
      <c r="D1089" s="2">
        <v>24900.5</v>
      </c>
      <c r="E1089" s="2">
        <v>25001.15</v>
      </c>
      <c r="F1089" s="2">
        <v>302799227</v>
      </c>
      <c r="G1089" s="2">
        <v>20060.68</v>
      </c>
      <c r="H1089" s="2">
        <f t="shared" si="114"/>
        <v>24553.9575</v>
      </c>
      <c r="I1089" s="2">
        <f t="shared" si="115"/>
        <v>23724.759999999991</v>
      </c>
      <c r="J1089" s="2">
        <f t="shared" si="113"/>
        <v>24050.893000000007</v>
      </c>
      <c r="K1089" s="2">
        <f t="shared" si="111"/>
        <v>148</v>
      </c>
      <c r="L1089" s="7">
        <f t="shared" si="109"/>
        <v>5.9391597292866791E-3</v>
      </c>
      <c r="M1089" s="9"/>
      <c r="N1089" s="2">
        <f t="shared" si="112"/>
        <v>26216.05</v>
      </c>
      <c r="O1089" s="2">
        <f t="shared" si="110"/>
        <v>-4.6341840208574459E-2</v>
      </c>
      <c r="P1089" s="2"/>
    </row>
    <row r="1090" spans="1:16" x14ac:dyDescent="0.3">
      <c r="A1090" s="3">
        <v>45804</v>
      </c>
      <c r="B1090" s="2">
        <v>24956.65</v>
      </c>
      <c r="C1090" s="2">
        <v>25062.9</v>
      </c>
      <c r="D1090" s="2">
        <v>24704.1</v>
      </c>
      <c r="E1090" s="2">
        <v>24826.2</v>
      </c>
      <c r="F1090" s="2">
        <v>525653668</v>
      </c>
      <c r="G1090" s="2">
        <v>33638.300000000003</v>
      </c>
      <c r="H1090" s="2">
        <f t="shared" si="114"/>
        <v>24602.047500000004</v>
      </c>
      <c r="I1090" s="2">
        <f t="shared" si="115"/>
        <v>23773.732999999989</v>
      </c>
      <c r="J1090" s="2">
        <f t="shared" si="113"/>
        <v>24052.31025000001</v>
      </c>
      <c r="K1090" s="2">
        <f t="shared" si="111"/>
        <v>-174.95000000000073</v>
      </c>
      <c r="L1090" s="7">
        <f t="shared" si="109"/>
        <v>-7.0101556098274695E-3</v>
      </c>
      <c r="M1090" s="9"/>
      <c r="N1090" s="2">
        <f t="shared" si="112"/>
        <v>26216.05</v>
      </c>
      <c r="O1090" s="2">
        <f t="shared" si="110"/>
        <v>-5.3015233034724885E-2</v>
      </c>
      <c r="P1090" s="2"/>
    </row>
    <row r="1091" spans="1:16" x14ac:dyDescent="0.3">
      <c r="A1091" s="3">
        <v>45805</v>
      </c>
      <c r="B1091" s="2">
        <v>24832.5</v>
      </c>
      <c r="C1091" s="2">
        <v>24864.25</v>
      </c>
      <c r="D1091" s="2">
        <v>24737.05</v>
      </c>
      <c r="E1091" s="2">
        <v>24752.45</v>
      </c>
      <c r="F1091" s="2">
        <v>684425321</v>
      </c>
      <c r="G1091" s="2">
        <v>37143.550000000003</v>
      </c>
      <c r="H1091" s="2">
        <f t="shared" si="114"/>
        <v>24626.932500000003</v>
      </c>
      <c r="I1091" s="2">
        <f t="shared" si="115"/>
        <v>23821.050999999989</v>
      </c>
      <c r="J1091" s="2">
        <f t="shared" si="113"/>
        <v>24056.163250000005</v>
      </c>
      <c r="K1091" s="2">
        <f t="shared" si="111"/>
        <v>-73.75</v>
      </c>
      <c r="L1091" s="7">
        <f t="shared" ref="L1091:L1154" si="116">(K1091/(B1091))</f>
        <v>-2.9698983187355279E-3</v>
      </c>
      <c r="M1091" s="9"/>
      <c r="N1091" s="2">
        <f t="shared" si="112"/>
        <v>26216.05</v>
      </c>
      <c r="O1091" s="2">
        <f t="shared" ref="O1091:O1154" si="117">(E1091/N1091)-1</f>
        <v>-5.5828395200649972E-2</v>
      </c>
      <c r="P1091" s="2"/>
    </row>
    <row r="1092" spans="1:16" x14ac:dyDescent="0.3">
      <c r="A1092" s="3">
        <v>45806</v>
      </c>
      <c r="B1092" s="2">
        <v>24825.1</v>
      </c>
      <c r="C1092" s="2">
        <v>24892.6</v>
      </c>
      <c r="D1092" s="2">
        <v>24677.3</v>
      </c>
      <c r="E1092" s="2">
        <v>24833.599999999999</v>
      </c>
      <c r="F1092" s="2">
        <v>345370611</v>
      </c>
      <c r="G1092" s="2">
        <v>29730.05</v>
      </c>
      <c r="H1092" s="2">
        <f t="shared" si="114"/>
        <v>24647.757500000003</v>
      </c>
      <c r="I1092" s="2">
        <f t="shared" si="115"/>
        <v>23866.141999999989</v>
      </c>
      <c r="J1092" s="2">
        <f t="shared" si="113"/>
        <v>24059.96275000001</v>
      </c>
      <c r="K1092" s="2">
        <f t="shared" ref="K1092:K1155" si="118">E1092-E1091</f>
        <v>81.149999999997817</v>
      </c>
      <c r="L1092" s="7">
        <f t="shared" si="116"/>
        <v>3.2688690075769211E-3</v>
      </c>
      <c r="M1092" s="9"/>
      <c r="N1092" s="2">
        <f t="shared" si="112"/>
        <v>26216.05</v>
      </c>
      <c r="O1092" s="2">
        <f t="shared" si="117"/>
        <v>-5.2732963203838912E-2</v>
      </c>
      <c r="P1092" s="2"/>
    </row>
    <row r="1093" spans="1:16" x14ac:dyDescent="0.3">
      <c r="A1093" s="3">
        <v>45807</v>
      </c>
      <c r="B1093" s="2">
        <v>24812.6</v>
      </c>
      <c r="C1093" s="2">
        <v>24863.95</v>
      </c>
      <c r="D1093" s="2">
        <v>24717.4</v>
      </c>
      <c r="E1093" s="2">
        <v>24750.7</v>
      </c>
      <c r="F1093" s="2">
        <v>853890978</v>
      </c>
      <c r="G1093" s="2">
        <v>52247.87</v>
      </c>
      <c r="H1093" s="2">
        <f t="shared" si="114"/>
        <v>24672.727500000008</v>
      </c>
      <c r="I1093" s="2">
        <f t="shared" si="115"/>
        <v>23913.403999999991</v>
      </c>
      <c r="J1093" s="2">
        <f t="shared" si="113"/>
        <v>24062.643250000008</v>
      </c>
      <c r="K1093" s="2">
        <f t="shared" si="118"/>
        <v>-82.899999999997817</v>
      </c>
      <c r="L1093" s="7">
        <f t="shared" si="116"/>
        <v>-3.3410444693421013E-3</v>
      </c>
      <c r="M1093" s="9"/>
      <c r="N1093" s="2">
        <f t="shared" ref="N1093:N1156" si="119">MAX(N1092,E1093)</f>
        <v>26216.05</v>
      </c>
      <c r="O1093" s="2">
        <f t="shared" si="117"/>
        <v>-5.5895148201197342E-2</v>
      </c>
      <c r="P1093" s="2"/>
    </row>
    <row r="1094" spans="1:16" x14ac:dyDescent="0.3">
      <c r="A1094" s="3">
        <v>45810</v>
      </c>
      <c r="B1094" s="2">
        <v>24669.7</v>
      </c>
      <c r="C1094" s="2">
        <v>24754.400000000001</v>
      </c>
      <c r="D1094" s="2">
        <v>24526.15</v>
      </c>
      <c r="E1094" s="2">
        <v>24716.6</v>
      </c>
      <c r="F1094" s="2">
        <v>311100908</v>
      </c>
      <c r="G1094" s="2">
        <v>25091.040000000001</v>
      </c>
      <c r="H1094" s="2">
        <f t="shared" si="114"/>
        <v>24692.927500000005</v>
      </c>
      <c r="I1094" s="2">
        <f t="shared" si="115"/>
        <v>23960.473999999991</v>
      </c>
      <c r="J1094" s="2">
        <f t="shared" si="113"/>
        <v>24065.811750000008</v>
      </c>
      <c r="K1094" s="2">
        <f t="shared" si="118"/>
        <v>-34.100000000002183</v>
      </c>
      <c r="L1094" s="7">
        <f t="shared" si="116"/>
        <v>-1.3822624515094299E-3</v>
      </c>
      <c r="M1094" s="9"/>
      <c r="N1094" s="2">
        <f t="shared" si="119"/>
        <v>26216.05</v>
      </c>
      <c r="O1094" s="2">
        <f t="shared" si="117"/>
        <v>-5.7195878097577646E-2</v>
      </c>
      <c r="P1094" s="2"/>
    </row>
    <row r="1095" spans="1:16" x14ac:dyDescent="0.3">
      <c r="A1095" s="3">
        <v>45811</v>
      </c>
      <c r="B1095" s="2">
        <v>24786.3</v>
      </c>
      <c r="C1095" s="2">
        <v>24845.1</v>
      </c>
      <c r="D1095" s="2">
        <v>24502.15</v>
      </c>
      <c r="E1095" s="2">
        <v>24542.5</v>
      </c>
      <c r="F1095" s="2">
        <v>349288937</v>
      </c>
      <c r="G1095" s="2">
        <v>28906.400000000001</v>
      </c>
      <c r="H1095" s="2">
        <f t="shared" si="114"/>
        <v>24705.700000000004</v>
      </c>
      <c r="I1095" s="2">
        <f t="shared" si="115"/>
        <v>24004.63099999999</v>
      </c>
      <c r="J1095" s="2">
        <f t="shared" si="113"/>
        <v>24067.557250000009</v>
      </c>
      <c r="K1095" s="2">
        <f t="shared" si="118"/>
        <v>-174.09999999999854</v>
      </c>
      <c r="L1095" s="7">
        <f t="shared" si="116"/>
        <v>-7.0240415068000689E-3</v>
      </c>
      <c r="M1095" s="9"/>
      <c r="N1095" s="2">
        <f t="shared" si="119"/>
        <v>26216.05</v>
      </c>
      <c r="O1095" s="2">
        <f t="shared" si="117"/>
        <v>-6.3836848037747806E-2</v>
      </c>
      <c r="P1095" s="2"/>
    </row>
    <row r="1096" spans="1:16" x14ac:dyDescent="0.3">
      <c r="A1096" s="3">
        <v>45812</v>
      </c>
      <c r="B1096" s="2">
        <v>24560.45</v>
      </c>
      <c r="C1096" s="2">
        <v>24644.25</v>
      </c>
      <c r="D1096" s="2">
        <v>24530.45</v>
      </c>
      <c r="E1096" s="2">
        <v>24620.2</v>
      </c>
      <c r="F1096" s="2">
        <v>280862575</v>
      </c>
      <c r="G1096" s="2">
        <v>21907.07</v>
      </c>
      <c r="H1096" s="2">
        <f t="shared" si="114"/>
        <v>24713.845000000001</v>
      </c>
      <c r="I1096" s="2">
        <f t="shared" si="115"/>
        <v>24038.794999999995</v>
      </c>
      <c r="J1096" s="2">
        <f t="shared" si="113"/>
        <v>24068.53475000001</v>
      </c>
      <c r="K1096" s="2">
        <f t="shared" si="118"/>
        <v>77.700000000000728</v>
      </c>
      <c r="L1096" s="7">
        <f t="shared" si="116"/>
        <v>3.1636228163572219E-3</v>
      </c>
      <c r="M1096" s="9"/>
      <c r="N1096" s="2">
        <f t="shared" si="119"/>
        <v>26216.05</v>
      </c>
      <c r="O1096" s="2">
        <f t="shared" si="117"/>
        <v>-6.0873014813444426E-2</v>
      </c>
      <c r="P1096" s="2"/>
    </row>
    <row r="1097" spans="1:16" x14ac:dyDescent="0.3">
      <c r="A1097" s="3">
        <v>45813</v>
      </c>
      <c r="B1097" s="2">
        <v>24691.200000000001</v>
      </c>
      <c r="C1097" s="2">
        <v>24899.85</v>
      </c>
      <c r="D1097" s="2">
        <v>24613.1</v>
      </c>
      <c r="E1097" s="2">
        <v>24750.9</v>
      </c>
      <c r="F1097" s="2">
        <v>388405978</v>
      </c>
      <c r="G1097" s="2">
        <v>30186.46</v>
      </c>
      <c r="H1097" s="2">
        <f t="shared" si="114"/>
        <v>24724.135000000002</v>
      </c>
      <c r="I1097" s="2">
        <f t="shared" si="115"/>
        <v>24073.046999999999</v>
      </c>
      <c r="J1097" s="2">
        <f t="shared" si="113"/>
        <v>24070.940750000012</v>
      </c>
      <c r="K1097" s="2">
        <f t="shared" si="118"/>
        <v>130.70000000000073</v>
      </c>
      <c r="L1097" s="7">
        <f t="shared" si="116"/>
        <v>5.2933838776568461E-3</v>
      </c>
      <c r="M1097" s="9"/>
      <c r="N1097" s="2">
        <f t="shared" si="119"/>
        <v>26216.05</v>
      </c>
      <c r="O1097" s="2">
        <f t="shared" si="117"/>
        <v>-5.5887519286848986E-2</v>
      </c>
      <c r="P1097" s="2"/>
    </row>
    <row r="1098" spans="1:16" x14ac:dyDescent="0.3">
      <c r="A1098" s="3">
        <v>45814</v>
      </c>
      <c r="B1098" s="2">
        <v>24748.7</v>
      </c>
      <c r="C1098" s="2">
        <v>25029.5</v>
      </c>
      <c r="D1098" s="2">
        <v>24671.45</v>
      </c>
      <c r="E1098" s="2">
        <v>25003.05</v>
      </c>
      <c r="F1098" s="2">
        <v>335581057</v>
      </c>
      <c r="G1098" s="2">
        <v>30041.71</v>
      </c>
      <c r="H1098" s="2">
        <f t="shared" si="114"/>
        <v>24747.99</v>
      </c>
      <c r="I1098" s="2">
        <f t="shared" si="115"/>
        <v>24104.251999999997</v>
      </c>
      <c r="J1098" s="2">
        <f t="shared" si="113"/>
        <v>24073.976500000012</v>
      </c>
      <c r="K1098" s="2">
        <f t="shared" si="118"/>
        <v>252.14999999999782</v>
      </c>
      <c r="L1098" s="7">
        <f t="shared" si="116"/>
        <v>1.0188413936893567E-2</v>
      </c>
      <c r="M1098" s="9"/>
      <c r="N1098" s="2">
        <f t="shared" si="119"/>
        <v>26216.05</v>
      </c>
      <c r="O1098" s="2">
        <f t="shared" si="117"/>
        <v>-4.6269365522265904E-2</v>
      </c>
      <c r="P1098" s="2"/>
    </row>
    <row r="1099" spans="1:16" x14ac:dyDescent="0.3">
      <c r="A1099" s="3">
        <v>45817</v>
      </c>
      <c r="B1099" s="2">
        <v>25160.1</v>
      </c>
      <c r="C1099" s="2">
        <v>25160.1</v>
      </c>
      <c r="D1099" s="2">
        <v>25077.15</v>
      </c>
      <c r="E1099" s="2">
        <v>25103.200000000001</v>
      </c>
      <c r="F1099" s="2">
        <v>279219989</v>
      </c>
      <c r="G1099" s="2">
        <v>25606.21</v>
      </c>
      <c r="H1099" s="2">
        <f t="shared" si="114"/>
        <v>24797.7425</v>
      </c>
      <c r="I1099" s="2">
        <f t="shared" si="115"/>
        <v>24137.304999999997</v>
      </c>
      <c r="J1099" s="2">
        <f t="shared" ref="J1099:J1162" si="120">AVERAGE(E899:E1098)</f>
        <v>24076.286000000011</v>
      </c>
      <c r="K1099" s="2">
        <f t="shared" si="118"/>
        <v>100.15000000000146</v>
      </c>
      <c r="L1099" s="7">
        <f t="shared" si="116"/>
        <v>3.9805088215071269E-3</v>
      </c>
      <c r="M1099" s="9"/>
      <c r="N1099" s="2">
        <f t="shared" si="119"/>
        <v>26216.05</v>
      </c>
      <c r="O1099" s="2">
        <f t="shared" si="117"/>
        <v>-4.2449186662368965E-2</v>
      </c>
      <c r="P1099" s="2"/>
    </row>
    <row r="1100" spans="1:16" x14ac:dyDescent="0.3">
      <c r="A1100" s="3">
        <v>45818</v>
      </c>
      <c r="B1100" s="2">
        <v>25196.05</v>
      </c>
      <c r="C1100" s="2">
        <v>25199.3</v>
      </c>
      <c r="D1100" s="2">
        <v>25055.45</v>
      </c>
      <c r="E1100" s="2">
        <v>25104.25</v>
      </c>
      <c r="F1100" s="2">
        <v>307323471</v>
      </c>
      <c r="G1100" s="2">
        <v>28813.93</v>
      </c>
      <c r="H1100" s="2">
        <f t="shared" si="114"/>
        <v>24806.667500000003</v>
      </c>
      <c r="I1100" s="2">
        <f t="shared" si="115"/>
        <v>24166.201999999997</v>
      </c>
      <c r="J1100" s="2">
        <f t="shared" si="120"/>
        <v>24078.938750000016</v>
      </c>
      <c r="K1100" s="2">
        <f t="shared" si="118"/>
        <v>1.0499999999992724</v>
      </c>
      <c r="L1100" s="7">
        <f t="shared" si="116"/>
        <v>4.1673198775175965E-5</v>
      </c>
      <c r="M1100" s="9"/>
      <c r="N1100" s="2">
        <f t="shared" si="119"/>
        <v>26216.05</v>
      </c>
      <c r="O1100" s="2">
        <f t="shared" si="117"/>
        <v>-4.2409134862040565E-2</v>
      </c>
      <c r="P1100" s="2"/>
    </row>
    <row r="1101" spans="1:16" x14ac:dyDescent="0.3">
      <c r="A1101" s="3">
        <v>45819</v>
      </c>
      <c r="B1101" s="2">
        <v>25134.15</v>
      </c>
      <c r="C1101" s="2">
        <v>25222.400000000001</v>
      </c>
      <c r="D1101" s="2">
        <v>25081.3</v>
      </c>
      <c r="E1101" s="2">
        <v>25141.4</v>
      </c>
      <c r="F1101" s="2">
        <v>301245273</v>
      </c>
      <c r="G1101" s="2">
        <v>25871.18</v>
      </c>
      <c r="H1101" s="2">
        <f t="shared" si="114"/>
        <v>24832.962500000001</v>
      </c>
      <c r="I1101" s="2">
        <f t="shared" si="115"/>
        <v>24194.913999999993</v>
      </c>
      <c r="J1101" s="2">
        <f t="shared" si="120"/>
        <v>24080.96575000001</v>
      </c>
      <c r="K1101" s="2">
        <f t="shared" si="118"/>
        <v>37.150000000001455</v>
      </c>
      <c r="L1101" s="7">
        <f t="shared" si="116"/>
        <v>1.478068683444694E-3</v>
      </c>
      <c r="M1101" s="9"/>
      <c r="N1101" s="2">
        <f t="shared" si="119"/>
        <v>26216.05</v>
      </c>
      <c r="O1101" s="2">
        <f t="shared" si="117"/>
        <v>-4.0992064021849184E-2</v>
      </c>
      <c r="P1101" s="2"/>
    </row>
    <row r="1102" spans="1:16" x14ac:dyDescent="0.3">
      <c r="A1102" s="3">
        <v>45820</v>
      </c>
      <c r="B1102" s="2">
        <v>25164.45</v>
      </c>
      <c r="C1102" s="2">
        <v>25196.2</v>
      </c>
      <c r="D1102" s="2">
        <v>24825.9</v>
      </c>
      <c r="E1102" s="2">
        <v>24888.2</v>
      </c>
      <c r="F1102" s="2">
        <v>328310748</v>
      </c>
      <c r="G1102" s="2">
        <v>29573.27</v>
      </c>
      <c r="H1102" s="2">
        <f t="shared" si="114"/>
        <v>24856.687500000004</v>
      </c>
      <c r="I1102" s="2">
        <f t="shared" si="115"/>
        <v>24228.00499999999</v>
      </c>
      <c r="J1102" s="2">
        <f t="shared" si="120"/>
        <v>24082.821750000014</v>
      </c>
      <c r="K1102" s="2">
        <f t="shared" si="118"/>
        <v>-253.20000000000073</v>
      </c>
      <c r="L1102" s="7">
        <f t="shared" si="116"/>
        <v>-1.0061813391510672E-2</v>
      </c>
      <c r="M1102" s="9"/>
      <c r="N1102" s="2">
        <f t="shared" si="119"/>
        <v>26216.05</v>
      </c>
      <c r="O1102" s="2">
        <f t="shared" si="117"/>
        <v>-5.0650269586760777E-2</v>
      </c>
      <c r="P1102" s="2"/>
    </row>
    <row r="1103" spans="1:16" x14ac:dyDescent="0.3">
      <c r="A1103" s="3">
        <v>45821</v>
      </c>
      <c r="B1103" s="2">
        <v>24473</v>
      </c>
      <c r="C1103" s="2">
        <v>24754.35</v>
      </c>
      <c r="D1103" s="2">
        <v>24473</v>
      </c>
      <c r="E1103" s="2">
        <v>24718.6</v>
      </c>
      <c r="F1103" s="2">
        <v>318711364</v>
      </c>
      <c r="G1103" s="2">
        <v>24838.560000000001</v>
      </c>
      <c r="H1103" s="2">
        <f t="shared" si="114"/>
        <v>24847.9925</v>
      </c>
      <c r="I1103" s="2">
        <f t="shared" si="115"/>
        <v>24253.929999999989</v>
      </c>
      <c r="J1103" s="2">
        <f t="shared" si="120"/>
        <v>24083.205250000014</v>
      </c>
      <c r="K1103" s="2">
        <f t="shared" si="118"/>
        <v>-169.60000000000218</v>
      </c>
      <c r="L1103" s="7">
        <f t="shared" si="116"/>
        <v>-6.9300862174642335E-3</v>
      </c>
      <c r="M1103" s="9"/>
      <c r="N1103" s="2">
        <f t="shared" si="119"/>
        <v>26216.05</v>
      </c>
      <c r="O1103" s="2">
        <f t="shared" si="117"/>
        <v>-5.7119588954094969E-2</v>
      </c>
      <c r="P1103" s="2"/>
    </row>
    <row r="1104" spans="1:16" x14ac:dyDescent="0.3">
      <c r="A1104" s="3">
        <v>45824</v>
      </c>
      <c r="B1104" s="2">
        <v>24732.35</v>
      </c>
      <c r="C1104" s="2">
        <v>24967.1</v>
      </c>
      <c r="D1104" s="2">
        <v>24703.599999999999</v>
      </c>
      <c r="E1104" s="2">
        <v>24946.5</v>
      </c>
      <c r="F1104" s="2">
        <v>305813047</v>
      </c>
      <c r="G1104" s="2">
        <v>23857.15</v>
      </c>
      <c r="H1104" s="2">
        <f t="shared" si="114"/>
        <v>24832.932500000003</v>
      </c>
      <c r="I1104" s="2">
        <f t="shared" si="115"/>
        <v>24277.91499999999</v>
      </c>
      <c r="J1104" s="2">
        <f t="shared" si="120"/>
        <v>24082.68250000001</v>
      </c>
      <c r="K1104" s="2">
        <f t="shared" si="118"/>
        <v>227.90000000000146</v>
      </c>
      <c r="L1104" s="7">
        <f t="shared" si="116"/>
        <v>9.2146520650080339E-3</v>
      </c>
      <c r="M1104" s="9"/>
      <c r="N1104" s="2">
        <f t="shared" si="119"/>
        <v>26216.05</v>
      </c>
      <c r="O1104" s="2">
        <f t="shared" si="117"/>
        <v>-4.8426441054239655E-2</v>
      </c>
      <c r="P1104" s="2"/>
    </row>
    <row r="1105" spans="1:16" x14ac:dyDescent="0.3">
      <c r="A1105" s="3">
        <v>45825</v>
      </c>
      <c r="B1105" s="2">
        <v>24977.85</v>
      </c>
      <c r="C1105" s="2">
        <v>24982.05</v>
      </c>
      <c r="D1105" s="2">
        <v>24813.7</v>
      </c>
      <c r="E1105" s="2">
        <v>24853.4</v>
      </c>
      <c r="F1105" s="2">
        <v>242415740</v>
      </c>
      <c r="G1105" s="2">
        <v>21818.05</v>
      </c>
      <c r="H1105" s="2">
        <f t="shared" si="114"/>
        <v>24832.985000000004</v>
      </c>
      <c r="I1105" s="2">
        <f t="shared" si="115"/>
        <v>24313.530999999992</v>
      </c>
      <c r="J1105" s="2">
        <f t="shared" si="120"/>
        <v>24082.362000000008</v>
      </c>
      <c r="K1105" s="2">
        <f t="shared" si="118"/>
        <v>-93.099999999998545</v>
      </c>
      <c r="L1105" s="7">
        <f t="shared" si="116"/>
        <v>-3.7273023899174087E-3</v>
      </c>
      <c r="M1105" s="9"/>
      <c r="N1105" s="2">
        <f t="shared" si="119"/>
        <v>26216.05</v>
      </c>
      <c r="O1105" s="2">
        <f t="shared" si="117"/>
        <v>-5.197770068335994E-2</v>
      </c>
      <c r="P1105" s="2"/>
    </row>
    <row r="1106" spans="1:16" x14ac:dyDescent="0.3">
      <c r="A1106" s="3">
        <v>45826</v>
      </c>
      <c r="B1106" s="2">
        <v>24788.35</v>
      </c>
      <c r="C1106" s="2">
        <v>24947.55</v>
      </c>
      <c r="D1106" s="2">
        <v>24750.45</v>
      </c>
      <c r="E1106" s="2">
        <v>24812.05</v>
      </c>
      <c r="F1106" s="2">
        <v>237599011</v>
      </c>
      <c r="G1106" s="2">
        <v>22044.05</v>
      </c>
      <c r="H1106" s="2">
        <f t="shared" si="114"/>
        <v>24841.460000000003</v>
      </c>
      <c r="I1106" s="2">
        <f t="shared" si="115"/>
        <v>24343.951999999994</v>
      </c>
      <c r="J1106" s="2">
        <f t="shared" si="120"/>
        <v>24081.540250000009</v>
      </c>
      <c r="K1106" s="2">
        <f t="shared" si="118"/>
        <v>-41.350000000002183</v>
      </c>
      <c r="L1106" s="7">
        <f t="shared" si="116"/>
        <v>-1.668122323591614E-3</v>
      </c>
      <c r="M1106" s="9"/>
      <c r="N1106" s="2">
        <f t="shared" si="119"/>
        <v>26216.05</v>
      </c>
      <c r="O1106" s="2">
        <f t="shared" si="117"/>
        <v>-5.3554978724865143E-2</v>
      </c>
      <c r="P1106" s="2"/>
    </row>
    <row r="1107" spans="1:16" x14ac:dyDescent="0.3">
      <c r="A1107" s="3">
        <v>45827</v>
      </c>
      <c r="B1107" s="2">
        <v>24803.25</v>
      </c>
      <c r="C1107" s="2">
        <v>24863.1</v>
      </c>
      <c r="D1107" s="2">
        <v>24733.4</v>
      </c>
      <c r="E1107" s="2">
        <v>24793.25</v>
      </c>
      <c r="F1107" s="2">
        <v>274619935</v>
      </c>
      <c r="G1107" s="2">
        <v>23620.79</v>
      </c>
      <c r="H1107" s="2">
        <f t="shared" si="114"/>
        <v>24841.390000000003</v>
      </c>
      <c r="I1107" s="2">
        <f t="shared" si="115"/>
        <v>24375.190999999995</v>
      </c>
      <c r="J1107" s="2">
        <f t="shared" si="120"/>
        <v>24080.33875000001</v>
      </c>
      <c r="K1107" s="2">
        <f t="shared" si="118"/>
        <v>-18.799999999999272</v>
      </c>
      <c r="L1107" s="7">
        <f t="shared" si="116"/>
        <v>-7.5796518601390034E-4</v>
      </c>
      <c r="M1107" s="9"/>
      <c r="N1107" s="2">
        <f t="shared" si="119"/>
        <v>26216.05</v>
      </c>
      <c r="O1107" s="2">
        <f t="shared" si="117"/>
        <v>-5.4272096673602555E-2</v>
      </c>
      <c r="P1107" s="2"/>
    </row>
    <row r="1108" spans="1:16" x14ac:dyDescent="0.3">
      <c r="A1108" s="3">
        <v>45828</v>
      </c>
      <c r="B1108" s="2">
        <v>24787.65</v>
      </c>
      <c r="C1108" s="2">
        <v>25136.2</v>
      </c>
      <c r="D1108" s="2">
        <v>24783.65</v>
      </c>
      <c r="E1108" s="2">
        <v>25112.400000000001</v>
      </c>
      <c r="F1108" s="2">
        <v>574654035</v>
      </c>
      <c r="G1108" s="2">
        <v>55782.03</v>
      </c>
      <c r="H1108" s="2">
        <f t="shared" si="114"/>
        <v>24850.567500000001</v>
      </c>
      <c r="I1108" s="2">
        <f t="shared" si="115"/>
        <v>24412.966999999997</v>
      </c>
      <c r="J1108" s="2">
        <f t="shared" si="120"/>
        <v>24078.54525000001</v>
      </c>
      <c r="K1108" s="2">
        <f t="shared" si="118"/>
        <v>319.15000000000146</v>
      </c>
      <c r="L1108" s="7">
        <f t="shared" si="116"/>
        <v>1.287536333617755E-2</v>
      </c>
      <c r="M1108" s="9"/>
      <c r="N1108" s="2">
        <f t="shared" si="119"/>
        <v>26216.05</v>
      </c>
      <c r="O1108" s="2">
        <f t="shared" si="117"/>
        <v>-4.2098256602348449E-2</v>
      </c>
      <c r="P1108" s="2"/>
    </row>
    <row r="1109" spans="1:16" x14ac:dyDescent="0.3">
      <c r="A1109" s="3">
        <v>45831</v>
      </c>
      <c r="B1109" s="2">
        <v>24939.75</v>
      </c>
      <c r="C1109" s="2">
        <v>25057</v>
      </c>
      <c r="D1109" s="2">
        <v>24824.85</v>
      </c>
      <c r="E1109" s="2">
        <v>24971.9</v>
      </c>
      <c r="F1109" s="2">
        <v>248534153</v>
      </c>
      <c r="G1109" s="2">
        <v>20797.88</v>
      </c>
      <c r="H1109" s="2">
        <f t="shared" si="114"/>
        <v>24863.530000000002</v>
      </c>
      <c r="I1109" s="2">
        <f t="shared" si="115"/>
        <v>24471.982999999993</v>
      </c>
      <c r="J1109" s="2">
        <f t="shared" si="120"/>
        <v>24077.927750000013</v>
      </c>
      <c r="K1109" s="2">
        <f t="shared" si="118"/>
        <v>-140.5</v>
      </c>
      <c r="L1109" s="7">
        <f t="shared" si="116"/>
        <v>-5.6335769203781109E-3</v>
      </c>
      <c r="M1109" s="9"/>
      <c r="N1109" s="2">
        <f t="shared" si="119"/>
        <v>26216.05</v>
      </c>
      <c r="O1109" s="2">
        <f t="shared" si="117"/>
        <v>-4.7457568932009142E-2</v>
      </c>
      <c r="P1109" s="2"/>
    </row>
    <row r="1110" spans="1:16" x14ac:dyDescent="0.3">
      <c r="A1110" s="3">
        <v>45832</v>
      </c>
      <c r="B1110" s="2">
        <v>25179.9</v>
      </c>
      <c r="C1110" s="2">
        <v>25317.7</v>
      </c>
      <c r="D1110" s="2">
        <v>24999.7</v>
      </c>
      <c r="E1110" s="2">
        <v>25044.35</v>
      </c>
      <c r="F1110" s="2">
        <v>450185468</v>
      </c>
      <c r="G1110" s="2">
        <v>35508.9</v>
      </c>
      <c r="H1110" s="2">
        <f t="shared" si="114"/>
        <v>24862.067500000005</v>
      </c>
      <c r="I1110" s="2">
        <f t="shared" si="115"/>
        <v>24520.703999999994</v>
      </c>
      <c r="J1110" s="2">
        <f t="shared" si="120"/>
        <v>24076.393750000014</v>
      </c>
      <c r="K1110" s="2">
        <f t="shared" si="118"/>
        <v>72.44999999999709</v>
      </c>
      <c r="L1110" s="7">
        <f t="shared" si="116"/>
        <v>2.8772949852857669E-3</v>
      </c>
      <c r="M1110" s="9"/>
      <c r="N1110" s="2">
        <f t="shared" si="119"/>
        <v>26216.05</v>
      </c>
      <c r="O1110" s="2">
        <f t="shared" si="117"/>
        <v>-4.4693994709347984E-2</v>
      </c>
      <c r="P1110" s="2"/>
    </row>
    <row r="1111" spans="1:16" x14ac:dyDescent="0.3">
      <c r="A1111" s="3">
        <v>45833</v>
      </c>
      <c r="B1111" s="2">
        <v>25150.35</v>
      </c>
      <c r="C1111" s="2">
        <v>25266.799999999999</v>
      </c>
      <c r="D1111" s="2">
        <v>25125.05</v>
      </c>
      <c r="E1111" s="2">
        <v>25244.75</v>
      </c>
      <c r="F1111" s="2">
        <v>260582584</v>
      </c>
      <c r="G1111" s="2">
        <v>22985.17</v>
      </c>
      <c r="H1111" s="2">
        <f t="shared" ref="H1111:H1174" si="121">AVERAGE(E1091:E1110)</f>
        <v>24872.975000000002</v>
      </c>
      <c r="I1111" s="2">
        <f t="shared" si="115"/>
        <v>24573.607999999993</v>
      </c>
      <c r="J1111" s="2">
        <f t="shared" si="120"/>
        <v>24075.216250000009</v>
      </c>
      <c r="K1111" s="2">
        <f t="shared" si="118"/>
        <v>200.40000000000146</v>
      </c>
      <c r="L1111" s="7">
        <f t="shared" si="116"/>
        <v>7.9680799670780508E-3</v>
      </c>
      <c r="M1111" s="9"/>
      <c r="N1111" s="2">
        <f t="shared" si="119"/>
        <v>26216.05</v>
      </c>
      <c r="O1111" s="2">
        <f t="shared" si="117"/>
        <v>-3.7049822532379983E-2</v>
      </c>
      <c r="P1111" s="2"/>
    </row>
    <row r="1112" spans="1:16" x14ac:dyDescent="0.3">
      <c r="A1112" s="3">
        <v>45834</v>
      </c>
      <c r="B1112" s="2">
        <v>25268.95</v>
      </c>
      <c r="C1112" s="2">
        <v>25565.3</v>
      </c>
      <c r="D1112" s="2">
        <v>25259.9</v>
      </c>
      <c r="E1112" s="2">
        <v>25549</v>
      </c>
      <c r="F1112" s="2">
        <v>428891818</v>
      </c>
      <c r="G1112" s="2">
        <v>38689.39</v>
      </c>
      <c r="H1112" s="2">
        <f t="shared" si="121"/>
        <v>24897.59</v>
      </c>
      <c r="I1112" s="2">
        <f t="shared" si="115"/>
        <v>24621.931999999993</v>
      </c>
      <c r="J1112" s="2">
        <f t="shared" si="120"/>
        <v>24075.446500000009</v>
      </c>
      <c r="K1112" s="2">
        <f t="shared" si="118"/>
        <v>304.25</v>
      </c>
      <c r="L1112" s="7">
        <f t="shared" si="116"/>
        <v>1.2040468638388219E-2</v>
      </c>
      <c r="M1112" s="9"/>
      <c r="N1112" s="2">
        <f t="shared" si="119"/>
        <v>26216.05</v>
      </c>
      <c r="O1112" s="2">
        <f t="shared" si="117"/>
        <v>-2.5444336580072058E-2</v>
      </c>
      <c r="P1112" s="2"/>
    </row>
    <row r="1113" spans="1:16" x14ac:dyDescent="0.3">
      <c r="A1113" s="3">
        <v>45835</v>
      </c>
      <c r="B1113" s="2">
        <v>25576.65</v>
      </c>
      <c r="C1113" s="2">
        <v>25654.2</v>
      </c>
      <c r="D1113" s="2">
        <v>25523.55</v>
      </c>
      <c r="E1113" s="2">
        <v>25637.8</v>
      </c>
      <c r="F1113" s="2">
        <v>563957748</v>
      </c>
      <c r="G1113" s="2">
        <v>47108.6</v>
      </c>
      <c r="H1113" s="2">
        <f t="shared" si="121"/>
        <v>24933.360000000001</v>
      </c>
      <c r="I1113" s="2">
        <f t="shared" si="115"/>
        <v>24666.340999999993</v>
      </c>
      <c r="J1113" s="2">
        <f t="shared" si="120"/>
        <v>24077.466000000004</v>
      </c>
      <c r="K1113" s="2">
        <f t="shared" si="118"/>
        <v>88.799999999999272</v>
      </c>
      <c r="L1113" s="7">
        <f t="shared" si="116"/>
        <v>3.4719167678331315E-3</v>
      </c>
      <c r="M1113" s="9"/>
      <c r="N1113" s="2">
        <f t="shared" si="119"/>
        <v>26216.05</v>
      </c>
      <c r="O1113" s="2">
        <f t="shared" si="117"/>
        <v>-2.2057098609439607E-2</v>
      </c>
      <c r="P1113" s="2"/>
    </row>
    <row r="1114" spans="1:16" x14ac:dyDescent="0.3">
      <c r="A1114" s="3">
        <v>45838</v>
      </c>
      <c r="B1114" s="2">
        <v>25661.65</v>
      </c>
      <c r="C1114" s="2">
        <v>25669.35</v>
      </c>
      <c r="D1114" s="2">
        <v>25473.3</v>
      </c>
      <c r="E1114" s="2">
        <v>25517.05</v>
      </c>
      <c r="F1114" s="2">
        <v>270981274</v>
      </c>
      <c r="G1114" s="2">
        <v>24673.48</v>
      </c>
      <c r="H1114" s="2">
        <f t="shared" si="121"/>
        <v>24977.715000000004</v>
      </c>
      <c r="I1114" s="2">
        <f t="shared" si="115"/>
        <v>24710.352999999992</v>
      </c>
      <c r="J1114" s="2">
        <f t="shared" si="120"/>
        <v>24081.394250000001</v>
      </c>
      <c r="K1114" s="2">
        <f t="shared" si="118"/>
        <v>-120.75</v>
      </c>
      <c r="L1114" s="7">
        <f t="shared" si="116"/>
        <v>-4.7054651590992778E-3</v>
      </c>
      <c r="M1114" s="9"/>
      <c r="N1114" s="2">
        <f t="shared" si="119"/>
        <v>26216.05</v>
      </c>
      <c r="O1114" s="2">
        <f t="shared" si="117"/>
        <v>-2.66630556472085E-2</v>
      </c>
      <c r="P1114" s="2"/>
    </row>
    <row r="1115" spans="1:16" x14ac:dyDescent="0.3">
      <c r="A1115" s="3">
        <v>45839</v>
      </c>
      <c r="B1115" s="2">
        <v>25551.35</v>
      </c>
      <c r="C1115" s="2">
        <v>25593.4</v>
      </c>
      <c r="D1115" s="2">
        <v>25501.8</v>
      </c>
      <c r="E1115" s="2">
        <v>25541.8</v>
      </c>
      <c r="F1115" s="2">
        <v>260669106</v>
      </c>
      <c r="G1115" s="2">
        <v>23921.02</v>
      </c>
      <c r="H1115" s="2">
        <f t="shared" si="121"/>
        <v>25017.737499999999</v>
      </c>
      <c r="I1115" s="2">
        <f t="shared" si="115"/>
        <v>24743.660999999996</v>
      </c>
      <c r="J1115" s="2">
        <f t="shared" si="120"/>
        <v>24084.297500000001</v>
      </c>
      <c r="K1115" s="2">
        <f t="shared" si="118"/>
        <v>24.75</v>
      </c>
      <c r="L1115" s="7">
        <f t="shared" si="116"/>
        <v>9.6863766493746908E-4</v>
      </c>
      <c r="M1115" s="9"/>
      <c r="N1115" s="2">
        <f t="shared" si="119"/>
        <v>26216.05</v>
      </c>
      <c r="O1115" s="2">
        <f t="shared" si="117"/>
        <v>-2.5718977496609896E-2</v>
      </c>
      <c r="P1115" s="2"/>
    </row>
    <row r="1116" spans="1:16" x14ac:dyDescent="0.3">
      <c r="A1116" s="3">
        <v>45840</v>
      </c>
      <c r="B1116" s="2">
        <v>25588.3</v>
      </c>
      <c r="C1116" s="2">
        <v>25608.1</v>
      </c>
      <c r="D1116" s="2">
        <v>25378.75</v>
      </c>
      <c r="E1116" s="2">
        <v>25453.4</v>
      </c>
      <c r="F1116" s="2">
        <v>309828013</v>
      </c>
      <c r="G1116" s="2">
        <v>26681.66</v>
      </c>
      <c r="H1116" s="2">
        <f t="shared" si="121"/>
        <v>25067.702499999999</v>
      </c>
      <c r="I1116" s="2">
        <f t="shared" si="115"/>
        <v>24771.986000000001</v>
      </c>
      <c r="J1116" s="2">
        <f t="shared" si="120"/>
        <v>24086.800999999999</v>
      </c>
      <c r="K1116" s="2">
        <f t="shared" si="118"/>
        <v>-88.399999999997817</v>
      </c>
      <c r="L1116" s="7">
        <f t="shared" si="116"/>
        <v>-3.4547039076452059E-3</v>
      </c>
      <c r="M1116" s="9"/>
      <c r="N1116" s="2">
        <f t="shared" si="119"/>
        <v>26216.05</v>
      </c>
      <c r="O1116" s="2">
        <f t="shared" si="117"/>
        <v>-2.9090957638545745E-2</v>
      </c>
      <c r="P1116" s="2"/>
    </row>
    <row r="1117" spans="1:16" x14ac:dyDescent="0.3">
      <c r="A1117" s="3">
        <v>45841</v>
      </c>
      <c r="B1117" s="2">
        <v>25505.1</v>
      </c>
      <c r="C1117" s="2">
        <v>25587.5</v>
      </c>
      <c r="D1117" s="2">
        <v>25384.35</v>
      </c>
      <c r="E1117" s="2">
        <v>25405.3</v>
      </c>
      <c r="F1117" s="2">
        <v>293428797</v>
      </c>
      <c r="G1117" s="2">
        <v>24531.7</v>
      </c>
      <c r="H1117" s="2">
        <f t="shared" si="121"/>
        <v>25109.362499999999</v>
      </c>
      <c r="I1117" s="2">
        <f t="shared" si="115"/>
        <v>24797.708999999999</v>
      </c>
      <c r="J1117" s="2">
        <f t="shared" si="120"/>
        <v>24089.475750000001</v>
      </c>
      <c r="K1117" s="2">
        <f t="shared" si="118"/>
        <v>-48.100000000002183</v>
      </c>
      <c r="L1117" s="7">
        <f t="shared" si="116"/>
        <v>-1.8858973303379396E-3</v>
      </c>
      <c r="M1117" s="9"/>
      <c r="N1117" s="2">
        <f t="shared" si="119"/>
        <v>26216.05</v>
      </c>
      <c r="O1117" s="2">
        <f t="shared" si="117"/>
        <v>-3.0925711539305123E-2</v>
      </c>
      <c r="P1117" s="2"/>
    </row>
    <row r="1118" spans="1:16" x14ac:dyDescent="0.3">
      <c r="A1118" s="3">
        <v>45842</v>
      </c>
      <c r="B1118" s="2">
        <v>25428.85</v>
      </c>
      <c r="C1118" s="2">
        <v>25470.25</v>
      </c>
      <c r="D1118" s="2">
        <v>25331.65</v>
      </c>
      <c r="E1118" s="2">
        <v>25461</v>
      </c>
      <c r="F1118" s="2">
        <v>193511595</v>
      </c>
      <c r="G1118" s="2">
        <v>19101.330000000002</v>
      </c>
      <c r="H1118" s="2">
        <f t="shared" si="121"/>
        <v>25142.082499999997</v>
      </c>
      <c r="I1118" s="2">
        <f t="shared" si="115"/>
        <v>24819.236000000001</v>
      </c>
      <c r="J1118" s="2">
        <f t="shared" si="120"/>
        <v>24089.557750000004</v>
      </c>
      <c r="K1118" s="2">
        <f t="shared" si="118"/>
        <v>55.700000000000728</v>
      </c>
      <c r="L1118" s="7">
        <f t="shared" si="116"/>
        <v>2.1904254419685015E-3</v>
      </c>
      <c r="M1118" s="9"/>
      <c r="N1118" s="2">
        <f t="shared" si="119"/>
        <v>26216.05</v>
      </c>
      <c r="O1118" s="2">
        <f t="shared" si="117"/>
        <v>-2.8801058893311526E-2</v>
      </c>
      <c r="P1118" s="2"/>
    </row>
    <row r="1119" spans="1:16" x14ac:dyDescent="0.3">
      <c r="A1119" s="3">
        <v>45845</v>
      </c>
      <c r="B1119" s="2">
        <v>25450.45</v>
      </c>
      <c r="C1119" s="2">
        <v>25489.8</v>
      </c>
      <c r="D1119" s="2">
        <v>25407.25</v>
      </c>
      <c r="E1119" s="2">
        <v>25461.3</v>
      </c>
      <c r="F1119" s="2">
        <v>196051345</v>
      </c>
      <c r="G1119" s="2">
        <v>16923.259999999998</v>
      </c>
      <c r="H1119" s="2">
        <f t="shared" si="121"/>
        <v>25164.979999999996</v>
      </c>
      <c r="I1119" s="2">
        <f t="shared" si="115"/>
        <v>24843.522000000001</v>
      </c>
      <c r="J1119" s="2">
        <f t="shared" si="120"/>
        <v>24090.080250000003</v>
      </c>
      <c r="K1119" s="2">
        <f t="shared" si="118"/>
        <v>0.2999999999992724</v>
      </c>
      <c r="L1119" s="7">
        <f t="shared" si="116"/>
        <v>1.1787610828070718E-5</v>
      </c>
      <c r="M1119" s="9"/>
      <c r="N1119" s="2">
        <f t="shared" si="119"/>
        <v>26216.05</v>
      </c>
      <c r="O1119" s="2">
        <f t="shared" si="117"/>
        <v>-2.8789615521789158E-2</v>
      </c>
      <c r="P1119" s="2"/>
    </row>
    <row r="1120" spans="1:16" x14ac:dyDescent="0.3">
      <c r="A1120" s="3">
        <v>45846</v>
      </c>
      <c r="B1120" s="2">
        <v>25427.85</v>
      </c>
      <c r="C1120" s="2">
        <v>25548.05</v>
      </c>
      <c r="D1120" s="2">
        <v>25424.15</v>
      </c>
      <c r="E1120" s="2">
        <v>25522.5</v>
      </c>
      <c r="F1120" s="2">
        <v>210410530</v>
      </c>
      <c r="G1120" s="2">
        <v>21947.32</v>
      </c>
      <c r="H1120" s="2">
        <f t="shared" si="121"/>
        <v>25182.884999999998</v>
      </c>
      <c r="I1120" s="2">
        <f t="shared" si="115"/>
        <v>24871.960999999999</v>
      </c>
      <c r="J1120" s="2">
        <f t="shared" si="120"/>
        <v>24090.468000000008</v>
      </c>
      <c r="K1120" s="2">
        <f t="shared" si="118"/>
        <v>61.200000000000728</v>
      </c>
      <c r="L1120" s="7">
        <f t="shared" si="116"/>
        <v>2.4068098561223512E-3</v>
      </c>
      <c r="M1120" s="9"/>
      <c r="N1120" s="2">
        <f t="shared" si="119"/>
        <v>26216.05</v>
      </c>
      <c r="O1120" s="2">
        <f t="shared" si="117"/>
        <v>-2.6455167731218032E-2</v>
      </c>
      <c r="P1120" s="2"/>
    </row>
    <row r="1121" spans="1:16" x14ac:dyDescent="0.3">
      <c r="A1121" s="3">
        <v>45847</v>
      </c>
      <c r="B1121" s="2">
        <v>25514.6</v>
      </c>
      <c r="C1121" s="2">
        <v>25548.7</v>
      </c>
      <c r="D1121" s="2">
        <v>25424.35</v>
      </c>
      <c r="E1121" s="2">
        <v>25476.1</v>
      </c>
      <c r="F1121" s="2">
        <v>239081546</v>
      </c>
      <c r="G1121" s="2">
        <v>20549.5</v>
      </c>
      <c r="H1121" s="2">
        <f t="shared" si="121"/>
        <v>25203.797499999997</v>
      </c>
      <c r="I1121" s="2">
        <f t="shared" si="115"/>
        <v>24895.841</v>
      </c>
      <c r="J1121" s="2">
        <f t="shared" si="120"/>
        <v>24090.987750000004</v>
      </c>
      <c r="K1121" s="2">
        <f t="shared" si="118"/>
        <v>-46.400000000001455</v>
      </c>
      <c r="L1121" s="7">
        <f t="shared" si="116"/>
        <v>-1.8185666245993063E-3</v>
      </c>
      <c r="M1121" s="9"/>
      <c r="N1121" s="2">
        <f t="shared" si="119"/>
        <v>26216.05</v>
      </c>
      <c r="O1121" s="2">
        <f t="shared" si="117"/>
        <v>-2.8225075860017101E-2</v>
      </c>
      <c r="P1121" s="2"/>
    </row>
    <row r="1122" spans="1:16" x14ac:dyDescent="0.3">
      <c r="A1122" s="3">
        <v>45848</v>
      </c>
      <c r="B1122" s="2">
        <v>25511.65</v>
      </c>
      <c r="C1122" s="2">
        <v>25524.05</v>
      </c>
      <c r="D1122" s="2">
        <v>25340.45</v>
      </c>
      <c r="E1122" s="2">
        <v>25355.25</v>
      </c>
      <c r="F1122" s="2">
        <v>219609322</v>
      </c>
      <c r="G1122" s="2">
        <v>21435.360000000001</v>
      </c>
      <c r="H1122" s="2">
        <f t="shared" si="121"/>
        <v>25220.532499999998</v>
      </c>
      <c r="I1122" s="2">
        <f t="shared" si="115"/>
        <v>24918.644000000004</v>
      </c>
      <c r="J1122" s="2">
        <f t="shared" si="120"/>
        <v>24091.480500000001</v>
      </c>
      <c r="K1122" s="2">
        <f t="shared" si="118"/>
        <v>-120.84999999999854</v>
      </c>
      <c r="L1122" s="7">
        <f t="shared" si="116"/>
        <v>-4.7370515039207002E-3</v>
      </c>
      <c r="M1122" s="9"/>
      <c r="N1122" s="2">
        <f t="shared" si="119"/>
        <v>26216.05</v>
      </c>
      <c r="O1122" s="2">
        <f t="shared" si="117"/>
        <v>-3.2834847354960006E-2</v>
      </c>
      <c r="P1122" s="2"/>
    </row>
    <row r="1123" spans="1:16" x14ac:dyDescent="0.3">
      <c r="A1123" s="3">
        <v>45849</v>
      </c>
      <c r="B1123" s="2">
        <v>25255.5</v>
      </c>
      <c r="C1123" s="2">
        <v>25322.45</v>
      </c>
      <c r="D1123" s="2">
        <v>25129</v>
      </c>
      <c r="E1123" s="2">
        <v>25149.85</v>
      </c>
      <c r="F1123" s="2">
        <v>249987681</v>
      </c>
      <c r="G1123" s="2">
        <v>26251.65</v>
      </c>
      <c r="H1123" s="2">
        <f t="shared" si="121"/>
        <v>25243.884999999998</v>
      </c>
      <c r="I1123" s="2">
        <f t="shared" si="115"/>
        <v>24939.06500000001</v>
      </c>
      <c r="J1123" s="2">
        <f t="shared" si="120"/>
        <v>24091.177750000003</v>
      </c>
      <c r="K1123" s="2">
        <f t="shared" si="118"/>
        <v>-205.40000000000146</v>
      </c>
      <c r="L1123" s="7">
        <f t="shared" si="116"/>
        <v>-8.1328819465067599E-3</v>
      </c>
      <c r="M1123" s="9"/>
      <c r="N1123" s="2">
        <f t="shared" si="119"/>
        <v>26216.05</v>
      </c>
      <c r="O1123" s="2">
        <f t="shared" si="117"/>
        <v>-4.0669742390634811E-2</v>
      </c>
      <c r="P1123" s="2"/>
    </row>
    <row r="1124" spans="1:16" x14ac:dyDescent="0.3">
      <c r="A1124" s="3">
        <v>45852</v>
      </c>
      <c r="B1124" s="2">
        <v>25149.5</v>
      </c>
      <c r="C1124" s="2">
        <v>25151.1</v>
      </c>
      <c r="D1124" s="2">
        <v>25001.95</v>
      </c>
      <c r="E1124" s="2">
        <v>25082.3</v>
      </c>
      <c r="F1124" s="2">
        <v>259533624</v>
      </c>
      <c r="G1124" s="2">
        <v>23316.33</v>
      </c>
      <c r="H1124" s="2">
        <f t="shared" si="121"/>
        <v>25265.447499999998</v>
      </c>
      <c r="I1124" s="2">
        <f t="shared" si="115"/>
        <v>24955.128000000012</v>
      </c>
      <c r="J1124" s="2">
        <f t="shared" si="120"/>
        <v>24087.972249999995</v>
      </c>
      <c r="K1124" s="2">
        <f t="shared" si="118"/>
        <v>-67.549999999999272</v>
      </c>
      <c r="L1124" s="7">
        <f t="shared" si="116"/>
        <v>-2.6859380902204528E-3</v>
      </c>
      <c r="M1124" s="9"/>
      <c r="N1124" s="2">
        <f t="shared" si="119"/>
        <v>26216.05</v>
      </c>
      <c r="O1124" s="2">
        <f t="shared" si="117"/>
        <v>-4.3246408211763399E-2</v>
      </c>
      <c r="P1124" s="2"/>
    </row>
    <row r="1125" spans="1:16" x14ac:dyDescent="0.3">
      <c r="A1125" s="3">
        <v>45853</v>
      </c>
      <c r="B1125" s="2">
        <v>25089.5</v>
      </c>
      <c r="C1125" s="2">
        <v>25245.200000000001</v>
      </c>
      <c r="D1125" s="2">
        <v>25088.45</v>
      </c>
      <c r="E1125" s="2">
        <v>25195.8</v>
      </c>
      <c r="F1125" s="2">
        <v>241340130</v>
      </c>
      <c r="G1125" s="2">
        <v>23282.7</v>
      </c>
      <c r="H1125" s="2">
        <f t="shared" si="121"/>
        <v>25272.237499999996</v>
      </c>
      <c r="I1125" s="2">
        <f t="shared" si="115"/>
        <v>24967.55100000001</v>
      </c>
      <c r="J1125" s="2">
        <f t="shared" si="120"/>
        <v>24083.688499999997</v>
      </c>
      <c r="K1125" s="2">
        <f t="shared" si="118"/>
        <v>113.5</v>
      </c>
      <c r="L1125" s="7">
        <f t="shared" si="116"/>
        <v>4.5238047788915678E-3</v>
      </c>
      <c r="M1125" s="9"/>
      <c r="N1125" s="2">
        <f t="shared" si="119"/>
        <v>26216.05</v>
      </c>
      <c r="O1125" s="2">
        <f t="shared" si="117"/>
        <v>-3.8916999319119405E-2</v>
      </c>
      <c r="P1125" s="2"/>
    </row>
    <row r="1126" spans="1:16" x14ac:dyDescent="0.3">
      <c r="A1126" s="3">
        <v>45854</v>
      </c>
      <c r="B1126" s="2">
        <v>25196.6</v>
      </c>
      <c r="C1126" s="2">
        <v>25255.3</v>
      </c>
      <c r="D1126" s="2">
        <v>25121.05</v>
      </c>
      <c r="E1126" s="2">
        <v>25212.05</v>
      </c>
      <c r="F1126" s="2">
        <v>228815928</v>
      </c>
      <c r="G1126" s="2">
        <v>22254.54</v>
      </c>
      <c r="H1126" s="2">
        <f t="shared" si="121"/>
        <v>25289.357499999995</v>
      </c>
      <c r="I1126" s="2">
        <f t="shared" si="115"/>
        <v>24983.875000000015</v>
      </c>
      <c r="J1126" s="2">
        <f t="shared" si="120"/>
        <v>24079.965499999995</v>
      </c>
      <c r="K1126" s="2">
        <f t="shared" si="118"/>
        <v>16.25</v>
      </c>
      <c r="L1126" s="7">
        <f t="shared" si="116"/>
        <v>6.4492828397482208E-4</v>
      </c>
      <c r="M1126" s="9"/>
      <c r="N1126" s="2">
        <f t="shared" si="119"/>
        <v>26216.05</v>
      </c>
      <c r="O1126" s="2">
        <f t="shared" si="117"/>
        <v>-3.8297150028322346E-2</v>
      </c>
      <c r="P1126" s="2"/>
    </row>
    <row r="1127" spans="1:16" x14ac:dyDescent="0.3">
      <c r="A1127" s="3">
        <v>45855</v>
      </c>
      <c r="B1127" s="2">
        <v>25230.75</v>
      </c>
      <c r="C1127" s="2">
        <v>25238.35</v>
      </c>
      <c r="D1127" s="2">
        <v>25101</v>
      </c>
      <c r="E1127" s="2">
        <v>25111.45</v>
      </c>
      <c r="F1127" s="2">
        <v>243412540</v>
      </c>
      <c r="G1127" s="2">
        <v>24715.35</v>
      </c>
      <c r="H1127" s="2">
        <f t="shared" si="121"/>
        <v>25309.357499999991</v>
      </c>
      <c r="I1127" s="2">
        <f t="shared" si="115"/>
        <v>24999.828000000012</v>
      </c>
      <c r="J1127" s="2">
        <f t="shared" si="120"/>
        <v>24076.00499999999</v>
      </c>
      <c r="K1127" s="2">
        <f t="shared" si="118"/>
        <v>-100.59999999999854</v>
      </c>
      <c r="L1127" s="7">
        <f t="shared" si="116"/>
        <v>-3.9871981609741506E-3</v>
      </c>
      <c r="M1127" s="9"/>
      <c r="N1127" s="2">
        <f t="shared" si="119"/>
        <v>26216.05</v>
      </c>
      <c r="O1127" s="2">
        <f t="shared" si="117"/>
        <v>-4.2134493945502838E-2</v>
      </c>
      <c r="P1127" s="2"/>
    </row>
    <row r="1128" spans="1:16" x14ac:dyDescent="0.3">
      <c r="A1128" s="3">
        <v>45856</v>
      </c>
      <c r="B1128" s="2">
        <v>25108.55</v>
      </c>
      <c r="C1128" s="2">
        <v>25144.6</v>
      </c>
      <c r="D1128" s="2">
        <v>24918.65</v>
      </c>
      <c r="E1128" s="2">
        <v>24968.400000000001</v>
      </c>
      <c r="F1128" s="2">
        <v>316979826</v>
      </c>
      <c r="G1128" s="2">
        <v>26330.799999999999</v>
      </c>
      <c r="H1128" s="2">
        <f t="shared" si="121"/>
        <v>25325.267499999994</v>
      </c>
      <c r="I1128" s="2">
        <f t="shared" si="115"/>
        <v>25016.581000000009</v>
      </c>
      <c r="J1128" s="2">
        <f t="shared" si="120"/>
        <v>24070.481999999996</v>
      </c>
      <c r="K1128" s="2">
        <f t="shared" si="118"/>
        <v>-143.04999999999927</v>
      </c>
      <c r="L1128" s="7">
        <f t="shared" si="116"/>
        <v>-5.6972624862845237E-3</v>
      </c>
      <c r="M1128" s="9"/>
      <c r="N1128" s="2">
        <f t="shared" si="119"/>
        <v>26216.05</v>
      </c>
      <c r="O1128" s="2">
        <f t="shared" si="117"/>
        <v>-4.7591074933103883E-2</v>
      </c>
      <c r="P1128" s="2"/>
    </row>
    <row r="1129" spans="1:16" x14ac:dyDescent="0.3">
      <c r="A1129" s="3">
        <v>45859</v>
      </c>
      <c r="B1129" s="2">
        <v>24999</v>
      </c>
      <c r="C1129" s="2">
        <v>25111.4</v>
      </c>
      <c r="D1129" s="2">
        <v>24882.3</v>
      </c>
      <c r="E1129" s="2">
        <v>25090.7</v>
      </c>
      <c r="F1129" s="2">
        <v>305216414</v>
      </c>
      <c r="G1129" s="2">
        <v>26062.25</v>
      </c>
      <c r="H1129" s="2">
        <f t="shared" si="121"/>
        <v>25318.067499999997</v>
      </c>
      <c r="I1129" s="2">
        <f t="shared" si="115"/>
        <v>25035.789000000012</v>
      </c>
      <c r="J1129" s="2">
        <f t="shared" si="120"/>
        <v>24064.429249999997</v>
      </c>
      <c r="K1129" s="2">
        <f t="shared" si="118"/>
        <v>122.29999999999927</v>
      </c>
      <c r="L1129" s="7">
        <f t="shared" si="116"/>
        <v>4.8921956878274844E-3</v>
      </c>
      <c r="M1129" s="9"/>
      <c r="N1129" s="2">
        <f t="shared" si="119"/>
        <v>26216.05</v>
      </c>
      <c r="O1129" s="2">
        <f t="shared" si="117"/>
        <v>-4.2925993809135976E-2</v>
      </c>
      <c r="P1129" s="2"/>
    </row>
    <row r="1130" spans="1:16" x14ac:dyDescent="0.3">
      <c r="A1130" s="3">
        <v>45860</v>
      </c>
      <c r="B1130" s="2">
        <v>25166.65</v>
      </c>
      <c r="C1130" s="2">
        <v>25182</v>
      </c>
      <c r="D1130" s="2">
        <v>25035.55</v>
      </c>
      <c r="E1130" s="2">
        <v>25060.9</v>
      </c>
      <c r="F1130" s="2">
        <v>483725120</v>
      </c>
      <c r="G1130" s="2">
        <v>31248.06</v>
      </c>
      <c r="H1130" s="2">
        <f t="shared" si="121"/>
        <v>25324.0075</v>
      </c>
      <c r="I1130" s="2">
        <f t="shared" si="115"/>
        <v>25039.109000000008</v>
      </c>
      <c r="J1130" s="2">
        <f t="shared" si="120"/>
        <v>24060.8285</v>
      </c>
      <c r="K1130" s="2">
        <f t="shared" si="118"/>
        <v>-29.799999999999272</v>
      </c>
      <c r="L1130" s="7">
        <f t="shared" si="116"/>
        <v>-1.1841067444415237E-3</v>
      </c>
      <c r="M1130" s="9"/>
      <c r="N1130" s="2">
        <f t="shared" si="119"/>
        <v>26216.05</v>
      </c>
      <c r="O1130" s="2">
        <f t="shared" si="117"/>
        <v>-4.4062702047028335E-2</v>
      </c>
      <c r="P1130" s="2"/>
    </row>
    <row r="1131" spans="1:16" x14ac:dyDescent="0.3">
      <c r="A1131" s="3">
        <v>45861</v>
      </c>
      <c r="B1131" s="2">
        <v>25139.35</v>
      </c>
      <c r="C1131" s="2">
        <v>25233.5</v>
      </c>
      <c r="D1131" s="2">
        <v>25085.5</v>
      </c>
      <c r="E1131" s="2">
        <v>25219.9</v>
      </c>
      <c r="F1131" s="2">
        <v>271539651</v>
      </c>
      <c r="G1131" s="2">
        <v>23042.49</v>
      </c>
      <c r="H1131" s="2">
        <f t="shared" si="121"/>
        <v>25324.834999999999</v>
      </c>
      <c r="I1131" s="2">
        <f t="shared" si="115"/>
        <v>25048.760000000006</v>
      </c>
      <c r="J1131" s="2">
        <f t="shared" si="120"/>
        <v>24057.148499999999</v>
      </c>
      <c r="K1131" s="2">
        <f t="shared" si="118"/>
        <v>159</v>
      </c>
      <c r="L1131" s="7">
        <f t="shared" si="116"/>
        <v>6.3247458665399072E-3</v>
      </c>
      <c r="M1131" s="9"/>
      <c r="N1131" s="2">
        <f t="shared" si="119"/>
        <v>26216.05</v>
      </c>
      <c r="O1131" s="2">
        <f t="shared" si="117"/>
        <v>-3.7997715140152599E-2</v>
      </c>
      <c r="P1131" s="2"/>
    </row>
    <row r="1132" spans="1:16" x14ac:dyDescent="0.3">
      <c r="A1132" s="3">
        <v>45862</v>
      </c>
      <c r="B1132" s="2">
        <v>25243.3</v>
      </c>
      <c r="C1132" s="2">
        <v>25246.25</v>
      </c>
      <c r="D1132" s="2">
        <v>25018.7</v>
      </c>
      <c r="E1132" s="2">
        <v>25062.1</v>
      </c>
      <c r="F1132" s="2">
        <v>338728860</v>
      </c>
      <c r="G1132" s="2">
        <v>27433.34</v>
      </c>
      <c r="H1132" s="2">
        <f t="shared" si="121"/>
        <v>25323.592500000002</v>
      </c>
      <c r="I1132" s="2">
        <f t="shared" si="115"/>
        <v>25059.820000000003</v>
      </c>
      <c r="J1132" s="2">
        <f t="shared" si="120"/>
        <v>24056.997500000005</v>
      </c>
      <c r="K1132" s="2">
        <f t="shared" si="118"/>
        <v>-157.80000000000291</v>
      </c>
      <c r="L1132" s="7">
        <f t="shared" si="116"/>
        <v>-6.251163675113908E-3</v>
      </c>
      <c r="M1132" s="9"/>
      <c r="N1132" s="2">
        <f t="shared" si="119"/>
        <v>26216.05</v>
      </c>
      <c r="O1132" s="2">
        <f t="shared" si="117"/>
        <v>-4.4016928560938862E-2</v>
      </c>
      <c r="P1132" s="2"/>
    </row>
    <row r="1133" spans="1:16" x14ac:dyDescent="0.3">
      <c r="A1133" s="3">
        <v>45863</v>
      </c>
      <c r="B1133" s="2">
        <v>25010.35</v>
      </c>
      <c r="C1133" s="2">
        <v>25010.35</v>
      </c>
      <c r="D1133" s="2">
        <v>24806.35</v>
      </c>
      <c r="E1133" s="2">
        <v>24837</v>
      </c>
      <c r="F1133" s="2">
        <v>278136104</v>
      </c>
      <c r="G1133" s="2">
        <v>25273.64</v>
      </c>
      <c r="H1133" s="2">
        <f t="shared" si="121"/>
        <v>25299.247500000001</v>
      </c>
      <c r="I1133" s="2">
        <f t="shared" si="115"/>
        <v>25059.82</v>
      </c>
      <c r="J1133" s="2">
        <f t="shared" si="120"/>
        <v>24057.235000000001</v>
      </c>
      <c r="K1133" s="2">
        <f t="shared" si="118"/>
        <v>-225.09999999999854</v>
      </c>
      <c r="L1133" s="7">
        <f t="shared" si="116"/>
        <v>-9.000273886610885E-3</v>
      </c>
      <c r="M1133" s="9"/>
      <c r="N1133" s="2">
        <f t="shared" si="119"/>
        <v>26216.05</v>
      </c>
      <c r="O1133" s="2">
        <f t="shared" si="117"/>
        <v>-5.2603271659918183E-2</v>
      </c>
      <c r="P1133" s="2"/>
    </row>
    <row r="1134" spans="1:16" x14ac:dyDescent="0.3">
      <c r="A1134" s="3">
        <v>45866</v>
      </c>
      <c r="B1134" s="2">
        <v>24782.45</v>
      </c>
      <c r="C1134" s="2">
        <v>24889.200000000001</v>
      </c>
      <c r="D1134" s="2">
        <v>24646.6</v>
      </c>
      <c r="E1134" s="2">
        <v>24680.9</v>
      </c>
      <c r="F1134" s="2">
        <v>262142969</v>
      </c>
      <c r="G1134" s="2">
        <v>24976.54</v>
      </c>
      <c r="H1134" s="2">
        <f t="shared" si="121"/>
        <v>25259.207500000004</v>
      </c>
      <c r="I1134" s="2">
        <f t="shared" si="115"/>
        <v>25056.164000000004</v>
      </c>
      <c r="J1134" s="2">
        <f t="shared" si="120"/>
        <v>24057.441249999996</v>
      </c>
      <c r="K1134" s="2">
        <f t="shared" si="118"/>
        <v>-156.09999999999854</v>
      </c>
      <c r="L1134" s="7">
        <f t="shared" si="116"/>
        <v>-6.2988122643240895E-3</v>
      </c>
      <c r="M1134" s="9"/>
      <c r="N1134" s="2">
        <f t="shared" si="119"/>
        <v>26216.05</v>
      </c>
      <c r="O1134" s="2">
        <f t="shared" si="117"/>
        <v>-5.8557639308744025E-2</v>
      </c>
      <c r="P1134" s="2"/>
    </row>
    <row r="1135" spans="1:16" x14ac:dyDescent="0.3">
      <c r="A1135" s="3">
        <v>45867</v>
      </c>
      <c r="B1135" s="2">
        <v>24609.65</v>
      </c>
      <c r="C1135" s="2">
        <v>24847.15</v>
      </c>
      <c r="D1135" s="2">
        <v>24598.6</v>
      </c>
      <c r="E1135" s="2">
        <v>24821.1</v>
      </c>
      <c r="F1135" s="2">
        <v>284657235</v>
      </c>
      <c r="G1135" s="2">
        <v>25954.42</v>
      </c>
      <c r="H1135" s="2">
        <f t="shared" si="121"/>
        <v>25217.4</v>
      </c>
      <c r="I1135" s="2">
        <f t="shared" si="115"/>
        <v>25050.873000000003</v>
      </c>
      <c r="J1135" s="2">
        <f t="shared" si="120"/>
        <v>24055.78</v>
      </c>
      <c r="K1135" s="2">
        <f t="shared" si="118"/>
        <v>140.19999999999709</v>
      </c>
      <c r="L1135" s="7">
        <f t="shared" si="116"/>
        <v>5.6969522118354822E-3</v>
      </c>
      <c r="M1135" s="9"/>
      <c r="N1135" s="2">
        <f t="shared" si="119"/>
        <v>26216.05</v>
      </c>
      <c r="O1135" s="2">
        <f t="shared" si="117"/>
        <v>-5.3209770350605812E-2</v>
      </c>
      <c r="P1135" s="2"/>
    </row>
    <row r="1136" spans="1:16" x14ac:dyDescent="0.3">
      <c r="A1136" s="3">
        <v>45868</v>
      </c>
      <c r="B1136" s="2">
        <v>24890.400000000001</v>
      </c>
      <c r="C1136" s="2">
        <v>24902.3</v>
      </c>
      <c r="D1136" s="2">
        <v>24771.95</v>
      </c>
      <c r="E1136" s="2">
        <v>24855.05</v>
      </c>
      <c r="F1136" s="2">
        <v>243886726</v>
      </c>
      <c r="G1136" s="2">
        <v>23525.25</v>
      </c>
      <c r="H1136" s="2">
        <f t="shared" si="121"/>
        <v>25181.365000000002</v>
      </c>
      <c r="I1136" s="2">
        <f t="shared" si="115"/>
        <v>25053.617000000002</v>
      </c>
      <c r="J1136" s="2">
        <f t="shared" si="120"/>
        <v>24054.975750000001</v>
      </c>
      <c r="K1136" s="2">
        <f t="shared" si="118"/>
        <v>33.950000000000728</v>
      </c>
      <c r="L1136" s="7">
        <f t="shared" si="116"/>
        <v>1.3639796869476073E-3</v>
      </c>
      <c r="M1136" s="9"/>
      <c r="N1136" s="2">
        <f t="shared" si="119"/>
        <v>26216.05</v>
      </c>
      <c r="O1136" s="2">
        <f t="shared" si="117"/>
        <v>-5.1914762139986803E-2</v>
      </c>
      <c r="P1136" s="2"/>
    </row>
    <row r="1137" spans="1:16" x14ac:dyDescent="0.3">
      <c r="A1137" s="3">
        <v>45869</v>
      </c>
      <c r="B1137" s="2">
        <v>24642.25</v>
      </c>
      <c r="C1137" s="2">
        <v>24956.5</v>
      </c>
      <c r="D1137" s="2">
        <v>24635</v>
      </c>
      <c r="E1137" s="2">
        <v>24768.35</v>
      </c>
      <c r="F1137" s="2">
        <v>346303628</v>
      </c>
      <c r="G1137" s="2">
        <v>30477.71</v>
      </c>
      <c r="H1137" s="2">
        <f t="shared" si="121"/>
        <v>25151.447500000002</v>
      </c>
      <c r="I1137" s="2">
        <f t="shared" si="115"/>
        <v>25054.449000000004</v>
      </c>
      <c r="J1137" s="2">
        <f t="shared" si="120"/>
        <v>24054.258750000001</v>
      </c>
      <c r="K1137" s="2">
        <f t="shared" si="118"/>
        <v>-86.700000000000728</v>
      </c>
      <c r="L1137" s="7">
        <f t="shared" si="116"/>
        <v>-3.5183475534904776E-3</v>
      </c>
      <c r="M1137" s="9"/>
      <c r="N1137" s="2">
        <f t="shared" si="119"/>
        <v>26216.05</v>
      </c>
      <c r="O1137" s="2">
        <f t="shared" si="117"/>
        <v>-5.5221896509962454E-2</v>
      </c>
      <c r="P1137" s="2"/>
    </row>
    <row r="1138" spans="1:16" x14ac:dyDescent="0.3">
      <c r="A1138" s="3">
        <v>45870</v>
      </c>
      <c r="B1138" s="2">
        <v>24734.9</v>
      </c>
      <c r="C1138" s="2">
        <v>24784.15</v>
      </c>
      <c r="D1138" s="2">
        <v>24535.05</v>
      </c>
      <c r="E1138" s="2">
        <v>24565.35</v>
      </c>
      <c r="F1138" s="2">
        <v>263357194</v>
      </c>
      <c r="G1138" s="2">
        <v>24972.45</v>
      </c>
      <c r="H1138" s="2">
        <f t="shared" si="121"/>
        <v>25119.599999999999</v>
      </c>
      <c r="I1138" s="2">
        <f t="shared" si="115"/>
        <v>25057.622000000007</v>
      </c>
      <c r="J1138" s="2">
        <f t="shared" si="120"/>
        <v>24053.27925</v>
      </c>
      <c r="K1138" s="2">
        <f t="shared" si="118"/>
        <v>-203</v>
      </c>
      <c r="L1138" s="7">
        <f t="shared" si="116"/>
        <v>-8.2070273176766424E-3</v>
      </c>
      <c r="M1138" s="9"/>
      <c r="N1138" s="2">
        <f t="shared" si="119"/>
        <v>26216.05</v>
      </c>
      <c r="O1138" s="2">
        <f t="shared" si="117"/>
        <v>-6.2965244573457868E-2</v>
      </c>
      <c r="P1138" s="2"/>
    </row>
    <row r="1139" spans="1:16" x14ac:dyDescent="0.3">
      <c r="A1139" s="3">
        <v>45873</v>
      </c>
      <c r="B1139" s="2">
        <v>24596.05</v>
      </c>
      <c r="C1139" s="2">
        <v>24736.25</v>
      </c>
      <c r="D1139" s="2">
        <v>24554</v>
      </c>
      <c r="E1139" s="2">
        <v>24722.75</v>
      </c>
      <c r="F1139" s="2">
        <v>259329477</v>
      </c>
      <c r="G1139" s="2">
        <v>20372.68</v>
      </c>
      <c r="H1139" s="2">
        <f t="shared" si="121"/>
        <v>25074.817499999997</v>
      </c>
      <c r="I1139" s="2">
        <f t="shared" si="115"/>
        <v>25051.866000000009</v>
      </c>
      <c r="J1139" s="2">
        <f t="shared" si="120"/>
        <v>24050.466249999994</v>
      </c>
      <c r="K1139" s="2">
        <f t="shared" si="118"/>
        <v>157.40000000000146</v>
      </c>
      <c r="L1139" s="7">
        <f t="shared" si="116"/>
        <v>6.3994015299205145E-3</v>
      </c>
      <c r="M1139" s="9"/>
      <c r="N1139" s="2">
        <f t="shared" si="119"/>
        <v>26216.05</v>
      </c>
      <c r="O1139" s="2">
        <f t="shared" si="117"/>
        <v>-5.6961288981368208E-2</v>
      </c>
      <c r="P1139" s="2"/>
    </row>
    <row r="1140" spans="1:16" x14ac:dyDescent="0.3">
      <c r="A1140" s="3">
        <v>45874</v>
      </c>
      <c r="B1140" s="2">
        <v>24720.25</v>
      </c>
      <c r="C1140" s="2">
        <v>24733.1</v>
      </c>
      <c r="D1140" s="2">
        <v>24590.3</v>
      </c>
      <c r="E1140" s="2">
        <v>24649.55</v>
      </c>
      <c r="F1140" s="2">
        <v>251849778</v>
      </c>
      <c r="G1140" s="2">
        <v>23815.360000000001</v>
      </c>
      <c r="H1140" s="2">
        <f t="shared" si="121"/>
        <v>25037.89</v>
      </c>
      <c r="I1140" s="2">
        <f t="shared" si="115"/>
        <v>25046.298000000013</v>
      </c>
      <c r="J1140" s="2">
        <f t="shared" si="120"/>
        <v>24048.793249999999</v>
      </c>
      <c r="K1140" s="2">
        <f t="shared" si="118"/>
        <v>-73.200000000000728</v>
      </c>
      <c r="L1140" s="7">
        <f t="shared" si="116"/>
        <v>-2.9611351017890487E-3</v>
      </c>
      <c r="M1140" s="9"/>
      <c r="N1140" s="2">
        <f t="shared" si="119"/>
        <v>26216.05</v>
      </c>
      <c r="O1140" s="2">
        <f t="shared" si="117"/>
        <v>-5.975347163283562E-2</v>
      </c>
      <c r="P1140" s="2"/>
    </row>
    <row r="1141" spans="1:16" x14ac:dyDescent="0.3">
      <c r="A1141" s="3">
        <v>45875</v>
      </c>
      <c r="B1141" s="2">
        <v>24641.35</v>
      </c>
      <c r="C1141" s="2">
        <v>24671.4</v>
      </c>
      <c r="D1141" s="2">
        <v>24539.200000000001</v>
      </c>
      <c r="E1141" s="2">
        <v>24574.2</v>
      </c>
      <c r="F1141" s="2">
        <v>225091071</v>
      </c>
      <c r="G1141" s="2">
        <v>20559.22</v>
      </c>
      <c r="H1141" s="2">
        <f t="shared" si="121"/>
        <v>24994.242499999997</v>
      </c>
      <c r="I1141" s="2">
        <f t="shared" ref="I1141:I1204" si="122">AVERAGE(E1091:E1140)</f>
        <v>25042.765000000014</v>
      </c>
      <c r="J1141" s="2">
        <f t="shared" si="120"/>
        <v>24047.184499999992</v>
      </c>
      <c r="K1141" s="2">
        <f t="shared" si="118"/>
        <v>-75.349999999998545</v>
      </c>
      <c r="L1141" s="7">
        <f t="shared" si="116"/>
        <v>-3.0578681768652508E-3</v>
      </c>
      <c r="M1141" s="9"/>
      <c r="N1141" s="2">
        <f t="shared" si="119"/>
        <v>26216.05</v>
      </c>
      <c r="O1141" s="2">
        <f t="shared" si="117"/>
        <v>-6.2627665113546782E-2</v>
      </c>
      <c r="P1141" s="2"/>
    </row>
    <row r="1142" spans="1:16" x14ac:dyDescent="0.3">
      <c r="A1142" s="3">
        <v>45876</v>
      </c>
      <c r="B1142" s="2">
        <v>24464.2</v>
      </c>
      <c r="C1142" s="2">
        <v>24634.2</v>
      </c>
      <c r="D1142" s="2">
        <v>24344.15</v>
      </c>
      <c r="E1142" s="2">
        <v>24596.15</v>
      </c>
      <c r="F1142" s="2">
        <v>616739190</v>
      </c>
      <c r="G1142" s="2">
        <v>35574.589999999997</v>
      </c>
      <c r="H1142" s="2">
        <f t="shared" si="121"/>
        <v>24949.147499999999</v>
      </c>
      <c r="I1142" s="2">
        <f t="shared" si="122"/>
        <v>25039.200000000008</v>
      </c>
      <c r="J1142" s="2">
        <f t="shared" si="120"/>
        <v>24046.306249999994</v>
      </c>
      <c r="K1142" s="2">
        <f t="shared" si="118"/>
        <v>21.950000000000728</v>
      </c>
      <c r="L1142" s="7">
        <f t="shared" si="116"/>
        <v>8.9722942094982571E-4</v>
      </c>
      <c r="M1142" s="9"/>
      <c r="N1142" s="2">
        <f t="shared" si="119"/>
        <v>26216.05</v>
      </c>
      <c r="O1142" s="2">
        <f t="shared" si="117"/>
        <v>-6.1790391763823949E-2</v>
      </c>
      <c r="P1142" s="2"/>
    </row>
    <row r="1143" spans="1:16" x14ac:dyDescent="0.3">
      <c r="A1143" s="3">
        <v>45877</v>
      </c>
      <c r="B1143" s="2">
        <v>24544.25</v>
      </c>
      <c r="C1143" s="2">
        <v>24585.5</v>
      </c>
      <c r="D1143" s="2">
        <v>24337.5</v>
      </c>
      <c r="E1143" s="2">
        <v>24363.3</v>
      </c>
      <c r="F1143" s="2">
        <v>312630157</v>
      </c>
      <c r="G1143" s="2">
        <v>38135.74</v>
      </c>
      <c r="H1143" s="2">
        <f t="shared" si="121"/>
        <v>24911.192499999997</v>
      </c>
      <c r="I1143" s="2">
        <f t="shared" si="122"/>
        <v>25034.451000000012</v>
      </c>
      <c r="J1143" s="2">
        <f t="shared" si="120"/>
        <v>24045.016749999995</v>
      </c>
      <c r="K1143" s="2">
        <f t="shared" si="118"/>
        <v>-232.85000000000218</v>
      </c>
      <c r="L1143" s="7">
        <f t="shared" si="116"/>
        <v>-9.4869470446235747E-3</v>
      </c>
      <c r="M1143" s="9"/>
      <c r="N1143" s="2">
        <f t="shared" si="119"/>
        <v>26216.05</v>
      </c>
      <c r="O1143" s="2">
        <f t="shared" si="117"/>
        <v>-7.0672355293799005E-2</v>
      </c>
      <c r="P1143" s="2"/>
    </row>
    <row r="1144" spans="1:16" x14ac:dyDescent="0.3">
      <c r="A1144" s="3">
        <v>45880</v>
      </c>
      <c r="B1144" s="2">
        <v>24371.5</v>
      </c>
      <c r="C1144" s="2">
        <v>24600.85</v>
      </c>
      <c r="D1144" s="2">
        <v>24347.45</v>
      </c>
      <c r="E1144" s="2">
        <v>24585.05</v>
      </c>
      <c r="F1144" s="2">
        <v>241145497</v>
      </c>
      <c r="G1144" s="2">
        <v>21081.61</v>
      </c>
      <c r="H1144" s="2">
        <f t="shared" si="121"/>
        <v>24871.864999999998</v>
      </c>
      <c r="I1144" s="2">
        <f t="shared" si="122"/>
        <v>25026.703000000012</v>
      </c>
      <c r="J1144" s="2">
        <f t="shared" si="120"/>
        <v>24042.927749999999</v>
      </c>
      <c r="K1144" s="2">
        <f t="shared" si="118"/>
        <v>221.75</v>
      </c>
      <c r="L1144" s="7">
        <f t="shared" si="116"/>
        <v>9.0987423835217369E-3</v>
      </c>
      <c r="M1144" s="9"/>
      <c r="N1144" s="2">
        <f t="shared" si="119"/>
        <v>26216.05</v>
      </c>
      <c r="O1144" s="2">
        <f t="shared" si="117"/>
        <v>-6.221379651015313E-2</v>
      </c>
      <c r="P1144" s="2"/>
    </row>
    <row r="1145" spans="1:16" x14ac:dyDescent="0.3">
      <c r="A1145" s="3">
        <v>45881</v>
      </c>
      <c r="B1145" s="2">
        <v>24563.35</v>
      </c>
      <c r="C1145" s="2">
        <v>24702.6</v>
      </c>
      <c r="D1145" s="2">
        <v>24465.65</v>
      </c>
      <c r="E1145" s="2">
        <v>24487.4</v>
      </c>
      <c r="F1145" s="2">
        <v>237002462</v>
      </c>
      <c r="G1145" s="2">
        <v>22258.29</v>
      </c>
      <c r="H1145" s="2">
        <f t="shared" si="121"/>
        <v>24847.002499999995</v>
      </c>
      <c r="I1145" s="2">
        <f t="shared" si="122"/>
        <v>25024.072000000007</v>
      </c>
      <c r="J1145" s="2">
        <f t="shared" si="120"/>
        <v>24043.492499999997</v>
      </c>
      <c r="K1145" s="2">
        <f t="shared" si="118"/>
        <v>-97.649999999997817</v>
      </c>
      <c r="L1145" s="7">
        <f t="shared" si="116"/>
        <v>-3.9754349467803788E-3</v>
      </c>
      <c r="M1145" s="9"/>
      <c r="N1145" s="2">
        <f t="shared" si="119"/>
        <v>26216.05</v>
      </c>
      <c r="O1145" s="2">
        <f t="shared" si="117"/>
        <v>-6.5938613940696555E-2</v>
      </c>
      <c r="P1145" s="2"/>
    </row>
    <row r="1146" spans="1:16" x14ac:dyDescent="0.3">
      <c r="A1146" s="3">
        <v>45882</v>
      </c>
      <c r="B1146" s="2">
        <v>24586.2</v>
      </c>
      <c r="C1146" s="2">
        <v>24664.55</v>
      </c>
      <c r="D1146" s="2">
        <v>24535.25</v>
      </c>
      <c r="E1146" s="2">
        <v>24619.35</v>
      </c>
      <c r="F1146" s="2">
        <v>236006791</v>
      </c>
      <c r="G1146" s="2">
        <v>22843.14</v>
      </c>
      <c r="H1146" s="2">
        <f t="shared" si="121"/>
        <v>24811.582499999997</v>
      </c>
      <c r="I1146" s="2">
        <f t="shared" si="122"/>
        <v>25022.970000000005</v>
      </c>
      <c r="J1146" s="2">
        <f t="shared" si="120"/>
        <v>24043.752</v>
      </c>
      <c r="K1146" s="2">
        <f t="shared" si="118"/>
        <v>131.94999999999709</v>
      </c>
      <c r="L1146" s="7">
        <f t="shared" si="116"/>
        <v>5.3668317999527003E-3</v>
      </c>
      <c r="M1146" s="9"/>
      <c r="N1146" s="2">
        <f t="shared" si="119"/>
        <v>26216.05</v>
      </c>
      <c r="O1146" s="2">
        <f t="shared" si="117"/>
        <v>-6.0905437699424581E-2</v>
      </c>
      <c r="P1146" s="2"/>
    </row>
    <row r="1147" spans="1:16" x14ac:dyDescent="0.3">
      <c r="A1147" s="3">
        <v>45883</v>
      </c>
      <c r="B1147" s="2">
        <v>24607.25</v>
      </c>
      <c r="C1147" s="2">
        <v>24673.65</v>
      </c>
      <c r="D1147" s="2">
        <v>24596.9</v>
      </c>
      <c r="E1147" s="2">
        <v>24631.3</v>
      </c>
      <c r="F1147" s="2">
        <v>270162203</v>
      </c>
      <c r="G1147" s="2">
        <v>22375.439999999999</v>
      </c>
      <c r="H1147" s="2">
        <f t="shared" si="121"/>
        <v>24781.947499999998</v>
      </c>
      <c r="I1147" s="2">
        <f t="shared" si="122"/>
        <v>25022.953000000001</v>
      </c>
      <c r="J1147" s="2">
        <f t="shared" si="120"/>
        <v>24044.851749999998</v>
      </c>
      <c r="K1147" s="2">
        <f t="shared" si="118"/>
        <v>11.950000000000728</v>
      </c>
      <c r="L1147" s="7">
        <f t="shared" si="116"/>
        <v>4.8562923528637812E-4</v>
      </c>
      <c r="M1147" s="9"/>
      <c r="N1147" s="2">
        <f t="shared" si="119"/>
        <v>26216.05</v>
      </c>
      <c r="O1147" s="2">
        <f t="shared" si="117"/>
        <v>-6.0449610067115356E-2</v>
      </c>
      <c r="P1147" s="2"/>
    </row>
    <row r="1148" spans="1:16" x14ac:dyDescent="0.3">
      <c r="A1148" s="3">
        <v>45887</v>
      </c>
      <c r="B1148" s="2">
        <v>24938.2</v>
      </c>
      <c r="C1148" s="2">
        <v>25022</v>
      </c>
      <c r="D1148" s="2">
        <v>24852.85</v>
      </c>
      <c r="E1148" s="2">
        <v>24876.95</v>
      </c>
      <c r="F1148" s="2">
        <v>363071305</v>
      </c>
      <c r="G1148" s="2">
        <v>37637.67</v>
      </c>
      <c r="H1148" s="2">
        <f t="shared" si="121"/>
        <v>24757.94</v>
      </c>
      <c r="I1148" s="2">
        <f t="shared" si="122"/>
        <v>25020.561000000002</v>
      </c>
      <c r="J1148" s="2">
        <f t="shared" si="120"/>
        <v>24047.104250000004</v>
      </c>
      <c r="K1148" s="2">
        <f t="shared" si="118"/>
        <v>245.65000000000146</v>
      </c>
      <c r="L1148" s="7">
        <f t="shared" si="116"/>
        <v>9.8503500653616318E-3</v>
      </c>
      <c r="M1148" s="9"/>
      <c r="N1148" s="2">
        <f t="shared" si="119"/>
        <v>26216.05</v>
      </c>
      <c r="O1148" s="2">
        <f t="shared" si="117"/>
        <v>-5.1079396018851031E-2</v>
      </c>
      <c r="P1148" s="2"/>
    </row>
    <row r="1149" spans="1:16" x14ac:dyDescent="0.3">
      <c r="A1149" s="3">
        <v>45888</v>
      </c>
      <c r="B1149" s="2">
        <v>24891.35</v>
      </c>
      <c r="C1149" s="2">
        <v>25012.65</v>
      </c>
      <c r="D1149" s="2">
        <v>24873.95</v>
      </c>
      <c r="E1149" s="2">
        <v>24980.65</v>
      </c>
      <c r="F1149" s="2">
        <v>252340828</v>
      </c>
      <c r="G1149" s="2">
        <v>24781.97</v>
      </c>
      <c r="H1149" s="2">
        <f t="shared" si="121"/>
        <v>24753.3675</v>
      </c>
      <c r="I1149" s="2">
        <f t="shared" si="122"/>
        <v>25018.039000000001</v>
      </c>
      <c r="J1149" s="2">
        <f t="shared" si="120"/>
        <v>24049.793250000006</v>
      </c>
      <c r="K1149" s="2">
        <f t="shared" si="118"/>
        <v>103.70000000000073</v>
      </c>
      <c r="L1149" s="7">
        <f t="shared" si="116"/>
        <v>4.1661058962250237E-3</v>
      </c>
      <c r="M1149" s="9"/>
      <c r="N1149" s="2">
        <f t="shared" si="119"/>
        <v>26216.05</v>
      </c>
      <c r="O1149" s="2">
        <f t="shared" si="117"/>
        <v>-4.712380392927229E-2</v>
      </c>
      <c r="P1149" s="2"/>
    </row>
    <row r="1150" spans="1:16" x14ac:dyDescent="0.3">
      <c r="A1150" s="3">
        <v>45889</v>
      </c>
      <c r="B1150" s="2">
        <v>24965.8</v>
      </c>
      <c r="C1150" s="2">
        <v>25088.7</v>
      </c>
      <c r="D1150" s="2">
        <v>24929.7</v>
      </c>
      <c r="E1150" s="2">
        <v>25050.55</v>
      </c>
      <c r="F1150" s="2">
        <v>287054119</v>
      </c>
      <c r="G1150" s="2">
        <v>25330.45</v>
      </c>
      <c r="H1150" s="2">
        <f t="shared" si="121"/>
        <v>24747.865000000002</v>
      </c>
      <c r="I1150" s="2">
        <f t="shared" si="122"/>
        <v>25015.588</v>
      </c>
      <c r="J1150" s="2">
        <f t="shared" si="120"/>
        <v>24052.362250000006</v>
      </c>
      <c r="K1150" s="2">
        <f t="shared" si="118"/>
        <v>69.899999999997817</v>
      </c>
      <c r="L1150" s="7">
        <f t="shared" si="116"/>
        <v>2.7998301676692844E-3</v>
      </c>
      <c r="M1150" s="9"/>
      <c r="N1150" s="2">
        <f t="shared" si="119"/>
        <v>26216.05</v>
      </c>
      <c r="O1150" s="2">
        <f t="shared" si="117"/>
        <v>-4.4457498364551484E-2</v>
      </c>
      <c r="P1150" s="2"/>
    </row>
    <row r="1151" spans="1:16" x14ac:dyDescent="0.3">
      <c r="A1151" s="3">
        <v>45890</v>
      </c>
      <c r="B1151" s="2">
        <v>25142</v>
      </c>
      <c r="C1151" s="2">
        <v>25153.65</v>
      </c>
      <c r="D1151" s="2">
        <v>25054.9</v>
      </c>
      <c r="E1151" s="2">
        <v>25083.75</v>
      </c>
      <c r="F1151" s="2">
        <v>226542052</v>
      </c>
      <c r="G1151" s="2">
        <v>21865.07</v>
      </c>
      <c r="H1151" s="2">
        <f t="shared" si="121"/>
        <v>24747.3475</v>
      </c>
      <c r="I1151" s="2">
        <f t="shared" si="122"/>
        <v>25014.513999999999</v>
      </c>
      <c r="J1151" s="2">
        <f t="shared" si="120"/>
        <v>24055.910750000006</v>
      </c>
      <c r="K1151" s="2">
        <f t="shared" si="118"/>
        <v>33.200000000000728</v>
      </c>
      <c r="L1151" s="7">
        <f t="shared" si="116"/>
        <v>1.3204995624851138E-3</v>
      </c>
      <c r="M1151" s="9"/>
      <c r="N1151" s="2">
        <f t="shared" si="119"/>
        <v>26216.05</v>
      </c>
      <c r="O1151" s="2">
        <f t="shared" si="117"/>
        <v>-4.3191098582738396E-2</v>
      </c>
      <c r="P1151" s="2"/>
    </row>
    <row r="1152" spans="1:16" x14ac:dyDescent="0.3">
      <c r="A1152" s="3">
        <v>45891</v>
      </c>
      <c r="B1152" s="2">
        <v>25064.15</v>
      </c>
      <c r="C1152" s="2">
        <v>25084.85</v>
      </c>
      <c r="D1152" s="2">
        <v>24859.15</v>
      </c>
      <c r="E1152" s="2">
        <v>24870.1</v>
      </c>
      <c r="F1152" s="2">
        <v>210165384</v>
      </c>
      <c r="G1152" s="2">
        <v>19655.78</v>
      </c>
      <c r="H1152" s="2">
        <f t="shared" si="121"/>
        <v>24740.54</v>
      </c>
      <c r="I1152" s="2">
        <f t="shared" si="122"/>
        <v>25013.361000000001</v>
      </c>
      <c r="J1152" s="2">
        <f t="shared" si="120"/>
        <v>24060.302750000003</v>
      </c>
      <c r="K1152" s="2">
        <f t="shared" si="118"/>
        <v>-213.65000000000146</v>
      </c>
      <c r="L1152" s="7">
        <f t="shared" si="116"/>
        <v>-8.5241270898874059E-3</v>
      </c>
      <c r="M1152" s="9"/>
      <c r="N1152" s="2">
        <f t="shared" si="119"/>
        <v>26216.05</v>
      </c>
      <c r="O1152" s="2">
        <f t="shared" si="117"/>
        <v>-5.1340686335279329E-2</v>
      </c>
      <c r="P1152" s="2"/>
    </row>
    <row r="1153" spans="1:16" x14ac:dyDescent="0.3">
      <c r="A1153" s="3">
        <v>45894</v>
      </c>
      <c r="B1153" s="2">
        <v>24949.15</v>
      </c>
      <c r="C1153" s="2">
        <v>25021.55</v>
      </c>
      <c r="D1153" s="2">
        <v>24894.35</v>
      </c>
      <c r="E1153" s="2">
        <v>24967.75</v>
      </c>
      <c r="F1153" s="2">
        <v>213032133</v>
      </c>
      <c r="G1153" s="2">
        <v>19871.25</v>
      </c>
      <c r="H1153" s="2">
        <f t="shared" si="121"/>
        <v>24730.94</v>
      </c>
      <c r="I1153" s="2">
        <f t="shared" si="122"/>
        <v>25012.999000000003</v>
      </c>
      <c r="J1153" s="2">
        <f t="shared" si="120"/>
        <v>24063.131500000003</v>
      </c>
      <c r="K1153" s="2">
        <f t="shared" si="118"/>
        <v>97.650000000001455</v>
      </c>
      <c r="L1153" s="7">
        <f t="shared" si="116"/>
        <v>3.9139609966672793E-3</v>
      </c>
      <c r="M1153" s="9"/>
      <c r="N1153" s="2">
        <f t="shared" si="119"/>
        <v>26216.05</v>
      </c>
      <c r="O1153" s="2">
        <f t="shared" si="117"/>
        <v>-4.7615868904735792E-2</v>
      </c>
      <c r="P1153" s="2"/>
    </row>
    <row r="1154" spans="1:16" x14ac:dyDescent="0.3">
      <c r="A1154" s="3">
        <v>45895</v>
      </c>
      <c r="B1154" s="2">
        <v>24899.5</v>
      </c>
      <c r="C1154" s="2">
        <v>24919.65</v>
      </c>
      <c r="D1154" s="2">
        <v>24689.599999999999</v>
      </c>
      <c r="E1154" s="2">
        <v>24712.05</v>
      </c>
      <c r="F1154" s="2">
        <v>750473927</v>
      </c>
      <c r="G1154" s="2">
        <v>47068.2</v>
      </c>
      <c r="H1154" s="2">
        <f t="shared" si="121"/>
        <v>24737.477500000001</v>
      </c>
      <c r="I1154" s="2">
        <f t="shared" si="122"/>
        <v>25017.982000000007</v>
      </c>
      <c r="J1154" s="2">
        <f t="shared" si="120"/>
        <v>24067.9935</v>
      </c>
      <c r="K1154" s="2">
        <f t="shared" si="118"/>
        <v>-255.70000000000073</v>
      </c>
      <c r="L1154" s="7">
        <f t="shared" si="116"/>
        <v>-1.0269282515713195E-2</v>
      </c>
      <c r="M1154" s="9"/>
      <c r="N1154" s="2">
        <f t="shared" si="119"/>
        <v>26216.05</v>
      </c>
      <c r="O1154" s="2">
        <f t="shared" si="117"/>
        <v>-5.7369435899000787E-2</v>
      </c>
      <c r="P1154" s="2"/>
    </row>
    <row r="1155" spans="1:16" x14ac:dyDescent="0.3">
      <c r="A1155" s="3">
        <v>45897</v>
      </c>
      <c r="B1155" s="2">
        <v>24695.8</v>
      </c>
      <c r="C1155" s="2">
        <v>24702.65</v>
      </c>
      <c r="D1155" s="2">
        <v>24481.599999999999</v>
      </c>
      <c r="E1155" s="2">
        <v>24500.9</v>
      </c>
      <c r="F1155" s="2">
        <v>326601486</v>
      </c>
      <c r="G1155" s="2">
        <v>29371.67</v>
      </c>
      <c r="H1155" s="2">
        <f t="shared" si="121"/>
        <v>24739.034999999996</v>
      </c>
      <c r="I1155" s="2">
        <f t="shared" si="122"/>
        <v>25013.293000000001</v>
      </c>
      <c r="J1155" s="2">
        <f t="shared" si="120"/>
        <v>24070.487250000002</v>
      </c>
      <c r="K1155" s="2">
        <f t="shared" si="118"/>
        <v>-211.14999999999782</v>
      </c>
      <c r="L1155" s="7">
        <f t="shared" ref="L1155:L1218" si="123">(K1155/(B1155))</f>
        <v>-8.5500368483708896E-3</v>
      </c>
      <c r="M1155" s="9"/>
      <c r="N1155" s="2">
        <f t="shared" si="119"/>
        <v>26216.05</v>
      </c>
      <c r="O1155" s="2">
        <f t="shared" ref="O1155:O1218" si="124">(E1155/N1155)-1</f>
        <v>-6.5423662222188206E-2</v>
      </c>
      <c r="P1155" s="2"/>
    </row>
    <row r="1156" spans="1:16" x14ac:dyDescent="0.3">
      <c r="A1156" s="3">
        <v>45898</v>
      </c>
      <c r="B1156" s="2">
        <v>24466.7</v>
      </c>
      <c r="C1156" s="2">
        <v>24572.45</v>
      </c>
      <c r="D1156" s="2">
        <v>24404.7</v>
      </c>
      <c r="E1156" s="2">
        <v>24426.85</v>
      </c>
      <c r="F1156" s="2">
        <v>325543583</v>
      </c>
      <c r="G1156" s="2">
        <v>26796.69</v>
      </c>
      <c r="H1156" s="2">
        <f t="shared" si="121"/>
        <v>24723.024999999998</v>
      </c>
      <c r="I1156" s="2">
        <f t="shared" si="122"/>
        <v>25006.242999999999</v>
      </c>
      <c r="J1156" s="2">
        <f t="shared" si="120"/>
        <v>24070.571499999998</v>
      </c>
      <c r="K1156" s="2">
        <f t="shared" ref="K1156:K1219" si="125">E1156-E1155</f>
        <v>-74.05000000000291</v>
      </c>
      <c r="L1156" s="7">
        <f t="shared" si="123"/>
        <v>-3.0265626341109716E-3</v>
      </c>
      <c r="M1156" s="9"/>
      <c r="N1156" s="2">
        <f t="shared" si="119"/>
        <v>26216.05</v>
      </c>
      <c r="O1156" s="2">
        <f t="shared" si="124"/>
        <v>-6.8248267759635772E-2</v>
      </c>
      <c r="P1156" s="2"/>
    </row>
    <row r="1157" spans="1:16" x14ac:dyDescent="0.3">
      <c r="A1157" s="3">
        <v>45901</v>
      </c>
      <c r="B1157" s="2">
        <v>24432.7</v>
      </c>
      <c r="C1157" s="2">
        <v>24635.599999999999</v>
      </c>
      <c r="D1157" s="2">
        <v>24432.7</v>
      </c>
      <c r="E1157" s="2">
        <v>24625.05</v>
      </c>
      <c r="F1157" s="2">
        <v>229327424</v>
      </c>
      <c r="G1157" s="2">
        <v>20704.88</v>
      </c>
      <c r="H1157" s="2">
        <f t="shared" si="121"/>
        <v>24701.614999999998</v>
      </c>
      <c r="I1157" s="2">
        <f t="shared" si="122"/>
        <v>24998.539000000004</v>
      </c>
      <c r="J1157" s="2">
        <f t="shared" si="120"/>
        <v>24071.708999999995</v>
      </c>
      <c r="K1157" s="2">
        <f t="shared" si="125"/>
        <v>198.20000000000073</v>
      </c>
      <c r="L1157" s="7">
        <f t="shared" si="123"/>
        <v>8.1120793035563288E-3</v>
      </c>
      <c r="M1157" s="9"/>
      <c r="N1157" s="2">
        <f t="shared" ref="N1157:N1220" si="126">MAX(N1156,E1157)</f>
        <v>26216.05</v>
      </c>
      <c r="O1157" s="2">
        <f t="shared" si="124"/>
        <v>-6.0688013640498806E-2</v>
      </c>
      <c r="P1157" s="2"/>
    </row>
    <row r="1158" spans="1:16" x14ac:dyDescent="0.3">
      <c r="A1158" s="3">
        <v>45902</v>
      </c>
      <c r="B1158" s="2">
        <v>24653</v>
      </c>
      <c r="C1158" s="2">
        <v>24756.1</v>
      </c>
      <c r="D1158" s="2">
        <v>24522.35</v>
      </c>
      <c r="E1158" s="2">
        <v>24579.599999999999</v>
      </c>
      <c r="F1158" s="2">
        <v>271558516</v>
      </c>
      <c r="G1158" s="2">
        <v>22051.8</v>
      </c>
      <c r="H1158" s="2">
        <f t="shared" si="121"/>
        <v>24694.449999999997</v>
      </c>
      <c r="I1158" s="2">
        <f t="shared" si="122"/>
        <v>24995.175000000003</v>
      </c>
      <c r="J1158" s="2">
        <f t="shared" si="120"/>
        <v>24074.093249999998</v>
      </c>
      <c r="K1158" s="2">
        <f t="shared" si="125"/>
        <v>-45.450000000000728</v>
      </c>
      <c r="L1158" s="7">
        <f t="shared" si="123"/>
        <v>-1.8435890155356642E-3</v>
      </c>
      <c r="M1158" s="9"/>
      <c r="N1158" s="2">
        <f t="shared" si="126"/>
        <v>26216.05</v>
      </c>
      <c r="O1158" s="2">
        <f t="shared" si="124"/>
        <v>-6.2421684426143598E-2</v>
      </c>
      <c r="P1158" s="2"/>
    </row>
    <row r="1159" spans="1:16" x14ac:dyDescent="0.3">
      <c r="A1159" s="3">
        <v>45903</v>
      </c>
      <c r="B1159" s="2">
        <v>24616.5</v>
      </c>
      <c r="C1159" s="2">
        <v>24737.05</v>
      </c>
      <c r="D1159" s="2">
        <v>24533.200000000001</v>
      </c>
      <c r="E1159" s="2">
        <v>24715.05</v>
      </c>
      <c r="F1159" s="2">
        <v>340283328</v>
      </c>
      <c r="G1159" s="2">
        <v>23533.08</v>
      </c>
      <c r="H1159" s="2">
        <f t="shared" si="121"/>
        <v>24695.162499999999</v>
      </c>
      <c r="I1159" s="2">
        <f t="shared" si="122"/>
        <v>24984.519000000008</v>
      </c>
      <c r="J1159" s="2">
        <f t="shared" si="120"/>
        <v>24076.284749999995</v>
      </c>
      <c r="K1159" s="2">
        <f t="shared" si="125"/>
        <v>135.45000000000073</v>
      </c>
      <c r="L1159" s="7">
        <f t="shared" si="123"/>
        <v>5.5024069221863677E-3</v>
      </c>
      <c r="M1159" s="9"/>
      <c r="N1159" s="2">
        <f t="shared" si="126"/>
        <v>26216.05</v>
      </c>
      <c r="O1159" s="2">
        <f t="shared" si="124"/>
        <v>-5.7255002183776771E-2</v>
      </c>
      <c r="P1159" s="2"/>
    </row>
    <row r="1160" spans="1:16" x14ac:dyDescent="0.3">
      <c r="A1160" s="3">
        <v>45904</v>
      </c>
      <c r="B1160" s="2">
        <v>24980.75</v>
      </c>
      <c r="C1160" s="2">
        <v>24980.75</v>
      </c>
      <c r="D1160" s="2">
        <v>24708.2</v>
      </c>
      <c r="E1160" s="2">
        <v>24734.3</v>
      </c>
      <c r="F1160" s="2">
        <v>314094160</v>
      </c>
      <c r="G1160" s="2">
        <v>30252.19</v>
      </c>
      <c r="H1160" s="2">
        <f t="shared" si="121"/>
        <v>24694.777499999997</v>
      </c>
      <c r="I1160" s="2">
        <f t="shared" si="122"/>
        <v>24979.382000000005</v>
      </c>
      <c r="J1160" s="2">
        <f t="shared" si="120"/>
        <v>24080.442749999991</v>
      </c>
      <c r="K1160" s="2">
        <f t="shared" si="125"/>
        <v>19.25</v>
      </c>
      <c r="L1160" s="7">
        <f t="shared" si="123"/>
        <v>7.7059335688480131E-4</v>
      </c>
      <c r="M1160" s="9"/>
      <c r="N1160" s="2">
        <f t="shared" si="126"/>
        <v>26216.05</v>
      </c>
      <c r="O1160" s="2">
        <f t="shared" si="124"/>
        <v>-5.6520719177755585E-2</v>
      </c>
      <c r="P1160" s="2"/>
    </row>
    <row r="1161" spans="1:16" x14ac:dyDescent="0.3">
      <c r="A1161" s="3">
        <v>45905</v>
      </c>
      <c r="B1161" s="2">
        <v>24818.85</v>
      </c>
      <c r="C1161" s="2">
        <v>24832.35</v>
      </c>
      <c r="D1161" s="2">
        <v>24621.599999999999</v>
      </c>
      <c r="E1161" s="2">
        <v>24741</v>
      </c>
      <c r="F1161" s="2">
        <v>210071924</v>
      </c>
      <c r="G1161" s="2">
        <v>18530.240000000002</v>
      </c>
      <c r="H1161" s="2">
        <f t="shared" si="121"/>
        <v>24699.014999999996</v>
      </c>
      <c r="I1161" s="2">
        <f t="shared" si="122"/>
        <v>24973.181000000011</v>
      </c>
      <c r="J1161" s="2">
        <f t="shared" si="120"/>
        <v>24086.318999999996</v>
      </c>
      <c r="K1161" s="2">
        <f t="shared" si="125"/>
        <v>6.7000000000007276</v>
      </c>
      <c r="L1161" s="7">
        <f t="shared" si="123"/>
        <v>2.6995610191450159E-4</v>
      </c>
      <c r="M1161" s="9"/>
      <c r="N1161" s="2">
        <f t="shared" si="126"/>
        <v>26216.05</v>
      </c>
      <c r="O1161" s="2">
        <f t="shared" si="124"/>
        <v>-5.6265150547088472E-2</v>
      </c>
      <c r="P1161" s="2"/>
    </row>
    <row r="1162" spans="1:16" x14ac:dyDescent="0.3">
      <c r="A1162" s="3">
        <v>45908</v>
      </c>
      <c r="B1162" s="2">
        <v>24802.6</v>
      </c>
      <c r="C1162" s="2">
        <v>24885.5</v>
      </c>
      <c r="D1162" s="2">
        <v>24751.55</v>
      </c>
      <c r="E1162" s="2">
        <v>24773.15</v>
      </c>
      <c r="F1162" s="2">
        <v>213228202</v>
      </c>
      <c r="G1162" s="2">
        <v>20122.88</v>
      </c>
      <c r="H1162" s="2">
        <f t="shared" si="121"/>
        <v>24707.354999999996</v>
      </c>
      <c r="I1162" s="2">
        <f t="shared" si="122"/>
        <v>24963.106000000011</v>
      </c>
      <c r="J1162" s="2">
        <f t="shared" si="120"/>
        <v>24092.360499999995</v>
      </c>
      <c r="K1162" s="2">
        <f t="shared" si="125"/>
        <v>32.150000000001455</v>
      </c>
      <c r="L1162" s="7">
        <f t="shared" si="123"/>
        <v>1.2962350721295935E-3</v>
      </c>
      <c r="M1162" s="9"/>
      <c r="N1162" s="2">
        <f t="shared" si="126"/>
        <v>26216.05</v>
      </c>
      <c r="O1162" s="2">
        <f t="shared" si="124"/>
        <v>-5.5038802565603784E-2</v>
      </c>
      <c r="P1162" s="2"/>
    </row>
    <row r="1163" spans="1:16" x14ac:dyDescent="0.3">
      <c r="A1163" s="3">
        <v>45909</v>
      </c>
      <c r="B1163" s="2">
        <v>24864.1</v>
      </c>
      <c r="C1163" s="2">
        <v>24891.8</v>
      </c>
      <c r="D1163" s="2">
        <v>24814</v>
      </c>
      <c r="E1163" s="2">
        <v>24868.6</v>
      </c>
      <c r="F1163" s="2">
        <v>226919775</v>
      </c>
      <c r="G1163" s="2">
        <v>22356.880000000001</v>
      </c>
      <c r="H1163" s="2">
        <f t="shared" si="121"/>
        <v>24716.204999999998</v>
      </c>
      <c r="I1163" s="2">
        <f t="shared" si="122"/>
        <v>24947.589000000004</v>
      </c>
      <c r="J1163" s="2">
        <f t="shared" ref="J1163:J1226" si="127">AVERAGE(E963:E1162)</f>
        <v>24098.957249999996</v>
      </c>
      <c r="K1163" s="2">
        <f t="shared" si="125"/>
        <v>95.44999999999709</v>
      </c>
      <c r="L1163" s="7">
        <f t="shared" si="123"/>
        <v>3.8388680869203828E-3</v>
      </c>
      <c r="M1163" s="9"/>
      <c r="N1163" s="2">
        <f t="shared" si="126"/>
        <v>26216.05</v>
      </c>
      <c r="O1163" s="2">
        <f t="shared" si="124"/>
        <v>-5.1397903192891392E-2</v>
      </c>
      <c r="P1163" s="2"/>
    </row>
    <row r="1164" spans="1:16" x14ac:dyDescent="0.3">
      <c r="A1164" s="3">
        <v>45910</v>
      </c>
      <c r="B1164" s="2">
        <v>24991</v>
      </c>
      <c r="C1164" s="2">
        <v>25035.7</v>
      </c>
      <c r="D1164" s="2">
        <v>24915.05</v>
      </c>
      <c r="E1164" s="2">
        <v>24973.1</v>
      </c>
      <c r="F1164" s="2">
        <v>244146466</v>
      </c>
      <c r="G1164" s="2">
        <v>22458.98</v>
      </c>
      <c r="H1164" s="2">
        <f t="shared" si="121"/>
        <v>24741.469999999994</v>
      </c>
      <c r="I1164" s="2">
        <f t="shared" si="122"/>
        <v>24932.205000000009</v>
      </c>
      <c r="J1164" s="2">
        <f t="shared" si="127"/>
        <v>24105.707749999994</v>
      </c>
      <c r="K1164" s="2">
        <f t="shared" si="125"/>
        <v>104.5</v>
      </c>
      <c r="L1164" s="7">
        <f t="shared" si="123"/>
        <v>4.1815053419230926E-3</v>
      </c>
      <c r="M1164" s="9"/>
      <c r="N1164" s="2">
        <f t="shared" si="126"/>
        <v>26216.05</v>
      </c>
      <c r="O1164" s="2">
        <f t="shared" si="124"/>
        <v>-4.7411795445919558E-2</v>
      </c>
      <c r="P1164" s="2"/>
    </row>
    <row r="1165" spans="1:16" x14ac:dyDescent="0.3">
      <c r="A1165" s="3">
        <v>45911</v>
      </c>
      <c r="B1165" s="2">
        <v>24945.5</v>
      </c>
      <c r="C1165" s="2">
        <v>25037.3</v>
      </c>
      <c r="D1165" s="2">
        <v>24940.15</v>
      </c>
      <c r="E1165" s="2">
        <v>25005.5</v>
      </c>
      <c r="F1165" s="2">
        <v>224570983</v>
      </c>
      <c r="G1165" s="2">
        <v>21316.720000000001</v>
      </c>
      <c r="H1165" s="2">
        <f t="shared" si="121"/>
        <v>24760.872499999994</v>
      </c>
      <c r="I1165" s="2">
        <f t="shared" si="122"/>
        <v>24921.326000000012</v>
      </c>
      <c r="J1165" s="2">
        <f t="shared" si="127"/>
        <v>24113.823749999996</v>
      </c>
      <c r="K1165" s="2">
        <f t="shared" si="125"/>
        <v>32.400000000001455</v>
      </c>
      <c r="L1165" s="7">
        <f t="shared" si="123"/>
        <v>1.2988314525666535E-3</v>
      </c>
      <c r="M1165" s="9"/>
      <c r="N1165" s="2">
        <f t="shared" si="126"/>
        <v>26216.05</v>
      </c>
      <c r="O1165" s="2">
        <f t="shared" si="124"/>
        <v>-4.6175911321499563E-2</v>
      </c>
      <c r="P1165" s="2"/>
    </row>
    <row r="1166" spans="1:16" x14ac:dyDescent="0.3">
      <c r="A1166" s="3">
        <v>45912</v>
      </c>
      <c r="B1166" s="2">
        <v>25074.45</v>
      </c>
      <c r="C1166" s="2">
        <v>25139.45</v>
      </c>
      <c r="D1166" s="2">
        <v>25038.05</v>
      </c>
      <c r="E1166" s="2">
        <v>25114</v>
      </c>
      <c r="F1166" s="2">
        <v>225739766</v>
      </c>
      <c r="G1166" s="2">
        <v>21335.67</v>
      </c>
      <c r="H1166" s="2">
        <f t="shared" si="121"/>
        <v>24786.777499999993</v>
      </c>
      <c r="I1166" s="2">
        <f t="shared" si="122"/>
        <v>24910.600000000009</v>
      </c>
      <c r="J1166" s="2">
        <f t="shared" si="127"/>
        <v>24119.314999999995</v>
      </c>
      <c r="K1166" s="2">
        <f t="shared" si="125"/>
        <v>108.5</v>
      </c>
      <c r="L1166" s="7">
        <f t="shared" si="123"/>
        <v>4.3271138549399882E-3</v>
      </c>
      <c r="M1166" s="9"/>
      <c r="N1166" s="2">
        <f t="shared" si="126"/>
        <v>26216.05</v>
      </c>
      <c r="O1166" s="2">
        <f t="shared" si="124"/>
        <v>-4.2037225287562374E-2</v>
      </c>
      <c r="P1166" s="2"/>
    </row>
    <row r="1167" spans="1:16" x14ac:dyDescent="0.3">
      <c r="A1167" s="3">
        <v>45915</v>
      </c>
      <c r="B1167" s="2">
        <v>25118.9</v>
      </c>
      <c r="C1167" s="2">
        <v>25138.45</v>
      </c>
      <c r="D1167" s="2">
        <v>25048.75</v>
      </c>
      <c r="E1167" s="2">
        <v>25069.200000000001</v>
      </c>
      <c r="F1167" s="2">
        <v>185375759</v>
      </c>
      <c r="G1167" s="2">
        <v>17115.599999999999</v>
      </c>
      <c r="H1167" s="2">
        <f t="shared" si="121"/>
        <v>24811.509999999995</v>
      </c>
      <c r="I1167" s="2">
        <f t="shared" si="122"/>
        <v>24903.812000000005</v>
      </c>
      <c r="J1167" s="2">
        <f t="shared" si="127"/>
        <v>24123.775499999992</v>
      </c>
      <c r="K1167" s="2">
        <f t="shared" si="125"/>
        <v>-44.799999999999272</v>
      </c>
      <c r="L1167" s="7">
        <f t="shared" si="123"/>
        <v>-1.7835175903403123E-3</v>
      </c>
      <c r="M1167" s="9"/>
      <c r="N1167" s="2">
        <f t="shared" si="126"/>
        <v>26216.05</v>
      </c>
      <c r="O1167" s="2">
        <f t="shared" si="124"/>
        <v>-4.3746102101575146E-2</v>
      </c>
      <c r="P1167" s="2"/>
    </row>
    <row r="1168" spans="1:16" x14ac:dyDescent="0.3">
      <c r="A1168" s="3">
        <v>45916</v>
      </c>
      <c r="B1168" s="2">
        <v>25073.599999999999</v>
      </c>
      <c r="C1168" s="2">
        <v>25261.4</v>
      </c>
      <c r="D1168" s="2">
        <v>25070.45</v>
      </c>
      <c r="E1168" s="2">
        <v>25239.1</v>
      </c>
      <c r="F1168" s="2">
        <v>240122320</v>
      </c>
      <c r="G1168" s="2">
        <v>22642.86</v>
      </c>
      <c r="H1168" s="2">
        <f t="shared" si="121"/>
        <v>24833.404999999995</v>
      </c>
      <c r="I1168" s="2">
        <f t="shared" si="122"/>
        <v>24897.090000000004</v>
      </c>
      <c r="J1168" s="2">
        <f t="shared" si="127"/>
        <v>24128.148999999994</v>
      </c>
      <c r="K1168" s="2">
        <f t="shared" si="125"/>
        <v>169.89999999999782</v>
      </c>
      <c r="L1168" s="7">
        <f t="shared" si="123"/>
        <v>6.776051304958116E-3</v>
      </c>
      <c r="M1168" s="9"/>
      <c r="N1168" s="2">
        <f t="shared" si="126"/>
        <v>26216.05</v>
      </c>
      <c r="O1168" s="2">
        <f t="shared" si="124"/>
        <v>-3.7265339362718697E-2</v>
      </c>
      <c r="P1168" s="2"/>
    </row>
    <row r="1169" spans="1:16" x14ac:dyDescent="0.3">
      <c r="A1169" s="3">
        <v>45917</v>
      </c>
      <c r="B1169" s="2">
        <v>25276.6</v>
      </c>
      <c r="C1169" s="2">
        <v>25346.5</v>
      </c>
      <c r="D1169" s="2">
        <v>25275.35</v>
      </c>
      <c r="E1169" s="2">
        <v>25330.25</v>
      </c>
      <c r="F1169" s="2">
        <v>268936695</v>
      </c>
      <c r="G1169" s="2">
        <v>23484.12</v>
      </c>
      <c r="H1169" s="2">
        <f t="shared" si="121"/>
        <v>24851.512499999997</v>
      </c>
      <c r="I1169" s="2">
        <f t="shared" si="122"/>
        <v>24892.652000000006</v>
      </c>
      <c r="J1169" s="2">
        <f t="shared" si="127"/>
        <v>24132.96999999999</v>
      </c>
      <c r="K1169" s="2">
        <f t="shared" si="125"/>
        <v>91.150000000001455</v>
      </c>
      <c r="L1169" s="7">
        <f t="shared" si="123"/>
        <v>3.6061020865148581E-3</v>
      </c>
      <c r="M1169" s="9"/>
      <c r="N1169" s="2">
        <f t="shared" si="126"/>
        <v>26216.05</v>
      </c>
      <c r="O1169" s="2">
        <f t="shared" si="124"/>
        <v>-3.3788461648493917E-2</v>
      </c>
      <c r="P1169" s="2"/>
    </row>
    <row r="1170" spans="1:16" x14ac:dyDescent="0.3">
      <c r="A1170" s="3">
        <v>45918</v>
      </c>
      <c r="B1170" s="2">
        <v>25441.05</v>
      </c>
      <c r="C1170" s="2">
        <v>25448.55</v>
      </c>
      <c r="D1170" s="2">
        <v>25329.75</v>
      </c>
      <c r="E1170" s="2">
        <v>25423.599999999999</v>
      </c>
      <c r="F1170" s="2">
        <v>272193683</v>
      </c>
      <c r="G1170" s="2">
        <v>24198.11</v>
      </c>
      <c r="H1170" s="2">
        <f t="shared" si="121"/>
        <v>24868.9925</v>
      </c>
      <c r="I1170" s="2">
        <f t="shared" si="122"/>
        <v>24890.03100000001</v>
      </c>
      <c r="J1170" s="2">
        <f t="shared" si="127"/>
        <v>24140.05049999999</v>
      </c>
      <c r="K1170" s="2">
        <f t="shared" si="125"/>
        <v>93.349999999998545</v>
      </c>
      <c r="L1170" s="7">
        <f t="shared" si="123"/>
        <v>3.6692667951990403E-3</v>
      </c>
      <c r="M1170" s="9"/>
      <c r="N1170" s="2">
        <f t="shared" si="126"/>
        <v>26216.05</v>
      </c>
      <c r="O1170" s="2">
        <f t="shared" si="124"/>
        <v>-3.0227665876438325E-2</v>
      </c>
      <c r="P1170" s="2"/>
    </row>
    <row r="1171" spans="1:16" x14ac:dyDescent="0.3">
      <c r="A1171" s="3">
        <v>45919</v>
      </c>
      <c r="B1171" s="2">
        <v>25410.2</v>
      </c>
      <c r="C1171" s="2">
        <v>25431.4</v>
      </c>
      <c r="D1171" s="2">
        <v>25286.3</v>
      </c>
      <c r="E1171" s="2">
        <v>25327.05</v>
      </c>
      <c r="F1171" s="2">
        <v>380362832</v>
      </c>
      <c r="G1171" s="2">
        <v>38805.58</v>
      </c>
      <c r="H1171" s="2">
        <f t="shared" si="121"/>
        <v>24887.644999999997</v>
      </c>
      <c r="I1171" s="2">
        <f t="shared" si="122"/>
        <v>24888.053000000011</v>
      </c>
      <c r="J1171" s="2">
        <f t="shared" si="127"/>
        <v>24146.512999999988</v>
      </c>
      <c r="K1171" s="2">
        <f t="shared" si="125"/>
        <v>-96.549999999999272</v>
      </c>
      <c r="L1171" s="7">
        <f t="shared" si="123"/>
        <v>-3.7996552565504904E-3</v>
      </c>
      <c r="M1171" s="9"/>
      <c r="N1171" s="2">
        <f t="shared" si="126"/>
        <v>26216.05</v>
      </c>
      <c r="O1171" s="2">
        <f t="shared" si="124"/>
        <v>-3.391052427806629E-2</v>
      </c>
      <c r="P1171" s="2"/>
    </row>
    <row r="1172" spans="1:16" x14ac:dyDescent="0.3">
      <c r="A1172" s="3">
        <v>45922</v>
      </c>
      <c r="B1172" s="2">
        <v>25238.1</v>
      </c>
      <c r="C1172" s="2">
        <v>25331.7</v>
      </c>
      <c r="D1172" s="2">
        <v>25151.05</v>
      </c>
      <c r="E1172" s="2">
        <v>25202.35</v>
      </c>
      <c r="F1172" s="2">
        <v>254509892</v>
      </c>
      <c r="G1172" s="2">
        <v>25277.82</v>
      </c>
      <c r="H1172" s="2">
        <f t="shared" si="121"/>
        <v>24899.809999999994</v>
      </c>
      <c r="I1172" s="2">
        <f t="shared" si="122"/>
        <v>24885.072000000011</v>
      </c>
      <c r="J1172" s="2">
        <f t="shared" si="127"/>
        <v>24151.767999999989</v>
      </c>
      <c r="K1172" s="2">
        <f t="shared" si="125"/>
        <v>-124.70000000000073</v>
      </c>
      <c r="L1172" s="7">
        <f t="shared" si="123"/>
        <v>-4.9409424639731492E-3</v>
      </c>
      <c r="M1172" s="9"/>
      <c r="N1172" s="2">
        <f t="shared" si="126"/>
        <v>26216.05</v>
      </c>
      <c r="O1172" s="2">
        <f t="shared" si="124"/>
        <v>-3.8667152374213587E-2</v>
      </c>
      <c r="P1172" s="2"/>
    </row>
    <row r="1173" spans="1:16" x14ac:dyDescent="0.3">
      <c r="A1173" s="3">
        <v>45923</v>
      </c>
      <c r="B1173" s="2">
        <v>25209</v>
      </c>
      <c r="C1173" s="2">
        <v>25261.9</v>
      </c>
      <c r="D1173" s="2">
        <v>25084.65</v>
      </c>
      <c r="E1173" s="2">
        <v>25169.5</v>
      </c>
      <c r="F1173" s="2">
        <v>299204338</v>
      </c>
      <c r="G1173" s="2">
        <v>31435.17</v>
      </c>
      <c r="H1173" s="2">
        <f t="shared" si="121"/>
        <v>24916.422499999993</v>
      </c>
      <c r="I1173" s="2">
        <f t="shared" si="122"/>
        <v>24882.01400000001</v>
      </c>
      <c r="J1173" s="2">
        <f t="shared" si="127"/>
        <v>24155.493999999992</v>
      </c>
      <c r="K1173" s="2">
        <f t="shared" si="125"/>
        <v>-32.849999999998545</v>
      </c>
      <c r="L1173" s="7">
        <f t="shared" si="123"/>
        <v>-1.3031060335593854E-3</v>
      </c>
      <c r="M1173" s="9"/>
      <c r="N1173" s="2">
        <f t="shared" si="126"/>
        <v>26216.05</v>
      </c>
      <c r="O1173" s="2">
        <f t="shared" si="124"/>
        <v>-3.9920201555917023E-2</v>
      </c>
      <c r="P1173" s="2"/>
    </row>
    <row r="1174" spans="1:16" x14ac:dyDescent="0.3">
      <c r="A1174" s="3">
        <v>45924</v>
      </c>
      <c r="B1174" s="2">
        <v>25108.75</v>
      </c>
      <c r="C1174" s="2">
        <v>25149.85</v>
      </c>
      <c r="D1174" s="2">
        <v>25027.45</v>
      </c>
      <c r="E1174" s="2">
        <v>25056.9</v>
      </c>
      <c r="F1174" s="2">
        <v>244382281</v>
      </c>
      <c r="G1174" s="2">
        <v>22310.05</v>
      </c>
      <c r="H1174" s="2">
        <f t="shared" si="121"/>
        <v>24926.509999999995</v>
      </c>
      <c r="I1174" s="2">
        <f t="shared" si="122"/>
        <v>24882.407000000007</v>
      </c>
      <c r="J1174" s="2">
        <f t="shared" si="127"/>
        <v>24159.004249999984</v>
      </c>
      <c r="K1174" s="2">
        <f t="shared" si="125"/>
        <v>-112.59999999999854</v>
      </c>
      <c r="L1174" s="7">
        <f t="shared" si="123"/>
        <v>-4.4844924578084748E-3</v>
      </c>
      <c r="M1174" s="9"/>
      <c r="N1174" s="2">
        <f t="shared" si="126"/>
        <v>26216.05</v>
      </c>
      <c r="O1174" s="2">
        <f t="shared" si="124"/>
        <v>-4.4215280333993801E-2</v>
      </c>
      <c r="P1174" s="2"/>
    </row>
    <row r="1175" spans="1:16" x14ac:dyDescent="0.3">
      <c r="A1175" s="3">
        <v>45925</v>
      </c>
      <c r="B1175" s="2">
        <v>25034.5</v>
      </c>
      <c r="C1175" s="2">
        <v>25092.7</v>
      </c>
      <c r="D1175" s="2">
        <v>24878.3</v>
      </c>
      <c r="E1175" s="2">
        <v>24890.85</v>
      </c>
      <c r="F1175" s="2">
        <v>342534768</v>
      </c>
      <c r="G1175" s="2">
        <v>32715.91</v>
      </c>
      <c r="H1175" s="2">
        <f t="shared" ref="H1175:H1238" si="128">AVERAGE(E1155:E1174)</f>
        <v>24943.752499999995</v>
      </c>
      <c r="I1175" s="2">
        <f t="shared" si="122"/>
        <v>24881.899000000009</v>
      </c>
      <c r="J1175" s="2">
        <f t="shared" si="127"/>
        <v>24160.746749999988</v>
      </c>
      <c r="K1175" s="2">
        <f t="shared" si="125"/>
        <v>-166.05000000000291</v>
      </c>
      <c r="L1175" s="7">
        <f t="shared" si="123"/>
        <v>-6.6328466715933178E-3</v>
      </c>
      <c r="M1175" s="9"/>
      <c r="N1175" s="2">
        <f t="shared" si="126"/>
        <v>26216.05</v>
      </c>
      <c r="O1175" s="2">
        <f t="shared" si="124"/>
        <v>-5.054918647164619E-2</v>
      </c>
      <c r="P1175" s="2"/>
    </row>
    <row r="1176" spans="1:16" x14ac:dyDescent="0.3">
      <c r="A1176" s="3">
        <v>45926</v>
      </c>
      <c r="B1176" s="2">
        <v>24818.55</v>
      </c>
      <c r="C1176" s="2">
        <v>24868.6</v>
      </c>
      <c r="D1176" s="2">
        <v>24629.45</v>
      </c>
      <c r="E1176" s="2">
        <v>24654.7</v>
      </c>
      <c r="F1176" s="2">
        <v>291537949</v>
      </c>
      <c r="G1176" s="2">
        <v>29987.93</v>
      </c>
      <c r="H1176" s="2">
        <f t="shared" si="128"/>
        <v>24963.249999999996</v>
      </c>
      <c r="I1176" s="2">
        <f t="shared" si="122"/>
        <v>24875.800000000003</v>
      </c>
      <c r="J1176" s="2">
        <f t="shared" si="127"/>
        <v>24161.811999999987</v>
      </c>
      <c r="K1176" s="2">
        <f t="shared" si="125"/>
        <v>-236.14999999999782</v>
      </c>
      <c r="L1176" s="7">
        <f t="shared" si="123"/>
        <v>-9.5150603077132963E-3</v>
      </c>
      <c r="M1176" s="9"/>
      <c r="N1176" s="2">
        <f t="shared" si="126"/>
        <v>26216.05</v>
      </c>
      <c r="O1176" s="2">
        <f t="shared" si="124"/>
        <v>-5.955702708836752E-2</v>
      </c>
      <c r="P1176" s="2"/>
    </row>
    <row r="1177" spans="1:16" x14ac:dyDescent="0.3">
      <c r="A1177" s="3">
        <v>45929</v>
      </c>
      <c r="B1177" s="2">
        <v>24728.55</v>
      </c>
      <c r="C1177" s="2">
        <v>24791.3</v>
      </c>
      <c r="D1177" s="2">
        <v>24606.2</v>
      </c>
      <c r="E1177" s="2">
        <v>24634.9</v>
      </c>
      <c r="F1177" s="2">
        <v>394388242</v>
      </c>
      <c r="G1177" s="2">
        <v>40004.93</v>
      </c>
      <c r="H1177" s="2">
        <f t="shared" si="128"/>
        <v>24974.642499999994</v>
      </c>
      <c r="I1177" s="2">
        <f t="shared" si="122"/>
        <v>24864.653000000006</v>
      </c>
      <c r="J1177" s="2">
        <f t="shared" si="127"/>
        <v>24161.990499999985</v>
      </c>
      <c r="K1177" s="2">
        <f t="shared" si="125"/>
        <v>-19.799999999999272</v>
      </c>
      <c r="L1177" s="7">
        <f t="shared" si="123"/>
        <v>-8.0069393474341494E-4</v>
      </c>
      <c r="M1177" s="9"/>
      <c r="N1177" s="2">
        <f t="shared" si="126"/>
        <v>26216.05</v>
      </c>
      <c r="O1177" s="2">
        <f t="shared" si="124"/>
        <v>-6.0312289608846381E-2</v>
      </c>
      <c r="P1177" s="2"/>
    </row>
    <row r="1178" spans="1:16" x14ac:dyDescent="0.3">
      <c r="A1178" s="3">
        <v>45930</v>
      </c>
      <c r="B1178" s="2">
        <v>24691.95</v>
      </c>
      <c r="C1178" s="2">
        <v>24731.8</v>
      </c>
      <c r="D1178" s="2">
        <v>24587.7</v>
      </c>
      <c r="E1178" s="2">
        <v>24611.1</v>
      </c>
      <c r="F1178" s="2">
        <v>304924720</v>
      </c>
      <c r="G1178" s="2">
        <v>29285.11</v>
      </c>
      <c r="H1178" s="2">
        <f t="shared" si="128"/>
        <v>24975.135000000002</v>
      </c>
      <c r="I1178" s="2">
        <f t="shared" si="122"/>
        <v>24855.122000000003</v>
      </c>
      <c r="J1178" s="2">
        <f t="shared" si="127"/>
        <v>24162.114749999986</v>
      </c>
      <c r="K1178" s="2">
        <f t="shared" si="125"/>
        <v>-23.80000000000291</v>
      </c>
      <c r="L1178" s="7">
        <f t="shared" si="123"/>
        <v>-9.6387689105165489E-4</v>
      </c>
      <c r="M1178" s="9"/>
      <c r="N1178" s="2">
        <f t="shared" si="126"/>
        <v>26216.05</v>
      </c>
      <c r="O1178" s="2">
        <f t="shared" si="124"/>
        <v>-6.1220130416290819E-2</v>
      </c>
      <c r="P1178" s="2"/>
    </row>
    <row r="1179" spans="1:16" x14ac:dyDescent="0.3">
      <c r="A1179" s="3">
        <v>45931</v>
      </c>
      <c r="B1179" s="2">
        <v>24620.55</v>
      </c>
      <c r="C1179" s="2">
        <v>24867.95</v>
      </c>
      <c r="D1179" s="2">
        <v>24605.95</v>
      </c>
      <c r="E1179" s="2">
        <v>24836.3</v>
      </c>
      <c r="F1179" s="2">
        <v>308135228</v>
      </c>
      <c r="G1179" s="2">
        <v>29041.17</v>
      </c>
      <c r="H1179" s="2">
        <f t="shared" si="128"/>
        <v>24976.71</v>
      </c>
      <c r="I1179" s="2">
        <f t="shared" si="122"/>
        <v>24847.976000000002</v>
      </c>
      <c r="J1179" s="2">
        <f t="shared" si="127"/>
        <v>24161.961249999986</v>
      </c>
      <c r="K1179" s="2">
        <f t="shared" si="125"/>
        <v>225.20000000000073</v>
      </c>
      <c r="L1179" s="7">
        <f t="shared" si="123"/>
        <v>9.1468305947674088E-3</v>
      </c>
      <c r="M1179" s="9"/>
      <c r="N1179" s="2">
        <f t="shared" si="126"/>
        <v>26216.05</v>
      </c>
      <c r="O1179" s="2">
        <f t="shared" si="124"/>
        <v>-5.2629972860137153E-2</v>
      </c>
      <c r="P1179" s="2"/>
    </row>
    <row r="1180" spans="1:16" x14ac:dyDescent="0.3">
      <c r="A1180" s="3">
        <v>45933</v>
      </c>
      <c r="B1180" s="2">
        <v>24759.55</v>
      </c>
      <c r="C1180" s="2">
        <v>24904.799999999999</v>
      </c>
      <c r="D1180" s="2">
        <v>24747.55</v>
      </c>
      <c r="E1180" s="2">
        <v>24894.25</v>
      </c>
      <c r="F1180" s="2">
        <v>366929642</v>
      </c>
      <c r="G1180" s="2">
        <v>31409.06</v>
      </c>
      <c r="H1180" s="2">
        <f t="shared" si="128"/>
        <v>24982.772499999999</v>
      </c>
      <c r="I1180" s="2">
        <f t="shared" si="122"/>
        <v>24842.888000000003</v>
      </c>
      <c r="J1180" s="2">
        <f t="shared" si="127"/>
        <v>24163.399249999984</v>
      </c>
      <c r="K1180" s="2">
        <f t="shared" si="125"/>
        <v>57.950000000000728</v>
      </c>
      <c r="L1180" s="7">
        <f t="shared" si="123"/>
        <v>2.340511035135967E-3</v>
      </c>
      <c r="M1180" s="9"/>
      <c r="N1180" s="2">
        <f t="shared" si="126"/>
        <v>26216.05</v>
      </c>
      <c r="O1180" s="2">
        <f t="shared" si="124"/>
        <v>-5.0419494927725572E-2</v>
      </c>
      <c r="P1180" s="2"/>
    </row>
    <row r="1181" spans="1:16" x14ac:dyDescent="0.3">
      <c r="A1181" s="3">
        <v>45936</v>
      </c>
      <c r="B1181" s="2">
        <v>24916.55</v>
      </c>
      <c r="C1181" s="2">
        <v>25095.95</v>
      </c>
      <c r="D1181" s="2">
        <v>24881.65</v>
      </c>
      <c r="E1181" s="2">
        <v>25077.65</v>
      </c>
      <c r="F1181" s="2">
        <v>271953070</v>
      </c>
      <c r="G1181" s="2">
        <v>25160.76</v>
      </c>
      <c r="H1181" s="2">
        <f t="shared" si="128"/>
        <v>24990.77</v>
      </c>
      <c r="I1181" s="2">
        <f t="shared" si="122"/>
        <v>24839.555</v>
      </c>
      <c r="J1181" s="2">
        <f t="shared" si="127"/>
        <v>24164.028999999984</v>
      </c>
      <c r="K1181" s="2">
        <f t="shared" si="125"/>
        <v>183.40000000000146</v>
      </c>
      <c r="L1181" s="7">
        <f t="shared" si="123"/>
        <v>7.3605695812623117E-3</v>
      </c>
      <c r="M1181" s="9"/>
      <c r="N1181" s="2">
        <f t="shared" si="126"/>
        <v>26216.05</v>
      </c>
      <c r="O1181" s="2">
        <f t="shared" si="124"/>
        <v>-4.3423780470360662E-2</v>
      </c>
      <c r="P1181" s="2"/>
    </row>
    <row r="1182" spans="1:16" x14ac:dyDescent="0.3">
      <c r="A1182" s="3">
        <v>45937</v>
      </c>
      <c r="B1182" s="2">
        <v>25085.3</v>
      </c>
      <c r="C1182" s="2">
        <v>25220.9</v>
      </c>
      <c r="D1182" s="2">
        <v>25076.3</v>
      </c>
      <c r="E1182" s="2">
        <v>25108.3</v>
      </c>
      <c r="F1182" s="2">
        <v>286833765</v>
      </c>
      <c r="G1182" s="2">
        <v>26176.23</v>
      </c>
      <c r="H1182" s="2">
        <f t="shared" si="128"/>
        <v>25007.602500000001</v>
      </c>
      <c r="I1182" s="2">
        <f t="shared" si="122"/>
        <v>24836.71</v>
      </c>
      <c r="J1182" s="2">
        <f t="shared" si="127"/>
        <v>24166.075999999983</v>
      </c>
      <c r="K1182" s="2">
        <f t="shared" si="125"/>
        <v>30.649999999997817</v>
      </c>
      <c r="L1182" s="7">
        <f t="shared" si="123"/>
        <v>1.221831112244933E-3</v>
      </c>
      <c r="M1182" s="9"/>
      <c r="N1182" s="2">
        <f t="shared" si="126"/>
        <v>26216.05</v>
      </c>
      <c r="O1182" s="2">
        <f t="shared" si="124"/>
        <v>-4.2254649346488149E-2</v>
      </c>
      <c r="P1182" s="2"/>
    </row>
    <row r="1183" spans="1:16" x14ac:dyDescent="0.3">
      <c r="A1183" s="3">
        <v>45938</v>
      </c>
      <c r="B1183" s="2">
        <v>25079.75</v>
      </c>
      <c r="C1183" s="2">
        <v>25192.5</v>
      </c>
      <c r="D1183" s="2">
        <v>25008.5</v>
      </c>
      <c r="E1183" s="2">
        <v>25046.15</v>
      </c>
      <c r="F1183" s="2">
        <v>225967495</v>
      </c>
      <c r="G1183" s="2">
        <v>21701.19</v>
      </c>
      <c r="H1183" s="2">
        <f t="shared" si="128"/>
        <v>25024.36</v>
      </c>
      <c r="I1183" s="2">
        <f t="shared" si="122"/>
        <v>24837.633999999998</v>
      </c>
      <c r="J1183" s="2">
        <f t="shared" si="127"/>
        <v>24169.937499999985</v>
      </c>
      <c r="K1183" s="2">
        <f t="shared" si="125"/>
        <v>-62.149999999997817</v>
      </c>
      <c r="L1183" s="7">
        <f t="shared" si="123"/>
        <v>-2.4780948773411942E-3</v>
      </c>
      <c r="M1183" s="9"/>
      <c r="N1183" s="2">
        <f t="shared" si="126"/>
        <v>26216.05</v>
      </c>
      <c r="O1183" s="2">
        <f t="shared" si="124"/>
        <v>-4.462533448021333E-2</v>
      </c>
      <c r="P1183" s="2"/>
    </row>
    <row r="1184" spans="1:16" x14ac:dyDescent="0.3">
      <c r="A1184" s="3">
        <v>45939</v>
      </c>
      <c r="B1184" s="2">
        <v>25074.3</v>
      </c>
      <c r="C1184" s="2">
        <v>25199.25</v>
      </c>
      <c r="D1184" s="2">
        <v>25024.3</v>
      </c>
      <c r="E1184" s="2">
        <v>25181.8</v>
      </c>
      <c r="F1184" s="2">
        <v>286253252</v>
      </c>
      <c r="G1184" s="2">
        <v>22617.86</v>
      </c>
      <c r="H1184" s="2">
        <f t="shared" si="128"/>
        <v>25033.237499999999</v>
      </c>
      <c r="I1184" s="2">
        <f t="shared" si="122"/>
        <v>24841.816999999995</v>
      </c>
      <c r="J1184" s="2">
        <f t="shared" si="127"/>
        <v>24174.173999999985</v>
      </c>
      <c r="K1184" s="2">
        <f t="shared" si="125"/>
        <v>135.64999999999782</v>
      </c>
      <c r="L1184" s="7">
        <f t="shared" si="123"/>
        <v>5.4099217126698579E-3</v>
      </c>
      <c r="M1184" s="9"/>
      <c r="N1184" s="2">
        <f t="shared" si="126"/>
        <v>26216.05</v>
      </c>
      <c r="O1184" s="2">
        <f t="shared" si="124"/>
        <v>-3.9451023323498369E-2</v>
      </c>
      <c r="P1184" s="2"/>
    </row>
    <row r="1185" spans="1:16" x14ac:dyDescent="0.3">
      <c r="A1185" s="3">
        <v>45940</v>
      </c>
      <c r="B1185" s="2">
        <v>25167.65</v>
      </c>
      <c r="C1185" s="2">
        <v>25330.75</v>
      </c>
      <c r="D1185" s="2">
        <v>25156.85</v>
      </c>
      <c r="E1185" s="2">
        <v>25285.35</v>
      </c>
      <c r="F1185" s="2">
        <v>232943306</v>
      </c>
      <c r="G1185" s="2">
        <v>21749.23</v>
      </c>
      <c r="H1185" s="2">
        <f t="shared" si="128"/>
        <v>25043.672500000001</v>
      </c>
      <c r="I1185" s="2">
        <f t="shared" si="122"/>
        <v>24851.834999999999</v>
      </c>
      <c r="J1185" s="2">
        <f t="shared" si="127"/>
        <v>24180.324499999988</v>
      </c>
      <c r="K1185" s="2">
        <f t="shared" si="125"/>
        <v>103.54999999999927</v>
      </c>
      <c r="L1185" s="7">
        <f t="shared" si="123"/>
        <v>4.1144087747564543E-3</v>
      </c>
      <c r="M1185" s="9"/>
      <c r="N1185" s="2">
        <f t="shared" si="126"/>
        <v>26216.05</v>
      </c>
      <c r="O1185" s="2">
        <f t="shared" si="124"/>
        <v>-3.5501152919680923E-2</v>
      </c>
      <c r="P1185" s="2"/>
    </row>
    <row r="1186" spans="1:16" x14ac:dyDescent="0.3">
      <c r="A1186" s="3">
        <v>45943</v>
      </c>
      <c r="B1186" s="2">
        <v>25177.3</v>
      </c>
      <c r="C1186" s="2">
        <v>25267.3</v>
      </c>
      <c r="D1186" s="2">
        <v>25152.3</v>
      </c>
      <c r="E1186" s="2">
        <v>25227.35</v>
      </c>
      <c r="F1186" s="2">
        <v>234285202</v>
      </c>
      <c r="G1186" s="2">
        <v>20806.830000000002</v>
      </c>
      <c r="H1186" s="2">
        <f t="shared" si="128"/>
        <v>25057.665000000001</v>
      </c>
      <c r="I1186" s="2">
        <f t="shared" si="122"/>
        <v>24861.119999999999</v>
      </c>
      <c r="J1186" s="2">
        <f t="shared" si="127"/>
        <v>24188.813749999987</v>
      </c>
      <c r="K1186" s="2">
        <f t="shared" si="125"/>
        <v>-58</v>
      </c>
      <c r="L1186" s="7">
        <f t="shared" si="123"/>
        <v>-2.303662426074281E-3</v>
      </c>
      <c r="M1186" s="9"/>
      <c r="N1186" s="2">
        <f t="shared" si="126"/>
        <v>26216.05</v>
      </c>
      <c r="O1186" s="2">
        <f t="shared" si="124"/>
        <v>-3.7713538080679565E-2</v>
      </c>
      <c r="P1186" s="2"/>
    </row>
    <row r="1187" spans="1:16" x14ac:dyDescent="0.3">
      <c r="A1187" s="3">
        <v>45944</v>
      </c>
      <c r="B1187" s="2">
        <v>25277.55</v>
      </c>
      <c r="C1187" s="2">
        <v>25310.35</v>
      </c>
      <c r="D1187" s="2">
        <v>25060.55</v>
      </c>
      <c r="E1187" s="2">
        <v>25145.5</v>
      </c>
      <c r="F1187" s="2">
        <v>292129083</v>
      </c>
      <c r="G1187" s="2">
        <v>24151.97</v>
      </c>
      <c r="H1187" s="2">
        <f t="shared" si="128"/>
        <v>25063.332499999997</v>
      </c>
      <c r="I1187" s="2">
        <f t="shared" si="122"/>
        <v>24868.566000000003</v>
      </c>
      <c r="J1187" s="2">
        <f t="shared" si="127"/>
        <v>24196.183249999984</v>
      </c>
      <c r="K1187" s="2">
        <f t="shared" si="125"/>
        <v>-81.849999999998545</v>
      </c>
      <c r="L1187" s="7">
        <f t="shared" si="123"/>
        <v>-3.2380511560653048E-3</v>
      </c>
      <c r="M1187" s="9"/>
      <c r="N1187" s="2">
        <f t="shared" si="126"/>
        <v>26216.05</v>
      </c>
      <c r="O1187" s="2">
        <f t="shared" si="124"/>
        <v>-4.0835671277709595E-2</v>
      </c>
      <c r="P1187" s="2"/>
    </row>
    <row r="1188" spans="1:16" x14ac:dyDescent="0.3">
      <c r="A1188" s="3">
        <v>45945</v>
      </c>
      <c r="B1188" s="2">
        <v>25181.95</v>
      </c>
      <c r="C1188" s="2">
        <v>25365.15</v>
      </c>
      <c r="D1188" s="2">
        <v>25159.35</v>
      </c>
      <c r="E1188" s="2">
        <v>25323.55</v>
      </c>
      <c r="F1188" s="2">
        <v>289930172</v>
      </c>
      <c r="G1188" s="2">
        <v>25202.02</v>
      </c>
      <c r="H1188" s="2">
        <f t="shared" si="128"/>
        <v>25067.147499999999</v>
      </c>
      <c r="I1188" s="2">
        <f t="shared" si="122"/>
        <v>24876.109</v>
      </c>
      <c r="J1188" s="2">
        <f t="shared" si="127"/>
        <v>24203.272499999981</v>
      </c>
      <c r="K1188" s="2">
        <f t="shared" si="125"/>
        <v>178.04999999999927</v>
      </c>
      <c r="L1188" s="7">
        <f t="shared" si="123"/>
        <v>7.0705406054733357E-3</v>
      </c>
      <c r="M1188" s="9"/>
      <c r="N1188" s="2">
        <f t="shared" si="126"/>
        <v>26216.05</v>
      </c>
      <c r="O1188" s="2">
        <f t="shared" si="124"/>
        <v>-3.4044030279161031E-2</v>
      </c>
      <c r="P1188" s="2"/>
    </row>
    <row r="1189" spans="1:16" x14ac:dyDescent="0.3">
      <c r="A1189" s="3">
        <v>45946</v>
      </c>
      <c r="B1189" s="2">
        <v>25394.9</v>
      </c>
      <c r="C1189" s="2">
        <v>25625.4</v>
      </c>
      <c r="D1189" s="2">
        <v>25376.85</v>
      </c>
      <c r="E1189" s="2">
        <v>25585.3</v>
      </c>
      <c r="F1189" s="2">
        <v>372777021</v>
      </c>
      <c r="G1189" s="2">
        <v>32008.639999999999</v>
      </c>
      <c r="H1189" s="2">
        <f t="shared" si="128"/>
        <v>25071.37</v>
      </c>
      <c r="I1189" s="2">
        <f t="shared" si="122"/>
        <v>24891.273000000001</v>
      </c>
      <c r="J1189" s="2">
        <f t="shared" si="127"/>
        <v>24211.139249999978</v>
      </c>
      <c r="K1189" s="2">
        <f t="shared" si="125"/>
        <v>261.75</v>
      </c>
      <c r="L1189" s="7">
        <f t="shared" si="123"/>
        <v>1.0307187663664751E-2</v>
      </c>
      <c r="M1189" s="9"/>
      <c r="N1189" s="2">
        <f t="shared" si="126"/>
        <v>26216.05</v>
      </c>
      <c r="O1189" s="2">
        <f t="shared" si="124"/>
        <v>-2.4059688625860831E-2</v>
      </c>
      <c r="P1189" s="2"/>
    </row>
    <row r="1190" spans="1:16" x14ac:dyDescent="0.3">
      <c r="A1190" s="3">
        <v>45947</v>
      </c>
      <c r="B1190" s="2">
        <v>25546.85</v>
      </c>
      <c r="C1190" s="2">
        <v>25781.5</v>
      </c>
      <c r="D1190" s="2">
        <v>25508.6</v>
      </c>
      <c r="E1190" s="2">
        <v>25709.85</v>
      </c>
      <c r="F1190" s="2">
        <v>422055809</v>
      </c>
      <c r="G1190" s="2">
        <v>35106.959999999999</v>
      </c>
      <c r="H1190" s="2">
        <f t="shared" si="128"/>
        <v>25084.122499999998</v>
      </c>
      <c r="I1190" s="2">
        <f t="shared" si="122"/>
        <v>24908.523999999998</v>
      </c>
      <c r="J1190" s="2">
        <f t="shared" si="127"/>
        <v>24219.998749999981</v>
      </c>
      <c r="K1190" s="2">
        <f t="shared" si="125"/>
        <v>124.54999999999927</v>
      </c>
      <c r="L1190" s="7">
        <f t="shared" si="123"/>
        <v>4.8753564529481824E-3</v>
      </c>
      <c r="M1190" s="9"/>
      <c r="N1190" s="2">
        <f t="shared" si="126"/>
        <v>26216.05</v>
      </c>
      <c r="O1190" s="2">
        <f t="shared" si="124"/>
        <v>-1.930878221547494E-2</v>
      </c>
      <c r="P1190" s="2"/>
    </row>
    <row r="1191" spans="1:16" x14ac:dyDescent="0.3">
      <c r="A1191" s="3">
        <v>45950</v>
      </c>
      <c r="B1191" s="2">
        <v>25824.6</v>
      </c>
      <c r="C1191" s="2">
        <v>25926.2</v>
      </c>
      <c r="D1191" s="2">
        <v>25788.5</v>
      </c>
      <c r="E1191" s="2">
        <v>25843.15</v>
      </c>
      <c r="F1191" s="2">
        <v>301133193</v>
      </c>
      <c r="G1191" s="2">
        <v>29637.119999999999</v>
      </c>
      <c r="H1191" s="2">
        <f t="shared" si="128"/>
        <v>25098.434999999994</v>
      </c>
      <c r="I1191" s="2">
        <f t="shared" si="122"/>
        <v>24929.730000000003</v>
      </c>
      <c r="J1191" s="2">
        <f t="shared" si="127"/>
        <v>24230.323499999984</v>
      </c>
      <c r="K1191" s="2">
        <f t="shared" si="125"/>
        <v>133.30000000000291</v>
      </c>
      <c r="L1191" s="7">
        <f t="shared" si="123"/>
        <v>5.1617450028268747E-3</v>
      </c>
      <c r="M1191" s="9"/>
      <c r="N1191" s="2">
        <f t="shared" si="126"/>
        <v>26216.05</v>
      </c>
      <c r="O1191" s="2">
        <f t="shared" si="124"/>
        <v>-1.4224110802351864E-2</v>
      </c>
      <c r="P1191" s="2"/>
    </row>
    <row r="1192" spans="1:16" x14ac:dyDescent="0.3">
      <c r="A1192" s="3">
        <v>45951</v>
      </c>
      <c r="B1192" s="2">
        <v>25901.200000000001</v>
      </c>
      <c r="C1192" s="2">
        <v>25934.35</v>
      </c>
      <c r="D1192" s="2">
        <v>25825.8</v>
      </c>
      <c r="E1192" s="2">
        <v>25868.6</v>
      </c>
      <c r="F1192" s="2">
        <v>42477128</v>
      </c>
      <c r="G1192" s="2">
        <v>3831.1</v>
      </c>
      <c r="H1192" s="2">
        <f t="shared" si="128"/>
        <v>25124.239999999998</v>
      </c>
      <c r="I1192" s="2">
        <f t="shared" si="122"/>
        <v>24955.109000000004</v>
      </c>
      <c r="J1192" s="2">
        <f t="shared" si="127"/>
        <v>24241.315249999985</v>
      </c>
      <c r="K1192" s="2">
        <f t="shared" si="125"/>
        <v>25.44999999999709</v>
      </c>
      <c r="L1192" s="7">
        <f t="shared" si="123"/>
        <v>9.8257995768524591E-4</v>
      </c>
      <c r="M1192" s="9"/>
      <c r="N1192" s="2">
        <f t="shared" si="126"/>
        <v>26216.05</v>
      </c>
      <c r="O1192" s="2">
        <f t="shared" si="124"/>
        <v>-1.3253331451534511E-2</v>
      </c>
      <c r="P1192" s="2"/>
    </row>
    <row r="1193" spans="1:16" x14ac:dyDescent="0.3">
      <c r="A1193" s="3">
        <v>45953</v>
      </c>
      <c r="B1193" s="2">
        <v>26057.200000000001</v>
      </c>
      <c r="C1193" s="2">
        <v>26104.2</v>
      </c>
      <c r="D1193" s="2">
        <v>25862.45</v>
      </c>
      <c r="E1193" s="2">
        <v>25891.4</v>
      </c>
      <c r="F1193" s="2">
        <v>448404894</v>
      </c>
      <c r="G1193" s="2">
        <v>41777.68</v>
      </c>
      <c r="H1193" s="2">
        <f t="shared" si="128"/>
        <v>25157.552499999994</v>
      </c>
      <c r="I1193" s="2">
        <f t="shared" si="122"/>
        <v>24980.558000000008</v>
      </c>
      <c r="J1193" s="2">
        <f t="shared" si="127"/>
        <v>24251.94374999998</v>
      </c>
      <c r="K1193" s="2">
        <f t="shared" si="125"/>
        <v>22.80000000000291</v>
      </c>
      <c r="L1193" s="7">
        <f t="shared" si="123"/>
        <v>8.7499808114467061E-4</v>
      </c>
      <c r="M1193" s="9"/>
      <c r="N1193" s="2">
        <f t="shared" si="126"/>
        <v>26216.05</v>
      </c>
      <c r="O1193" s="2">
        <f t="shared" si="124"/>
        <v>-1.2383635215831412E-2</v>
      </c>
      <c r="P1193" s="2"/>
    </row>
    <row r="1194" spans="1:16" x14ac:dyDescent="0.3">
      <c r="A1194" s="3">
        <v>45954</v>
      </c>
      <c r="B1194" s="2">
        <v>25935.1</v>
      </c>
      <c r="C1194" s="2">
        <v>25944.15</v>
      </c>
      <c r="D1194" s="2">
        <v>25718.2</v>
      </c>
      <c r="E1194" s="2">
        <v>25795.15</v>
      </c>
      <c r="F1194" s="2">
        <v>284913477</v>
      </c>
      <c r="G1194" s="2">
        <v>23527.98</v>
      </c>
      <c r="H1194" s="2">
        <f t="shared" si="128"/>
        <v>25193.647499999995</v>
      </c>
      <c r="I1194" s="2">
        <f t="shared" si="122"/>
        <v>25011.119999999999</v>
      </c>
      <c r="J1194" s="2">
        <f t="shared" si="127"/>
        <v>24260.457499999986</v>
      </c>
      <c r="K1194" s="2">
        <f t="shared" si="125"/>
        <v>-96.25</v>
      </c>
      <c r="L1194" s="7">
        <f t="shared" si="123"/>
        <v>-3.7111867700529402E-3</v>
      </c>
      <c r="M1194" s="9"/>
      <c r="N1194" s="2">
        <f t="shared" si="126"/>
        <v>26216.05</v>
      </c>
      <c r="O1194" s="2">
        <f t="shared" si="124"/>
        <v>-1.6055050245937008E-2</v>
      </c>
      <c r="P1194" s="2"/>
    </row>
    <row r="1195" spans="1:16" x14ac:dyDescent="0.3">
      <c r="A1195" s="3">
        <v>45957</v>
      </c>
      <c r="B1195" s="2">
        <v>25843.200000000001</v>
      </c>
      <c r="C1195" s="2">
        <v>26005.95</v>
      </c>
      <c r="D1195" s="2">
        <v>25827</v>
      </c>
      <c r="E1195" s="2">
        <v>25966.05</v>
      </c>
      <c r="F1195" s="2">
        <v>266337274</v>
      </c>
      <c r="G1195" s="2">
        <v>23989.06</v>
      </c>
      <c r="H1195" s="2">
        <f t="shared" si="128"/>
        <v>25230.559999999998</v>
      </c>
      <c r="I1195" s="2">
        <f t="shared" si="122"/>
        <v>25035.322</v>
      </c>
      <c r="J1195" s="2">
        <f t="shared" si="127"/>
        <v>24269.409499999987</v>
      </c>
      <c r="K1195" s="2">
        <f t="shared" si="125"/>
        <v>170.89999999999782</v>
      </c>
      <c r="L1195" s="7">
        <f t="shared" si="123"/>
        <v>6.6129581475977356E-3</v>
      </c>
      <c r="M1195" s="9"/>
      <c r="N1195" s="2">
        <f t="shared" si="126"/>
        <v>26216.05</v>
      </c>
      <c r="O1195" s="2">
        <f t="shared" si="124"/>
        <v>-9.5361429353392202E-3</v>
      </c>
      <c r="P1195" s="2"/>
    </row>
    <row r="1196" spans="1:16" x14ac:dyDescent="0.3">
      <c r="A1196" s="3">
        <v>45958</v>
      </c>
      <c r="B1196" s="2">
        <v>25939.95</v>
      </c>
      <c r="C1196" s="2">
        <v>26041.7</v>
      </c>
      <c r="D1196" s="2">
        <v>25810.05</v>
      </c>
      <c r="E1196" s="2">
        <v>25936.2</v>
      </c>
      <c r="F1196" s="2">
        <v>395231207</v>
      </c>
      <c r="G1196" s="2">
        <v>37023.32</v>
      </c>
      <c r="H1196" s="2">
        <f t="shared" si="128"/>
        <v>25284.32</v>
      </c>
      <c r="I1196" s="2">
        <f t="shared" si="122"/>
        <v>25064.895</v>
      </c>
      <c r="J1196" s="2">
        <f t="shared" si="127"/>
        <v>24281.159499999987</v>
      </c>
      <c r="K1196" s="2">
        <f t="shared" si="125"/>
        <v>-29.849999999998545</v>
      </c>
      <c r="L1196" s="7">
        <f t="shared" si="123"/>
        <v>-1.1507346775918436E-3</v>
      </c>
      <c r="M1196" s="9"/>
      <c r="N1196" s="2">
        <f t="shared" si="126"/>
        <v>26216.05</v>
      </c>
      <c r="O1196" s="2">
        <f t="shared" si="124"/>
        <v>-1.067475840181864E-2</v>
      </c>
      <c r="P1196" s="2"/>
    </row>
    <row r="1197" spans="1:16" x14ac:dyDescent="0.3">
      <c r="A1197" s="3">
        <v>45959</v>
      </c>
      <c r="B1197" s="2">
        <v>25982</v>
      </c>
      <c r="C1197" s="2">
        <v>26097.85</v>
      </c>
      <c r="D1197" s="2">
        <v>25960.3</v>
      </c>
      <c r="E1197" s="2">
        <v>26053.9</v>
      </c>
      <c r="F1197" s="2">
        <v>321880610</v>
      </c>
      <c r="G1197" s="2">
        <v>26309.32</v>
      </c>
      <c r="H1197" s="2">
        <f t="shared" si="128"/>
        <v>25348.395</v>
      </c>
      <c r="I1197" s="2">
        <f t="shared" si="122"/>
        <v>25091.231999999996</v>
      </c>
      <c r="J1197" s="2">
        <f t="shared" si="127"/>
        <v>24292.300999999992</v>
      </c>
      <c r="K1197" s="2">
        <f t="shared" si="125"/>
        <v>117.70000000000073</v>
      </c>
      <c r="L1197" s="7">
        <f t="shared" si="123"/>
        <v>4.5300592718035843E-3</v>
      </c>
      <c r="M1197" s="9"/>
      <c r="N1197" s="2">
        <f t="shared" si="126"/>
        <v>26216.05</v>
      </c>
      <c r="O1197" s="2">
        <f t="shared" si="124"/>
        <v>-6.1851423078609358E-3</v>
      </c>
      <c r="P1197" s="2"/>
    </row>
    <row r="1198" spans="1:16" x14ac:dyDescent="0.3">
      <c r="A1198" s="3">
        <v>45960</v>
      </c>
      <c r="B1198" s="2">
        <v>25984.400000000001</v>
      </c>
      <c r="C1198" s="2">
        <v>26032.05</v>
      </c>
      <c r="D1198" s="2">
        <v>25845.25</v>
      </c>
      <c r="E1198" s="2">
        <v>25877.85</v>
      </c>
      <c r="F1198" s="2">
        <v>257373001</v>
      </c>
      <c r="G1198" s="2">
        <v>24180.46</v>
      </c>
      <c r="H1198" s="2">
        <f t="shared" si="128"/>
        <v>25419.345000000001</v>
      </c>
      <c r="I1198" s="2">
        <f t="shared" si="122"/>
        <v>25119.683999999997</v>
      </c>
      <c r="J1198" s="2">
        <f t="shared" si="127"/>
        <v>24304.125749999992</v>
      </c>
      <c r="K1198" s="2">
        <f t="shared" si="125"/>
        <v>-176.05000000000291</v>
      </c>
      <c r="L1198" s="7">
        <f t="shared" si="123"/>
        <v>-6.7752189775404821E-3</v>
      </c>
      <c r="M1198" s="9"/>
      <c r="N1198" s="2">
        <f t="shared" si="126"/>
        <v>26216.05</v>
      </c>
      <c r="O1198" s="2">
        <f t="shared" si="124"/>
        <v>-1.2900494162926934E-2</v>
      </c>
      <c r="P1198" s="2"/>
    </row>
    <row r="1199" spans="1:16" x14ac:dyDescent="0.3">
      <c r="A1199" s="3">
        <v>45961</v>
      </c>
      <c r="B1199" s="2">
        <v>25863.8</v>
      </c>
      <c r="C1199" s="2">
        <v>25953.75</v>
      </c>
      <c r="D1199" s="2">
        <v>25711.200000000001</v>
      </c>
      <c r="E1199" s="2">
        <v>25722.1</v>
      </c>
      <c r="F1199" s="2">
        <v>334384400</v>
      </c>
      <c r="G1199" s="2">
        <v>28788.400000000001</v>
      </c>
      <c r="H1199" s="2">
        <f t="shared" si="128"/>
        <v>25482.682500000003</v>
      </c>
      <c r="I1199" s="2">
        <f t="shared" si="122"/>
        <v>25139.702000000001</v>
      </c>
      <c r="J1199" s="2">
        <f t="shared" si="127"/>
        <v>24315.882499999992</v>
      </c>
      <c r="K1199" s="2">
        <f t="shared" si="125"/>
        <v>-155.75</v>
      </c>
      <c r="L1199" s="7">
        <f t="shared" si="123"/>
        <v>-6.0219302654675646E-3</v>
      </c>
      <c r="M1199" s="9"/>
      <c r="N1199" s="2">
        <f t="shared" si="126"/>
        <v>26216.05</v>
      </c>
      <c r="O1199" s="2">
        <f t="shared" si="124"/>
        <v>-1.8841511211643236E-2</v>
      </c>
      <c r="P1199" s="2"/>
    </row>
    <row r="1200" spans="1:16" x14ac:dyDescent="0.3">
      <c r="A1200" s="3">
        <v>45964</v>
      </c>
      <c r="B1200" s="2">
        <v>25696.85</v>
      </c>
      <c r="C1200" s="2">
        <v>25803.1</v>
      </c>
      <c r="D1200" s="2">
        <v>25645.5</v>
      </c>
      <c r="E1200" s="2">
        <v>25763.35</v>
      </c>
      <c r="F1200" s="2">
        <v>275858501</v>
      </c>
      <c r="G1200" s="2">
        <v>23949.88</v>
      </c>
      <c r="H1200" s="2">
        <f t="shared" si="128"/>
        <v>25526.9725</v>
      </c>
      <c r="I1200" s="2">
        <f t="shared" si="122"/>
        <v>25154.531000000003</v>
      </c>
      <c r="J1200" s="2">
        <f t="shared" si="127"/>
        <v>24327.33549999999</v>
      </c>
      <c r="K1200" s="2">
        <f t="shared" si="125"/>
        <v>41.25</v>
      </c>
      <c r="L1200" s="7">
        <f t="shared" si="123"/>
        <v>1.6052551188180653E-3</v>
      </c>
      <c r="M1200" s="9"/>
      <c r="N1200" s="2">
        <f t="shared" si="126"/>
        <v>26216.05</v>
      </c>
      <c r="O1200" s="2">
        <f t="shared" si="124"/>
        <v>-1.7268047627312266E-2</v>
      </c>
      <c r="P1200" s="2"/>
    </row>
    <row r="1201" spans="1:16" x14ac:dyDescent="0.3">
      <c r="A1201" s="3">
        <v>45965</v>
      </c>
      <c r="B1201" s="2">
        <v>25744.75</v>
      </c>
      <c r="C1201" s="2">
        <v>25787.4</v>
      </c>
      <c r="D1201" s="2">
        <v>25578.400000000001</v>
      </c>
      <c r="E1201" s="2">
        <v>25597.65</v>
      </c>
      <c r="F1201" s="2">
        <v>305143084</v>
      </c>
      <c r="G1201" s="2">
        <v>29307.41</v>
      </c>
      <c r="H1201" s="2">
        <f t="shared" si="128"/>
        <v>25570.427499999998</v>
      </c>
      <c r="I1201" s="2">
        <f t="shared" si="122"/>
        <v>25168.787</v>
      </c>
      <c r="J1201" s="2">
        <f t="shared" si="127"/>
        <v>24340.722499999985</v>
      </c>
      <c r="K1201" s="2">
        <f t="shared" si="125"/>
        <v>-165.69999999999709</v>
      </c>
      <c r="L1201" s="7">
        <f t="shared" si="123"/>
        <v>-6.4362637042502677E-3</v>
      </c>
      <c r="M1201" s="9"/>
      <c r="N1201" s="2">
        <f t="shared" si="126"/>
        <v>26216.05</v>
      </c>
      <c r="O1201" s="2">
        <f t="shared" si="124"/>
        <v>-2.3588603164855004E-2</v>
      </c>
      <c r="P1201" s="2"/>
    </row>
    <row r="1202" spans="1:16" x14ac:dyDescent="0.3">
      <c r="A1202" s="3">
        <v>45967</v>
      </c>
      <c r="B1202" s="2">
        <v>25593.35</v>
      </c>
      <c r="C1202" s="2">
        <v>25679.15</v>
      </c>
      <c r="D1202" s="2">
        <v>25491.55</v>
      </c>
      <c r="E1202" s="2">
        <v>25509.7</v>
      </c>
      <c r="F1202" s="2">
        <v>371852417</v>
      </c>
      <c r="G1202" s="2">
        <v>36129.620000000003</v>
      </c>
      <c r="H1202" s="2">
        <f t="shared" si="128"/>
        <v>25596.427499999998</v>
      </c>
      <c r="I1202" s="2">
        <f t="shared" si="122"/>
        <v>25179.064999999999</v>
      </c>
      <c r="J1202" s="2">
        <f t="shared" si="127"/>
        <v>24352.830499999985</v>
      </c>
      <c r="K1202" s="2">
        <f t="shared" si="125"/>
        <v>-87.950000000000728</v>
      </c>
      <c r="L1202" s="7">
        <f t="shared" si="123"/>
        <v>-3.4364395438659157E-3</v>
      </c>
      <c r="M1202" s="9"/>
      <c r="N1202" s="2">
        <f t="shared" si="126"/>
        <v>26216.05</v>
      </c>
      <c r="O1202" s="2">
        <f t="shared" si="124"/>
        <v>-2.6943418249507411E-2</v>
      </c>
      <c r="P1202" s="2"/>
    </row>
    <row r="1203" spans="1:16" x14ac:dyDescent="0.3">
      <c r="A1203" s="3">
        <v>45968</v>
      </c>
      <c r="B1203" s="2">
        <v>25433.8</v>
      </c>
      <c r="C1203" s="2">
        <v>25551.25</v>
      </c>
      <c r="D1203" s="2">
        <v>25318.45</v>
      </c>
      <c r="E1203" s="2">
        <v>25492.3</v>
      </c>
      <c r="F1203" s="2">
        <v>305606393</v>
      </c>
      <c r="G1203" s="2">
        <v>35487</v>
      </c>
      <c r="H1203" s="2">
        <f t="shared" si="128"/>
        <v>25616.497500000001</v>
      </c>
      <c r="I1203" s="2">
        <f t="shared" si="122"/>
        <v>25191.857000000004</v>
      </c>
      <c r="J1203" s="2">
        <f t="shared" si="127"/>
        <v>24364.312999999984</v>
      </c>
      <c r="K1203" s="2">
        <f t="shared" si="125"/>
        <v>-17.400000000001455</v>
      </c>
      <c r="L1203" s="7">
        <f t="shared" si="123"/>
        <v>-6.8412899370135232E-4</v>
      </c>
      <c r="M1203" s="9"/>
      <c r="N1203" s="2">
        <f t="shared" si="126"/>
        <v>26216.05</v>
      </c>
      <c r="O1203" s="2">
        <f t="shared" si="124"/>
        <v>-2.7607133797807104E-2</v>
      </c>
      <c r="P1203" s="2"/>
    </row>
    <row r="1204" spans="1:16" x14ac:dyDescent="0.3">
      <c r="A1204" s="3">
        <v>45971</v>
      </c>
      <c r="B1204" s="2">
        <v>25503.5</v>
      </c>
      <c r="C1204" s="2">
        <v>25653.45</v>
      </c>
      <c r="D1204" s="2">
        <v>25503.5</v>
      </c>
      <c r="E1204" s="2">
        <v>25574.35</v>
      </c>
      <c r="F1204" s="2">
        <v>243592948</v>
      </c>
      <c r="G1204" s="2">
        <v>25023.65</v>
      </c>
      <c r="H1204" s="2">
        <f t="shared" si="128"/>
        <v>25638.805</v>
      </c>
      <c r="I1204" s="2">
        <f t="shared" si="122"/>
        <v>25202.348000000002</v>
      </c>
      <c r="J1204" s="2">
        <f t="shared" si="127"/>
        <v>24375.215499999984</v>
      </c>
      <c r="K1204" s="2">
        <f t="shared" si="125"/>
        <v>82.049999999999272</v>
      </c>
      <c r="L1204" s="7">
        <f t="shared" si="123"/>
        <v>3.2172054816005363E-3</v>
      </c>
      <c r="M1204" s="9"/>
      <c r="N1204" s="2">
        <f t="shared" si="126"/>
        <v>26216.05</v>
      </c>
      <c r="O1204" s="2">
        <f t="shared" si="124"/>
        <v>-2.4477371686428717E-2</v>
      </c>
      <c r="P1204" s="2"/>
    </row>
    <row r="1205" spans="1:16" x14ac:dyDescent="0.3">
      <c r="A1205" s="3">
        <v>45972</v>
      </c>
      <c r="B1205" s="2">
        <v>25617</v>
      </c>
      <c r="C1205" s="2">
        <v>25715.8</v>
      </c>
      <c r="D1205" s="2">
        <v>25449.25</v>
      </c>
      <c r="E1205" s="2">
        <v>25694.95</v>
      </c>
      <c r="F1205" s="2">
        <v>297714069</v>
      </c>
      <c r="G1205" s="2">
        <v>28285.51</v>
      </c>
      <c r="H1205" s="2">
        <f t="shared" si="128"/>
        <v>25658.432499999999</v>
      </c>
      <c r="I1205" s="2">
        <f t="shared" ref="I1205:I1240" si="129">AVERAGE(E1155:E1204)</f>
        <v>25219.594000000008</v>
      </c>
      <c r="J1205" s="2">
        <f t="shared" si="127"/>
        <v>24387.071249999983</v>
      </c>
      <c r="K1205" s="2">
        <f t="shared" si="125"/>
        <v>120.60000000000218</v>
      </c>
      <c r="L1205" s="7">
        <f t="shared" si="123"/>
        <v>4.7078112191123933E-3</v>
      </c>
      <c r="M1205" s="9"/>
      <c r="N1205" s="2">
        <f t="shared" si="126"/>
        <v>26216.05</v>
      </c>
      <c r="O1205" s="2">
        <f t="shared" si="124"/>
        <v>-1.9877136334421008E-2</v>
      </c>
      <c r="P1205" s="2"/>
    </row>
    <row r="1206" spans="1:16" x14ac:dyDescent="0.3">
      <c r="A1206" s="3">
        <v>45973</v>
      </c>
      <c r="B1206" s="2">
        <v>25834.3</v>
      </c>
      <c r="C1206" s="2">
        <v>25934.55</v>
      </c>
      <c r="D1206" s="2">
        <v>25781.15</v>
      </c>
      <c r="E1206" s="2">
        <v>25875.8</v>
      </c>
      <c r="F1206" s="2">
        <v>343864299</v>
      </c>
      <c r="G1206" s="2">
        <v>30633.19</v>
      </c>
      <c r="H1206" s="2">
        <f t="shared" si="128"/>
        <v>25678.912499999999</v>
      </c>
      <c r="I1206" s="2">
        <f t="shared" si="129"/>
        <v>25243.475000000009</v>
      </c>
      <c r="J1206" s="2">
        <f t="shared" si="127"/>
        <v>24398.822249999987</v>
      </c>
      <c r="K1206" s="2">
        <f t="shared" si="125"/>
        <v>180.84999999999854</v>
      </c>
      <c r="L1206" s="7">
        <f t="shared" si="123"/>
        <v>7.0003832114668698E-3</v>
      </c>
      <c r="M1206" s="9"/>
      <c r="N1206" s="2">
        <f t="shared" si="126"/>
        <v>26216.05</v>
      </c>
      <c r="O1206" s="2">
        <f t="shared" si="124"/>
        <v>-1.2978690534996673E-2</v>
      </c>
      <c r="P1206" s="2"/>
    </row>
    <row r="1207" spans="1:16" x14ac:dyDescent="0.3">
      <c r="A1207" s="3">
        <v>45974</v>
      </c>
      <c r="B1207" s="2">
        <v>25906.1</v>
      </c>
      <c r="C1207" s="2">
        <v>26010.7</v>
      </c>
      <c r="D1207" s="2">
        <v>25808.400000000001</v>
      </c>
      <c r="E1207" s="2">
        <v>25879.15</v>
      </c>
      <c r="F1207" s="2">
        <v>385170023</v>
      </c>
      <c r="G1207" s="2">
        <v>30145.74</v>
      </c>
      <c r="H1207" s="2">
        <f t="shared" si="128"/>
        <v>25711.334999999999</v>
      </c>
      <c r="I1207" s="2">
        <f t="shared" si="129"/>
        <v>25272.454000000009</v>
      </c>
      <c r="J1207" s="2">
        <f t="shared" si="127"/>
        <v>24413.07799999998</v>
      </c>
      <c r="K1207" s="2">
        <f t="shared" si="125"/>
        <v>3.3500000000021828</v>
      </c>
      <c r="L1207" s="7">
        <f t="shared" si="123"/>
        <v>1.2931317334535816E-4</v>
      </c>
      <c r="M1207" s="9"/>
      <c r="N1207" s="2">
        <f t="shared" si="126"/>
        <v>26216.05</v>
      </c>
      <c r="O1207" s="2">
        <f t="shared" si="124"/>
        <v>-1.2850906219663116E-2</v>
      </c>
      <c r="P1207" s="2"/>
    </row>
    <row r="1208" spans="1:16" x14ac:dyDescent="0.3">
      <c r="A1208" s="3">
        <v>45975</v>
      </c>
      <c r="B1208" s="2">
        <v>25767.9</v>
      </c>
      <c r="C1208" s="2">
        <v>25940.2</v>
      </c>
      <c r="D1208" s="2">
        <v>25740.799999999999</v>
      </c>
      <c r="E1208" s="2">
        <v>25910.05</v>
      </c>
      <c r="F1208" s="2">
        <v>518943416</v>
      </c>
      <c r="G1208" s="2">
        <v>33121.81</v>
      </c>
      <c r="H1208" s="2">
        <f t="shared" si="128"/>
        <v>25748.017499999998</v>
      </c>
      <c r="I1208" s="2">
        <f t="shared" si="129"/>
        <v>25297.536000000007</v>
      </c>
      <c r="J1208" s="2">
        <f t="shared" si="127"/>
        <v>24426.696999999982</v>
      </c>
      <c r="K1208" s="2">
        <f t="shared" si="125"/>
        <v>30.899999999997817</v>
      </c>
      <c r="L1208" s="7">
        <f t="shared" si="123"/>
        <v>1.1991664047127557E-3</v>
      </c>
      <c r="M1208" s="9"/>
      <c r="N1208" s="2">
        <f t="shared" si="126"/>
        <v>26216.05</v>
      </c>
      <c r="O1208" s="2">
        <f t="shared" si="124"/>
        <v>-1.1672238952855185E-2</v>
      </c>
      <c r="P1208" s="2"/>
    </row>
    <row r="1209" spans="1:16" x14ac:dyDescent="0.3">
      <c r="A1209" s="3">
        <v>45978</v>
      </c>
      <c r="B1209" s="2">
        <v>25948.2</v>
      </c>
      <c r="C1209" s="2">
        <v>26024.2</v>
      </c>
      <c r="D1209" s="2">
        <v>25906.35</v>
      </c>
      <c r="E1209" s="2">
        <v>26013.45</v>
      </c>
      <c r="F1209" s="2">
        <v>264610565</v>
      </c>
      <c r="G1209" s="2">
        <v>23384.35</v>
      </c>
      <c r="H1209" s="2">
        <f t="shared" si="128"/>
        <v>25777.342499999999</v>
      </c>
      <c r="I1209" s="2">
        <f t="shared" si="129"/>
        <v>25324.145000000004</v>
      </c>
      <c r="J1209" s="2">
        <f t="shared" si="127"/>
        <v>24440.220499999985</v>
      </c>
      <c r="K1209" s="2">
        <f t="shared" si="125"/>
        <v>103.40000000000146</v>
      </c>
      <c r="L1209" s="7">
        <f t="shared" si="123"/>
        <v>3.9848621484342437E-3</v>
      </c>
      <c r="M1209" s="9"/>
      <c r="N1209" s="2">
        <f t="shared" si="126"/>
        <v>26216.05</v>
      </c>
      <c r="O1209" s="2">
        <f t="shared" si="124"/>
        <v>-7.7280902347988123E-3</v>
      </c>
      <c r="P1209" s="2"/>
    </row>
    <row r="1210" spans="1:16" x14ac:dyDescent="0.3">
      <c r="A1210" s="3">
        <v>45979</v>
      </c>
      <c r="B1210" s="2">
        <v>26021.8</v>
      </c>
      <c r="C1210" s="2">
        <v>26029.85</v>
      </c>
      <c r="D1210" s="2">
        <v>25876.5</v>
      </c>
      <c r="E1210" s="2">
        <v>25910.05</v>
      </c>
      <c r="F1210" s="2">
        <v>280000989</v>
      </c>
      <c r="G1210" s="2">
        <v>26059.599999999999</v>
      </c>
      <c r="H1210" s="2">
        <f t="shared" si="128"/>
        <v>25798.75</v>
      </c>
      <c r="I1210" s="2">
        <f t="shared" si="129"/>
        <v>25350.113000000001</v>
      </c>
      <c r="J1210" s="2">
        <f t="shared" si="127"/>
        <v>24454.826749999986</v>
      </c>
      <c r="K1210" s="2">
        <f t="shared" si="125"/>
        <v>-103.40000000000146</v>
      </c>
      <c r="L1210" s="7">
        <f t="shared" si="123"/>
        <v>-3.9735913733869857E-3</v>
      </c>
      <c r="M1210" s="9"/>
      <c r="N1210" s="2">
        <f t="shared" si="126"/>
        <v>26216.05</v>
      </c>
      <c r="O1210" s="2">
        <f t="shared" si="124"/>
        <v>-1.1672238952855185E-2</v>
      </c>
      <c r="P1210" s="2"/>
    </row>
    <row r="1211" spans="1:16" x14ac:dyDescent="0.3">
      <c r="A1211" s="3">
        <v>45980</v>
      </c>
      <c r="B1211" s="2">
        <v>25918.1</v>
      </c>
      <c r="C1211" s="2">
        <v>26074.65</v>
      </c>
      <c r="D1211" s="2">
        <v>25856.2</v>
      </c>
      <c r="E1211" s="2">
        <v>26052.65</v>
      </c>
      <c r="F1211" s="2">
        <v>250110008</v>
      </c>
      <c r="G1211" s="2">
        <v>24496.86</v>
      </c>
      <c r="H1211" s="2">
        <f t="shared" si="128"/>
        <v>25808.760000000002</v>
      </c>
      <c r="I1211" s="2">
        <f t="shared" si="129"/>
        <v>25373.628000000008</v>
      </c>
      <c r="J1211" s="2">
        <f t="shared" si="127"/>
        <v>24470.231249999975</v>
      </c>
      <c r="K1211" s="2">
        <f t="shared" si="125"/>
        <v>142.60000000000218</v>
      </c>
      <c r="L1211" s="7">
        <f t="shared" si="123"/>
        <v>5.5019465161413143E-3</v>
      </c>
      <c r="M1211" s="9"/>
      <c r="N1211" s="2">
        <f t="shared" si="126"/>
        <v>26216.05</v>
      </c>
      <c r="O1211" s="2">
        <f t="shared" si="124"/>
        <v>-6.2328230225376924E-3</v>
      </c>
      <c r="P1211" s="2"/>
    </row>
    <row r="1212" spans="1:16" x14ac:dyDescent="0.3">
      <c r="A1212" s="3">
        <v>45981</v>
      </c>
      <c r="B1212" s="2">
        <v>26132.1</v>
      </c>
      <c r="C1212" s="2">
        <v>26246.65</v>
      </c>
      <c r="D1212" s="2">
        <v>26063.200000000001</v>
      </c>
      <c r="E1212" s="2">
        <v>26192.15</v>
      </c>
      <c r="F1212" s="2">
        <v>240425729</v>
      </c>
      <c r="G1212" s="2">
        <v>25000.17</v>
      </c>
      <c r="H1212" s="2">
        <f t="shared" si="128"/>
        <v>25819.235000000001</v>
      </c>
      <c r="I1212" s="2">
        <f t="shared" si="129"/>
        <v>25399.861000000001</v>
      </c>
      <c r="J1212" s="2">
        <f t="shared" si="127"/>
        <v>24485.708249999978</v>
      </c>
      <c r="K1212" s="2">
        <f t="shared" si="125"/>
        <v>139.5</v>
      </c>
      <c r="L1212" s="7">
        <f t="shared" si="123"/>
        <v>5.3382621373712792E-3</v>
      </c>
      <c r="M1212" s="9"/>
      <c r="N1212" s="2">
        <f t="shared" si="126"/>
        <v>26216.05</v>
      </c>
      <c r="O1212" s="2">
        <f t="shared" si="124"/>
        <v>-9.1165526461833846E-4</v>
      </c>
      <c r="P1212" s="2"/>
    </row>
    <row r="1213" spans="1:16" x14ac:dyDescent="0.3">
      <c r="A1213" s="3">
        <v>45982</v>
      </c>
      <c r="B1213" s="2">
        <v>26109.55</v>
      </c>
      <c r="C1213" s="2">
        <v>26179.200000000001</v>
      </c>
      <c r="D1213" s="2">
        <v>26052.2</v>
      </c>
      <c r="E1213" s="2">
        <v>26068.15</v>
      </c>
      <c r="F1213" s="2">
        <v>235581427</v>
      </c>
      <c r="G1213" s="2">
        <v>24720.07</v>
      </c>
      <c r="H1213" s="2">
        <f t="shared" si="128"/>
        <v>25835.412500000002</v>
      </c>
      <c r="I1213" s="2">
        <f t="shared" si="129"/>
        <v>25428.240999999995</v>
      </c>
      <c r="J1213" s="2">
        <f t="shared" si="127"/>
        <v>24500.853499999983</v>
      </c>
      <c r="K1213" s="2">
        <f t="shared" si="125"/>
        <v>-124</v>
      </c>
      <c r="L1213" s="7">
        <f t="shared" si="123"/>
        <v>-4.7492201129471787E-3</v>
      </c>
      <c r="M1213" s="9"/>
      <c r="N1213" s="2">
        <f t="shared" si="126"/>
        <v>26216.05</v>
      </c>
      <c r="O1213" s="2">
        <f t="shared" si="124"/>
        <v>-5.6415821605465544E-3</v>
      </c>
      <c r="P1213" s="2"/>
    </row>
    <row r="1214" spans="1:16" x14ac:dyDescent="0.3">
      <c r="A1214" s="3">
        <v>45985</v>
      </c>
      <c r="B1214" s="2">
        <v>26122.799999999999</v>
      </c>
      <c r="C1214" s="2">
        <v>26142.799999999999</v>
      </c>
      <c r="D1214" s="2">
        <v>25912.15</v>
      </c>
      <c r="E1214" s="2">
        <v>25959.5</v>
      </c>
      <c r="F1214" s="2">
        <v>464655063</v>
      </c>
      <c r="G1214" s="2">
        <v>44895.45</v>
      </c>
      <c r="H1214" s="2">
        <f t="shared" si="128"/>
        <v>25844.250000000004</v>
      </c>
      <c r="I1214" s="2">
        <f t="shared" si="129"/>
        <v>25452.231999999996</v>
      </c>
      <c r="J1214" s="2">
        <f t="shared" si="127"/>
        <v>24514.946749999985</v>
      </c>
      <c r="K1214" s="2">
        <f t="shared" si="125"/>
        <v>-108.65000000000146</v>
      </c>
      <c r="L1214" s="7">
        <f t="shared" si="123"/>
        <v>-4.1592019232242127E-3</v>
      </c>
      <c r="M1214" s="9"/>
      <c r="N1214" s="2">
        <f t="shared" si="126"/>
        <v>26216.05</v>
      </c>
      <c r="O1214" s="2">
        <f t="shared" si="124"/>
        <v>-9.7859898802450385E-3</v>
      </c>
      <c r="P1214" s="2"/>
    </row>
    <row r="1215" spans="1:16" x14ac:dyDescent="0.3">
      <c r="A1215" s="3">
        <v>45986</v>
      </c>
      <c r="B1215" s="2">
        <v>25998.5</v>
      </c>
      <c r="C1215" s="2">
        <v>26032.6</v>
      </c>
      <c r="D1215" s="2">
        <v>25857.5</v>
      </c>
      <c r="E1215" s="2">
        <v>25884.799999999999</v>
      </c>
      <c r="F1215" s="2">
        <v>260454909</v>
      </c>
      <c r="G1215" s="2">
        <v>25320.15</v>
      </c>
      <c r="H1215" s="2">
        <f t="shared" si="128"/>
        <v>25852.467500000006</v>
      </c>
      <c r="I1215" s="2">
        <f t="shared" si="129"/>
        <v>25471.959999999995</v>
      </c>
      <c r="J1215" s="2">
        <f t="shared" si="127"/>
        <v>24527.202249999984</v>
      </c>
      <c r="K1215" s="2">
        <f t="shared" si="125"/>
        <v>-74.700000000000728</v>
      </c>
      <c r="L1215" s="7">
        <f t="shared" si="123"/>
        <v>-2.8732426870781286E-3</v>
      </c>
      <c r="M1215" s="9"/>
      <c r="N1215" s="2">
        <f t="shared" si="126"/>
        <v>26216.05</v>
      </c>
      <c r="O1215" s="2">
        <f t="shared" si="124"/>
        <v>-1.2635389389324514E-2</v>
      </c>
      <c r="P1215" s="2"/>
    </row>
    <row r="1216" spans="1:16" x14ac:dyDescent="0.3">
      <c r="A1216" s="3">
        <v>45987</v>
      </c>
      <c r="B1216" s="2">
        <v>25842.95</v>
      </c>
      <c r="C1216" s="2">
        <v>26215.15</v>
      </c>
      <c r="D1216" s="2">
        <v>25842.95</v>
      </c>
      <c r="E1216" s="2">
        <v>26205.3</v>
      </c>
      <c r="F1216" s="2">
        <v>275265169</v>
      </c>
      <c r="G1216" s="2">
        <v>31666.03</v>
      </c>
      <c r="H1216" s="2">
        <f t="shared" si="128"/>
        <v>25848.405000000006</v>
      </c>
      <c r="I1216" s="2">
        <f t="shared" si="129"/>
        <v>25489.545999999995</v>
      </c>
      <c r="J1216" s="2">
        <f t="shared" si="127"/>
        <v>24539.215499999984</v>
      </c>
      <c r="K1216" s="2">
        <f t="shared" si="125"/>
        <v>320.5</v>
      </c>
      <c r="L1216" s="7">
        <f t="shared" si="123"/>
        <v>1.2401834929835796E-2</v>
      </c>
      <c r="M1216" s="9"/>
      <c r="N1216" s="2">
        <f t="shared" si="126"/>
        <v>26216.05</v>
      </c>
      <c r="O1216" s="2">
        <f t="shared" si="124"/>
        <v>-4.1005414621964054E-4</v>
      </c>
      <c r="P1216" s="2"/>
    </row>
    <row r="1217" spans="1:16" x14ac:dyDescent="0.3">
      <c r="A1217" s="3">
        <v>45988</v>
      </c>
      <c r="B1217" s="2">
        <v>26261.25</v>
      </c>
      <c r="C1217" s="2">
        <v>26310.45</v>
      </c>
      <c r="D1217" s="2">
        <v>26141.9</v>
      </c>
      <c r="E1217" s="2">
        <v>26215.55</v>
      </c>
      <c r="F1217" s="2">
        <v>240287057</v>
      </c>
      <c r="G1217" s="2">
        <v>25306.47</v>
      </c>
      <c r="H1217" s="2">
        <f t="shared" si="128"/>
        <v>25861.860000000004</v>
      </c>
      <c r="I1217" s="2">
        <f t="shared" si="129"/>
        <v>25511.371999999996</v>
      </c>
      <c r="J1217" s="2">
        <f t="shared" si="127"/>
        <v>24553.436749999983</v>
      </c>
      <c r="K1217" s="2">
        <f t="shared" si="125"/>
        <v>10.25</v>
      </c>
      <c r="L1217" s="7">
        <f t="shared" si="123"/>
        <v>3.9030891522680755E-4</v>
      </c>
      <c r="M1217" s="9"/>
      <c r="N1217" s="2">
        <f t="shared" si="126"/>
        <v>26216.05</v>
      </c>
      <c r="O1217" s="2">
        <f t="shared" si="124"/>
        <v>-1.9072285870724848E-5</v>
      </c>
      <c r="P1217" s="2"/>
    </row>
    <row r="1218" spans="1:16" x14ac:dyDescent="0.3">
      <c r="A1218" s="3">
        <v>45989</v>
      </c>
      <c r="B1218" s="2">
        <v>26237.45</v>
      </c>
      <c r="C1218" s="2">
        <v>26280.75</v>
      </c>
      <c r="D1218" s="2">
        <v>26172.400000000001</v>
      </c>
      <c r="E1218" s="2">
        <v>26202.95</v>
      </c>
      <c r="F1218" s="2">
        <v>202511545</v>
      </c>
      <c r="G1218" s="2">
        <v>20525.36</v>
      </c>
      <c r="H1218" s="2">
        <f t="shared" si="128"/>
        <v>25869.942500000001</v>
      </c>
      <c r="I1218" s="2">
        <f t="shared" si="129"/>
        <v>25534.298999999999</v>
      </c>
      <c r="J1218" s="2">
        <f t="shared" si="127"/>
        <v>24565.818249999982</v>
      </c>
      <c r="K1218" s="2">
        <f t="shared" si="125"/>
        <v>-12.599999999998545</v>
      </c>
      <c r="L1218" s="7">
        <f t="shared" si="123"/>
        <v>-4.8022959548273727E-4</v>
      </c>
      <c r="M1218" s="9"/>
      <c r="N1218" s="2">
        <f t="shared" si="126"/>
        <v>26216.05</v>
      </c>
      <c r="O1218" s="2">
        <f t="shared" si="124"/>
        <v>-4.9969388981174756E-4</v>
      </c>
      <c r="P1218" s="2"/>
    </row>
    <row r="1219" spans="1:16" x14ac:dyDescent="0.3">
      <c r="A1219" s="3">
        <v>45992</v>
      </c>
      <c r="B1219" s="2">
        <v>26325.8</v>
      </c>
      <c r="C1219" s="2">
        <v>26325.8</v>
      </c>
      <c r="D1219" s="2">
        <v>26124.2</v>
      </c>
      <c r="E1219" s="2">
        <v>26175.75</v>
      </c>
      <c r="F1219" s="2">
        <v>213828573</v>
      </c>
      <c r="G1219" s="2">
        <v>21734.75</v>
      </c>
      <c r="H1219" s="2">
        <f t="shared" si="128"/>
        <v>25886.197500000002</v>
      </c>
      <c r="I1219" s="2">
        <f t="shared" si="129"/>
        <v>25553.575999999997</v>
      </c>
      <c r="J1219" s="2">
        <f t="shared" si="127"/>
        <v>24578.351499999986</v>
      </c>
      <c r="K1219" s="2">
        <f t="shared" si="125"/>
        <v>-27.200000000000728</v>
      </c>
      <c r="L1219" s="7">
        <f t="shared" ref="L1219:L1240" si="130">(K1219/(B1219))</f>
        <v>-1.0332069680693741E-3</v>
      </c>
      <c r="M1219" s="9"/>
      <c r="N1219" s="2">
        <f t="shared" si="126"/>
        <v>26216.05</v>
      </c>
      <c r="O1219" s="2">
        <f t="shared" ref="O1219:O1240" si="131">(E1219/N1219)-1</f>
        <v>-1.5372262411766924E-3</v>
      </c>
      <c r="P1219" s="2"/>
    </row>
    <row r="1220" spans="1:16" x14ac:dyDescent="0.3">
      <c r="A1220" s="3">
        <v>45993</v>
      </c>
      <c r="B1220" s="2">
        <v>26087.95</v>
      </c>
      <c r="C1220" s="2">
        <v>26154.6</v>
      </c>
      <c r="D1220" s="2">
        <v>25997.85</v>
      </c>
      <c r="E1220" s="2">
        <v>26032.2</v>
      </c>
      <c r="F1220" s="2">
        <v>254803113</v>
      </c>
      <c r="G1220" s="2">
        <v>26298.82</v>
      </c>
      <c r="H1220" s="2">
        <f t="shared" si="128"/>
        <v>25908.880000000001</v>
      </c>
      <c r="I1220" s="2">
        <f t="shared" si="129"/>
        <v>25570.485999999997</v>
      </c>
      <c r="J1220" s="2">
        <f t="shared" si="127"/>
        <v>24591.213499999987</v>
      </c>
      <c r="K1220" s="2">
        <f t="shared" ref="K1220:K1240" si="132">E1220-E1219</f>
        <v>-143.54999999999927</v>
      </c>
      <c r="L1220" s="7">
        <f t="shared" si="130"/>
        <v>-5.502540444918028E-3</v>
      </c>
      <c r="M1220" s="9"/>
      <c r="N1220" s="2">
        <f t="shared" si="126"/>
        <v>26216.05</v>
      </c>
      <c r="O1220" s="2">
        <f t="shared" si="131"/>
        <v>-7.0128795146484624E-3</v>
      </c>
      <c r="P1220" s="2"/>
    </row>
    <row r="1221" spans="1:16" x14ac:dyDescent="0.3">
      <c r="A1221" s="3">
        <v>45994</v>
      </c>
      <c r="B1221" s="2">
        <v>26004.9</v>
      </c>
      <c r="C1221" s="2">
        <v>26066.45</v>
      </c>
      <c r="D1221" s="2">
        <v>25891</v>
      </c>
      <c r="E1221" s="2">
        <v>25986</v>
      </c>
      <c r="F1221" s="2">
        <v>265660108</v>
      </c>
      <c r="G1221" s="2">
        <v>25320.85</v>
      </c>
      <c r="H1221" s="2">
        <f t="shared" si="128"/>
        <v>25922.322500000002</v>
      </c>
      <c r="I1221" s="2">
        <f t="shared" si="129"/>
        <v>25582.657999999999</v>
      </c>
      <c r="J1221" s="2">
        <f t="shared" si="127"/>
        <v>24603.574749999985</v>
      </c>
      <c r="K1221" s="2">
        <f t="shared" si="132"/>
        <v>-46.200000000000728</v>
      </c>
      <c r="L1221" s="7">
        <f t="shared" si="130"/>
        <v>-1.7765882583667203E-3</v>
      </c>
      <c r="M1221" s="9"/>
      <c r="N1221" s="2">
        <f t="shared" ref="N1221:N1240" si="133">MAX(N1220,E1221)</f>
        <v>26216.05</v>
      </c>
      <c r="O1221" s="2">
        <f t="shared" si="131"/>
        <v>-8.775158729099175E-3</v>
      </c>
      <c r="P1221" s="2"/>
    </row>
    <row r="1222" spans="1:16" x14ac:dyDescent="0.3">
      <c r="A1222" s="3">
        <v>45995</v>
      </c>
      <c r="B1222" s="2">
        <v>25981.85</v>
      </c>
      <c r="C1222" s="2">
        <v>26098.25</v>
      </c>
      <c r="D1222" s="2">
        <v>25938.95</v>
      </c>
      <c r="E1222" s="2">
        <v>26033.75</v>
      </c>
      <c r="F1222" s="2">
        <v>248099545</v>
      </c>
      <c r="G1222" s="2">
        <v>26377.759999999998</v>
      </c>
      <c r="H1222" s="2">
        <f t="shared" si="128"/>
        <v>25941.739999999998</v>
      </c>
      <c r="I1222" s="2">
        <f t="shared" si="129"/>
        <v>25595.837000000003</v>
      </c>
      <c r="J1222" s="2">
        <f t="shared" si="127"/>
        <v>24616.596749999982</v>
      </c>
      <c r="K1222" s="2">
        <f t="shared" si="132"/>
        <v>47.75</v>
      </c>
      <c r="L1222" s="7">
        <f t="shared" si="130"/>
        <v>1.837821402248108E-3</v>
      </c>
      <c r="M1222" s="9"/>
      <c r="N1222" s="2">
        <f t="shared" si="133"/>
        <v>26216.05</v>
      </c>
      <c r="O1222" s="2">
        <f t="shared" si="131"/>
        <v>-6.9537554284493375E-3</v>
      </c>
      <c r="P1222" s="2"/>
    </row>
    <row r="1223" spans="1:16" x14ac:dyDescent="0.3">
      <c r="A1223" s="3">
        <v>45996</v>
      </c>
      <c r="B1223" s="2">
        <v>25999.8</v>
      </c>
      <c r="C1223" s="2">
        <v>26202.6</v>
      </c>
      <c r="D1223" s="2">
        <v>25985.35</v>
      </c>
      <c r="E1223" s="2">
        <v>26186.45</v>
      </c>
      <c r="F1223" s="2">
        <v>249254405</v>
      </c>
      <c r="G1223" s="2">
        <v>27491.07</v>
      </c>
      <c r="H1223" s="2">
        <f t="shared" si="128"/>
        <v>25967.942499999997</v>
      </c>
      <c r="I1223" s="2">
        <f t="shared" si="129"/>
        <v>25612.465</v>
      </c>
      <c r="J1223" s="2">
        <f t="shared" si="127"/>
        <v>24631.406499999986</v>
      </c>
      <c r="K1223" s="2">
        <f t="shared" si="132"/>
        <v>152.70000000000073</v>
      </c>
      <c r="L1223" s="7">
        <f t="shared" si="130"/>
        <v>5.8731221009392662E-3</v>
      </c>
      <c r="M1223" s="9"/>
      <c r="N1223" s="2">
        <f t="shared" si="133"/>
        <v>26216.05</v>
      </c>
      <c r="O1223" s="2">
        <f t="shared" si="131"/>
        <v>-1.1290793235441132E-3</v>
      </c>
      <c r="P1223" s="2"/>
    </row>
    <row r="1224" spans="1:16" x14ac:dyDescent="0.3">
      <c r="A1224" s="3">
        <v>45999</v>
      </c>
      <c r="B1224" s="2">
        <v>26159.8</v>
      </c>
      <c r="C1224" s="2">
        <v>26178.7</v>
      </c>
      <c r="D1224" s="2">
        <v>25892.25</v>
      </c>
      <c r="E1224" s="2">
        <v>25960.55</v>
      </c>
      <c r="F1224" s="2">
        <v>320729920</v>
      </c>
      <c r="G1224" s="2">
        <v>31677.57</v>
      </c>
      <c r="H1224" s="2">
        <f t="shared" si="128"/>
        <v>26002.65</v>
      </c>
      <c r="I1224" s="2">
        <f t="shared" si="129"/>
        <v>25632.804</v>
      </c>
      <c r="J1224" s="2">
        <f t="shared" si="127"/>
        <v>24647.112499999981</v>
      </c>
      <c r="K1224" s="2">
        <f t="shared" si="132"/>
        <v>-225.90000000000146</v>
      </c>
      <c r="L1224" s="7">
        <f t="shared" si="130"/>
        <v>-8.635387120696697E-3</v>
      </c>
      <c r="M1224" s="9"/>
      <c r="N1224" s="2">
        <f t="shared" si="133"/>
        <v>26216.05</v>
      </c>
      <c r="O1224" s="2">
        <f t="shared" si="131"/>
        <v>-9.7459380799166384E-3</v>
      </c>
      <c r="P1224" s="2"/>
    </row>
    <row r="1225" spans="1:16" x14ac:dyDescent="0.3">
      <c r="A1225" s="3">
        <v>46000</v>
      </c>
      <c r="B1225" s="2">
        <v>25867.1</v>
      </c>
      <c r="C1225" s="2">
        <v>25923.65</v>
      </c>
      <c r="D1225" s="2">
        <v>25728</v>
      </c>
      <c r="E1225" s="2">
        <v>25839.65</v>
      </c>
      <c r="F1225" s="2">
        <v>275978160</v>
      </c>
      <c r="G1225" s="2">
        <v>29894.41</v>
      </c>
      <c r="H1225" s="2">
        <f t="shared" si="128"/>
        <v>26021.96</v>
      </c>
      <c r="I1225" s="2">
        <f t="shared" si="129"/>
        <v>25650.877</v>
      </c>
      <c r="J1225" s="2">
        <f t="shared" si="127"/>
        <v>24661.758249999984</v>
      </c>
      <c r="K1225" s="2">
        <f t="shared" si="132"/>
        <v>-120.89999999999782</v>
      </c>
      <c r="L1225" s="7">
        <f t="shared" si="130"/>
        <v>-4.6738907724483154E-3</v>
      </c>
      <c r="M1225" s="9"/>
      <c r="N1225" s="2">
        <f t="shared" si="133"/>
        <v>26216.05</v>
      </c>
      <c r="O1225" s="2">
        <f t="shared" si="131"/>
        <v>-1.4357616803446716E-2</v>
      </c>
      <c r="P1225" s="2"/>
    </row>
    <row r="1226" spans="1:16" x14ac:dyDescent="0.3">
      <c r="A1226" s="3">
        <v>46001</v>
      </c>
      <c r="B1226" s="2">
        <v>25864.05</v>
      </c>
      <c r="C1226" s="2">
        <v>25947.65</v>
      </c>
      <c r="D1226" s="2">
        <v>25734.55</v>
      </c>
      <c r="E1226" s="2">
        <v>25758</v>
      </c>
      <c r="F1226" s="2">
        <v>207944446</v>
      </c>
      <c r="G1226" s="2">
        <v>21975.7</v>
      </c>
      <c r="H1226" s="2">
        <f t="shared" si="128"/>
        <v>26029.195</v>
      </c>
      <c r="I1226" s="2">
        <f t="shared" si="129"/>
        <v>25669.852999999999</v>
      </c>
      <c r="J1226" s="2">
        <f t="shared" si="127"/>
        <v>24676.310249999984</v>
      </c>
      <c r="K1226" s="2">
        <f t="shared" si="132"/>
        <v>-81.650000000001455</v>
      </c>
      <c r="L1226" s="7">
        <f t="shared" si="130"/>
        <v>-3.1568915154433067E-3</v>
      </c>
      <c r="M1226" s="9"/>
      <c r="N1226" s="2">
        <f t="shared" si="133"/>
        <v>26216.05</v>
      </c>
      <c r="O1226" s="2">
        <f t="shared" si="131"/>
        <v>-1.74721210861285E-2</v>
      </c>
      <c r="P1226" s="2"/>
    </row>
    <row r="1227" spans="1:16" x14ac:dyDescent="0.3">
      <c r="A1227" s="3">
        <v>46002</v>
      </c>
      <c r="B1227" s="2">
        <v>25771.4</v>
      </c>
      <c r="C1227" s="2">
        <v>25922.799999999999</v>
      </c>
      <c r="D1227" s="2">
        <v>25693.25</v>
      </c>
      <c r="E1227" s="2">
        <v>25898.55</v>
      </c>
      <c r="F1227" s="2">
        <v>206099631</v>
      </c>
      <c r="G1227" s="2">
        <v>20145.189999999999</v>
      </c>
      <c r="H1227" s="2">
        <f t="shared" si="128"/>
        <v>26023.305</v>
      </c>
      <c r="I1227" s="2">
        <f t="shared" si="129"/>
        <v>25691.918999999998</v>
      </c>
      <c r="J1227" s="2">
        <f t="shared" ref="J1227:J1240" si="134">AVERAGE(E1027:E1226)</f>
        <v>24690.302749999984</v>
      </c>
      <c r="K1227" s="2">
        <f t="shared" si="132"/>
        <v>140.54999999999927</v>
      </c>
      <c r="L1227" s="7">
        <f t="shared" si="130"/>
        <v>5.4537200152106309E-3</v>
      </c>
      <c r="M1227" s="9"/>
      <c r="N1227" s="2">
        <f t="shared" si="133"/>
        <v>26216.05</v>
      </c>
      <c r="O1227" s="2">
        <f t="shared" si="131"/>
        <v>-1.2110901527880857E-2</v>
      </c>
      <c r="P1227" s="2"/>
    </row>
    <row r="1228" spans="1:16" x14ac:dyDescent="0.3">
      <c r="A1228" s="3">
        <v>46003</v>
      </c>
      <c r="B1228" s="2">
        <v>25971.200000000001</v>
      </c>
      <c r="C1228" s="2">
        <v>26057.599999999999</v>
      </c>
      <c r="D1228" s="2">
        <v>25938.45</v>
      </c>
      <c r="E1228" s="2">
        <v>26046.95</v>
      </c>
      <c r="F1228" s="2">
        <v>216344338</v>
      </c>
      <c r="G1228" s="2">
        <v>19484.07</v>
      </c>
      <c r="H1228" s="2">
        <f t="shared" si="128"/>
        <v>26024.275000000001</v>
      </c>
      <c r="I1228" s="2">
        <f t="shared" si="129"/>
        <v>25717.192000000003</v>
      </c>
      <c r="J1228" s="2">
        <f t="shared" si="134"/>
        <v>24705.068999999989</v>
      </c>
      <c r="K1228" s="2">
        <f t="shared" si="132"/>
        <v>148.40000000000146</v>
      </c>
      <c r="L1228" s="7">
        <f t="shared" si="130"/>
        <v>5.7140216855594448E-3</v>
      </c>
      <c r="M1228" s="9"/>
      <c r="N1228" s="2">
        <f t="shared" si="133"/>
        <v>26216.05</v>
      </c>
      <c r="O1228" s="2">
        <f t="shared" si="131"/>
        <v>-6.4502470814633561E-3</v>
      </c>
      <c r="P1228" s="2"/>
    </row>
    <row r="1229" spans="1:16" x14ac:dyDescent="0.3">
      <c r="A1229" s="3">
        <v>46006</v>
      </c>
      <c r="B1229" s="2">
        <v>25930.05</v>
      </c>
      <c r="C1229" s="2">
        <v>26047.15</v>
      </c>
      <c r="D1229" s="2">
        <v>25904.75</v>
      </c>
      <c r="E1229" s="2">
        <v>26027.3</v>
      </c>
      <c r="F1229" s="2">
        <v>181557703</v>
      </c>
      <c r="G1229" s="2">
        <v>17444.03</v>
      </c>
      <c r="H1229" s="2">
        <f t="shared" si="128"/>
        <v>26031.119999999999</v>
      </c>
      <c r="I1229" s="2">
        <f t="shared" si="129"/>
        <v>25745.909</v>
      </c>
      <c r="J1229" s="2">
        <f t="shared" si="134"/>
        <v>24720.639249999993</v>
      </c>
      <c r="K1229" s="2">
        <f t="shared" si="132"/>
        <v>-19.650000000001455</v>
      </c>
      <c r="L1229" s="7">
        <f t="shared" si="130"/>
        <v>-7.5780802582337697E-4</v>
      </c>
      <c r="M1229" s="9"/>
      <c r="N1229" s="2">
        <f t="shared" si="133"/>
        <v>26216.05</v>
      </c>
      <c r="O1229" s="2">
        <f t="shared" si="131"/>
        <v>-7.199787916181144E-3</v>
      </c>
      <c r="P1229" s="2"/>
    </row>
    <row r="1230" spans="1:16" x14ac:dyDescent="0.3">
      <c r="A1230" s="3">
        <v>46007</v>
      </c>
      <c r="B1230" s="2">
        <v>25951.5</v>
      </c>
      <c r="C1230" s="2">
        <v>25980.75</v>
      </c>
      <c r="D1230" s="2">
        <v>25834.35</v>
      </c>
      <c r="E1230" s="2">
        <v>25860.1</v>
      </c>
      <c r="F1230" s="2">
        <v>264351195</v>
      </c>
      <c r="G1230" s="2">
        <v>23554.69</v>
      </c>
      <c r="H1230" s="2">
        <f t="shared" si="128"/>
        <v>26031.8125</v>
      </c>
      <c r="I1230" s="2">
        <f t="shared" si="129"/>
        <v>25769.729000000003</v>
      </c>
      <c r="J1230" s="2">
        <f t="shared" si="134"/>
        <v>24736.209999999992</v>
      </c>
      <c r="K1230" s="2">
        <f t="shared" si="132"/>
        <v>-167.20000000000073</v>
      </c>
      <c r="L1230" s="7">
        <f t="shared" si="130"/>
        <v>-6.4427875074658776E-3</v>
      </c>
      <c r="M1230" s="9"/>
      <c r="N1230" s="2">
        <f t="shared" si="133"/>
        <v>26216.05</v>
      </c>
      <c r="O1230" s="2">
        <f t="shared" si="131"/>
        <v>-1.3577560311336057E-2</v>
      </c>
      <c r="P1230" s="2"/>
    </row>
    <row r="1231" spans="1:16" x14ac:dyDescent="0.3">
      <c r="A1231" s="3">
        <v>46008</v>
      </c>
      <c r="B1231" s="2">
        <v>25902.400000000001</v>
      </c>
      <c r="C1231" s="2">
        <v>25929.15</v>
      </c>
      <c r="D1231" s="2">
        <v>25770.35</v>
      </c>
      <c r="E1231" s="2">
        <v>25818.55</v>
      </c>
      <c r="F1231" s="2">
        <v>206521258</v>
      </c>
      <c r="G1231" s="2">
        <v>19787.57</v>
      </c>
      <c r="H1231" s="2">
        <f t="shared" si="128"/>
        <v>26029.314999999999</v>
      </c>
      <c r="I1231" s="2">
        <f t="shared" si="129"/>
        <v>25789.046000000002</v>
      </c>
      <c r="J1231" s="2">
        <f t="shared" si="134"/>
        <v>24751.530999999988</v>
      </c>
      <c r="K1231" s="2">
        <f t="shared" si="132"/>
        <v>-41.549999999999272</v>
      </c>
      <c r="L1231" s="7">
        <f t="shared" si="130"/>
        <v>-1.6040984619185585E-3</v>
      </c>
      <c r="M1231" s="9"/>
      <c r="N1231" s="2">
        <f t="shared" si="133"/>
        <v>26216.05</v>
      </c>
      <c r="O1231" s="2">
        <f t="shared" si="131"/>
        <v>-1.5162467267189395E-2</v>
      </c>
      <c r="P1231" s="2"/>
    </row>
    <row r="1232" spans="1:16" x14ac:dyDescent="0.3">
      <c r="A1232" s="3">
        <v>46009</v>
      </c>
      <c r="B1232" s="2">
        <v>25764.7</v>
      </c>
      <c r="C1232" s="2">
        <v>25902.35</v>
      </c>
      <c r="D1232" s="2">
        <v>25726.3</v>
      </c>
      <c r="E1232" s="2">
        <v>25815.55</v>
      </c>
      <c r="F1232" s="2">
        <v>197553755</v>
      </c>
      <c r="G1232" s="2">
        <v>20046.07</v>
      </c>
      <c r="H1232" s="2">
        <f t="shared" si="128"/>
        <v>26017.61</v>
      </c>
      <c r="I1232" s="2">
        <f t="shared" si="129"/>
        <v>25803.864000000005</v>
      </c>
      <c r="J1232" s="2">
        <f t="shared" si="134"/>
        <v>24767.856999999989</v>
      </c>
      <c r="K1232" s="2">
        <f t="shared" si="132"/>
        <v>-3</v>
      </c>
      <c r="L1232" s="7">
        <f t="shared" si="130"/>
        <v>-1.1643838274848921E-4</v>
      </c>
      <c r="M1232" s="9"/>
      <c r="N1232" s="2">
        <f t="shared" si="133"/>
        <v>26216.05</v>
      </c>
      <c r="O1232" s="2">
        <f t="shared" si="131"/>
        <v>-1.5276900982413411E-2</v>
      </c>
      <c r="P1232" s="2"/>
    </row>
    <row r="1233" spans="1:16" x14ac:dyDescent="0.3">
      <c r="A1233" s="3">
        <v>46010</v>
      </c>
      <c r="B1233" s="2">
        <v>25911.5</v>
      </c>
      <c r="C1233" s="2">
        <v>25993.35</v>
      </c>
      <c r="D1233" s="2">
        <v>25880.45</v>
      </c>
      <c r="E1233" s="2">
        <v>25966.400000000001</v>
      </c>
      <c r="F1233" s="2">
        <v>382927284</v>
      </c>
      <c r="G1233" s="2">
        <v>36600.58</v>
      </c>
      <c r="H1233" s="2">
        <f t="shared" si="128"/>
        <v>25998.78</v>
      </c>
      <c r="I1233" s="2">
        <f t="shared" si="129"/>
        <v>25818.009000000009</v>
      </c>
      <c r="J1233" s="2">
        <f t="shared" si="134"/>
        <v>24784.196999999989</v>
      </c>
      <c r="K1233" s="2">
        <f t="shared" si="132"/>
        <v>150.85000000000218</v>
      </c>
      <c r="L1233" s="7">
        <f t="shared" si="130"/>
        <v>5.8217393821277108E-3</v>
      </c>
      <c r="M1233" s="9"/>
      <c r="N1233" s="2">
        <f t="shared" si="133"/>
        <v>26216.05</v>
      </c>
      <c r="O1233" s="2">
        <f t="shared" si="131"/>
        <v>-9.5227923352296795E-3</v>
      </c>
      <c r="P1233" s="2"/>
    </row>
    <row r="1234" spans="1:16" x14ac:dyDescent="0.3">
      <c r="A1234" s="3">
        <v>46013</v>
      </c>
      <c r="B1234" s="2">
        <v>26055.85</v>
      </c>
      <c r="C1234" s="2">
        <v>26180.7</v>
      </c>
      <c r="D1234" s="2">
        <v>26047.8</v>
      </c>
      <c r="E1234" s="2">
        <v>26172.400000000001</v>
      </c>
      <c r="F1234" s="2">
        <v>252990050</v>
      </c>
      <c r="G1234" s="2">
        <v>25333.26</v>
      </c>
      <c r="H1234" s="2">
        <f t="shared" si="128"/>
        <v>25993.692500000001</v>
      </c>
      <c r="I1234" s="2">
        <f t="shared" si="129"/>
        <v>25836.414000000004</v>
      </c>
      <c r="J1234" s="2">
        <f t="shared" si="134"/>
        <v>24801.303749999992</v>
      </c>
      <c r="K1234" s="2">
        <f t="shared" si="132"/>
        <v>206</v>
      </c>
      <c r="L1234" s="7">
        <f t="shared" si="130"/>
        <v>7.9060940249502509E-3</v>
      </c>
      <c r="M1234" s="9"/>
      <c r="N1234" s="2">
        <f t="shared" si="133"/>
        <v>26216.05</v>
      </c>
      <c r="O1234" s="2">
        <f t="shared" si="131"/>
        <v>-1.6650105565101381E-3</v>
      </c>
      <c r="P1234" s="2"/>
    </row>
    <row r="1235" spans="1:16" x14ac:dyDescent="0.3">
      <c r="A1235" s="3">
        <v>46014</v>
      </c>
      <c r="B1235" s="2">
        <v>26205.200000000001</v>
      </c>
      <c r="C1235" s="2">
        <v>26233.55</v>
      </c>
      <c r="D1235" s="2">
        <v>26119.05</v>
      </c>
      <c r="E1235" s="2">
        <v>26177.15</v>
      </c>
      <c r="F1235" s="2">
        <v>216553840</v>
      </c>
      <c r="G1235" s="2">
        <v>19670.5</v>
      </c>
      <c r="H1235" s="2">
        <f t="shared" si="128"/>
        <v>26004.337500000001</v>
      </c>
      <c r="I1235" s="2">
        <f t="shared" si="129"/>
        <v>25856.226000000006</v>
      </c>
      <c r="J1235" s="2">
        <f t="shared" si="134"/>
        <v>24821.542249999991</v>
      </c>
      <c r="K1235" s="2">
        <f t="shared" si="132"/>
        <v>4.75</v>
      </c>
      <c r="L1235" s="7">
        <f t="shared" si="130"/>
        <v>1.8126173431227391E-4</v>
      </c>
      <c r="M1235" s="9"/>
      <c r="N1235" s="2">
        <f t="shared" si="133"/>
        <v>26216.05</v>
      </c>
      <c r="O1235" s="2">
        <f t="shared" si="131"/>
        <v>-1.4838238407387516E-3</v>
      </c>
      <c r="P1235" s="2"/>
    </row>
    <row r="1236" spans="1:16" x14ac:dyDescent="0.3">
      <c r="A1236" s="3">
        <v>46015</v>
      </c>
      <c r="B1236" s="2">
        <v>26170.65</v>
      </c>
      <c r="C1236" s="2">
        <v>26236.400000000001</v>
      </c>
      <c r="D1236" s="2">
        <v>26123</v>
      </c>
      <c r="E1236" s="2">
        <v>26142.1</v>
      </c>
      <c r="F1236" s="2">
        <v>188846828</v>
      </c>
      <c r="G1236" s="2">
        <v>17474.439999999999</v>
      </c>
      <c r="H1236" s="2">
        <f t="shared" si="128"/>
        <v>26018.955000000002</v>
      </c>
      <c r="I1236" s="2">
        <f t="shared" si="129"/>
        <v>25874.062000000002</v>
      </c>
      <c r="J1236" s="2">
        <f t="shared" si="134"/>
        <v>24841.8315</v>
      </c>
      <c r="K1236" s="2">
        <f t="shared" si="132"/>
        <v>-35.05000000000291</v>
      </c>
      <c r="L1236" s="7">
        <f t="shared" si="130"/>
        <v>-1.3392865672042118E-3</v>
      </c>
      <c r="M1236" s="9"/>
      <c r="N1236" s="2">
        <f t="shared" si="133"/>
        <v>26216.05</v>
      </c>
      <c r="O1236" s="2">
        <f t="shared" si="131"/>
        <v>-2.8207910802733327E-3</v>
      </c>
      <c r="P1236" s="2"/>
    </row>
    <row r="1237" spans="1:16" x14ac:dyDescent="0.3">
      <c r="A1237" s="3">
        <v>46017</v>
      </c>
      <c r="B1237" s="2">
        <v>26121.25</v>
      </c>
      <c r="C1237" s="2">
        <v>26144.2</v>
      </c>
      <c r="D1237" s="2">
        <v>26008.6</v>
      </c>
      <c r="E1237" s="2">
        <v>26042.3</v>
      </c>
      <c r="F1237" s="2">
        <v>142243763</v>
      </c>
      <c r="G1237" s="2">
        <v>12263.06</v>
      </c>
      <c r="H1237" s="2">
        <f t="shared" si="128"/>
        <v>26015.795000000002</v>
      </c>
      <c r="I1237" s="2">
        <f t="shared" si="129"/>
        <v>25892.357000000004</v>
      </c>
      <c r="J1237" s="2">
        <f t="shared" si="134"/>
        <v>24862.128749999989</v>
      </c>
      <c r="K1237" s="2">
        <f t="shared" si="132"/>
        <v>-99.799999999999272</v>
      </c>
      <c r="L1237" s="7">
        <f t="shared" si="130"/>
        <v>-3.8206441115949379E-3</v>
      </c>
      <c r="M1237" s="9"/>
      <c r="N1237" s="2">
        <f t="shared" si="133"/>
        <v>26216.05</v>
      </c>
      <c r="O1237" s="2">
        <f t="shared" si="131"/>
        <v>-6.6276193400607308E-3</v>
      </c>
      <c r="P1237" s="2"/>
    </row>
    <row r="1238" spans="1:16" x14ac:dyDescent="0.3">
      <c r="A1238" s="3">
        <v>46020</v>
      </c>
      <c r="B1238" s="2">
        <v>26063.35</v>
      </c>
      <c r="C1238" s="2">
        <v>26106.799999999999</v>
      </c>
      <c r="D1238" s="2">
        <v>25920.3</v>
      </c>
      <c r="E1238" s="2">
        <v>25942.1</v>
      </c>
      <c r="F1238" s="2">
        <v>234312888</v>
      </c>
      <c r="G1238" s="2">
        <v>18184.45</v>
      </c>
      <c r="H1238" s="2">
        <f t="shared" si="128"/>
        <v>26007.1325</v>
      </c>
      <c r="I1238" s="2">
        <f t="shared" si="129"/>
        <v>25910.293000000009</v>
      </c>
      <c r="J1238" s="2">
        <f t="shared" si="134"/>
        <v>24880.65374999999</v>
      </c>
      <c r="K1238" s="2">
        <f t="shared" si="132"/>
        <v>-100.20000000000073</v>
      </c>
      <c r="L1238" s="7">
        <f t="shared" si="130"/>
        <v>-3.844478933061204E-3</v>
      </c>
      <c r="M1238" s="9"/>
      <c r="N1238" s="2">
        <f t="shared" si="133"/>
        <v>26216.05</v>
      </c>
      <c r="O1238" s="2">
        <f t="shared" si="131"/>
        <v>-1.0449705428544731E-2</v>
      </c>
      <c r="P1238" s="2"/>
    </row>
    <row r="1239" spans="1:16" x14ac:dyDescent="0.3">
      <c r="A1239" s="3">
        <v>46021</v>
      </c>
      <c r="B1239" s="2">
        <v>25940.9</v>
      </c>
      <c r="C1239" s="2">
        <v>25976.75</v>
      </c>
      <c r="D1239" s="2">
        <v>25878</v>
      </c>
      <c r="E1239" s="2">
        <v>25938.85</v>
      </c>
      <c r="F1239" s="2">
        <v>396893959</v>
      </c>
      <c r="G1239" s="2">
        <v>39492.31</v>
      </c>
      <c r="H1239" s="2">
        <f t="shared" ref="H1239:H1240" si="135">AVERAGE(E1219:E1238)</f>
        <v>25994.089999999997</v>
      </c>
      <c r="I1239" s="2">
        <f t="shared" si="129"/>
        <v>25922.664000000004</v>
      </c>
      <c r="J1239" s="2">
        <f t="shared" si="134"/>
        <v>24897.640749999991</v>
      </c>
      <c r="K1239" s="2">
        <f t="shared" si="132"/>
        <v>-3.25</v>
      </c>
      <c r="L1239" s="7">
        <f t="shared" si="130"/>
        <v>-1.2528478194665565E-4</v>
      </c>
      <c r="M1239" s="9"/>
      <c r="N1239" s="2">
        <f t="shared" si="133"/>
        <v>26216.05</v>
      </c>
      <c r="O1239" s="2">
        <f t="shared" si="131"/>
        <v>-1.0573675286704165E-2</v>
      </c>
      <c r="P1239" s="2"/>
    </row>
    <row r="1240" spans="1:16" x14ac:dyDescent="0.3">
      <c r="A1240" s="3">
        <v>46022</v>
      </c>
      <c r="B1240" s="2">
        <v>25971.05</v>
      </c>
      <c r="C1240" s="2">
        <v>26187.95</v>
      </c>
      <c r="D1240" s="2">
        <v>25969</v>
      </c>
      <c r="E1240" s="2">
        <v>26129.599999999999</v>
      </c>
      <c r="F1240" s="2">
        <v>246314941</v>
      </c>
      <c r="G1240" s="2">
        <v>20703.990000000002</v>
      </c>
      <c r="H1240" s="2">
        <f t="shared" si="135"/>
        <v>25982.244999999999</v>
      </c>
      <c r="I1240" s="2">
        <f t="shared" si="129"/>
        <v>25929.735000000008</v>
      </c>
      <c r="J1240" s="2">
        <f t="shared" si="134"/>
        <v>24914.572499999991</v>
      </c>
      <c r="K1240" s="2">
        <f t="shared" si="132"/>
        <v>190.75</v>
      </c>
      <c r="L1240" s="7">
        <f t="shared" si="130"/>
        <v>7.3447165208953818E-3</v>
      </c>
      <c r="M1240" s="9"/>
      <c r="N1240" s="2">
        <f t="shared" si="133"/>
        <v>26216.05</v>
      </c>
      <c r="O1240" s="2">
        <f t="shared" si="131"/>
        <v>-3.2975982270403437E-3</v>
      </c>
      <c r="P1240" s="2"/>
    </row>
  </sheetData>
  <conditionalFormatting sqref="K3:K1240">
    <cfRule type="cellIs" dxfId="3" priority="4" operator="lessThan">
      <formula>0</formula>
    </cfRule>
  </conditionalFormatting>
  <conditionalFormatting sqref="K3:L1240">
    <cfRule type="cellIs" dxfId="2" priority="3" operator="greaterThan">
      <formula>0</formula>
    </cfRule>
  </conditionalFormatting>
  <conditionalFormatting sqref="L3:L1048576">
    <cfRule type="cellIs" dxfId="1" priority="2" operator="lessThan">
      <formula>0</formula>
    </cfRule>
  </conditionalFormatting>
  <conditionalFormatting sqref="O2:O1240">
    <cfRule type="cellIs" dxfId="0" priority="1" operator="equal">
      <formula>$P$2</formula>
    </cfRule>
  </conditionalFormatting>
  <pageMargins left="0.7" right="0.7" top="0.75" bottom="0.75" header="0.3" footer="0.3"/>
  <ignoredErrors>
    <ignoredError sqref="H22:H1240 I52:I1240 J202:J1240"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390C8-150B-4C23-A87C-A7F19637A80F}">
  <dimension ref="A1:B1240"/>
  <sheetViews>
    <sheetView workbookViewId="0">
      <selection activeCell="P12" sqref="P12"/>
    </sheetView>
  </sheetViews>
  <sheetFormatPr defaultRowHeight="14.4" x14ac:dyDescent="0.3"/>
  <cols>
    <col min="1" max="1" width="9.88671875" bestFit="1" customWidth="1"/>
    <col min="2" max="2" width="15.109375" bestFit="1" customWidth="1"/>
  </cols>
  <sheetData>
    <row r="1" spans="1:2" x14ac:dyDescent="0.3">
      <c r="A1" s="4" t="s">
        <v>0</v>
      </c>
      <c r="B1" s="4" t="s">
        <v>36</v>
      </c>
    </row>
    <row r="2" spans="1:2" x14ac:dyDescent="0.3">
      <c r="A2" s="3">
        <v>44197</v>
      </c>
      <c r="B2" s="18">
        <v>0</v>
      </c>
    </row>
    <row r="3" spans="1:2" x14ac:dyDescent="0.3">
      <c r="A3" s="3">
        <v>44200</v>
      </c>
      <c r="B3" s="2">
        <v>0</v>
      </c>
    </row>
    <row r="4" spans="1:2" x14ac:dyDescent="0.3">
      <c r="A4" s="3">
        <v>44201</v>
      </c>
      <c r="B4" s="2">
        <v>0</v>
      </c>
    </row>
    <row r="5" spans="1:2" x14ac:dyDescent="0.3">
      <c r="A5" s="3">
        <v>44202</v>
      </c>
      <c r="B5" s="2">
        <v>-3.7501320469031096E-3</v>
      </c>
    </row>
    <row r="6" spans="1:2" x14ac:dyDescent="0.3">
      <c r="A6" s="3">
        <v>44203</v>
      </c>
      <c r="B6" s="2">
        <v>-4.3769146800943792E-3</v>
      </c>
    </row>
    <row r="7" spans="1:2" x14ac:dyDescent="0.3">
      <c r="A7" s="3">
        <v>44204</v>
      </c>
      <c r="B7" s="2">
        <v>0</v>
      </c>
    </row>
    <row r="8" spans="1:2" x14ac:dyDescent="0.3">
      <c r="A8" s="3">
        <v>44207</v>
      </c>
      <c r="B8" s="2">
        <v>0</v>
      </c>
    </row>
    <row r="9" spans="1:2" x14ac:dyDescent="0.3">
      <c r="A9" s="3">
        <v>44208</v>
      </c>
      <c r="B9" s="2">
        <v>0</v>
      </c>
    </row>
    <row r="10" spans="1:2" x14ac:dyDescent="0.3">
      <c r="A10" s="3">
        <v>44209</v>
      </c>
      <c r="B10" s="2">
        <v>0</v>
      </c>
    </row>
    <row r="11" spans="1:2" x14ac:dyDescent="0.3">
      <c r="A11" s="3">
        <v>44210</v>
      </c>
      <c r="B11" s="2">
        <v>0</v>
      </c>
    </row>
    <row r="12" spans="1:2" x14ac:dyDescent="0.3">
      <c r="A12" s="3">
        <v>44211</v>
      </c>
      <c r="B12" s="2">
        <v>-1.1092384006138767E-2</v>
      </c>
    </row>
    <row r="13" spans="1:2" x14ac:dyDescent="0.3">
      <c r="A13" s="3">
        <v>44214</v>
      </c>
      <c r="B13" s="2">
        <v>-2.1533886924826717E-2</v>
      </c>
    </row>
    <row r="14" spans="1:2" x14ac:dyDescent="0.3">
      <c r="A14" s="3">
        <v>44215</v>
      </c>
      <c r="B14" s="2">
        <v>-5.1008523116555793E-3</v>
      </c>
    </row>
    <row r="15" spans="1:2" x14ac:dyDescent="0.3">
      <c r="A15" s="3">
        <v>44216</v>
      </c>
      <c r="B15" s="2">
        <v>0</v>
      </c>
    </row>
    <row r="16" spans="1:2" x14ac:dyDescent="0.3">
      <c r="A16" s="3">
        <v>44217</v>
      </c>
      <c r="B16" s="2">
        <v>-3.711240243910785E-3</v>
      </c>
    </row>
    <row r="17" spans="1:2" x14ac:dyDescent="0.3">
      <c r="A17" s="3">
        <v>44218</v>
      </c>
      <c r="B17" s="2">
        <v>-1.8627899513134483E-2</v>
      </c>
    </row>
    <row r="18" spans="1:2" x14ac:dyDescent="0.3">
      <c r="A18" s="3">
        <v>44221</v>
      </c>
      <c r="B18" s="2">
        <v>-2.7709683366678783E-2</v>
      </c>
    </row>
    <row r="19" spans="1:2" x14ac:dyDescent="0.3">
      <c r="A19" s="3">
        <v>44223</v>
      </c>
      <c r="B19" s="2">
        <v>-4.6241985155039078E-2</v>
      </c>
    </row>
    <row r="20" spans="1:2" x14ac:dyDescent="0.3">
      <c r="A20" s="3">
        <v>44224</v>
      </c>
      <c r="B20" s="2">
        <v>-5.6481184319241873E-2</v>
      </c>
    </row>
    <row r="21" spans="1:2" x14ac:dyDescent="0.3">
      <c r="A21" s="3">
        <v>44225</v>
      </c>
      <c r="B21" s="2">
        <v>-6.8973758424549558E-2</v>
      </c>
    </row>
    <row r="22" spans="1:2" x14ac:dyDescent="0.3">
      <c r="A22" s="3">
        <v>44228</v>
      </c>
      <c r="B22" s="2">
        <v>-2.482126639671689E-2</v>
      </c>
    </row>
    <row r="23" spans="1:2" x14ac:dyDescent="0.3">
      <c r="A23" s="3">
        <v>44229</v>
      </c>
      <c r="B23" s="2">
        <v>0</v>
      </c>
    </row>
    <row r="24" spans="1:2" x14ac:dyDescent="0.3">
      <c r="A24" s="3">
        <v>44230</v>
      </c>
      <c r="B24" s="2">
        <v>0</v>
      </c>
    </row>
    <row r="25" spans="1:2" x14ac:dyDescent="0.3">
      <c r="A25" s="3">
        <v>44231</v>
      </c>
      <c r="B25" s="2">
        <v>0</v>
      </c>
    </row>
    <row r="26" spans="1:2" x14ac:dyDescent="0.3">
      <c r="A26" s="3">
        <v>44232</v>
      </c>
      <c r="B26" s="2">
        <v>0</v>
      </c>
    </row>
    <row r="27" spans="1:2" x14ac:dyDescent="0.3">
      <c r="A27" s="3">
        <v>44235</v>
      </c>
      <c r="B27" s="2">
        <v>0</v>
      </c>
    </row>
    <row r="28" spans="1:2" x14ac:dyDescent="0.3">
      <c r="A28" s="3">
        <v>44236</v>
      </c>
      <c r="B28" s="2">
        <v>-4.3001362812422617E-4</v>
      </c>
    </row>
    <row r="29" spans="1:2" x14ac:dyDescent="0.3">
      <c r="A29" s="3">
        <v>44237</v>
      </c>
      <c r="B29" s="2">
        <v>-6.1525026793152193E-4</v>
      </c>
    </row>
    <row r="30" spans="1:2" x14ac:dyDescent="0.3">
      <c r="A30" s="3">
        <v>44238</v>
      </c>
      <c r="B30" s="2">
        <v>0</v>
      </c>
    </row>
    <row r="31" spans="1:2" x14ac:dyDescent="0.3">
      <c r="A31" s="3">
        <v>44239</v>
      </c>
      <c r="B31" s="2">
        <v>-6.5905241443853235E-4</v>
      </c>
    </row>
    <row r="32" spans="1:2" x14ac:dyDescent="0.3">
      <c r="A32" s="3">
        <v>44242</v>
      </c>
      <c r="B32" s="2">
        <v>0</v>
      </c>
    </row>
    <row r="33" spans="1:2" x14ac:dyDescent="0.3">
      <c r="A33" s="3">
        <v>44243</v>
      </c>
      <c r="B33" s="2">
        <v>-8.1620926299597052E-5</v>
      </c>
    </row>
    <row r="34" spans="1:2" x14ac:dyDescent="0.3">
      <c r="A34" s="3">
        <v>44244</v>
      </c>
      <c r="B34" s="2">
        <v>-6.9083952019954875E-3</v>
      </c>
    </row>
    <row r="35" spans="1:2" x14ac:dyDescent="0.3">
      <c r="A35" s="3">
        <v>44245</v>
      </c>
      <c r="B35" s="2">
        <v>-1.2781837058512435E-2</v>
      </c>
    </row>
    <row r="36" spans="1:2" x14ac:dyDescent="0.3">
      <c r="A36" s="3">
        <v>44246</v>
      </c>
      <c r="B36" s="2">
        <v>-2.1740549929153086E-2</v>
      </c>
    </row>
    <row r="37" spans="1:2" x14ac:dyDescent="0.3">
      <c r="A37" s="3">
        <v>44249</v>
      </c>
      <c r="B37" s="2">
        <v>-4.1724617524339314E-2</v>
      </c>
    </row>
    <row r="38" spans="1:2" x14ac:dyDescent="0.3">
      <c r="A38" s="3">
        <v>44250</v>
      </c>
      <c r="B38" s="2">
        <v>-3.9628592136966567E-2</v>
      </c>
    </row>
    <row r="39" spans="1:2" x14ac:dyDescent="0.3">
      <c r="A39" s="3">
        <v>44251</v>
      </c>
      <c r="B39" s="2">
        <v>-2.1724225743893211E-2</v>
      </c>
    </row>
    <row r="40" spans="1:2" x14ac:dyDescent="0.3">
      <c r="A40" s="3">
        <v>44252</v>
      </c>
      <c r="B40" s="2">
        <v>-1.4192246664968988E-2</v>
      </c>
    </row>
    <row r="41" spans="1:2" x14ac:dyDescent="0.3">
      <c r="A41" s="3">
        <v>44253</v>
      </c>
      <c r="B41" s="2">
        <v>-5.1293854923700866E-2</v>
      </c>
    </row>
    <row r="42" spans="1:2" x14ac:dyDescent="0.3">
      <c r="A42" s="3">
        <v>44256</v>
      </c>
      <c r="B42" s="2">
        <v>-3.6118892306085115E-2</v>
      </c>
    </row>
    <row r="43" spans="1:2" x14ac:dyDescent="0.3">
      <c r="A43" s="3">
        <v>44257</v>
      </c>
      <c r="B43" s="2">
        <v>-2.5831390755287398E-2</v>
      </c>
    </row>
    <row r="44" spans="1:2" x14ac:dyDescent="0.3">
      <c r="A44" s="3">
        <v>44258</v>
      </c>
      <c r="B44" s="2">
        <v>-4.5120048058401308E-3</v>
      </c>
    </row>
    <row r="45" spans="1:2" x14ac:dyDescent="0.3">
      <c r="A45" s="3">
        <v>44259</v>
      </c>
      <c r="B45" s="2">
        <v>-1.5276172566227264E-2</v>
      </c>
    </row>
    <row r="46" spans="1:2" x14ac:dyDescent="0.3">
      <c r="A46" s="3">
        <v>44260</v>
      </c>
      <c r="B46" s="2">
        <v>-2.4590752675534011E-2</v>
      </c>
    </row>
    <row r="47" spans="1:2" x14ac:dyDescent="0.3">
      <c r="A47" s="3">
        <v>44263</v>
      </c>
      <c r="B47" s="2">
        <v>-2.3408881662716263E-2</v>
      </c>
    </row>
    <row r="48" spans="1:2" x14ac:dyDescent="0.3">
      <c r="A48" s="3">
        <v>44264</v>
      </c>
      <c r="B48" s="2">
        <v>-1.4123685086877336E-2</v>
      </c>
    </row>
    <row r="49" spans="1:2" x14ac:dyDescent="0.3">
      <c r="A49" s="3">
        <v>44265</v>
      </c>
      <c r="B49" s="2">
        <v>-9.135014071447789E-3</v>
      </c>
    </row>
    <row r="50" spans="1:2" x14ac:dyDescent="0.3">
      <c r="A50" s="3">
        <v>44267</v>
      </c>
      <c r="B50" s="2">
        <v>-1.852795027000198E-2</v>
      </c>
    </row>
    <row r="51" spans="1:2" x14ac:dyDescent="0.3">
      <c r="A51" s="3">
        <v>44270</v>
      </c>
      <c r="B51" s="2">
        <v>-2.5152304648475066E-2</v>
      </c>
    </row>
    <row r="52" spans="1:2" x14ac:dyDescent="0.3">
      <c r="A52" s="3">
        <v>44271</v>
      </c>
      <c r="B52" s="2">
        <v>-2.6396207565280383E-2</v>
      </c>
    </row>
    <row r="53" spans="1:2" x14ac:dyDescent="0.3">
      <c r="A53" s="3">
        <v>44272</v>
      </c>
      <c r="B53" s="2">
        <v>-3.8747086132931208E-2</v>
      </c>
    </row>
    <row r="54" spans="1:2" x14ac:dyDescent="0.3">
      <c r="A54" s="3">
        <v>44273</v>
      </c>
      <c r="B54" s="2">
        <v>-4.941983845586273E-2</v>
      </c>
    </row>
    <row r="55" spans="1:2" x14ac:dyDescent="0.3">
      <c r="A55" s="3">
        <v>44274</v>
      </c>
      <c r="B55" s="2">
        <v>-3.726485011133096E-2</v>
      </c>
    </row>
    <row r="56" spans="1:2" x14ac:dyDescent="0.3">
      <c r="A56" s="3">
        <v>44277</v>
      </c>
      <c r="B56" s="2">
        <v>-3.7761105343232404E-2</v>
      </c>
    </row>
    <row r="57" spans="1:2" x14ac:dyDescent="0.3">
      <c r="A57" s="3">
        <v>44278</v>
      </c>
      <c r="B57" s="2">
        <v>-3.2645105682775455E-2</v>
      </c>
    </row>
    <row r="58" spans="1:2" x14ac:dyDescent="0.3">
      <c r="A58" s="3">
        <v>44279</v>
      </c>
      <c r="B58" s="2">
        <v>-4.9971595917647771E-2</v>
      </c>
    </row>
    <row r="59" spans="1:2" x14ac:dyDescent="0.3">
      <c r="A59" s="3">
        <v>44280</v>
      </c>
      <c r="B59" s="2">
        <v>-6.4630714281050272E-2</v>
      </c>
    </row>
    <row r="60" spans="1:2" x14ac:dyDescent="0.3">
      <c r="A60" s="3">
        <v>44281</v>
      </c>
      <c r="B60" s="2">
        <v>-5.2720588715417294E-2</v>
      </c>
    </row>
    <row r="61" spans="1:2" x14ac:dyDescent="0.3">
      <c r="A61" s="3">
        <v>44285</v>
      </c>
      <c r="B61" s="2">
        <v>-3.0663349592221834E-2</v>
      </c>
    </row>
    <row r="62" spans="1:2" x14ac:dyDescent="0.3">
      <c r="A62" s="3">
        <v>44286</v>
      </c>
      <c r="B62" s="2">
        <v>-4.0745166408744593E-2</v>
      </c>
    </row>
    <row r="63" spans="1:2" x14ac:dyDescent="0.3">
      <c r="A63" s="3">
        <v>44287</v>
      </c>
      <c r="B63" s="2">
        <v>-2.9210497104089517E-2</v>
      </c>
    </row>
    <row r="64" spans="1:2" x14ac:dyDescent="0.3">
      <c r="A64" s="3">
        <v>44291</v>
      </c>
      <c r="B64" s="2">
        <v>-4.4199364009742337E-2</v>
      </c>
    </row>
    <row r="65" spans="1:2" x14ac:dyDescent="0.3">
      <c r="A65" s="3">
        <v>44292</v>
      </c>
      <c r="B65" s="2">
        <v>-4.1215302944230148E-2</v>
      </c>
    </row>
    <row r="66" spans="1:2" x14ac:dyDescent="0.3">
      <c r="A66" s="3">
        <v>44293</v>
      </c>
      <c r="B66" s="2">
        <v>-3.2364329696304983E-2</v>
      </c>
    </row>
    <row r="67" spans="1:2" x14ac:dyDescent="0.3">
      <c r="A67" s="3">
        <v>44294</v>
      </c>
      <c r="B67" s="2">
        <v>-2.8789333124383809E-2</v>
      </c>
    </row>
    <row r="68" spans="1:2" x14ac:dyDescent="0.3">
      <c r="A68" s="3">
        <v>44295</v>
      </c>
      <c r="B68" s="2">
        <v>-3.1332641187878374E-2</v>
      </c>
    </row>
    <row r="69" spans="1:2" x14ac:dyDescent="0.3">
      <c r="A69" s="3">
        <v>44298</v>
      </c>
      <c r="B69" s="2">
        <v>-6.5551398329709465E-2</v>
      </c>
    </row>
    <row r="70" spans="1:2" x14ac:dyDescent="0.3">
      <c r="A70" s="3">
        <v>44299</v>
      </c>
      <c r="B70" s="2">
        <v>-5.2883830568016488E-2</v>
      </c>
    </row>
    <row r="71" spans="1:2" x14ac:dyDescent="0.3">
      <c r="A71" s="3">
        <v>44301</v>
      </c>
      <c r="B71" s="2">
        <v>-4.7878835367326844E-2</v>
      </c>
    </row>
    <row r="72" spans="1:2" x14ac:dyDescent="0.3">
      <c r="A72" s="3">
        <v>44302</v>
      </c>
      <c r="B72" s="2">
        <v>-4.5502033993483404E-2</v>
      </c>
    </row>
    <row r="73" spans="1:2" x14ac:dyDescent="0.3">
      <c r="A73" s="3">
        <v>44305</v>
      </c>
      <c r="B73" s="2">
        <v>-6.2374711878130151E-2</v>
      </c>
    </row>
    <row r="74" spans="1:2" x14ac:dyDescent="0.3">
      <c r="A74" s="3">
        <v>44306</v>
      </c>
      <c r="B74" s="2">
        <v>-6.6491671400680463E-2</v>
      </c>
    </row>
    <row r="75" spans="1:2" x14ac:dyDescent="0.3">
      <c r="A75" s="3">
        <v>44308</v>
      </c>
      <c r="B75" s="2">
        <v>-5.9325354071578351E-2</v>
      </c>
    </row>
    <row r="76" spans="1:2" x14ac:dyDescent="0.3">
      <c r="A76" s="3">
        <v>44309</v>
      </c>
      <c r="B76" s="2">
        <v>-6.3556582890947899E-2</v>
      </c>
    </row>
    <row r="77" spans="1:2" x14ac:dyDescent="0.3">
      <c r="A77" s="3">
        <v>44312</v>
      </c>
      <c r="B77" s="2">
        <v>-5.4176706040601541E-2</v>
      </c>
    </row>
    <row r="78" spans="1:2" x14ac:dyDescent="0.3">
      <c r="A78" s="3">
        <v>44313</v>
      </c>
      <c r="B78" s="2">
        <v>-4.320358870888763E-2</v>
      </c>
    </row>
    <row r="79" spans="1:2" x14ac:dyDescent="0.3">
      <c r="A79" s="3">
        <v>44314</v>
      </c>
      <c r="B79" s="2">
        <v>-2.9393327979000627E-2</v>
      </c>
    </row>
    <row r="80" spans="1:2" x14ac:dyDescent="0.3">
      <c r="A80" s="3">
        <v>44315</v>
      </c>
      <c r="B80" s="2">
        <v>-2.7411571888447117E-2</v>
      </c>
    </row>
    <row r="81" spans="1:2" x14ac:dyDescent="0.3">
      <c r="A81" s="3">
        <v>44316</v>
      </c>
      <c r="B81" s="2">
        <v>-4.463685217470803E-2</v>
      </c>
    </row>
    <row r="82" spans="1:2" x14ac:dyDescent="0.3">
      <c r="A82" s="3">
        <v>44319</v>
      </c>
      <c r="B82" s="2">
        <v>-4.4437697114537045E-2</v>
      </c>
    </row>
    <row r="83" spans="1:2" x14ac:dyDescent="0.3">
      <c r="A83" s="3">
        <v>44320</v>
      </c>
      <c r="B83" s="2">
        <v>-5.3425793518645515E-2</v>
      </c>
    </row>
    <row r="84" spans="1:2" x14ac:dyDescent="0.3">
      <c r="A84" s="3">
        <v>44321</v>
      </c>
      <c r="B84" s="2">
        <v>-4.5502033993483404E-2</v>
      </c>
    </row>
    <row r="85" spans="1:2" x14ac:dyDescent="0.3">
      <c r="A85" s="3">
        <v>44322</v>
      </c>
      <c r="B85" s="2">
        <v>-3.8518547539292403E-2</v>
      </c>
    </row>
    <row r="86" spans="1:2" x14ac:dyDescent="0.3">
      <c r="A86" s="3">
        <v>44323</v>
      </c>
      <c r="B86" s="2">
        <v>-3.2096613058042345E-2</v>
      </c>
    </row>
    <row r="87" spans="1:2" x14ac:dyDescent="0.3">
      <c r="A87" s="3">
        <v>44326</v>
      </c>
      <c r="B87" s="2">
        <v>-2.431324152611547E-2</v>
      </c>
    </row>
    <row r="88" spans="1:2" x14ac:dyDescent="0.3">
      <c r="A88" s="3">
        <v>44327</v>
      </c>
      <c r="B88" s="2">
        <v>-3.0294423005347904E-2</v>
      </c>
    </row>
    <row r="89" spans="1:2" x14ac:dyDescent="0.3">
      <c r="A89" s="3">
        <v>44328</v>
      </c>
      <c r="B89" s="2">
        <v>-4.0366445310714538E-2</v>
      </c>
    </row>
    <row r="90" spans="1:2" x14ac:dyDescent="0.3">
      <c r="A90" s="3">
        <v>44330</v>
      </c>
      <c r="B90" s="2">
        <v>-4.158749436815623E-2</v>
      </c>
    </row>
    <row r="91" spans="1:2" x14ac:dyDescent="0.3">
      <c r="A91" s="3">
        <v>44333</v>
      </c>
      <c r="B91" s="2">
        <v>-2.5566938954076912E-2</v>
      </c>
    </row>
    <row r="92" spans="1:2" x14ac:dyDescent="0.3">
      <c r="A92" s="3">
        <v>44334</v>
      </c>
      <c r="B92" s="2">
        <v>-1.3490306698792698E-2</v>
      </c>
    </row>
    <row r="93" spans="1:2" x14ac:dyDescent="0.3">
      <c r="A93" s="3">
        <v>44335</v>
      </c>
      <c r="B93" s="2">
        <v>-1.8580187662833869E-2</v>
      </c>
    </row>
    <row r="94" spans="1:2" x14ac:dyDescent="0.3">
      <c r="A94" s="3">
        <v>44336</v>
      </c>
      <c r="B94" s="2">
        <v>-2.6683513225854938E-2</v>
      </c>
    </row>
    <row r="95" spans="1:2" x14ac:dyDescent="0.3">
      <c r="A95" s="3">
        <v>44337</v>
      </c>
      <c r="B95" s="2">
        <v>-9.102365700927928E-3</v>
      </c>
    </row>
    <row r="96" spans="1:2" x14ac:dyDescent="0.3">
      <c r="A96" s="3">
        <v>44340</v>
      </c>
      <c r="B96" s="2">
        <v>-7.6397187016395973E-3</v>
      </c>
    </row>
    <row r="97" spans="1:2" x14ac:dyDescent="0.3">
      <c r="A97" s="3">
        <v>44341</v>
      </c>
      <c r="B97" s="2">
        <v>-6.9377787354633069E-3</v>
      </c>
    </row>
    <row r="98" spans="1:2" x14ac:dyDescent="0.3">
      <c r="A98" s="3">
        <v>44342</v>
      </c>
      <c r="B98" s="2">
        <v>-8.6518181877537348E-4</v>
      </c>
    </row>
    <row r="99" spans="1:2" x14ac:dyDescent="0.3">
      <c r="A99" s="3">
        <v>44343</v>
      </c>
      <c r="B99" s="2">
        <v>0</v>
      </c>
    </row>
    <row r="100" spans="1:2" x14ac:dyDescent="0.3">
      <c r="A100" s="3">
        <v>44344</v>
      </c>
      <c r="B100" s="2">
        <v>0</v>
      </c>
    </row>
    <row r="101" spans="1:2" x14ac:dyDescent="0.3">
      <c r="A101" s="3">
        <v>44347</v>
      </c>
      <c r="B101" s="2">
        <v>0</v>
      </c>
    </row>
    <row r="102" spans="1:2" x14ac:dyDescent="0.3">
      <c r="A102" s="3">
        <v>44348</v>
      </c>
      <c r="B102" s="2">
        <v>-5.1017788844098799E-4</v>
      </c>
    </row>
    <row r="103" spans="1:2" x14ac:dyDescent="0.3">
      <c r="A103" s="3">
        <v>44349</v>
      </c>
      <c r="B103" s="2">
        <v>-4.2354390738497116E-4</v>
      </c>
    </row>
    <row r="104" spans="1:2" x14ac:dyDescent="0.3">
      <c r="A104" s="3">
        <v>44350</v>
      </c>
      <c r="B104" s="2">
        <v>0</v>
      </c>
    </row>
    <row r="105" spans="1:2" x14ac:dyDescent="0.3">
      <c r="A105" s="3">
        <v>44351</v>
      </c>
      <c r="B105" s="2">
        <v>-1.2810421692314167E-3</v>
      </c>
    </row>
    <row r="106" spans="1:2" x14ac:dyDescent="0.3">
      <c r="A106" s="3">
        <v>44354</v>
      </c>
      <c r="B106" s="2">
        <v>0</v>
      </c>
    </row>
    <row r="107" spans="1:2" x14ac:dyDescent="0.3">
      <c r="A107" s="3">
        <v>44355</v>
      </c>
      <c r="B107" s="2">
        <v>-7.3325651598399322E-4</v>
      </c>
    </row>
    <row r="108" spans="1:2" x14ac:dyDescent="0.3">
      <c r="A108" s="3">
        <v>44356</v>
      </c>
      <c r="B108" s="2">
        <v>-7.3833534899517828E-3</v>
      </c>
    </row>
    <row r="109" spans="1:2" x14ac:dyDescent="0.3">
      <c r="A109" s="3">
        <v>44357</v>
      </c>
      <c r="B109" s="2">
        <v>-8.8244723568642325E-4</v>
      </c>
    </row>
    <row r="110" spans="1:2" x14ac:dyDescent="0.3">
      <c r="A110" s="3">
        <v>44358</v>
      </c>
      <c r="B110" s="2">
        <v>0</v>
      </c>
    </row>
    <row r="111" spans="1:2" x14ac:dyDescent="0.3">
      <c r="A111" s="3">
        <v>44361</v>
      </c>
      <c r="B111" s="2">
        <v>0</v>
      </c>
    </row>
    <row r="112" spans="1:2" x14ac:dyDescent="0.3">
      <c r="A112" s="3">
        <v>44362</v>
      </c>
      <c r="B112" s="2">
        <v>0</v>
      </c>
    </row>
    <row r="113" spans="1:2" x14ac:dyDescent="0.3">
      <c r="A113" s="3">
        <v>44363</v>
      </c>
      <c r="B113" s="2">
        <v>-6.4086204452006301E-3</v>
      </c>
    </row>
    <row r="114" spans="1:2" x14ac:dyDescent="0.3">
      <c r="A114" s="3">
        <v>44364</v>
      </c>
      <c r="B114" s="2">
        <v>-1.1207208910314015E-2</v>
      </c>
    </row>
    <row r="115" spans="1:2" x14ac:dyDescent="0.3">
      <c r="A115" s="3">
        <v>44365</v>
      </c>
      <c r="B115" s="2">
        <v>-1.1714479260204413E-2</v>
      </c>
    </row>
    <row r="116" spans="1:2" x14ac:dyDescent="0.3">
      <c r="A116" s="3">
        <v>44368</v>
      </c>
      <c r="B116" s="2">
        <v>-7.7350851489516037E-3</v>
      </c>
    </row>
    <row r="117" spans="1:2" x14ac:dyDescent="0.3">
      <c r="A117" s="3">
        <v>44369</v>
      </c>
      <c r="B117" s="2">
        <v>-6.0809427036564445E-3</v>
      </c>
    </row>
    <row r="118" spans="1:2" x14ac:dyDescent="0.3">
      <c r="A118" s="3">
        <v>44370</v>
      </c>
      <c r="B118" s="2">
        <v>-1.1487625439135396E-2</v>
      </c>
    </row>
    <row r="119" spans="1:2" x14ac:dyDescent="0.3">
      <c r="A119" s="3">
        <v>44371</v>
      </c>
      <c r="B119" s="2">
        <v>-4.9655780834002572E-3</v>
      </c>
    </row>
    <row r="120" spans="1:2" x14ac:dyDescent="0.3">
      <c r="A120" s="3">
        <v>44372</v>
      </c>
      <c r="B120" s="2">
        <v>-5.6083305764287328E-4</v>
      </c>
    </row>
    <row r="121" spans="1:2" x14ac:dyDescent="0.3">
      <c r="A121" s="3">
        <v>44375</v>
      </c>
      <c r="B121" s="2">
        <v>-3.4374655386990582E-3</v>
      </c>
    </row>
    <row r="122" spans="1:2" x14ac:dyDescent="0.3">
      <c r="A122" s="3">
        <v>44376</v>
      </c>
      <c r="B122" s="2">
        <v>-7.6122059958724231E-3</v>
      </c>
    </row>
    <row r="123" spans="1:2" x14ac:dyDescent="0.3">
      <c r="A123" s="3">
        <v>44377</v>
      </c>
      <c r="B123" s="2">
        <v>-9.3104589063754961E-3</v>
      </c>
    </row>
    <row r="124" spans="1:2" x14ac:dyDescent="0.3">
      <c r="A124" s="3">
        <v>44378</v>
      </c>
      <c r="B124" s="2">
        <v>-1.1925579343699311E-2</v>
      </c>
    </row>
    <row r="125" spans="1:2" x14ac:dyDescent="0.3">
      <c r="A125" s="3">
        <v>44379</v>
      </c>
      <c r="B125" s="2">
        <v>-9.2663484411675823E-3</v>
      </c>
    </row>
    <row r="126" spans="1:2" x14ac:dyDescent="0.3">
      <c r="A126" s="3">
        <v>44382</v>
      </c>
      <c r="B126" s="2">
        <v>-2.1992217653638013E-3</v>
      </c>
    </row>
    <row r="127" spans="1:2" x14ac:dyDescent="0.3">
      <c r="A127" s="3">
        <v>44383</v>
      </c>
      <c r="B127" s="2">
        <v>-3.2137624651448204E-3</v>
      </c>
    </row>
    <row r="128" spans="1:2" x14ac:dyDescent="0.3">
      <c r="A128" s="3">
        <v>44384</v>
      </c>
      <c r="B128" s="2">
        <v>0</v>
      </c>
    </row>
    <row r="129" spans="1:2" x14ac:dyDescent="0.3">
      <c r="A129" s="3">
        <v>44385</v>
      </c>
      <c r="B129" s="2">
        <v>-9.5562559628203925E-3</v>
      </c>
    </row>
    <row r="130" spans="1:2" x14ac:dyDescent="0.3">
      <c r="A130" s="3">
        <v>44386</v>
      </c>
      <c r="B130" s="2">
        <v>-1.1955553176549838E-2</v>
      </c>
    </row>
    <row r="131" spans="1:2" x14ac:dyDescent="0.3">
      <c r="A131" s="3">
        <v>44389</v>
      </c>
      <c r="B131" s="2">
        <v>-1.1779226872128734E-2</v>
      </c>
    </row>
    <row r="132" spans="1:2" x14ac:dyDescent="0.3">
      <c r="A132" s="3">
        <v>44390</v>
      </c>
      <c r="B132" s="2">
        <v>-4.2381286741206559E-3</v>
      </c>
    </row>
    <row r="133" spans="1:2" x14ac:dyDescent="0.3">
      <c r="A133" s="3">
        <v>44391</v>
      </c>
      <c r="B133" s="2">
        <v>-1.6184235798647473E-3</v>
      </c>
    </row>
    <row r="134" spans="1:2" x14ac:dyDescent="0.3">
      <c r="A134" s="3">
        <v>44392</v>
      </c>
      <c r="B134" s="2">
        <v>0</v>
      </c>
    </row>
    <row r="135" spans="1:2" x14ac:dyDescent="0.3">
      <c r="A135" s="3">
        <v>44393</v>
      </c>
      <c r="B135" s="2">
        <v>-5.023800253711741E-5</v>
      </c>
    </row>
    <row r="136" spans="1:2" x14ac:dyDescent="0.3">
      <c r="A136" s="3">
        <v>44396</v>
      </c>
      <c r="B136" s="2">
        <v>-1.0788611044824981E-2</v>
      </c>
    </row>
    <row r="137" spans="1:2" x14ac:dyDescent="0.3">
      <c r="A137" s="3">
        <v>44397</v>
      </c>
      <c r="B137" s="2">
        <v>-1.8343150676329079E-2</v>
      </c>
    </row>
    <row r="138" spans="1:2" x14ac:dyDescent="0.3">
      <c r="A138" s="3">
        <v>44399</v>
      </c>
      <c r="B138" s="2">
        <v>-6.2891699426032011E-3</v>
      </c>
    </row>
    <row r="139" spans="1:2" x14ac:dyDescent="0.3">
      <c r="A139" s="3">
        <v>44400</v>
      </c>
      <c r="B139" s="2">
        <v>-4.2796498411223904E-3</v>
      </c>
    </row>
    <row r="140" spans="1:2" x14ac:dyDescent="0.3">
      <c r="A140" s="3">
        <v>44403</v>
      </c>
      <c r="B140" s="2">
        <v>-6.2640509413345313E-3</v>
      </c>
    </row>
    <row r="141" spans="1:2" x14ac:dyDescent="0.3">
      <c r="A141" s="3">
        <v>44404</v>
      </c>
      <c r="B141" s="2">
        <v>-1.1162256188693931E-2</v>
      </c>
    </row>
    <row r="142" spans="1:2" x14ac:dyDescent="0.3">
      <c r="A142" s="3">
        <v>44405</v>
      </c>
      <c r="B142" s="2">
        <v>-1.3488903681189712E-2</v>
      </c>
    </row>
    <row r="143" spans="1:2" x14ac:dyDescent="0.3">
      <c r="A143" s="3">
        <v>44406</v>
      </c>
      <c r="B143" s="2">
        <v>-9.1527360872131203E-3</v>
      </c>
    </row>
    <row r="144" spans="1:2" x14ac:dyDescent="0.3">
      <c r="A144" s="3">
        <v>44407</v>
      </c>
      <c r="B144" s="2">
        <v>-1.0119817636050854E-2</v>
      </c>
    </row>
    <row r="145" spans="1:2" x14ac:dyDescent="0.3">
      <c r="A145" s="3">
        <v>44410</v>
      </c>
      <c r="B145" s="2">
        <v>-2.4522424988383529E-3</v>
      </c>
    </row>
    <row r="146" spans="1:2" x14ac:dyDescent="0.3">
      <c r="A146" s="3">
        <v>44411</v>
      </c>
      <c r="B146" s="2">
        <v>0</v>
      </c>
    </row>
    <row r="147" spans="1:2" x14ac:dyDescent="0.3">
      <c r="A147" s="3">
        <v>44412</v>
      </c>
      <c r="B147" s="2">
        <v>0</v>
      </c>
    </row>
    <row r="148" spans="1:2" x14ac:dyDescent="0.3">
      <c r="A148" s="3">
        <v>44413</v>
      </c>
      <c r="B148" s="2">
        <v>0</v>
      </c>
    </row>
    <row r="149" spans="1:2" x14ac:dyDescent="0.3">
      <c r="A149" s="3">
        <v>44414</v>
      </c>
      <c r="B149" s="2">
        <v>-3.4612693775851744E-3</v>
      </c>
    </row>
    <row r="150" spans="1:2" x14ac:dyDescent="0.3">
      <c r="A150" s="3">
        <v>44417</v>
      </c>
      <c r="B150" s="2">
        <v>-2.2308003878586113E-3</v>
      </c>
    </row>
    <row r="151" spans="1:2" x14ac:dyDescent="0.3">
      <c r="A151" s="3">
        <v>44418</v>
      </c>
      <c r="B151" s="2">
        <v>-8.8986535416646362E-4</v>
      </c>
    </row>
    <row r="152" spans="1:2" x14ac:dyDescent="0.3">
      <c r="A152" s="3">
        <v>44419</v>
      </c>
      <c r="B152" s="2">
        <v>-7.5791980165207384E-4</v>
      </c>
    </row>
    <row r="153" spans="1:2" x14ac:dyDescent="0.3">
      <c r="A153" s="3">
        <v>44420</v>
      </c>
      <c r="B153" s="2">
        <v>0</v>
      </c>
    </row>
    <row r="154" spans="1:2" x14ac:dyDescent="0.3">
      <c r="A154" s="3">
        <v>44421</v>
      </c>
      <c r="B154" s="2">
        <v>0</v>
      </c>
    </row>
    <row r="155" spans="1:2" x14ac:dyDescent="0.3">
      <c r="A155" s="3">
        <v>44424</v>
      </c>
      <c r="B155" s="2">
        <v>0</v>
      </c>
    </row>
    <row r="156" spans="1:2" x14ac:dyDescent="0.3">
      <c r="A156" s="3">
        <v>44425</v>
      </c>
      <c r="B156" s="2">
        <v>0</v>
      </c>
    </row>
    <row r="157" spans="1:2" x14ac:dyDescent="0.3">
      <c r="A157" s="3">
        <v>44426</v>
      </c>
      <c r="B157" s="2">
        <v>-2.7536022534397908E-3</v>
      </c>
    </row>
    <row r="158" spans="1:2" x14ac:dyDescent="0.3">
      <c r="A158" s="3">
        <v>44428</v>
      </c>
      <c r="B158" s="2">
        <v>-9.8768552959443978E-3</v>
      </c>
    </row>
    <row r="159" spans="1:2" x14ac:dyDescent="0.3">
      <c r="A159" s="3">
        <v>44431</v>
      </c>
      <c r="B159" s="2">
        <v>-7.1112154370250868E-3</v>
      </c>
    </row>
    <row r="160" spans="1:2" x14ac:dyDescent="0.3">
      <c r="A160" s="3">
        <v>44432</v>
      </c>
      <c r="B160" s="2">
        <v>0</v>
      </c>
    </row>
    <row r="161" spans="1:2" x14ac:dyDescent="0.3">
      <c r="A161" s="3">
        <v>44433</v>
      </c>
      <c r="B161" s="2">
        <v>0</v>
      </c>
    </row>
    <row r="162" spans="1:2" x14ac:dyDescent="0.3">
      <c r="A162" s="3">
        <v>44434</v>
      </c>
      <c r="B162" s="2">
        <v>0</v>
      </c>
    </row>
    <row r="163" spans="1:2" x14ac:dyDescent="0.3">
      <c r="A163" s="3">
        <v>44435</v>
      </c>
      <c r="B163" s="2">
        <v>0</v>
      </c>
    </row>
    <row r="164" spans="1:2" x14ac:dyDescent="0.3">
      <c r="A164" s="3">
        <v>44438</v>
      </c>
      <c r="B164" s="2">
        <v>0</v>
      </c>
    </row>
    <row r="165" spans="1:2" x14ac:dyDescent="0.3">
      <c r="A165" s="3">
        <v>44439</v>
      </c>
      <c r="B165" s="2">
        <v>0</v>
      </c>
    </row>
    <row r="166" spans="1:2" x14ac:dyDescent="0.3">
      <c r="A166" s="3">
        <v>44440</v>
      </c>
      <c r="B166" s="2">
        <v>-3.2657802267076486E-3</v>
      </c>
    </row>
    <row r="167" spans="1:2" x14ac:dyDescent="0.3">
      <c r="A167" s="3">
        <v>44441</v>
      </c>
      <c r="B167" s="2">
        <v>0</v>
      </c>
    </row>
    <row r="168" spans="1:2" x14ac:dyDescent="0.3">
      <c r="A168" s="3">
        <v>44442</v>
      </c>
      <c r="B168" s="2">
        <v>0</v>
      </c>
    </row>
    <row r="169" spans="1:2" x14ac:dyDescent="0.3">
      <c r="A169" s="3">
        <v>44445</v>
      </c>
      <c r="B169" s="2">
        <v>0</v>
      </c>
    </row>
    <row r="170" spans="1:2" x14ac:dyDescent="0.3">
      <c r="A170" s="3">
        <v>44446</v>
      </c>
      <c r="B170" s="2">
        <v>-9.0345153011317514E-4</v>
      </c>
    </row>
    <row r="171" spans="1:2" x14ac:dyDescent="0.3">
      <c r="A171" s="3">
        <v>44447</v>
      </c>
      <c r="B171" s="2">
        <v>-1.3983358077547248E-3</v>
      </c>
    </row>
    <row r="172" spans="1:2" x14ac:dyDescent="0.3">
      <c r="A172" s="3">
        <v>44448</v>
      </c>
      <c r="B172" s="2">
        <v>-4.9200704346918922E-4</v>
      </c>
    </row>
    <row r="173" spans="1:2" x14ac:dyDescent="0.3">
      <c r="A173" s="3">
        <v>44452</v>
      </c>
      <c r="B173" s="2">
        <v>-1.2947553775506382E-3</v>
      </c>
    </row>
    <row r="174" spans="1:2" x14ac:dyDescent="0.3">
      <c r="A174" s="3">
        <v>44453</v>
      </c>
      <c r="B174" s="2">
        <v>0</v>
      </c>
    </row>
    <row r="175" spans="1:2" x14ac:dyDescent="0.3">
      <c r="A175" s="3">
        <v>44454</v>
      </c>
      <c r="B175" s="2">
        <v>0</v>
      </c>
    </row>
    <row r="176" spans="1:2" x14ac:dyDescent="0.3">
      <c r="A176" s="3">
        <v>44455</v>
      </c>
      <c r="B176" s="2">
        <v>0</v>
      </c>
    </row>
    <row r="177" spans="1:2" x14ac:dyDescent="0.3">
      <c r="A177" s="3">
        <v>44456</v>
      </c>
      <c r="B177" s="2">
        <v>-2.5156697580758225E-3</v>
      </c>
    </row>
    <row r="178" spans="1:2" x14ac:dyDescent="0.3">
      <c r="A178" s="3">
        <v>44459</v>
      </c>
      <c r="B178" s="2">
        <v>-1.3193794492186273E-2</v>
      </c>
    </row>
    <row r="179" spans="1:2" x14ac:dyDescent="0.3">
      <c r="A179" s="3">
        <v>44460</v>
      </c>
      <c r="B179" s="2">
        <v>-3.8288096656172721E-3</v>
      </c>
    </row>
    <row r="180" spans="1:2" x14ac:dyDescent="0.3">
      <c r="A180" s="3">
        <v>44461</v>
      </c>
      <c r="B180" s="2">
        <v>-4.6995093451316361E-3</v>
      </c>
    </row>
    <row r="181" spans="1:2" x14ac:dyDescent="0.3">
      <c r="A181" s="3">
        <v>44462</v>
      </c>
      <c r="B181" s="2">
        <v>0</v>
      </c>
    </row>
    <row r="182" spans="1:2" x14ac:dyDescent="0.3">
      <c r="A182" s="3">
        <v>44463</v>
      </c>
      <c r="B182" s="2">
        <v>0</v>
      </c>
    </row>
    <row r="183" spans="1:2" x14ac:dyDescent="0.3">
      <c r="A183" s="3">
        <v>44466</v>
      </c>
      <c r="B183" s="2">
        <v>0</v>
      </c>
    </row>
    <row r="184" spans="1:2" x14ac:dyDescent="0.3">
      <c r="A184" s="3">
        <v>44467</v>
      </c>
      <c r="B184" s="2">
        <v>-5.9646823596619658E-3</v>
      </c>
    </row>
    <row r="185" spans="1:2" x14ac:dyDescent="0.3">
      <c r="A185" s="3">
        <v>44468</v>
      </c>
      <c r="B185" s="2">
        <v>-8.0537213457219092E-3</v>
      </c>
    </row>
    <row r="186" spans="1:2" x14ac:dyDescent="0.3">
      <c r="A186" s="3">
        <v>44469</v>
      </c>
      <c r="B186" s="2">
        <v>-1.3270718170158458E-2</v>
      </c>
    </row>
    <row r="187" spans="1:2" x14ac:dyDescent="0.3">
      <c r="A187" s="3">
        <v>44470</v>
      </c>
      <c r="B187" s="2">
        <v>-1.8092869824307911E-2</v>
      </c>
    </row>
    <row r="188" spans="1:2" x14ac:dyDescent="0.3">
      <c r="A188" s="3">
        <v>44473</v>
      </c>
      <c r="B188" s="2">
        <v>-9.1766498087380022E-3</v>
      </c>
    </row>
    <row r="189" spans="1:2" x14ac:dyDescent="0.3">
      <c r="A189" s="3">
        <v>44474</v>
      </c>
      <c r="B189" s="2">
        <v>-1.837010153961538E-3</v>
      </c>
    </row>
    <row r="190" spans="1:2" x14ac:dyDescent="0.3">
      <c r="A190" s="3">
        <v>44475</v>
      </c>
      <c r="B190" s="2">
        <v>-1.1710939731505166E-2</v>
      </c>
    </row>
    <row r="191" spans="1:2" x14ac:dyDescent="0.3">
      <c r="A191" s="3">
        <v>44476</v>
      </c>
      <c r="B191" s="2">
        <v>-3.6264148618602166E-3</v>
      </c>
    </row>
    <row r="192" spans="1:2" x14ac:dyDescent="0.3">
      <c r="A192" s="3">
        <v>44477</v>
      </c>
      <c r="B192" s="2">
        <v>0</v>
      </c>
    </row>
    <row r="193" spans="1:2" x14ac:dyDescent="0.3">
      <c r="A193" s="3">
        <v>44480</v>
      </c>
      <c r="B193" s="2">
        <v>0</v>
      </c>
    </row>
    <row r="194" spans="1:2" x14ac:dyDescent="0.3">
      <c r="A194" s="3">
        <v>44481</v>
      </c>
      <c r="B194" s="2">
        <v>0</v>
      </c>
    </row>
    <row r="195" spans="1:2" x14ac:dyDescent="0.3">
      <c r="A195" s="3">
        <v>44482</v>
      </c>
      <c r="B195" s="2">
        <v>0</v>
      </c>
    </row>
    <row r="196" spans="1:2" x14ac:dyDescent="0.3">
      <c r="A196" s="3">
        <v>44483</v>
      </c>
      <c r="B196" s="2">
        <v>0</v>
      </c>
    </row>
    <row r="197" spans="1:2" x14ac:dyDescent="0.3">
      <c r="A197" s="3">
        <v>44487</v>
      </c>
      <c r="B197" s="2">
        <v>0</v>
      </c>
    </row>
    <row r="198" spans="1:2" x14ac:dyDescent="0.3">
      <c r="A198" s="3">
        <v>44488</v>
      </c>
      <c r="B198" s="2">
        <v>-3.1552655862272516E-3</v>
      </c>
    </row>
    <row r="199" spans="1:2" x14ac:dyDescent="0.3">
      <c r="A199" s="3">
        <v>44489</v>
      </c>
      <c r="B199" s="2">
        <v>-1.1389805190763713E-2</v>
      </c>
    </row>
    <row r="200" spans="1:2" x14ac:dyDescent="0.3">
      <c r="A200" s="3">
        <v>44490</v>
      </c>
      <c r="B200" s="2">
        <v>-1.6179530823372867E-2</v>
      </c>
    </row>
    <row r="201" spans="1:2" x14ac:dyDescent="0.3">
      <c r="A201" s="3">
        <v>44491</v>
      </c>
      <c r="B201" s="2">
        <v>-1.959999025818504E-2</v>
      </c>
    </row>
    <row r="202" spans="1:2" x14ac:dyDescent="0.3">
      <c r="A202" s="3">
        <v>44494</v>
      </c>
      <c r="B202" s="2">
        <v>-1.9031717725502606E-2</v>
      </c>
    </row>
    <row r="203" spans="1:2" x14ac:dyDescent="0.3">
      <c r="A203" s="3">
        <v>44495</v>
      </c>
      <c r="B203" s="2">
        <v>-1.1292387042303731E-2</v>
      </c>
    </row>
    <row r="204" spans="1:2" x14ac:dyDescent="0.3">
      <c r="A204" s="3">
        <v>44496</v>
      </c>
      <c r="B204" s="2">
        <v>-1.4401649613980494E-2</v>
      </c>
    </row>
    <row r="205" spans="1:2" x14ac:dyDescent="0.3">
      <c r="A205" s="3">
        <v>44497</v>
      </c>
      <c r="B205" s="2">
        <v>-3.3544315786340317E-2</v>
      </c>
    </row>
    <row r="206" spans="1:2" x14ac:dyDescent="0.3">
      <c r="A206" s="3">
        <v>44498</v>
      </c>
      <c r="B206" s="2">
        <v>-4.3589209316422184E-2</v>
      </c>
    </row>
    <row r="207" spans="1:2" x14ac:dyDescent="0.3">
      <c r="A207" s="3">
        <v>44501</v>
      </c>
      <c r="B207" s="2">
        <v>-2.9625941370510889E-2</v>
      </c>
    </row>
    <row r="208" spans="1:2" x14ac:dyDescent="0.3">
      <c r="A208" s="3">
        <v>44502</v>
      </c>
      <c r="B208" s="2">
        <v>-3.1828673949575226E-2</v>
      </c>
    </row>
    <row r="209" spans="1:2" x14ac:dyDescent="0.3">
      <c r="A209" s="3">
        <v>44503</v>
      </c>
      <c r="B209" s="2">
        <v>-3.5062415266506219E-2</v>
      </c>
    </row>
    <row r="210" spans="1:2" x14ac:dyDescent="0.3">
      <c r="A210" s="3">
        <v>44504</v>
      </c>
      <c r="B210" s="2">
        <v>-3.0321398708127112E-2</v>
      </c>
    </row>
    <row r="211" spans="1:2" x14ac:dyDescent="0.3">
      <c r="A211" s="3">
        <v>44508</v>
      </c>
      <c r="B211" s="2">
        <v>-2.2108507581026227E-2</v>
      </c>
    </row>
    <row r="212" spans="1:2" x14ac:dyDescent="0.3">
      <c r="A212" s="3">
        <v>44509</v>
      </c>
      <c r="B212" s="2">
        <v>-2.3423652585234045E-2</v>
      </c>
    </row>
    <row r="213" spans="1:2" x14ac:dyDescent="0.3">
      <c r="A213" s="3">
        <v>44510</v>
      </c>
      <c r="B213" s="2">
        <v>-2.4887630871811117E-2</v>
      </c>
    </row>
    <row r="214" spans="1:2" x14ac:dyDescent="0.3">
      <c r="A214" s="3">
        <v>44511</v>
      </c>
      <c r="B214" s="2">
        <v>-3.2659434271163468E-2</v>
      </c>
    </row>
    <row r="215" spans="1:2" x14ac:dyDescent="0.3">
      <c r="A215" s="3">
        <v>44512</v>
      </c>
      <c r="B215" s="2">
        <v>-2.0257562760289116E-2</v>
      </c>
    </row>
    <row r="216" spans="1:2" x14ac:dyDescent="0.3">
      <c r="A216" s="3">
        <v>44515</v>
      </c>
      <c r="B216" s="2">
        <v>-1.9894950763244101E-2</v>
      </c>
    </row>
    <row r="217" spans="1:2" x14ac:dyDescent="0.3">
      <c r="A217" s="3">
        <v>44516</v>
      </c>
      <c r="B217" s="2">
        <v>-2.5861812356409608E-2</v>
      </c>
    </row>
    <row r="218" spans="1:2" x14ac:dyDescent="0.3">
      <c r="A218" s="3">
        <v>44517</v>
      </c>
      <c r="B218" s="2">
        <v>-3.1303698371763722E-2</v>
      </c>
    </row>
    <row r="219" spans="1:2" x14ac:dyDescent="0.3">
      <c r="A219" s="3">
        <v>44518</v>
      </c>
      <c r="B219" s="2">
        <v>-3.8547820133625232E-2</v>
      </c>
    </row>
    <row r="220" spans="1:2" x14ac:dyDescent="0.3">
      <c r="A220" s="3">
        <v>44522</v>
      </c>
      <c r="B220" s="2">
        <v>-5.7395525800925995E-2</v>
      </c>
    </row>
    <row r="221" spans="1:2" x14ac:dyDescent="0.3">
      <c r="A221" s="3">
        <v>44523</v>
      </c>
      <c r="B221" s="2">
        <v>-5.2697806197417929E-2</v>
      </c>
    </row>
    <row r="222" spans="1:2" x14ac:dyDescent="0.3">
      <c r="A222" s="3">
        <v>44524</v>
      </c>
      <c r="B222" s="2">
        <v>-5.7476707591309184E-2</v>
      </c>
    </row>
    <row r="223" spans="1:2" x14ac:dyDescent="0.3">
      <c r="A223" s="3">
        <v>44525</v>
      </c>
      <c r="B223" s="2">
        <v>-5.091721892834622E-2</v>
      </c>
    </row>
    <row r="224" spans="1:2" x14ac:dyDescent="0.3">
      <c r="A224" s="3">
        <v>44526</v>
      </c>
      <c r="B224" s="2">
        <v>-7.8508203419918154E-2</v>
      </c>
    </row>
    <row r="225" spans="1:2" x14ac:dyDescent="0.3">
      <c r="A225" s="3">
        <v>44529</v>
      </c>
      <c r="B225" s="2">
        <v>-7.7019870596226059E-2</v>
      </c>
    </row>
    <row r="226" spans="1:2" x14ac:dyDescent="0.3">
      <c r="A226" s="3">
        <v>44530</v>
      </c>
      <c r="B226" s="2">
        <v>-8.0848945042633846E-2</v>
      </c>
    </row>
    <row r="227" spans="1:2" x14ac:dyDescent="0.3">
      <c r="A227" s="3">
        <v>44531</v>
      </c>
      <c r="B227" s="2">
        <v>-7.0906881780370634E-2</v>
      </c>
    </row>
    <row r="228" spans="1:2" x14ac:dyDescent="0.3">
      <c r="A228" s="3">
        <v>44532</v>
      </c>
      <c r="B228" s="2">
        <v>-5.8201931585399103E-2</v>
      </c>
    </row>
    <row r="229" spans="1:2" x14ac:dyDescent="0.3">
      <c r="A229" s="3">
        <v>44533</v>
      </c>
      <c r="B229" s="2">
        <v>-6.9294070211424419E-2</v>
      </c>
    </row>
    <row r="230" spans="1:2" x14ac:dyDescent="0.3">
      <c r="A230" s="3">
        <v>44536</v>
      </c>
      <c r="B230" s="2">
        <v>-8.4688843727759533E-2</v>
      </c>
    </row>
    <row r="231" spans="1:2" x14ac:dyDescent="0.3">
      <c r="A231" s="3">
        <v>44537</v>
      </c>
      <c r="B231" s="2">
        <v>-7.0376494083200458E-2</v>
      </c>
    </row>
    <row r="232" spans="1:2" x14ac:dyDescent="0.3">
      <c r="A232" s="3">
        <v>44538</v>
      </c>
      <c r="B232" s="2">
        <v>-5.4516278302001675E-2</v>
      </c>
    </row>
    <row r="233" spans="1:2" x14ac:dyDescent="0.3">
      <c r="A233" s="3">
        <v>44539</v>
      </c>
      <c r="B233" s="2">
        <v>-5.1967170083969116E-2</v>
      </c>
    </row>
    <row r="234" spans="1:2" x14ac:dyDescent="0.3">
      <c r="A234" s="3">
        <v>44540</v>
      </c>
      <c r="B234" s="2">
        <v>-5.2267542708386849E-2</v>
      </c>
    </row>
    <row r="235" spans="1:2" x14ac:dyDescent="0.3">
      <c r="A235" s="3">
        <v>44543</v>
      </c>
      <c r="B235" s="2">
        <v>-6.0009579451265171E-2</v>
      </c>
    </row>
    <row r="236" spans="1:2" x14ac:dyDescent="0.3">
      <c r="A236" s="3">
        <v>44544</v>
      </c>
      <c r="B236" s="2">
        <v>-6.2355733193339757E-2</v>
      </c>
    </row>
    <row r="237" spans="1:2" x14ac:dyDescent="0.3">
      <c r="A237" s="3">
        <v>44545</v>
      </c>
      <c r="B237" s="2">
        <v>-6.7957276729780913E-2</v>
      </c>
    </row>
    <row r="238" spans="1:2" x14ac:dyDescent="0.3">
      <c r="A238" s="3">
        <v>44546</v>
      </c>
      <c r="B238" s="2">
        <v>-6.6496004502883177E-2</v>
      </c>
    </row>
    <row r="239" spans="1:2" x14ac:dyDescent="0.3">
      <c r="A239" s="3">
        <v>44547</v>
      </c>
      <c r="B239" s="2">
        <v>-8.0740702655456298E-2</v>
      </c>
    </row>
    <row r="240" spans="1:2" x14ac:dyDescent="0.3">
      <c r="A240" s="3">
        <v>44550</v>
      </c>
      <c r="B240" s="2">
        <v>-0.10081966547690235</v>
      </c>
    </row>
    <row r="241" spans="1:2" x14ac:dyDescent="0.3">
      <c r="A241" s="3">
        <v>44551</v>
      </c>
      <c r="B241" s="2">
        <v>-9.2341580501216436E-2</v>
      </c>
    </row>
    <row r="242" spans="1:2" x14ac:dyDescent="0.3">
      <c r="A242" s="3">
        <v>44552</v>
      </c>
      <c r="B242" s="2">
        <v>-8.2350808164723177E-2</v>
      </c>
    </row>
    <row r="243" spans="1:2" x14ac:dyDescent="0.3">
      <c r="A243" s="3">
        <v>44553</v>
      </c>
      <c r="B243" s="2">
        <v>-7.6010510335794979E-2</v>
      </c>
    </row>
    <row r="244" spans="1:2" x14ac:dyDescent="0.3">
      <c r="A244" s="3">
        <v>44554</v>
      </c>
      <c r="B244" s="2">
        <v>-7.9736754514384001E-2</v>
      </c>
    </row>
    <row r="245" spans="1:2" x14ac:dyDescent="0.3">
      <c r="A245" s="3">
        <v>44557</v>
      </c>
      <c r="B245" s="2">
        <v>-7.5271756043307714E-2</v>
      </c>
    </row>
    <row r="246" spans="1:2" x14ac:dyDescent="0.3">
      <c r="A246" s="3">
        <v>44558</v>
      </c>
      <c r="B246" s="2">
        <v>-6.7315940585753631E-2</v>
      </c>
    </row>
    <row r="247" spans="1:2" x14ac:dyDescent="0.3">
      <c r="A247" s="3">
        <v>44559</v>
      </c>
      <c r="B247" s="2">
        <v>-6.8379422039773652E-2</v>
      </c>
    </row>
    <row r="248" spans="1:2" x14ac:dyDescent="0.3">
      <c r="A248" s="3">
        <v>44560</v>
      </c>
      <c r="B248" s="2">
        <v>-6.8901691557905487E-2</v>
      </c>
    </row>
    <row r="249" spans="1:2" x14ac:dyDescent="0.3">
      <c r="A249" s="3">
        <v>44561</v>
      </c>
      <c r="B249" s="2">
        <v>-6.0778100400226243E-2</v>
      </c>
    </row>
    <row r="250" spans="1:2" x14ac:dyDescent="0.3">
      <c r="A250" s="3">
        <v>44564</v>
      </c>
      <c r="B250" s="2">
        <v>-4.6076078161827683E-2</v>
      </c>
    </row>
    <row r="251" spans="1:2" x14ac:dyDescent="0.3">
      <c r="A251" s="3">
        <v>44565</v>
      </c>
      <c r="B251" s="2">
        <v>-3.6358617852958131E-2</v>
      </c>
    </row>
    <row r="252" spans="1:2" x14ac:dyDescent="0.3">
      <c r="A252" s="3">
        <v>44566</v>
      </c>
      <c r="B252" s="2">
        <v>-2.9864074622301673E-2</v>
      </c>
    </row>
    <row r="253" spans="1:2" x14ac:dyDescent="0.3">
      <c r="A253" s="3">
        <v>44567</v>
      </c>
      <c r="B253" s="2">
        <v>-3.9570710692453548E-2</v>
      </c>
    </row>
    <row r="254" spans="1:2" x14ac:dyDescent="0.3">
      <c r="A254" s="3">
        <v>44568</v>
      </c>
      <c r="B254" s="2">
        <v>-3.5955414960721521E-2</v>
      </c>
    </row>
    <row r="255" spans="1:2" x14ac:dyDescent="0.3">
      <c r="A255" s="3">
        <v>44571</v>
      </c>
      <c r="B255" s="2">
        <v>-2.5639915462695617E-2</v>
      </c>
    </row>
    <row r="256" spans="1:2" x14ac:dyDescent="0.3">
      <c r="A256" s="3">
        <v>44572</v>
      </c>
      <c r="B256" s="2">
        <v>-2.2801258858962892E-2</v>
      </c>
    </row>
    <row r="257" spans="1:2" x14ac:dyDescent="0.3">
      <c r="A257" s="3">
        <v>44573</v>
      </c>
      <c r="B257" s="2">
        <v>-1.432587994295631E-2</v>
      </c>
    </row>
    <row r="258" spans="1:2" x14ac:dyDescent="0.3">
      <c r="A258" s="3">
        <v>44574</v>
      </c>
      <c r="B258" s="2">
        <v>-1.1866071694345171E-2</v>
      </c>
    </row>
    <row r="259" spans="1:2" x14ac:dyDescent="0.3">
      <c r="A259" s="3">
        <v>44575</v>
      </c>
      <c r="B259" s="2">
        <v>-1.1977020141202166E-2</v>
      </c>
    </row>
    <row r="260" spans="1:2" x14ac:dyDescent="0.3">
      <c r="A260" s="3">
        <v>44578</v>
      </c>
      <c r="B260" s="2">
        <v>-9.1437756568283346E-3</v>
      </c>
    </row>
    <row r="261" spans="1:2" x14ac:dyDescent="0.3">
      <c r="A261" s="3">
        <v>44579</v>
      </c>
      <c r="B261" s="2">
        <v>-1.970011446632447E-2</v>
      </c>
    </row>
    <row r="262" spans="1:2" x14ac:dyDescent="0.3">
      <c r="A262" s="3">
        <v>44580</v>
      </c>
      <c r="B262" s="2">
        <v>-2.9152380926608878E-2</v>
      </c>
    </row>
    <row r="263" spans="1:2" x14ac:dyDescent="0.3">
      <c r="A263" s="3">
        <v>44581</v>
      </c>
      <c r="B263" s="2">
        <v>-3.896996544361786E-2</v>
      </c>
    </row>
    <row r="264" spans="1:2" x14ac:dyDescent="0.3">
      <c r="A264" s="3">
        <v>44582</v>
      </c>
      <c r="B264" s="2">
        <v>-4.6538814367011905E-2</v>
      </c>
    </row>
    <row r="265" spans="1:2" x14ac:dyDescent="0.3">
      <c r="A265" s="3">
        <v>44585</v>
      </c>
      <c r="B265" s="2">
        <v>-7.1870239026251559E-2</v>
      </c>
    </row>
    <row r="266" spans="1:2" x14ac:dyDescent="0.3">
      <c r="A266" s="3">
        <v>44586</v>
      </c>
      <c r="B266" s="2">
        <v>-6.4896723232334086E-2</v>
      </c>
    </row>
    <row r="267" spans="1:2" x14ac:dyDescent="0.3">
      <c r="A267" s="3">
        <v>44588</v>
      </c>
      <c r="B267" s="2">
        <v>-7.397825951653525E-2</v>
      </c>
    </row>
    <row r="268" spans="1:2" x14ac:dyDescent="0.3">
      <c r="A268" s="3">
        <v>44589</v>
      </c>
      <c r="B268" s="2">
        <v>-7.4422053303963454E-2</v>
      </c>
    </row>
    <row r="269" spans="1:2" x14ac:dyDescent="0.3">
      <c r="A269" s="3">
        <v>44592</v>
      </c>
      <c r="B269" s="2">
        <v>-6.1546621349187314E-2</v>
      </c>
    </row>
    <row r="270" spans="1:2" x14ac:dyDescent="0.3">
      <c r="A270" s="3">
        <v>44593</v>
      </c>
      <c r="B270" s="2">
        <v>-4.8719898468640888E-2</v>
      </c>
    </row>
    <row r="271" spans="1:2" x14ac:dyDescent="0.3">
      <c r="A271" s="3">
        <v>44594</v>
      </c>
      <c r="B271" s="2">
        <v>-3.7725177991075332E-2</v>
      </c>
    </row>
    <row r="272" spans="1:2" x14ac:dyDescent="0.3">
      <c r="A272" s="3">
        <v>44595</v>
      </c>
      <c r="B272" s="2">
        <v>-4.9621016341894308E-2</v>
      </c>
    </row>
    <row r="273" spans="1:2" x14ac:dyDescent="0.3">
      <c r="A273" s="3">
        <v>44596</v>
      </c>
      <c r="B273" s="2">
        <v>-5.1996936740442923E-2</v>
      </c>
    </row>
    <row r="274" spans="1:2" x14ac:dyDescent="0.3">
      <c r="A274" s="3">
        <v>44599</v>
      </c>
      <c r="B274" s="2">
        <v>-6.8379422039773652E-2</v>
      </c>
    </row>
    <row r="275" spans="1:2" x14ac:dyDescent="0.3">
      <c r="A275" s="3">
        <v>44600</v>
      </c>
      <c r="B275" s="2">
        <v>-6.5502880600528779E-2</v>
      </c>
    </row>
    <row r="276" spans="1:2" x14ac:dyDescent="0.3">
      <c r="A276" s="3">
        <v>44601</v>
      </c>
      <c r="B276" s="2">
        <v>-5.4838299403855095E-2</v>
      </c>
    </row>
    <row r="277" spans="1:2" x14ac:dyDescent="0.3">
      <c r="A277" s="3">
        <v>44602</v>
      </c>
      <c r="B277" s="2">
        <v>-4.7150383854565603E-2</v>
      </c>
    </row>
    <row r="278" spans="1:2" x14ac:dyDescent="0.3">
      <c r="A278" s="3">
        <v>44603</v>
      </c>
      <c r="B278" s="2">
        <v>-5.9657791692937945E-2</v>
      </c>
    </row>
    <row r="279" spans="1:2" x14ac:dyDescent="0.3">
      <c r="A279" s="3">
        <v>44606</v>
      </c>
      <c r="B279" s="2">
        <v>-8.844756062250192E-2</v>
      </c>
    </row>
    <row r="280" spans="1:2" x14ac:dyDescent="0.3">
      <c r="A280" s="3">
        <v>44607</v>
      </c>
      <c r="B280" s="2">
        <v>-6.0864694309968215E-2</v>
      </c>
    </row>
    <row r="281" spans="1:2" x14ac:dyDescent="0.3">
      <c r="A281" s="3">
        <v>44608</v>
      </c>
      <c r="B281" s="2">
        <v>-6.2501860416029564E-2</v>
      </c>
    </row>
    <row r="282" spans="1:2" x14ac:dyDescent="0.3">
      <c r="A282" s="3">
        <v>44609</v>
      </c>
      <c r="B282" s="2">
        <v>-6.345439342319259E-2</v>
      </c>
    </row>
    <row r="283" spans="1:2" x14ac:dyDescent="0.3">
      <c r="A283" s="3">
        <v>44610</v>
      </c>
      <c r="B283" s="2">
        <v>-6.4986023201755727E-2</v>
      </c>
    </row>
    <row r="284" spans="1:2" x14ac:dyDescent="0.3">
      <c r="A284" s="3">
        <v>44613</v>
      </c>
      <c r="B284" s="2">
        <v>-6.875556433521568E-2</v>
      </c>
    </row>
    <row r="285" spans="1:2" x14ac:dyDescent="0.3">
      <c r="A285" s="3">
        <v>44614</v>
      </c>
      <c r="B285" s="2">
        <v>-7.4949734941454293E-2</v>
      </c>
    </row>
    <row r="286" spans="1:2" x14ac:dyDescent="0.3">
      <c r="A286" s="3">
        <v>44615</v>
      </c>
      <c r="B286" s="2">
        <v>-7.6516543495850242E-2</v>
      </c>
    </row>
    <row r="287" spans="1:2" x14ac:dyDescent="0.3">
      <c r="A287" s="3">
        <v>44616</v>
      </c>
      <c r="B287" s="2">
        <v>-0.12064155262880161</v>
      </c>
    </row>
    <row r="288" spans="1:2" x14ac:dyDescent="0.3">
      <c r="A288" s="3">
        <v>44617</v>
      </c>
      <c r="B288" s="2">
        <v>-9.8427508720277168E-2</v>
      </c>
    </row>
    <row r="289" spans="1:2" x14ac:dyDescent="0.3">
      <c r="A289" s="3">
        <v>44620</v>
      </c>
      <c r="B289" s="2">
        <v>-9.1094086988994349E-2</v>
      </c>
    </row>
    <row r="290" spans="1:2" x14ac:dyDescent="0.3">
      <c r="A290" s="3">
        <v>44622</v>
      </c>
      <c r="B290" s="2">
        <v>-0.10126616532401</v>
      </c>
    </row>
    <row r="291" spans="1:2" x14ac:dyDescent="0.3">
      <c r="A291" s="3">
        <v>44623</v>
      </c>
      <c r="B291" s="2">
        <v>-0.10710584211224194</v>
      </c>
    </row>
    <row r="292" spans="1:2" x14ac:dyDescent="0.3">
      <c r="A292" s="3">
        <v>44624</v>
      </c>
      <c r="B292" s="2">
        <v>-0.12078226773213252</v>
      </c>
    </row>
    <row r="293" spans="1:2" x14ac:dyDescent="0.3">
      <c r="A293" s="3">
        <v>44627</v>
      </c>
      <c r="B293" s="2">
        <v>-0.14146738792177316</v>
      </c>
    </row>
    <row r="294" spans="1:2" x14ac:dyDescent="0.3">
      <c r="A294" s="3">
        <v>44628</v>
      </c>
      <c r="B294" s="2">
        <v>-0.13333297252537601</v>
      </c>
    </row>
    <row r="295" spans="1:2" x14ac:dyDescent="0.3">
      <c r="A295" s="3">
        <v>44629</v>
      </c>
      <c r="B295" s="2">
        <v>-0.11537014837325221</v>
      </c>
    </row>
    <row r="296" spans="1:2" x14ac:dyDescent="0.3">
      <c r="A296" s="3">
        <v>44630</v>
      </c>
      <c r="B296" s="2">
        <v>-0.10186420451316625</v>
      </c>
    </row>
    <row r="297" spans="1:2" x14ac:dyDescent="0.3">
      <c r="A297" s="3">
        <v>44631</v>
      </c>
      <c r="B297" s="2">
        <v>-9.9940196081084287E-2</v>
      </c>
    </row>
    <row r="298" spans="1:2" x14ac:dyDescent="0.3">
      <c r="A298" s="3">
        <v>44634</v>
      </c>
      <c r="B298" s="2">
        <v>-8.6905106605221105E-2</v>
      </c>
    </row>
    <row r="299" spans="1:2" x14ac:dyDescent="0.3">
      <c r="A299" s="3">
        <v>44635</v>
      </c>
      <c r="B299" s="2">
        <v>-9.8178551229768818E-2</v>
      </c>
    </row>
    <row r="300" spans="1:2" x14ac:dyDescent="0.3">
      <c r="A300" s="3">
        <v>44636</v>
      </c>
      <c r="B300" s="2">
        <v>-8.1273796412306143E-2</v>
      </c>
    </row>
    <row r="301" spans="1:2" x14ac:dyDescent="0.3">
      <c r="A301" s="3">
        <v>44637</v>
      </c>
      <c r="B301" s="2">
        <v>-6.4404220370676057E-2</v>
      </c>
    </row>
    <row r="302" spans="1:2" x14ac:dyDescent="0.3">
      <c r="A302" s="3">
        <v>44641</v>
      </c>
      <c r="B302" s="2">
        <v>-7.3575056624298862E-2</v>
      </c>
    </row>
    <row r="303" spans="1:2" x14ac:dyDescent="0.3">
      <c r="A303" s="3">
        <v>44642</v>
      </c>
      <c r="B303" s="2">
        <v>-6.2864472413074579E-2</v>
      </c>
    </row>
    <row r="304" spans="1:2" x14ac:dyDescent="0.3">
      <c r="A304" s="3">
        <v>44643</v>
      </c>
      <c r="B304" s="2">
        <v>-6.6644837785252431E-2</v>
      </c>
    </row>
    <row r="305" spans="1:2" x14ac:dyDescent="0.3">
      <c r="A305" s="3">
        <v>44644</v>
      </c>
      <c r="B305" s="2">
        <v>-6.7884213118436065E-2</v>
      </c>
    </row>
    <row r="306" spans="1:2" x14ac:dyDescent="0.3">
      <c r="A306" s="3">
        <v>44645</v>
      </c>
      <c r="B306" s="2">
        <v>-7.1659166371255134E-2</v>
      </c>
    </row>
    <row r="307" spans="1:2" x14ac:dyDescent="0.3">
      <c r="A307" s="3">
        <v>44648</v>
      </c>
      <c r="B307" s="2">
        <v>-6.792480401362766E-2</v>
      </c>
    </row>
    <row r="308" spans="1:2" x14ac:dyDescent="0.3">
      <c r="A308" s="3">
        <v>44649</v>
      </c>
      <c r="B308" s="2">
        <v>-6.2334084715904292E-2</v>
      </c>
    </row>
    <row r="309" spans="1:2" x14ac:dyDescent="0.3">
      <c r="A309" s="3">
        <v>44650</v>
      </c>
      <c r="B309" s="2">
        <v>-5.297382428472075E-2</v>
      </c>
    </row>
    <row r="310" spans="1:2" x14ac:dyDescent="0.3">
      <c r="A310" s="3">
        <v>44651</v>
      </c>
      <c r="B310" s="2">
        <v>-5.4786884269945602E-2</v>
      </c>
    </row>
    <row r="311" spans="1:2" x14ac:dyDescent="0.3">
      <c r="A311" s="3">
        <v>44652</v>
      </c>
      <c r="B311" s="2">
        <v>-4.3654154748728802E-2</v>
      </c>
    </row>
    <row r="312" spans="1:2" x14ac:dyDescent="0.3">
      <c r="A312" s="3">
        <v>44655</v>
      </c>
      <c r="B312" s="2">
        <v>-2.2928443663896458E-2</v>
      </c>
    </row>
    <row r="313" spans="1:2" x14ac:dyDescent="0.3">
      <c r="A313" s="3">
        <v>44656</v>
      </c>
      <c r="B313" s="2">
        <v>-2.8124078248421558E-2</v>
      </c>
    </row>
    <row r="314" spans="1:2" x14ac:dyDescent="0.3">
      <c r="A314" s="3">
        <v>44657</v>
      </c>
      <c r="B314" s="2">
        <v>-3.6228726988344895E-2</v>
      </c>
    </row>
    <row r="315" spans="1:2" x14ac:dyDescent="0.3">
      <c r="A315" s="3">
        <v>44658</v>
      </c>
      <c r="B315" s="2">
        <v>-4.5326499630622852E-2</v>
      </c>
    </row>
    <row r="316" spans="1:2" x14ac:dyDescent="0.3">
      <c r="A316" s="3">
        <v>44659</v>
      </c>
      <c r="B316" s="2">
        <v>-3.7489750798964216E-2</v>
      </c>
    </row>
    <row r="317" spans="1:2" x14ac:dyDescent="0.3">
      <c r="A317" s="3">
        <v>44662</v>
      </c>
      <c r="B317" s="2">
        <v>-4.3410609377579124E-2</v>
      </c>
    </row>
    <row r="318" spans="1:2" x14ac:dyDescent="0.3">
      <c r="A318" s="3">
        <v>44663</v>
      </c>
      <c r="B318" s="2">
        <v>-5.123924003019964E-2</v>
      </c>
    </row>
    <row r="319" spans="1:2" x14ac:dyDescent="0.3">
      <c r="A319" s="3">
        <v>44664</v>
      </c>
      <c r="B319" s="2">
        <v>-5.4196963259827591E-2</v>
      </c>
    </row>
    <row r="320" spans="1:2" x14ac:dyDescent="0.3">
      <c r="A320" s="3">
        <v>44669</v>
      </c>
      <c r="B320" s="2">
        <v>-7.0541563723646283E-2</v>
      </c>
    </row>
    <row r="321" spans="1:2" x14ac:dyDescent="0.3">
      <c r="A321" s="3">
        <v>44670</v>
      </c>
      <c r="B321" s="2">
        <v>-8.2177620345239011E-2</v>
      </c>
    </row>
    <row r="322" spans="1:2" x14ac:dyDescent="0.3">
      <c r="A322" s="3">
        <v>44671</v>
      </c>
      <c r="B322" s="2">
        <v>-7.2549460005790989E-2</v>
      </c>
    </row>
    <row r="323" spans="1:2" x14ac:dyDescent="0.3">
      <c r="A323" s="3">
        <v>44672</v>
      </c>
      <c r="B323" s="2">
        <v>-5.8691728387377906E-2</v>
      </c>
    </row>
    <row r="324" spans="1:2" x14ac:dyDescent="0.3">
      <c r="A324" s="3">
        <v>44673</v>
      </c>
      <c r="B324" s="2">
        <v>-7.0633569752747261E-2</v>
      </c>
    </row>
    <row r="325" spans="1:2" x14ac:dyDescent="0.3">
      <c r="A325" s="3">
        <v>44676</v>
      </c>
      <c r="B325" s="2">
        <v>-8.2431989955106366E-2</v>
      </c>
    </row>
    <row r="326" spans="1:2" x14ac:dyDescent="0.3">
      <c r="A326" s="3">
        <v>44677</v>
      </c>
      <c r="B326" s="2">
        <v>-6.9072173317710317E-2</v>
      </c>
    </row>
    <row r="327" spans="1:2" x14ac:dyDescent="0.3">
      <c r="A327" s="3">
        <v>44678</v>
      </c>
      <c r="B327" s="2">
        <v>-7.7861455156531867E-2</v>
      </c>
    </row>
    <row r="328" spans="1:2" x14ac:dyDescent="0.3">
      <c r="A328" s="3">
        <v>44679</v>
      </c>
      <c r="B328" s="2">
        <v>-6.6677310501405795E-2</v>
      </c>
    </row>
    <row r="329" spans="1:2" x14ac:dyDescent="0.3">
      <c r="A329" s="3">
        <v>44680</v>
      </c>
      <c r="B329" s="2">
        <v>-7.4389580587810311E-2</v>
      </c>
    </row>
    <row r="330" spans="1:2" x14ac:dyDescent="0.3">
      <c r="A330" s="3">
        <v>44683</v>
      </c>
      <c r="B330" s="2">
        <v>-7.6199934513355827E-2</v>
      </c>
    </row>
    <row r="331" spans="1:2" x14ac:dyDescent="0.3">
      <c r="A331" s="3">
        <v>44685</v>
      </c>
      <c r="B331" s="2">
        <v>-9.7388381803372281E-2</v>
      </c>
    </row>
    <row r="332" spans="1:2" x14ac:dyDescent="0.3">
      <c r="A332" s="3">
        <v>44686</v>
      </c>
      <c r="B332" s="2">
        <v>-9.7115069775748686E-2</v>
      </c>
    </row>
    <row r="333" spans="1:2" x14ac:dyDescent="0.3">
      <c r="A333" s="3">
        <v>44687</v>
      </c>
      <c r="B333" s="2">
        <v>-0.11180356171575001</v>
      </c>
    </row>
    <row r="334" spans="1:2" x14ac:dyDescent="0.3">
      <c r="A334" s="3">
        <v>44690</v>
      </c>
      <c r="B334" s="2">
        <v>-0.11772442029436514</v>
      </c>
    </row>
    <row r="335" spans="1:2" x14ac:dyDescent="0.3">
      <c r="A335" s="3">
        <v>44691</v>
      </c>
      <c r="B335" s="2">
        <v>-0.12106911005815324</v>
      </c>
    </row>
    <row r="336" spans="1:2" x14ac:dyDescent="0.3">
      <c r="A336" s="3">
        <v>44692</v>
      </c>
      <c r="B336" s="2">
        <v>-0.12501725113045636</v>
      </c>
    </row>
    <row r="337" spans="1:2" x14ac:dyDescent="0.3">
      <c r="A337" s="3">
        <v>44693</v>
      </c>
      <c r="B337" s="2">
        <v>-0.14445217174819569</v>
      </c>
    </row>
    <row r="338" spans="1:2" x14ac:dyDescent="0.3">
      <c r="A338" s="3">
        <v>44694</v>
      </c>
      <c r="B338" s="2">
        <v>-0.14585120460246626</v>
      </c>
    </row>
    <row r="339" spans="1:2" x14ac:dyDescent="0.3">
      <c r="A339" s="3">
        <v>44697</v>
      </c>
      <c r="B339" s="2">
        <v>-0.1425958148080998</v>
      </c>
    </row>
    <row r="340" spans="1:2" x14ac:dyDescent="0.3">
      <c r="A340" s="3">
        <v>44698</v>
      </c>
      <c r="B340" s="2">
        <v>-0.1200272770815688</v>
      </c>
    </row>
    <row r="341" spans="1:2" x14ac:dyDescent="0.3">
      <c r="A341" s="3">
        <v>44699</v>
      </c>
      <c r="B341" s="2">
        <v>-0.121055579759756</v>
      </c>
    </row>
    <row r="342" spans="1:2" x14ac:dyDescent="0.3">
      <c r="A342" s="3">
        <v>44700</v>
      </c>
      <c r="B342" s="2">
        <v>-0.1443764020771714</v>
      </c>
    </row>
    <row r="343" spans="1:2" x14ac:dyDescent="0.3">
      <c r="A343" s="3">
        <v>44701</v>
      </c>
      <c r="B343" s="2">
        <v>-0.11965654690548544</v>
      </c>
    </row>
    <row r="344" spans="1:2" x14ac:dyDescent="0.3">
      <c r="A344" s="3">
        <v>44704</v>
      </c>
      <c r="B344" s="2">
        <v>-0.12244108231562933</v>
      </c>
    </row>
    <row r="345" spans="1:2" x14ac:dyDescent="0.3">
      <c r="A345" s="3">
        <v>44705</v>
      </c>
      <c r="B345" s="2">
        <v>-0.12728763520150677</v>
      </c>
    </row>
    <row r="346" spans="1:2" x14ac:dyDescent="0.3">
      <c r="A346" s="3">
        <v>44706</v>
      </c>
      <c r="B346" s="2">
        <v>-0.13266457578455437</v>
      </c>
    </row>
    <row r="347" spans="1:2" x14ac:dyDescent="0.3">
      <c r="A347" s="3">
        <v>44707</v>
      </c>
      <c r="B347" s="2">
        <v>-0.12485218149001054</v>
      </c>
    </row>
    <row r="348" spans="1:2" x14ac:dyDescent="0.3">
      <c r="A348" s="3">
        <v>44708</v>
      </c>
      <c r="B348" s="2">
        <v>-0.11498588789877162</v>
      </c>
    </row>
    <row r="349" spans="1:2" x14ac:dyDescent="0.3">
      <c r="A349" s="3">
        <v>44711</v>
      </c>
      <c r="B349" s="2">
        <v>-9.826514513951079E-2</v>
      </c>
    </row>
    <row r="350" spans="1:2" x14ac:dyDescent="0.3">
      <c r="A350" s="3">
        <v>44712</v>
      </c>
      <c r="B350" s="2">
        <v>-0.10242435886681045</v>
      </c>
    </row>
    <row r="351" spans="1:2" x14ac:dyDescent="0.3">
      <c r="A351" s="3">
        <v>44713</v>
      </c>
      <c r="B351" s="2">
        <v>-0.10576904863059844</v>
      </c>
    </row>
    <row r="352" spans="1:2" x14ac:dyDescent="0.3">
      <c r="A352" s="3">
        <v>44714</v>
      </c>
      <c r="B352" s="2">
        <v>-0.10007279300537686</v>
      </c>
    </row>
    <row r="353" spans="1:2" x14ac:dyDescent="0.3">
      <c r="A353" s="3">
        <v>44715</v>
      </c>
      <c r="B353" s="2">
        <v>-0.10243788916520769</v>
      </c>
    </row>
    <row r="354" spans="1:2" x14ac:dyDescent="0.3">
      <c r="A354" s="3">
        <v>44718</v>
      </c>
      <c r="B354" s="2">
        <v>-0.10323617677064245</v>
      </c>
    </row>
    <row r="355" spans="1:2" x14ac:dyDescent="0.3">
      <c r="A355" s="3">
        <v>44719</v>
      </c>
      <c r="B355" s="2">
        <v>-0.11152754362844719</v>
      </c>
    </row>
    <row r="356" spans="1:2" x14ac:dyDescent="0.3">
      <c r="A356" s="3">
        <v>44720</v>
      </c>
      <c r="B356" s="2">
        <v>-0.1147802273631342</v>
      </c>
    </row>
    <row r="357" spans="1:2" x14ac:dyDescent="0.3">
      <c r="A357" s="3">
        <v>44721</v>
      </c>
      <c r="B357" s="2">
        <v>-0.10818555992433865</v>
      </c>
    </row>
    <row r="358" spans="1:2" x14ac:dyDescent="0.3">
      <c r="A358" s="3">
        <v>44722</v>
      </c>
      <c r="B358" s="2">
        <v>-0.12313924571292501</v>
      </c>
    </row>
    <row r="359" spans="1:2" x14ac:dyDescent="0.3">
      <c r="A359" s="3">
        <v>44725</v>
      </c>
      <c r="B359" s="2">
        <v>-0.14627064385277955</v>
      </c>
    </row>
    <row r="360" spans="1:2" x14ac:dyDescent="0.3">
      <c r="A360" s="3">
        <v>44726</v>
      </c>
      <c r="B360" s="2">
        <v>-0.14855997034158586</v>
      </c>
    </row>
    <row r="361" spans="1:2" x14ac:dyDescent="0.3">
      <c r="A361" s="3">
        <v>44727</v>
      </c>
      <c r="B361" s="2">
        <v>-0.1507221120254586</v>
      </c>
    </row>
    <row r="362" spans="1:2" x14ac:dyDescent="0.3">
      <c r="A362" s="3">
        <v>44728</v>
      </c>
      <c r="B362" s="2">
        <v>-0.16866599375982627</v>
      </c>
    </row>
    <row r="363" spans="1:2" x14ac:dyDescent="0.3">
      <c r="A363" s="3">
        <v>44729</v>
      </c>
      <c r="B363" s="2">
        <v>-0.17229752584963509</v>
      </c>
    </row>
    <row r="364" spans="1:2" x14ac:dyDescent="0.3">
      <c r="A364" s="3">
        <v>44732</v>
      </c>
      <c r="B364" s="2">
        <v>-0.16923156023282937</v>
      </c>
    </row>
    <row r="365" spans="1:2" x14ac:dyDescent="0.3">
      <c r="A365" s="3">
        <v>44733</v>
      </c>
      <c r="B365" s="2">
        <v>-0.15360947770342126</v>
      </c>
    </row>
    <row r="366" spans="1:2" x14ac:dyDescent="0.3">
      <c r="A366" s="3">
        <v>44734</v>
      </c>
      <c r="B366" s="2">
        <v>-0.16581380685769642</v>
      </c>
    </row>
    <row r="367" spans="1:2" x14ac:dyDescent="0.3">
      <c r="A367" s="3">
        <v>44735</v>
      </c>
      <c r="B367" s="2">
        <v>-0.15805553375674142</v>
      </c>
    </row>
    <row r="368" spans="1:2" x14ac:dyDescent="0.3">
      <c r="A368" s="3">
        <v>44736</v>
      </c>
      <c r="B368" s="2">
        <v>-0.15033785155097812</v>
      </c>
    </row>
    <row r="369" spans="1:2" x14ac:dyDescent="0.3">
      <c r="A369" s="3">
        <v>44739</v>
      </c>
      <c r="B369" s="2">
        <v>-0.143150557042385</v>
      </c>
    </row>
    <row r="370" spans="1:2" x14ac:dyDescent="0.3">
      <c r="A370" s="3">
        <v>44740</v>
      </c>
      <c r="B370" s="2">
        <v>-0.14216825737874816</v>
      </c>
    </row>
    <row r="371" spans="1:2" x14ac:dyDescent="0.3">
      <c r="A371" s="3">
        <v>44741</v>
      </c>
      <c r="B371" s="2">
        <v>-0.14493385037113604</v>
      </c>
    </row>
    <row r="372" spans="1:2" x14ac:dyDescent="0.3">
      <c r="A372" s="3">
        <v>44742</v>
      </c>
      <c r="B372" s="2">
        <v>-0.14595403487028502</v>
      </c>
    </row>
    <row r="373" spans="1:2" x14ac:dyDescent="0.3">
      <c r="A373" s="3">
        <v>44743</v>
      </c>
      <c r="B373" s="2">
        <v>-0.14748025252948926</v>
      </c>
    </row>
    <row r="374" spans="1:2" x14ac:dyDescent="0.3">
      <c r="A374" s="3">
        <v>44746</v>
      </c>
      <c r="B374" s="2">
        <v>-0.14297195710354194</v>
      </c>
    </row>
    <row r="375" spans="1:2" x14ac:dyDescent="0.3">
      <c r="A375" s="3">
        <v>44747</v>
      </c>
      <c r="B375" s="2">
        <v>-0.14429792634646754</v>
      </c>
    </row>
    <row r="376" spans="1:2" x14ac:dyDescent="0.3">
      <c r="A376" s="3">
        <v>44748</v>
      </c>
      <c r="B376" s="2">
        <v>-0.13461293875375124</v>
      </c>
    </row>
    <row r="377" spans="1:2" x14ac:dyDescent="0.3">
      <c r="A377" s="3">
        <v>44749</v>
      </c>
      <c r="B377" s="2">
        <v>-0.12686819595119347</v>
      </c>
    </row>
    <row r="378" spans="1:2" x14ac:dyDescent="0.3">
      <c r="A378" s="3">
        <v>44750</v>
      </c>
      <c r="B378" s="2">
        <v>-0.12212176727345536</v>
      </c>
    </row>
    <row r="379" spans="1:2" x14ac:dyDescent="0.3">
      <c r="A379" s="3">
        <v>44753</v>
      </c>
      <c r="B379" s="2">
        <v>-0.12237072476396393</v>
      </c>
    </row>
    <row r="380" spans="1:2" x14ac:dyDescent="0.3">
      <c r="A380" s="3">
        <v>44754</v>
      </c>
      <c r="B380" s="2">
        <v>-0.13090563699291824</v>
      </c>
    </row>
    <row r="381" spans="1:2" x14ac:dyDescent="0.3">
      <c r="A381" s="3">
        <v>44755</v>
      </c>
      <c r="B381" s="2">
        <v>-0.13586584438533211</v>
      </c>
    </row>
    <row r="382" spans="1:2" x14ac:dyDescent="0.3">
      <c r="A382" s="3">
        <v>44756</v>
      </c>
      <c r="B382" s="2">
        <v>-0.13738123780581857</v>
      </c>
    </row>
    <row r="383" spans="1:2" x14ac:dyDescent="0.3">
      <c r="A383" s="3">
        <v>44757</v>
      </c>
      <c r="B383" s="2">
        <v>-0.13139813985457627</v>
      </c>
    </row>
    <row r="384" spans="1:2" x14ac:dyDescent="0.3">
      <c r="A384" s="3">
        <v>44760</v>
      </c>
      <c r="B384" s="2">
        <v>-0.11898815016466369</v>
      </c>
    </row>
    <row r="385" spans="1:2" x14ac:dyDescent="0.3">
      <c r="A385" s="3">
        <v>44761</v>
      </c>
      <c r="B385" s="2">
        <v>-0.11562993010247846</v>
      </c>
    </row>
    <row r="386" spans="1:2" x14ac:dyDescent="0.3">
      <c r="A386" s="3">
        <v>44762</v>
      </c>
      <c r="B386" s="2">
        <v>-0.10587187889841732</v>
      </c>
    </row>
    <row r="387" spans="1:2" x14ac:dyDescent="0.3">
      <c r="A387" s="3">
        <v>44763</v>
      </c>
      <c r="B387" s="2">
        <v>-0.10130405015952215</v>
      </c>
    </row>
    <row r="388" spans="1:2" x14ac:dyDescent="0.3">
      <c r="A388" s="3">
        <v>44764</v>
      </c>
      <c r="B388" s="2">
        <v>-9.5123409851680774E-2</v>
      </c>
    </row>
    <row r="389" spans="1:2" x14ac:dyDescent="0.3">
      <c r="A389" s="3">
        <v>44767</v>
      </c>
      <c r="B389" s="2">
        <v>-9.9910429424610481E-2</v>
      </c>
    </row>
    <row r="390" spans="1:2" x14ac:dyDescent="0.3">
      <c r="A390" s="3">
        <v>44768</v>
      </c>
      <c r="B390" s="2">
        <v>-0.10787436306120302</v>
      </c>
    </row>
    <row r="391" spans="1:2" x14ac:dyDescent="0.3">
      <c r="A391" s="3">
        <v>44769</v>
      </c>
      <c r="B391" s="2">
        <v>-9.9325920533851475E-2</v>
      </c>
    </row>
    <row r="392" spans="1:2" x14ac:dyDescent="0.3">
      <c r="A392" s="3">
        <v>44770</v>
      </c>
      <c r="B392" s="2">
        <v>-8.3749841018993854E-2</v>
      </c>
    </row>
    <row r="393" spans="1:2" x14ac:dyDescent="0.3">
      <c r="A393" s="3">
        <v>44771</v>
      </c>
      <c r="B393" s="2">
        <v>-7.1375030104913861E-2</v>
      </c>
    </row>
    <row r="394" spans="1:2" x14ac:dyDescent="0.3">
      <c r="A394" s="3">
        <v>44774</v>
      </c>
      <c r="B394" s="2">
        <v>-6.1535797110469526E-2</v>
      </c>
    </row>
    <row r="395" spans="1:2" x14ac:dyDescent="0.3">
      <c r="A395" s="3">
        <v>44775</v>
      </c>
      <c r="B395" s="2">
        <v>-6.1243542665089912E-2</v>
      </c>
    </row>
    <row r="396" spans="1:2" x14ac:dyDescent="0.3">
      <c r="A396" s="3">
        <v>44776</v>
      </c>
      <c r="B396" s="2">
        <v>-5.8932567698847915E-2</v>
      </c>
    </row>
    <row r="397" spans="1:2" x14ac:dyDescent="0.3">
      <c r="A397" s="3">
        <v>44777</v>
      </c>
      <c r="B397" s="2">
        <v>-5.9265413039419124E-2</v>
      </c>
    </row>
    <row r="398" spans="1:2" x14ac:dyDescent="0.3">
      <c r="A398" s="3">
        <v>44778</v>
      </c>
      <c r="B398" s="2">
        <v>-5.8426534538792652E-2</v>
      </c>
    </row>
    <row r="399" spans="1:2" x14ac:dyDescent="0.3">
      <c r="A399" s="3">
        <v>44781</v>
      </c>
      <c r="B399" s="2">
        <v>-5.1520670236861466E-2</v>
      </c>
    </row>
    <row r="400" spans="1:2" x14ac:dyDescent="0.3">
      <c r="A400" s="3">
        <v>44783</v>
      </c>
      <c r="B400" s="2">
        <v>-5.0998400718729409E-2</v>
      </c>
    </row>
    <row r="401" spans="1:2" x14ac:dyDescent="0.3">
      <c r="A401" s="3">
        <v>44784</v>
      </c>
      <c r="B401" s="2">
        <v>-4.4273842415320619E-2</v>
      </c>
    </row>
    <row r="402" spans="1:2" x14ac:dyDescent="0.3">
      <c r="A402" s="3">
        <v>44785</v>
      </c>
      <c r="B402" s="2">
        <v>-4.2154997686318807E-2</v>
      </c>
    </row>
    <row r="403" spans="1:2" x14ac:dyDescent="0.3">
      <c r="A403" s="3">
        <v>44789</v>
      </c>
      <c r="B403" s="2">
        <v>-3.527619398118198E-2</v>
      </c>
    </row>
    <row r="404" spans="1:2" x14ac:dyDescent="0.3">
      <c r="A404" s="3">
        <v>44790</v>
      </c>
      <c r="B404" s="2">
        <v>-2.8835771944114463E-2</v>
      </c>
    </row>
    <row r="405" spans="1:2" x14ac:dyDescent="0.3">
      <c r="A405" s="3">
        <v>44791</v>
      </c>
      <c r="B405" s="2">
        <v>-2.8172787322651605E-2</v>
      </c>
    </row>
    <row r="406" spans="1:2" x14ac:dyDescent="0.3">
      <c r="A406" s="3">
        <v>44792</v>
      </c>
      <c r="B406" s="2">
        <v>-3.8891489712914007E-2</v>
      </c>
    </row>
    <row r="407" spans="1:2" x14ac:dyDescent="0.3">
      <c r="A407" s="3">
        <v>44795</v>
      </c>
      <c r="B407" s="2">
        <v>-5.3382439296316142E-2</v>
      </c>
    </row>
    <row r="408" spans="1:2" x14ac:dyDescent="0.3">
      <c r="A408" s="3">
        <v>44796</v>
      </c>
      <c r="B408" s="2">
        <v>-4.8684719692808076E-2</v>
      </c>
    </row>
    <row r="409" spans="1:2" x14ac:dyDescent="0.3">
      <c r="A409" s="3">
        <v>44797</v>
      </c>
      <c r="B409" s="2">
        <v>-4.7199092928795428E-2</v>
      </c>
    </row>
    <row r="410" spans="1:2" x14ac:dyDescent="0.3">
      <c r="A410" s="3">
        <v>44798</v>
      </c>
      <c r="B410" s="2">
        <v>-5.1664091399871603E-2</v>
      </c>
    </row>
    <row r="411" spans="1:2" x14ac:dyDescent="0.3">
      <c r="A411" s="3">
        <v>44799</v>
      </c>
      <c r="B411" s="2">
        <v>-4.9691373893559709E-2</v>
      </c>
    </row>
    <row r="412" spans="1:2" x14ac:dyDescent="0.3">
      <c r="A412" s="3">
        <v>44802</v>
      </c>
      <c r="B412" s="2">
        <v>-6.3005187516405381E-2</v>
      </c>
    </row>
    <row r="413" spans="1:2" x14ac:dyDescent="0.3">
      <c r="A413" s="3">
        <v>44803</v>
      </c>
      <c r="B413" s="2">
        <v>-3.8845486698363629E-2</v>
      </c>
    </row>
    <row r="414" spans="1:2" x14ac:dyDescent="0.3">
      <c r="A414" s="3">
        <v>44805</v>
      </c>
      <c r="B414" s="2">
        <v>-5.0562725110339546E-2</v>
      </c>
    </row>
    <row r="415" spans="1:2" x14ac:dyDescent="0.3">
      <c r="A415" s="3">
        <v>44806</v>
      </c>
      <c r="B415" s="2">
        <v>-5.0744031108862053E-2</v>
      </c>
    </row>
    <row r="416" spans="1:2" x14ac:dyDescent="0.3">
      <c r="A416" s="3">
        <v>44809</v>
      </c>
      <c r="B416" s="2">
        <v>-4.3905818298916821E-2</v>
      </c>
    </row>
    <row r="417" spans="1:2" x14ac:dyDescent="0.3">
      <c r="A417" s="3">
        <v>44810</v>
      </c>
      <c r="B417" s="2">
        <v>-4.4457854473522573E-2</v>
      </c>
    </row>
    <row r="418" spans="1:2" x14ac:dyDescent="0.3">
      <c r="A418" s="3">
        <v>44811</v>
      </c>
      <c r="B418" s="2">
        <v>-4.6146435713493084E-2</v>
      </c>
    </row>
    <row r="419" spans="1:2" x14ac:dyDescent="0.3">
      <c r="A419" s="3">
        <v>44812</v>
      </c>
      <c r="B419" s="2">
        <v>-3.6710405611285357E-2</v>
      </c>
    </row>
    <row r="420" spans="1:2" x14ac:dyDescent="0.3">
      <c r="A420" s="3">
        <v>44813</v>
      </c>
      <c r="B420" s="2">
        <v>-3.4837812313112781E-2</v>
      </c>
    </row>
    <row r="421" spans="1:2" x14ac:dyDescent="0.3">
      <c r="A421" s="3">
        <v>44816</v>
      </c>
      <c r="B421" s="2">
        <v>-2.9263329373466096E-2</v>
      </c>
    </row>
    <row r="422" spans="1:2" x14ac:dyDescent="0.3">
      <c r="A422" s="3">
        <v>44817</v>
      </c>
      <c r="B422" s="2">
        <v>-2.2027325790643038E-2</v>
      </c>
    </row>
    <row r="423" spans="1:2" x14ac:dyDescent="0.3">
      <c r="A423" s="3">
        <v>44818</v>
      </c>
      <c r="B423" s="2">
        <v>-2.5615560925580594E-2</v>
      </c>
    </row>
    <row r="424" spans="1:2" x14ac:dyDescent="0.3">
      <c r="A424" s="3">
        <v>44819</v>
      </c>
      <c r="B424" s="2">
        <v>-3.2453773735525826E-2</v>
      </c>
    </row>
    <row r="425" spans="1:2" x14ac:dyDescent="0.3">
      <c r="A425" s="3">
        <v>44820</v>
      </c>
      <c r="B425" s="2">
        <v>-5.1209473373725833E-2</v>
      </c>
    </row>
    <row r="426" spans="1:2" x14ac:dyDescent="0.3">
      <c r="A426" s="3">
        <v>44823</v>
      </c>
      <c r="B426" s="2">
        <v>-4.6262796279709084E-2</v>
      </c>
    </row>
    <row r="427" spans="1:2" x14ac:dyDescent="0.3">
      <c r="A427" s="3">
        <v>44824</v>
      </c>
      <c r="B427" s="2">
        <v>-3.5763284723481226E-2</v>
      </c>
    </row>
    <row r="428" spans="1:2" x14ac:dyDescent="0.3">
      <c r="A428" s="3">
        <v>44825</v>
      </c>
      <c r="B428" s="2">
        <v>-4.1061749575825202E-2</v>
      </c>
    </row>
    <row r="429" spans="1:2" x14ac:dyDescent="0.3">
      <c r="A429" s="3">
        <v>44826</v>
      </c>
      <c r="B429" s="2">
        <v>-4.5854181268113692E-2</v>
      </c>
    </row>
    <row r="430" spans="1:2" x14ac:dyDescent="0.3">
      <c r="A430" s="3">
        <v>44827</v>
      </c>
      <c r="B430" s="2">
        <v>-6.2223136269047297E-2</v>
      </c>
    </row>
    <row r="431" spans="1:2" x14ac:dyDescent="0.3">
      <c r="A431" s="3">
        <v>44830</v>
      </c>
      <c r="B431" s="2">
        <v>-7.9057533534844571E-2</v>
      </c>
    </row>
    <row r="432" spans="1:2" x14ac:dyDescent="0.3">
      <c r="A432" s="3">
        <v>44831</v>
      </c>
      <c r="B432" s="2">
        <v>-7.9539212157784811E-2</v>
      </c>
    </row>
    <row r="433" spans="1:2" x14ac:dyDescent="0.3">
      <c r="A433" s="3">
        <v>44832</v>
      </c>
      <c r="B433" s="2">
        <v>-8.7592445763798876E-2</v>
      </c>
    </row>
    <row r="434" spans="1:2" x14ac:dyDescent="0.3">
      <c r="A434" s="3">
        <v>44833</v>
      </c>
      <c r="B434" s="2">
        <v>-8.9784354104145425E-2</v>
      </c>
    </row>
    <row r="435" spans="1:2" x14ac:dyDescent="0.3">
      <c r="A435" s="3">
        <v>44834</v>
      </c>
      <c r="B435" s="2">
        <v>-7.4833374375238515E-2</v>
      </c>
    </row>
    <row r="436" spans="1:2" x14ac:dyDescent="0.3">
      <c r="A436" s="3">
        <v>44837</v>
      </c>
      <c r="B436" s="2">
        <v>-8.6036461448120827E-2</v>
      </c>
    </row>
    <row r="437" spans="1:2" x14ac:dyDescent="0.3">
      <c r="A437" s="3">
        <v>44838</v>
      </c>
      <c r="B437" s="2">
        <v>-6.5094265588933276E-2</v>
      </c>
    </row>
    <row r="438" spans="1:2" x14ac:dyDescent="0.3">
      <c r="A438" s="3">
        <v>44840</v>
      </c>
      <c r="B438" s="2">
        <v>-6.1982296957577065E-2</v>
      </c>
    </row>
    <row r="439" spans="1:2" x14ac:dyDescent="0.3">
      <c r="A439" s="3">
        <v>44841</v>
      </c>
      <c r="B439" s="2">
        <v>-6.2910475427624957E-2</v>
      </c>
    </row>
    <row r="440" spans="1:2" x14ac:dyDescent="0.3">
      <c r="A440" s="3">
        <v>44844</v>
      </c>
      <c r="B440" s="2">
        <v>-6.689650133544045E-2</v>
      </c>
    </row>
    <row r="441" spans="1:2" x14ac:dyDescent="0.3">
      <c r="A441" s="3">
        <v>44845</v>
      </c>
      <c r="B441" s="2">
        <v>-8.0830002624877939E-2</v>
      </c>
    </row>
    <row r="442" spans="1:2" x14ac:dyDescent="0.3">
      <c r="A442" s="3">
        <v>44846</v>
      </c>
      <c r="B442" s="2">
        <v>-7.3250329462765995E-2</v>
      </c>
    </row>
    <row r="443" spans="1:2" x14ac:dyDescent="0.3">
      <c r="A443" s="3">
        <v>44847</v>
      </c>
      <c r="B443" s="2">
        <v>-7.9163069862342783E-2</v>
      </c>
    </row>
    <row r="444" spans="1:2" x14ac:dyDescent="0.3">
      <c r="A444" s="3">
        <v>44848</v>
      </c>
      <c r="B444" s="2">
        <v>-6.9889403340901213E-2</v>
      </c>
    </row>
    <row r="445" spans="1:2" x14ac:dyDescent="0.3">
      <c r="A445" s="3">
        <v>44851</v>
      </c>
      <c r="B445" s="2">
        <v>-6.3064720829353216E-2</v>
      </c>
    </row>
    <row r="446" spans="1:2" x14ac:dyDescent="0.3">
      <c r="A446" s="3">
        <v>44852</v>
      </c>
      <c r="B446" s="2">
        <v>-5.3585393772274226E-2</v>
      </c>
    </row>
    <row r="447" spans="1:2" x14ac:dyDescent="0.3">
      <c r="A447" s="3">
        <v>44853</v>
      </c>
      <c r="B447" s="2">
        <v>-5.2216127574477467E-2</v>
      </c>
    </row>
    <row r="448" spans="1:2" x14ac:dyDescent="0.3">
      <c r="A448" s="3">
        <v>44854</v>
      </c>
      <c r="B448" s="2">
        <v>-4.9418061865936336E-2</v>
      </c>
    </row>
    <row r="449" spans="1:2" x14ac:dyDescent="0.3">
      <c r="A449" s="3">
        <v>44855</v>
      </c>
      <c r="B449" s="2">
        <v>-4.8749665125114694E-2</v>
      </c>
    </row>
    <row r="450" spans="1:2" x14ac:dyDescent="0.3">
      <c r="A450" s="3">
        <v>44858</v>
      </c>
      <c r="B450" s="2">
        <v>-4.0390646775323891E-2</v>
      </c>
    </row>
    <row r="451" spans="1:2" x14ac:dyDescent="0.3">
      <c r="A451" s="3">
        <v>44859</v>
      </c>
      <c r="B451" s="2">
        <v>-4.4417263578330979E-2</v>
      </c>
    </row>
    <row r="452" spans="1:2" x14ac:dyDescent="0.3">
      <c r="A452" s="3">
        <v>44861</v>
      </c>
      <c r="B452" s="2">
        <v>-4.0055095375073346E-2</v>
      </c>
    </row>
    <row r="453" spans="1:2" x14ac:dyDescent="0.3">
      <c r="A453" s="3">
        <v>44862</v>
      </c>
      <c r="B453" s="2">
        <v>-3.7357153874671534E-2</v>
      </c>
    </row>
    <row r="454" spans="1:2" x14ac:dyDescent="0.3">
      <c r="A454" s="3">
        <v>44865</v>
      </c>
      <c r="B454" s="2">
        <v>-2.5158236839755155E-2</v>
      </c>
    </row>
    <row r="455" spans="1:2" x14ac:dyDescent="0.3">
      <c r="A455" s="3">
        <v>44866</v>
      </c>
      <c r="B455" s="2">
        <v>-1.7949293853726567E-2</v>
      </c>
    </row>
    <row r="456" spans="1:2" x14ac:dyDescent="0.3">
      <c r="A456" s="3">
        <v>44867</v>
      </c>
      <c r="B456" s="2">
        <v>-2.1334574512706372E-2</v>
      </c>
    </row>
    <row r="457" spans="1:2" x14ac:dyDescent="0.3">
      <c r="A457" s="3">
        <v>44868</v>
      </c>
      <c r="B457" s="2">
        <v>-2.2966328499408606E-2</v>
      </c>
    </row>
    <row r="458" spans="1:2" x14ac:dyDescent="0.3">
      <c r="A458" s="3">
        <v>44869</v>
      </c>
      <c r="B458" s="2">
        <v>-1.9478217572610257E-2</v>
      </c>
    </row>
    <row r="459" spans="1:2" x14ac:dyDescent="0.3">
      <c r="A459" s="3">
        <v>44872</v>
      </c>
      <c r="B459" s="2">
        <v>-1.4842737341729362E-2</v>
      </c>
    </row>
    <row r="460" spans="1:2" x14ac:dyDescent="0.3">
      <c r="A460" s="3">
        <v>44874</v>
      </c>
      <c r="B460" s="2">
        <v>-1.7321488008096519E-2</v>
      </c>
    </row>
    <row r="461" spans="1:2" x14ac:dyDescent="0.3">
      <c r="A461" s="3">
        <v>44875</v>
      </c>
      <c r="B461" s="2">
        <v>-2.4292297742334323E-2</v>
      </c>
    </row>
    <row r="462" spans="1:2" x14ac:dyDescent="0.3">
      <c r="A462" s="3">
        <v>44876</v>
      </c>
      <c r="B462" s="2">
        <v>-6.8923340035340619E-3</v>
      </c>
    </row>
    <row r="463" spans="1:2" x14ac:dyDescent="0.3">
      <c r="A463" s="3">
        <v>44879</v>
      </c>
      <c r="B463" s="2">
        <v>-8.0045245317839075E-3</v>
      </c>
    </row>
    <row r="464" spans="1:2" x14ac:dyDescent="0.3">
      <c r="A464" s="3">
        <v>44880</v>
      </c>
      <c r="B464" s="2">
        <v>-3.9860259078152716E-3</v>
      </c>
    </row>
    <row r="465" spans="1:2" x14ac:dyDescent="0.3">
      <c r="A465" s="3">
        <v>44881</v>
      </c>
      <c r="B465" s="2">
        <v>-3.6477684478852801E-3</v>
      </c>
    </row>
    <row r="466" spans="1:2" x14ac:dyDescent="0.3">
      <c r="A466" s="3">
        <v>44882</v>
      </c>
      <c r="B466" s="2">
        <v>-7.20623692634903E-3</v>
      </c>
    </row>
    <row r="467" spans="1:2" x14ac:dyDescent="0.3">
      <c r="A467" s="3">
        <v>44883</v>
      </c>
      <c r="B467" s="2">
        <v>-9.1681301939431359E-3</v>
      </c>
    </row>
    <row r="468" spans="1:2" x14ac:dyDescent="0.3">
      <c r="A468" s="3">
        <v>44886</v>
      </c>
      <c r="B468" s="2">
        <v>-1.7161830487009477E-2</v>
      </c>
    </row>
    <row r="469" spans="1:2" x14ac:dyDescent="0.3">
      <c r="A469" s="3">
        <v>44887</v>
      </c>
      <c r="B469" s="2">
        <v>-1.2602119927152766E-2</v>
      </c>
    </row>
    <row r="470" spans="1:2" x14ac:dyDescent="0.3">
      <c r="A470" s="3">
        <v>44888</v>
      </c>
      <c r="B470" s="2">
        <v>-1.1354626414930902E-2</v>
      </c>
    </row>
    <row r="471" spans="1:2" x14ac:dyDescent="0.3">
      <c r="A471" s="3">
        <v>44889</v>
      </c>
      <c r="B471" s="2">
        <v>0</v>
      </c>
    </row>
    <row r="472" spans="1:2" x14ac:dyDescent="0.3">
      <c r="A472" s="3">
        <v>44890</v>
      </c>
      <c r="B472" s="2">
        <v>0</v>
      </c>
    </row>
    <row r="473" spans="1:2" x14ac:dyDescent="0.3">
      <c r="A473" s="3">
        <v>44893</v>
      </c>
      <c r="B473" s="2">
        <v>0</v>
      </c>
    </row>
    <row r="474" spans="1:2" x14ac:dyDescent="0.3">
      <c r="A474" s="3">
        <v>44894</v>
      </c>
      <c r="B474" s="2">
        <v>0</v>
      </c>
    </row>
    <row r="475" spans="1:2" x14ac:dyDescent="0.3">
      <c r="A475" s="3">
        <v>44895</v>
      </c>
      <c r="B475" s="2">
        <v>0</v>
      </c>
    </row>
    <row r="476" spans="1:2" x14ac:dyDescent="0.3">
      <c r="A476" s="3">
        <v>44896</v>
      </c>
      <c r="B476" s="2">
        <v>0</v>
      </c>
    </row>
    <row r="477" spans="1:2" x14ac:dyDescent="0.3">
      <c r="A477" s="3">
        <v>44897</v>
      </c>
      <c r="B477" s="2">
        <v>-6.18737541528247E-3</v>
      </c>
    </row>
    <row r="478" spans="1:2" x14ac:dyDescent="0.3">
      <c r="A478" s="3">
        <v>44900</v>
      </c>
      <c r="B478" s="2">
        <v>-5.9242524916943706E-3</v>
      </c>
    </row>
    <row r="479" spans="1:2" x14ac:dyDescent="0.3">
      <c r="A479" s="3">
        <v>44901</v>
      </c>
      <c r="B479" s="2">
        <v>-9.023255813953468E-3</v>
      </c>
    </row>
    <row r="480" spans="1:2" x14ac:dyDescent="0.3">
      <c r="A480" s="3">
        <v>44902</v>
      </c>
      <c r="B480" s="2">
        <v>-1.3395348837209275E-2</v>
      </c>
    </row>
    <row r="481" spans="1:2" x14ac:dyDescent="0.3">
      <c r="A481" s="3">
        <v>44903</v>
      </c>
      <c r="B481" s="2">
        <v>-1.079867109634558E-2</v>
      </c>
    </row>
    <row r="482" spans="1:2" x14ac:dyDescent="0.3">
      <c r="A482" s="3">
        <v>44904</v>
      </c>
      <c r="B482" s="2">
        <v>-1.6792026578073216E-2</v>
      </c>
    </row>
    <row r="483" spans="1:2" x14ac:dyDescent="0.3">
      <c r="A483" s="3">
        <v>44907</v>
      </c>
      <c r="B483" s="2">
        <v>-1.676279069767439E-2</v>
      </c>
    </row>
    <row r="484" spans="1:2" x14ac:dyDescent="0.3">
      <c r="A484" s="3">
        <v>44908</v>
      </c>
      <c r="B484" s="2">
        <v>-1.0870431893687749E-2</v>
      </c>
    </row>
    <row r="485" spans="1:2" x14ac:dyDescent="0.3">
      <c r="A485" s="3">
        <v>44909</v>
      </c>
      <c r="B485" s="2">
        <v>-8.0903654485050547E-3</v>
      </c>
    </row>
    <row r="486" spans="1:2" x14ac:dyDescent="0.3">
      <c r="A486" s="3">
        <v>44910</v>
      </c>
      <c r="B486" s="2">
        <v>-2.1134883720930198E-2</v>
      </c>
    </row>
    <row r="487" spans="1:2" x14ac:dyDescent="0.3">
      <c r="A487" s="3">
        <v>44911</v>
      </c>
      <c r="B487" s="2">
        <v>-2.8890365448504984E-2</v>
      </c>
    </row>
    <row r="488" spans="1:2" x14ac:dyDescent="0.3">
      <c r="A488" s="3">
        <v>44914</v>
      </c>
      <c r="B488" s="2">
        <v>-2.083986710963448E-2</v>
      </c>
    </row>
    <row r="489" spans="1:2" x14ac:dyDescent="0.3">
      <c r="A489" s="3">
        <v>44915</v>
      </c>
      <c r="B489" s="2">
        <v>-2.2708305647840543E-2</v>
      </c>
    </row>
    <row r="490" spans="1:2" x14ac:dyDescent="0.3">
      <c r="A490" s="3">
        <v>44916</v>
      </c>
      <c r="B490" s="2">
        <v>-3.2605980066445217E-2</v>
      </c>
    </row>
    <row r="491" spans="1:2" x14ac:dyDescent="0.3">
      <c r="A491" s="3">
        <v>44917</v>
      </c>
      <c r="B491" s="2">
        <v>-3.6419933554817319E-2</v>
      </c>
    </row>
    <row r="492" spans="1:2" x14ac:dyDescent="0.3">
      <c r="A492" s="3">
        <v>44918</v>
      </c>
      <c r="B492" s="2">
        <v>-5.3459136212624658E-2</v>
      </c>
    </row>
    <row r="493" spans="1:2" x14ac:dyDescent="0.3">
      <c r="A493" s="3">
        <v>44921</v>
      </c>
      <c r="B493" s="2">
        <v>-4.2413289036544954E-2</v>
      </c>
    </row>
    <row r="494" spans="1:2" x14ac:dyDescent="0.3">
      <c r="A494" s="3">
        <v>44922</v>
      </c>
      <c r="B494" s="2">
        <v>-3.6156810631229219E-2</v>
      </c>
    </row>
    <row r="495" spans="1:2" x14ac:dyDescent="0.3">
      <c r="A495" s="3">
        <v>44923</v>
      </c>
      <c r="B495" s="2">
        <v>-3.6677740863787389E-2</v>
      </c>
    </row>
    <row r="496" spans="1:2" x14ac:dyDescent="0.3">
      <c r="A496" s="3">
        <v>44924</v>
      </c>
      <c r="B496" s="2">
        <v>-3.3036544850498339E-2</v>
      </c>
    </row>
    <row r="497" spans="1:2" x14ac:dyDescent="0.3">
      <c r="A497" s="3">
        <v>44925</v>
      </c>
      <c r="B497" s="2">
        <v>-3.7592026578073146E-2</v>
      </c>
    </row>
    <row r="498" spans="1:2" x14ac:dyDescent="0.3">
      <c r="A498" s="3">
        <v>44928</v>
      </c>
      <c r="B498" s="2">
        <v>-3.2693687707641139E-2</v>
      </c>
    </row>
    <row r="499" spans="1:2" x14ac:dyDescent="0.3">
      <c r="A499" s="3">
        <v>44929</v>
      </c>
      <c r="B499" s="2">
        <v>-3.0827906976744202E-2</v>
      </c>
    </row>
    <row r="500" spans="1:2" x14ac:dyDescent="0.3">
      <c r="A500" s="3">
        <v>44930</v>
      </c>
      <c r="B500" s="2">
        <v>-4.0906312292358749E-2</v>
      </c>
    </row>
    <row r="501" spans="1:2" x14ac:dyDescent="0.3">
      <c r="A501" s="3">
        <v>44931</v>
      </c>
      <c r="B501" s="2">
        <v>-4.3606644518272342E-2</v>
      </c>
    </row>
    <row r="502" spans="1:2" x14ac:dyDescent="0.3">
      <c r="A502" s="3">
        <v>44932</v>
      </c>
      <c r="B502" s="2">
        <v>-5.0660465116279085E-2</v>
      </c>
    </row>
    <row r="503" spans="1:2" x14ac:dyDescent="0.3">
      <c r="A503" s="3">
        <v>44935</v>
      </c>
      <c r="B503" s="2">
        <v>-3.7809966777408555E-2</v>
      </c>
    </row>
    <row r="504" spans="1:2" x14ac:dyDescent="0.3">
      <c r="A504" s="3">
        <v>44936</v>
      </c>
      <c r="B504" s="2">
        <v>-4.7752823920265697E-2</v>
      </c>
    </row>
    <row r="505" spans="1:2" x14ac:dyDescent="0.3">
      <c r="A505" s="3">
        <v>44937</v>
      </c>
      <c r="B505" s="2">
        <v>-4.8733554817275704E-2</v>
      </c>
    </row>
    <row r="506" spans="1:2" x14ac:dyDescent="0.3">
      <c r="A506" s="3">
        <v>44938</v>
      </c>
      <c r="B506" s="2">
        <v>-5.0726910299003336E-2</v>
      </c>
    </row>
    <row r="507" spans="1:2" x14ac:dyDescent="0.3">
      <c r="A507" s="3">
        <v>44939</v>
      </c>
      <c r="B507" s="2">
        <v>-4.5496345514950298E-2</v>
      </c>
    </row>
    <row r="508" spans="1:2" x14ac:dyDescent="0.3">
      <c r="A508" s="3">
        <v>44942</v>
      </c>
      <c r="B508" s="2">
        <v>-4.8778737541528283E-2</v>
      </c>
    </row>
    <row r="509" spans="1:2" x14ac:dyDescent="0.3">
      <c r="A509" s="3">
        <v>44943</v>
      </c>
      <c r="B509" s="2">
        <v>-4.0356146179402086E-2</v>
      </c>
    </row>
    <row r="510" spans="1:2" x14ac:dyDescent="0.3">
      <c r="A510" s="3">
        <v>44944</v>
      </c>
      <c r="B510" s="2">
        <v>-3.4400000000000097E-2</v>
      </c>
    </row>
    <row r="511" spans="1:2" x14ac:dyDescent="0.3">
      <c r="A511" s="3">
        <v>44945</v>
      </c>
      <c r="B511" s="2">
        <v>-3.7456478405315741E-2</v>
      </c>
    </row>
    <row r="512" spans="1:2" x14ac:dyDescent="0.3">
      <c r="A512" s="3">
        <v>44946</v>
      </c>
      <c r="B512" s="2">
        <v>-4.1719601328903622E-2</v>
      </c>
    </row>
    <row r="513" spans="1:2" x14ac:dyDescent="0.3">
      <c r="A513" s="3">
        <v>44949</v>
      </c>
      <c r="B513" s="2">
        <v>-3.6887707641196088E-2</v>
      </c>
    </row>
    <row r="514" spans="1:2" x14ac:dyDescent="0.3">
      <c r="A514" s="3">
        <v>44950</v>
      </c>
      <c r="B514" s="2">
        <v>-3.6900996677740938E-2</v>
      </c>
    </row>
    <row r="515" spans="1:2" x14ac:dyDescent="0.3">
      <c r="A515" s="3">
        <v>44951</v>
      </c>
      <c r="B515" s="2">
        <v>-4.8932890365448456E-2</v>
      </c>
    </row>
    <row r="516" spans="1:2" x14ac:dyDescent="0.3">
      <c r="A516" s="3">
        <v>44953</v>
      </c>
      <c r="B516" s="2">
        <v>-6.4220598006644591E-2</v>
      </c>
    </row>
    <row r="517" spans="1:2" x14ac:dyDescent="0.3">
      <c r="A517" s="3">
        <v>44956</v>
      </c>
      <c r="B517" s="2">
        <v>-6.1849833887043126E-2</v>
      </c>
    </row>
    <row r="518" spans="1:2" x14ac:dyDescent="0.3">
      <c r="A518" s="3">
        <v>44957</v>
      </c>
      <c r="B518" s="2">
        <v>-6.1148172757474972E-2</v>
      </c>
    </row>
    <row r="519" spans="1:2" x14ac:dyDescent="0.3">
      <c r="A519" s="3">
        <v>44958</v>
      </c>
      <c r="B519" s="2">
        <v>-6.3585382059800688E-2</v>
      </c>
    </row>
    <row r="520" spans="1:2" x14ac:dyDescent="0.3">
      <c r="A520" s="3">
        <v>44959</v>
      </c>
      <c r="B520" s="2">
        <v>-6.3899003322259063E-2</v>
      </c>
    </row>
    <row r="521" spans="1:2" x14ac:dyDescent="0.3">
      <c r="A521" s="3">
        <v>44960</v>
      </c>
      <c r="B521" s="2">
        <v>-5.0947508305647871E-2</v>
      </c>
    </row>
    <row r="522" spans="1:2" x14ac:dyDescent="0.3">
      <c r="A522" s="3">
        <v>44963</v>
      </c>
      <c r="B522" s="2">
        <v>-5.5702325581395429E-2</v>
      </c>
    </row>
    <row r="523" spans="1:2" x14ac:dyDescent="0.3">
      <c r="A523" s="3">
        <v>44964</v>
      </c>
      <c r="B523" s="2">
        <v>-5.7993355481727571E-2</v>
      </c>
    </row>
    <row r="524" spans="1:2" x14ac:dyDescent="0.3">
      <c r="A524" s="3">
        <v>44965</v>
      </c>
      <c r="B524" s="2">
        <v>-5.0009302325581317E-2</v>
      </c>
    </row>
    <row r="525" spans="1:2" x14ac:dyDescent="0.3">
      <c r="A525" s="3">
        <v>44966</v>
      </c>
      <c r="B525" s="2">
        <v>-4.8853156146179355E-2</v>
      </c>
    </row>
    <row r="526" spans="1:2" x14ac:dyDescent="0.3">
      <c r="A526" s="3">
        <v>44967</v>
      </c>
      <c r="B526" s="2">
        <v>-5.0817275747508273E-2</v>
      </c>
    </row>
    <row r="527" spans="1:2" x14ac:dyDescent="0.3">
      <c r="A527" s="3">
        <v>44970</v>
      </c>
      <c r="B527" s="2">
        <v>-5.536744186046505E-2</v>
      </c>
    </row>
    <row r="528" spans="1:2" x14ac:dyDescent="0.3">
      <c r="A528" s="3">
        <v>44971</v>
      </c>
      <c r="B528" s="2">
        <v>-4.6918272425249263E-2</v>
      </c>
    </row>
    <row r="529" spans="1:2" x14ac:dyDescent="0.3">
      <c r="A529" s="3">
        <v>44972</v>
      </c>
      <c r="B529" s="2">
        <v>-4.2346843853820704E-2</v>
      </c>
    </row>
    <row r="530" spans="1:2" x14ac:dyDescent="0.3">
      <c r="A530" s="3">
        <v>44973</v>
      </c>
      <c r="B530" s="2">
        <v>-4.1283720930232581E-2</v>
      </c>
    </row>
    <row r="531" spans="1:2" x14ac:dyDescent="0.3">
      <c r="A531" s="3">
        <v>44974</v>
      </c>
      <c r="B531" s="2">
        <v>-4.6155481727574665E-2</v>
      </c>
    </row>
    <row r="532" spans="1:2" x14ac:dyDescent="0.3">
      <c r="A532" s="3">
        <v>44977</v>
      </c>
      <c r="B532" s="2">
        <v>-5.1449833887043273E-2</v>
      </c>
    </row>
    <row r="533" spans="1:2" x14ac:dyDescent="0.3">
      <c r="A533" s="3">
        <v>44978</v>
      </c>
      <c r="B533" s="2">
        <v>-5.2401328903654454E-2</v>
      </c>
    </row>
    <row r="534" spans="1:2" x14ac:dyDescent="0.3">
      <c r="A534" s="3">
        <v>44979</v>
      </c>
      <c r="B534" s="2">
        <v>-6.6881063122923634E-2</v>
      </c>
    </row>
    <row r="535" spans="1:2" x14ac:dyDescent="0.3">
      <c r="A535" s="3">
        <v>44980</v>
      </c>
      <c r="B535" s="2">
        <v>-6.9169435215946873E-2</v>
      </c>
    </row>
    <row r="536" spans="1:2" x14ac:dyDescent="0.3">
      <c r="A536" s="3">
        <v>44981</v>
      </c>
      <c r="B536" s="2">
        <v>-7.1585382059800695E-2</v>
      </c>
    </row>
    <row r="537" spans="1:2" x14ac:dyDescent="0.3">
      <c r="A537" s="3">
        <v>44984</v>
      </c>
      <c r="B537" s="2">
        <v>-7.5471096345514965E-2</v>
      </c>
    </row>
    <row r="538" spans="1:2" x14ac:dyDescent="0.3">
      <c r="A538" s="3">
        <v>44985</v>
      </c>
      <c r="B538" s="2">
        <v>-8.0188704318936876E-2</v>
      </c>
    </row>
    <row r="539" spans="1:2" x14ac:dyDescent="0.3">
      <c r="A539" s="3">
        <v>44986</v>
      </c>
      <c r="B539" s="2">
        <v>-7.2377408637873675E-2</v>
      </c>
    </row>
    <row r="540" spans="1:2" x14ac:dyDescent="0.3">
      <c r="A540" s="3">
        <v>44987</v>
      </c>
      <c r="B540" s="2">
        <v>-7.923455149501657E-2</v>
      </c>
    </row>
    <row r="541" spans="1:2" x14ac:dyDescent="0.3">
      <c r="A541" s="3">
        <v>44988</v>
      </c>
      <c r="B541" s="2">
        <v>-6.4752159468438597E-2</v>
      </c>
    </row>
    <row r="542" spans="1:2" x14ac:dyDescent="0.3">
      <c r="A542" s="3">
        <v>44991</v>
      </c>
      <c r="B542" s="2">
        <v>-5.852757475083048E-2</v>
      </c>
    </row>
    <row r="543" spans="1:2" x14ac:dyDescent="0.3">
      <c r="A543" s="3">
        <v>44993</v>
      </c>
      <c r="B543" s="2">
        <v>-5.6244518272425159E-2</v>
      </c>
    </row>
    <row r="544" spans="1:2" x14ac:dyDescent="0.3">
      <c r="A544" s="3">
        <v>44994</v>
      </c>
      <c r="B544" s="2">
        <v>-6.500465116279075E-2</v>
      </c>
    </row>
    <row r="545" spans="1:2" x14ac:dyDescent="0.3">
      <c r="A545" s="3">
        <v>44995</v>
      </c>
      <c r="B545" s="2">
        <v>-7.4397342192691007E-2</v>
      </c>
    </row>
    <row r="546" spans="1:2" x14ac:dyDescent="0.3">
      <c r="A546" s="3">
        <v>44998</v>
      </c>
      <c r="B546" s="2">
        <v>-8.8143521594684415E-2</v>
      </c>
    </row>
    <row r="547" spans="1:2" x14ac:dyDescent="0.3">
      <c r="A547" s="3">
        <v>44999</v>
      </c>
      <c r="B547" s="2">
        <v>-9.40438538205981E-2</v>
      </c>
    </row>
    <row r="548" spans="1:2" x14ac:dyDescent="0.3">
      <c r="A548" s="3">
        <v>45000</v>
      </c>
      <c r="B548" s="2">
        <v>-9.7825913621262361E-2</v>
      </c>
    </row>
    <row r="549" spans="1:2" x14ac:dyDescent="0.3">
      <c r="A549" s="3">
        <v>45001</v>
      </c>
      <c r="B549" s="2">
        <v>-9.7110963455149579E-2</v>
      </c>
    </row>
    <row r="550" spans="1:2" x14ac:dyDescent="0.3">
      <c r="A550" s="3">
        <v>45002</v>
      </c>
      <c r="B550" s="2">
        <v>-9.1027242524917007E-2</v>
      </c>
    </row>
    <row r="551" spans="1:2" x14ac:dyDescent="0.3">
      <c r="A551" s="3">
        <v>45005</v>
      </c>
      <c r="B551" s="2">
        <v>-9.6962126245847102E-2</v>
      </c>
    </row>
    <row r="552" spans="1:2" x14ac:dyDescent="0.3">
      <c r="A552" s="3">
        <v>45006</v>
      </c>
      <c r="B552" s="2">
        <v>-9.0631229235880406E-2</v>
      </c>
    </row>
    <row r="553" spans="1:2" x14ac:dyDescent="0.3">
      <c r="A553" s="3">
        <v>45007</v>
      </c>
      <c r="B553" s="2">
        <v>-8.8271096345514888E-2</v>
      </c>
    </row>
    <row r="554" spans="1:2" x14ac:dyDescent="0.3">
      <c r="A554" s="3">
        <v>45008</v>
      </c>
      <c r="B554" s="2">
        <v>-9.2257807308970041E-2</v>
      </c>
    </row>
    <row r="555" spans="1:2" x14ac:dyDescent="0.3">
      <c r="A555" s="3">
        <v>45009</v>
      </c>
      <c r="B555" s="2">
        <v>-9.9266445182724317E-2</v>
      </c>
    </row>
    <row r="556" spans="1:2" x14ac:dyDescent="0.3">
      <c r="A556" s="3">
        <v>45012</v>
      </c>
      <c r="B556" s="2">
        <v>-9.710564784053155E-2</v>
      </c>
    </row>
    <row r="557" spans="1:2" x14ac:dyDescent="0.3">
      <c r="A557" s="3">
        <v>45013</v>
      </c>
      <c r="B557" s="2">
        <v>-9.891295681063117E-2</v>
      </c>
    </row>
    <row r="558" spans="1:2" x14ac:dyDescent="0.3">
      <c r="A558" s="3">
        <v>45014</v>
      </c>
      <c r="B558" s="2">
        <v>-9.2055813953488386E-2</v>
      </c>
    </row>
    <row r="559" spans="1:2" x14ac:dyDescent="0.3">
      <c r="A559" s="3">
        <v>45016</v>
      </c>
      <c r="B559" s="2">
        <v>-7.7222591362126281E-2</v>
      </c>
    </row>
    <row r="560" spans="1:2" x14ac:dyDescent="0.3">
      <c r="A560" s="3">
        <v>45019</v>
      </c>
      <c r="B560" s="2">
        <v>-7.5186710963455194E-2</v>
      </c>
    </row>
    <row r="561" spans="1:2" x14ac:dyDescent="0.3">
      <c r="A561" s="3">
        <v>45021</v>
      </c>
      <c r="B561" s="2">
        <v>-6.6734883720930283E-2</v>
      </c>
    </row>
    <row r="562" spans="1:2" x14ac:dyDescent="0.3">
      <c r="A562" s="3">
        <v>45022</v>
      </c>
      <c r="B562" s="2">
        <v>-6.4497009966777319E-2</v>
      </c>
    </row>
    <row r="563" spans="1:2" x14ac:dyDescent="0.3">
      <c r="A563" s="3">
        <v>45026</v>
      </c>
      <c r="B563" s="2">
        <v>-6.3173421926910334E-2</v>
      </c>
    </row>
    <row r="564" spans="1:2" x14ac:dyDescent="0.3">
      <c r="A564" s="3">
        <v>45027</v>
      </c>
      <c r="B564" s="2">
        <v>-5.7950830564784117E-2</v>
      </c>
    </row>
    <row r="565" spans="1:2" x14ac:dyDescent="0.3">
      <c r="A565" s="3">
        <v>45028</v>
      </c>
      <c r="B565" s="2">
        <v>-5.3161461794019815E-2</v>
      </c>
    </row>
    <row r="566" spans="1:2" x14ac:dyDescent="0.3">
      <c r="A566" s="3">
        <v>45029</v>
      </c>
      <c r="B566" s="2">
        <v>-5.23322259136213E-2</v>
      </c>
    </row>
    <row r="567" spans="1:2" x14ac:dyDescent="0.3">
      <c r="A567" s="3">
        <v>45033</v>
      </c>
      <c r="B567" s="2">
        <v>-5.8772093023255922E-2</v>
      </c>
    </row>
    <row r="568" spans="1:2" x14ac:dyDescent="0.3">
      <c r="A568" s="3">
        <v>45034</v>
      </c>
      <c r="B568" s="2">
        <v>-6.1254485049833773E-2</v>
      </c>
    </row>
    <row r="569" spans="1:2" x14ac:dyDescent="0.3">
      <c r="A569" s="3">
        <v>45035</v>
      </c>
      <c r="B569" s="2">
        <v>-6.345514950166109E-2</v>
      </c>
    </row>
    <row r="570" spans="1:2" x14ac:dyDescent="0.3">
      <c r="A570" s="3">
        <v>45036</v>
      </c>
      <c r="B570" s="2">
        <v>-6.3152159468438551E-2</v>
      </c>
    </row>
    <row r="571" spans="1:2" x14ac:dyDescent="0.3">
      <c r="A571" s="3">
        <v>45037</v>
      </c>
      <c r="B571" s="2">
        <v>-6.3173421926910334E-2</v>
      </c>
    </row>
    <row r="572" spans="1:2" x14ac:dyDescent="0.3">
      <c r="A572" s="3">
        <v>45040</v>
      </c>
      <c r="B572" s="2">
        <v>-5.6829235880398565E-2</v>
      </c>
    </row>
    <row r="573" spans="1:2" x14ac:dyDescent="0.3">
      <c r="A573" s="3">
        <v>45041</v>
      </c>
      <c r="B573" s="2">
        <v>-5.5455149501661083E-2</v>
      </c>
    </row>
    <row r="574" spans="1:2" x14ac:dyDescent="0.3">
      <c r="A574" s="3">
        <v>45042</v>
      </c>
      <c r="B574" s="2">
        <v>-5.309767441860469E-2</v>
      </c>
    </row>
    <row r="575" spans="1:2" x14ac:dyDescent="0.3">
      <c r="A575" s="3">
        <v>45043</v>
      </c>
      <c r="B575" s="2">
        <v>-4.7704983388704325E-2</v>
      </c>
    </row>
    <row r="576" spans="1:2" x14ac:dyDescent="0.3">
      <c r="A576" s="3">
        <v>45044</v>
      </c>
      <c r="B576" s="2">
        <v>-3.9734219269103033E-2</v>
      </c>
    </row>
    <row r="577" spans="1:2" x14ac:dyDescent="0.3">
      <c r="A577" s="3">
        <v>45048</v>
      </c>
      <c r="B577" s="2">
        <v>-3.5340863787375332E-2</v>
      </c>
    </row>
    <row r="578" spans="1:2" x14ac:dyDescent="0.3">
      <c r="A578" s="3">
        <v>45049</v>
      </c>
      <c r="B578" s="2">
        <v>-3.8413289036544951E-2</v>
      </c>
    </row>
    <row r="579" spans="1:2" x14ac:dyDescent="0.3">
      <c r="A579" s="3">
        <v>45050</v>
      </c>
      <c r="B579" s="2">
        <v>-2.9592026578073138E-2</v>
      </c>
    </row>
    <row r="580" spans="1:2" x14ac:dyDescent="0.3">
      <c r="A580" s="3">
        <v>45051</v>
      </c>
      <c r="B580" s="2">
        <v>-3.952159468438543E-2</v>
      </c>
    </row>
    <row r="581" spans="1:2" x14ac:dyDescent="0.3">
      <c r="A581" s="3">
        <v>45054</v>
      </c>
      <c r="B581" s="2">
        <v>-2.9134883720930205E-2</v>
      </c>
    </row>
    <row r="582" spans="1:2" x14ac:dyDescent="0.3">
      <c r="A582" s="3">
        <v>45055</v>
      </c>
      <c r="B582" s="2">
        <v>-2.9052491694352089E-2</v>
      </c>
    </row>
    <row r="583" spans="1:2" x14ac:dyDescent="0.3">
      <c r="A583" s="3">
        <v>45056</v>
      </c>
      <c r="B583" s="2">
        <v>-2.643986710963464E-2</v>
      </c>
    </row>
    <row r="584" spans="1:2" x14ac:dyDescent="0.3">
      <c r="A584" s="3">
        <v>45057</v>
      </c>
      <c r="B584" s="2">
        <v>-2.7401993355481769E-2</v>
      </c>
    </row>
    <row r="585" spans="1:2" x14ac:dyDescent="0.3">
      <c r="A585" s="3">
        <v>45058</v>
      </c>
      <c r="B585" s="2">
        <v>-2.6455813953488394E-2</v>
      </c>
    </row>
    <row r="586" spans="1:2" x14ac:dyDescent="0.3">
      <c r="A586" s="3">
        <v>45061</v>
      </c>
      <c r="B586" s="2">
        <v>-2.1988039867109732E-2</v>
      </c>
    </row>
    <row r="587" spans="1:2" x14ac:dyDescent="0.3">
      <c r="A587" s="3">
        <v>45062</v>
      </c>
      <c r="B587" s="2">
        <v>-2.7960132890365474E-2</v>
      </c>
    </row>
    <row r="588" spans="1:2" x14ac:dyDescent="0.3">
      <c r="A588" s="3">
        <v>45063</v>
      </c>
      <c r="B588" s="2">
        <v>-3.3528239202657795E-2</v>
      </c>
    </row>
    <row r="589" spans="1:2" x14ac:dyDescent="0.3">
      <c r="A589" s="3">
        <v>45064</v>
      </c>
      <c r="B589" s="2">
        <v>-3.6281727574750788E-2</v>
      </c>
    </row>
    <row r="590" spans="1:2" x14ac:dyDescent="0.3">
      <c r="A590" s="3">
        <v>45065</v>
      </c>
      <c r="B590" s="2">
        <v>-3.2377408637873639E-2</v>
      </c>
    </row>
    <row r="591" spans="1:2" x14ac:dyDescent="0.3">
      <c r="A591" s="3">
        <v>45068</v>
      </c>
      <c r="B591" s="2">
        <v>-2.6477076411960065E-2</v>
      </c>
    </row>
    <row r="592" spans="1:2" x14ac:dyDescent="0.3">
      <c r="A592" s="3">
        <v>45069</v>
      </c>
      <c r="B592" s="2">
        <v>-2.4691029900332229E-2</v>
      </c>
    </row>
    <row r="593" spans="1:2" x14ac:dyDescent="0.3">
      <c r="A593" s="3">
        <v>45070</v>
      </c>
      <c r="B593" s="2">
        <v>-2.8018604651162682E-2</v>
      </c>
    </row>
    <row r="594" spans="1:2" x14ac:dyDescent="0.3">
      <c r="A594" s="3">
        <v>45071</v>
      </c>
      <c r="B594" s="2">
        <v>-2.6118272425249112E-2</v>
      </c>
    </row>
    <row r="595" spans="1:2" x14ac:dyDescent="0.3">
      <c r="A595" s="3">
        <v>45072</v>
      </c>
      <c r="B595" s="2">
        <v>-1.6645847176079864E-2</v>
      </c>
    </row>
    <row r="596" spans="1:2" x14ac:dyDescent="0.3">
      <c r="A596" s="3">
        <v>45075</v>
      </c>
      <c r="B596" s="2">
        <v>-1.1367441860465011E-2</v>
      </c>
    </row>
    <row r="597" spans="1:2" x14ac:dyDescent="0.3">
      <c r="A597" s="3">
        <v>45076</v>
      </c>
      <c r="B597" s="2">
        <v>-9.4963455149502662E-3</v>
      </c>
    </row>
    <row r="598" spans="1:2" x14ac:dyDescent="0.3">
      <c r="A598" s="3">
        <v>45077</v>
      </c>
      <c r="B598" s="2">
        <v>-1.4782724252491608E-2</v>
      </c>
    </row>
    <row r="599" spans="1:2" x14ac:dyDescent="0.3">
      <c r="A599" s="3">
        <v>45078</v>
      </c>
      <c r="B599" s="2">
        <v>-1.7262458471760778E-2</v>
      </c>
    </row>
    <row r="600" spans="1:2" x14ac:dyDescent="0.3">
      <c r="A600" s="3">
        <v>45079</v>
      </c>
      <c r="B600" s="2">
        <v>-1.4798671096345584E-2</v>
      </c>
    </row>
    <row r="601" spans="1:2" x14ac:dyDescent="0.3">
      <c r="A601" s="3">
        <v>45082</v>
      </c>
      <c r="B601" s="2">
        <v>-1.1622591362126289E-2</v>
      </c>
    </row>
    <row r="602" spans="1:2" x14ac:dyDescent="0.3">
      <c r="A602" s="3">
        <v>45083</v>
      </c>
      <c r="B602" s="2">
        <v>-1.1348837209302354E-2</v>
      </c>
    </row>
    <row r="603" spans="1:2" x14ac:dyDescent="0.3">
      <c r="A603" s="3">
        <v>45084</v>
      </c>
      <c r="B603" s="2">
        <v>-4.5767441860464775E-3</v>
      </c>
    </row>
    <row r="604" spans="1:2" x14ac:dyDescent="0.3">
      <c r="A604" s="3">
        <v>45085</v>
      </c>
      <c r="B604" s="2">
        <v>-9.4591362126246192E-3</v>
      </c>
    </row>
    <row r="605" spans="1:2" x14ac:dyDescent="0.3">
      <c r="A605" s="3">
        <v>45086</v>
      </c>
      <c r="B605" s="2">
        <v>-1.3241196013288992E-2</v>
      </c>
    </row>
    <row r="606" spans="1:2" x14ac:dyDescent="0.3">
      <c r="A606" s="3">
        <v>45089</v>
      </c>
      <c r="B606" s="2">
        <v>-1.1215946843853852E-2</v>
      </c>
    </row>
    <row r="607" spans="1:2" x14ac:dyDescent="0.3">
      <c r="A607" s="3">
        <v>45090</v>
      </c>
      <c r="B607" s="2">
        <v>-5.1215946843853333E-3</v>
      </c>
    </row>
    <row r="608" spans="1:2" x14ac:dyDescent="0.3">
      <c r="A608" s="3">
        <v>45091</v>
      </c>
      <c r="B608" s="2">
        <v>-3.0086378737540498E-3</v>
      </c>
    </row>
    <row r="609" spans="1:2" x14ac:dyDescent="0.3">
      <c r="A609" s="3">
        <v>45092</v>
      </c>
      <c r="B609" s="2">
        <v>-6.6126245847176746E-3</v>
      </c>
    </row>
    <row r="610" spans="1:2" x14ac:dyDescent="0.3">
      <c r="A610" s="3">
        <v>45093</v>
      </c>
      <c r="B610" s="2">
        <v>0</v>
      </c>
    </row>
    <row r="611" spans="1:2" x14ac:dyDescent="0.3">
      <c r="A611" s="3">
        <v>45096</v>
      </c>
      <c r="B611" s="2">
        <v>-3.7474768936576197E-3</v>
      </c>
    </row>
    <row r="612" spans="1:2" x14ac:dyDescent="0.3">
      <c r="A612" s="3">
        <v>45097</v>
      </c>
      <c r="B612" s="2">
        <v>-4.9399766280666668E-4</v>
      </c>
    </row>
    <row r="613" spans="1:2" x14ac:dyDescent="0.3">
      <c r="A613" s="3">
        <v>45098</v>
      </c>
      <c r="B613" s="2">
        <v>0</v>
      </c>
    </row>
    <row r="614" spans="1:2" x14ac:dyDescent="0.3">
      <c r="A614" s="3">
        <v>45099</v>
      </c>
      <c r="B614" s="2">
        <v>-4.5394644386521632E-3</v>
      </c>
    </row>
    <row r="615" spans="1:2" x14ac:dyDescent="0.3">
      <c r="A615" s="3">
        <v>45100</v>
      </c>
      <c r="B615" s="2">
        <v>-1.0147506078692858E-2</v>
      </c>
    </row>
    <row r="616" spans="1:2" x14ac:dyDescent="0.3">
      <c r="A616" s="3">
        <v>45103</v>
      </c>
      <c r="B616" s="2">
        <v>-8.7846061245646645E-3</v>
      </c>
    </row>
    <row r="617" spans="1:2" x14ac:dyDescent="0.3">
      <c r="A617" s="3">
        <v>45104</v>
      </c>
      <c r="B617" s="2">
        <v>-2.0920779451497618E-3</v>
      </c>
    </row>
    <row r="618" spans="1:2" x14ac:dyDescent="0.3">
      <c r="A618" s="3">
        <v>45105</v>
      </c>
      <c r="B618" s="2">
        <v>0</v>
      </c>
    </row>
    <row r="619" spans="1:2" x14ac:dyDescent="0.3">
      <c r="A619" s="3">
        <v>45107</v>
      </c>
      <c r="B619" s="2">
        <v>0</v>
      </c>
    </row>
    <row r="620" spans="1:2" x14ac:dyDescent="0.3">
      <c r="A620" s="3">
        <v>45110</v>
      </c>
      <c r="B620" s="2">
        <v>0</v>
      </c>
    </row>
    <row r="621" spans="1:2" x14ac:dyDescent="0.3">
      <c r="A621" s="3">
        <v>45111</v>
      </c>
      <c r="B621" s="2">
        <v>0</v>
      </c>
    </row>
    <row r="622" spans="1:2" x14ac:dyDescent="0.3">
      <c r="A622" s="3">
        <v>45112</v>
      </c>
      <c r="B622" s="2">
        <v>0</v>
      </c>
    </row>
    <row r="623" spans="1:2" x14ac:dyDescent="0.3">
      <c r="A623" s="3">
        <v>45113</v>
      </c>
      <c r="B623" s="2">
        <v>0</v>
      </c>
    </row>
    <row r="624" spans="1:2" x14ac:dyDescent="0.3">
      <c r="A624" s="3">
        <v>45114</v>
      </c>
      <c r="B624" s="2">
        <v>-8.4883547978438223E-3</v>
      </c>
    </row>
    <row r="625" spans="1:2" x14ac:dyDescent="0.3">
      <c r="A625" s="3">
        <v>45117</v>
      </c>
      <c r="B625" s="2">
        <v>-7.2522862139885458E-3</v>
      </c>
    </row>
    <row r="626" spans="1:2" x14ac:dyDescent="0.3">
      <c r="A626" s="3">
        <v>45118</v>
      </c>
      <c r="B626" s="2">
        <v>-2.9696419504238181E-3</v>
      </c>
    </row>
    <row r="627" spans="1:2" x14ac:dyDescent="0.3">
      <c r="A627" s="3">
        <v>45119</v>
      </c>
      <c r="B627" s="2">
        <v>-5.7956742728479949E-3</v>
      </c>
    </row>
    <row r="628" spans="1:2" x14ac:dyDescent="0.3">
      <c r="A628" s="3">
        <v>45120</v>
      </c>
      <c r="B628" s="2">
        <v>-4.2852087212075229E-3</v>
      </c>
    </row>
    <row r="629" spans="1:2" x14ac:dyDescent="0.3">
      <c r="A629" s="3">
        <v>45121</v>
      </c>
      <c r="B629" s="2">
        <v>0</v>
      </c>
    </row>
    <row r="630" spans="1:2" x14ac:dyDescent="0.3">
      <c r="A630" s="3">
        <v>45124</v>
      </c>
      <c r="B630" s="2">
        <v>0</v>
      </c>
    </row>
    <row r="631" spans="1:2" x14ac:dyDescent="0.3">
      <c r="A631" s="3">
        <v>45125</v>
      </c>
      <c r="B631" s="2">
        <v>0</v>
      </c>
    </row>
    <row r="632" spans="1:2" x14ac:dyDescent="0.3">
      <c r="A632" s="3">
        <v>45126</v>
      </c>
      <c r="B632" s="2">
        <v>0</v>
      </c>
    </row>
    <row r="633" spans="1:2" x14ac:dyDescent="0.3">
      <c r="A633" s="3">
        <v>45127</v>
      </c>
      <c r="B633" s="2">
        <v>0</v>
      </c>
    </row>
    <row r="634" spans="1:2" x14ac:dyDescent="0.3">
      <c r="A634" s="3">
        <v>45128</v>
      </c>
      <c r="B634" s="2">
        <v>-1.1719717805812602E-2</v>
      </c>
    </row>
    <row r="635" spans="1:2" x14ac:dyDescent="0.3">
      <c r="A635" s="3">
        <v>45131</v>
      </c>
      <c r="B635" s="2">
        <v>-1.5356008639006324E-2</v>
      </c>
    </row>
    <row r="636" spans="1:2" x14ac:dyDescent="0.3">
      <c r="A636" s="3">
        <v>45132</v>
      </c>
      <c r="B636" s="2">
        <v>-1.4943078158980883E-2</v>
      </c>
    </row>
    <row r="637" spans="1:2" x14ac:dyDescent="0.3">
      <c r="A637" s="3">
        <v>45133</v>
      </c>
      <c r="B637" s="2">
        <v>-1.0052980231891828E-2</v>
      </c>
    </row>
    <row r="638" spans="1:2" x14ac:dyDescent="0.3">
      <c r="A638" s="3">
        <v>45134</v>
      </c>
      <c r="B638" s="2">
        <v>-1.5979158272499072E-2</v>
      </c>
    </row>
    <row r="639" spans="1:2" x14ac:dyDescent="0.3">
      <c r="A639" s="3">
        <v>45135</v>
      </c>
      <c r="B639" s="2">
        <v>-1.6672380957147959E-2</v>
      </c>
    </row>
    <row r="640" spans="1:2" x14ac:dyDescent="0.3">
      <c r="A640" s="3">
        <v>45138</v>
      </c>
      <c r="B640" s="2">
        <v>-1.1279258627118871E-2</v>
      </c>
    </row>
    <row r="641" spans="1:2" x14ac:dyDescent="0.3">
      <c r="A641" s="3">
        <v>45139</v>
      </c>
      <c r="B641" s="2">
        <v>-1.2292815259908552E-2</v>
      </c>
    </row>
    <row r="642" spans="1:2" x14ac:dyDescent="0.3">
      <c r="A642" s="3">
        <v>45140</v>
      </c>
      <c r="B642" s="2">
        <v>-2.2653616395092002E-2</v>
      </c>
    </row>
    <row r="643" spans="1:2" x14ac:dyDescent="0.3">
      <c r="A643" s="3">
        <v>45141</v>
      </c>
      <c r="B643" s="2">
        <v>-2.9906177189720329E-2</v>
      </c>
    </row>
    <row r="644" spans="1:2" x14ac:dyDescent="0.3">
      <c r="A644" s="3">
        <v>45142</v>
      </c>
      <c r="B644" s="2">
        <v>-2.313161470833347E-2</v>
      </c>
    </row>
    <row r="645" spans="1:2" x14ac:dyDescent="0.3">
      <c r="A645" s="3">
        <v>45145</v>
      </c>
      <c r="B645" s="2">
        <v>-1.9112424702752762E-2</v>
      </c>
    </row>
    <row r="646" spans="1:2" x14ac:dyDescent="0.3">
      <c r="A646" s="3">
        <v>45146</v>
      </c>
      <c r="B646" s="2">
        <v>-2.043630484780401E-2</v>
      </c>
    </row>
    <row r="647" spans="1:2" x14ac:dyDescent="0.3">
      <c r="A647" s="3">
        <v>45147</v>
      </c>
      <c r="B647" s="2">
        <v>-1.7348085379007672E-2</v>
      </c>
    </row>
    <row r="648" spans="1:2" x14ac:dyDescent="0.3">
      <c r="A648" s="3">
        <v>45148</v>
      </c>
      <c r="B648" s="2">
        <v>-2.1825252826071284E-2</v>
      </c>
    </row>
    <row r="649" spans="1:2" x14ac:dyDescent="0.3">
      <c r="A649" s="3">
        <v>45149</v>
      </c>
      <c r="B649" s="2">
        <v>-2.7571243020849345E-2</v>
      </c>
    </row>
    <row r="650" spans="1:2" x14ac:dyDescent="0.3">
      <c r="A650" s="3">
        <v>45152</v>
      </c>
      <c r="B650" s="2">
        <v>-2.7258416899617943E-2</v>
      </c>
    </row>
    <row r="651" spans="1:2" x14ac:dyDescent="0.3">
      <c r="A651" s="3">
        <v>45154</v>
      </c>
      <c r="B651" s="2">
        <v>-2.5734328036978615E-2</v>
      </c>
    </row>
    <row r="652" spans="1:2" x14ac:dyDescent="0.3">
      <c r="A652" s="3">
        <v>45155</v>
      </c>
      <c r="B652" s="2">
        <v>-3.0727032931831544E-2</v>
      </c>
    </row>
    <row r="653" spans="1:2" x14ac:dyDescent="0.3">
      <c r="A653" s="3">
        <v>45156</v>
      </c>
      <c r="B653" s="2">
        <v>-3.3484908016607307E-2</v>
      </c>
    </row>
    <row r="654" spans="1:2" x14ac:dyDescent="0.3">
      <c r="A654" s="3">
        <v>45159</v>
      </c>
      <c r="B654" s="2">
        <v>-2.9308053645926035E-2</v>
      </c>
    </row>
    <row r="655" spans="1:2" x14ac:dyDescent="0.3">
      <c r="A655" s="3">
        <v>45160</v>
      </c>
      <c r="B655" s="2">
        <v>-2.9165404934644368E-2</v>
      </c>
    </row>
    <row r="656" spans="1:2" x14ac:dyDescent="0.3">
      <c r="A656" s="3">
        <v>45161</v>
      </c>
      <c r="B656" s="2">
        <v>-2.6785423804316033E-2</v>
      </c>
    </row>
    <row r="657" spans="1:2" x14ac:dyDescent="0.3">
      <c r="A657" s="3">
        <v>45162</v>
      </c>
      <c r="B657" s="2">
        <v>-2.9653413683765395E-2</v>
      </c>
    </row>
    <row r="658" spans="1:2" x14ac:dyDescent="0.3">
      <c r="A658" s="3">
        <v>45163</v>
      </c>
      <c r="B658" s="2">
        <v>-3.5704722172865355E-2</v>
      </c>
    </row>
    <row r="659" spans="1:2" x14ac:dyDescent="0.3">
      <c r="A659" s="3">
        <v>45166</v>
      </c>
      <c r="B659" s="2">
        <v>-3.3690121952135166E-2</v>
      </c>
    </row>
    <row r="660" spans="1:2" x14ac:dyDescent="0.3">
      <c r="A660" s="3">
        <v>45167</v>
      </c>
      <c r="B660" s="2">
        <v>-3.1858212186204105E-2</v>
      </c>
    </row>
    <row r="661" spans="1:2" x14ac:dyDescent="0.3">
      <c r="A661" s="3">
        <v>45168</v>
      </c>
      <c r="B661" s="2">
        <v>-3.1617961725098453E-2</v>
      </c>
    </row>
    <row r="662" spans="1:2" x14ac:dyDescent="0.3">
      <c r="A662" s="3">
        <v>45169</v>
      </c>
      <c r="B662" s="2">
        <v>-3.6305348325629594E-2</v>
      </c>
    </row>
    <row r="663" spans="1:2" x14ac:dyDescent="0.3">
      <c r="A663" s="3">
        <v>45170</v>
      </c>
      <c r="B663" s="2">
        <v>-2.7220877765070206E-2</v>
      </c>
    </row>
    <row r="664" spans="1:2" x14ac:dyDescent="0.3">
      <c r="A664" s="3">
        <v>45173</v>
      </c>
      <c r="B664" s="2">
        <v>-2.254099899144868E-2</v>
      </c>
    </row>
    <row r="665" spans="1:2" x14ac:dyDescent="0.3">
      <c r="A665" s="3">
        <v>45174</v>
      </c>
      <c r="B665" s="2">
        <v>-2.0233593521245874E-2</v>
      </c>
    </row>
    <row r="666" spans="1:2" x14ac:dyDescent="0.3">
      <c r="A666" s="3">
        <v>45175</v>
      </c>
      <c r="B666" s="2">
        <v>-1.8424207236043655E-2</v>
      </c>
    </row>
    <row r="667" spans="1:2" x14ac:dyDescent="0.3">
      <c r="A667" s="3">
        <v>45176</v>
      </c>
      <c r="B667" s="2">
        <v>-1.2618154425989236E-2</v>
      </c>
    </row>
    <row r="668" spans="1:2" x14ac:dyDescent="0.3">
      <c r="A668" s="3">
        <v>45177</v>
      </c>
      <c r="B668" s="2">
        <v>-7.9683069600058332E-3</v>
      </c>
    </row>
    <row r="669" spans="1:2" x14ac:dyDescent="0.3">
      <c r="A669" s="3">
        <v>45180</v>
      </c>
      <c r="B669" s="2">
        <v>0</v>
      </c>
    </row>
    <row r="670" spans="1:2" x14ac:dyDescent="0.3">
      <c r="A670" s="3">
        <v>45181</v>
      </c>
      <c r="B670" s="2">
        <v>-1.5752874899654934E-4</v>
      </c>
    </row>
    <row r="671" spans="1:2" x14ac:dyDescent="0.3">
      <c r="A671" s="3">
        <v>45182</v>
      </c>
      <c r="B671" s="2">
        <v>0</v>
      </c>
    </row>
    <row r="672" spans="1:2" x14ac:dyDescent="0.3">
      <c r="A672" s="3">
        <v>45183</v>
      </c>
      <c r="B672" s="2">
        <v>0</v>
      </c>
    </row>
    <row r="673" spans="1:2" x14ac:dyDescent="0.3">
      <c r="A673" s="3">
        <v>45184</v>
      </c>
      <c r="B673" s="2">
        <v>0</v>
      </c>
    </row>
    <row r="674" spans="1:2" x14ac:dyDescent="0.3">
      <c r="A674" s="3">
        <v>45187</v>
      </c>
      <c r="B674" s="2">
        <v>-2.9243748251194246E-3</v>
      </c>
    </row>
    <row r="675" spans="1:2" x14ac:dyDescent="0.3">
      <c r="A675" s="3">
        <v>45189</v>
      </c>
      <c r="B675" s="2">
        <v>-1.4408922190829565E-2</v>
      </c>
    </row>
    <row r="676" spans="1:2" x14ac:dyDescent="0.3">
      <c r="A676" s="3">
        <v>45190</v>
      </c>
      <c r="B676" s="2">
        <v>-2.2285667591934621E-2</v>
      </c>
    </row>
    <row r="677" spans="1:2" x14ac:dyDescent="0.3">
      <c r="A677" s="3">
        <v>45191</v>
      </c>
      <c r="B677" s="2">
        <v>-2.5658231954180599E-2</v>
      </c>
    </row>
    <row r="678" spans="1:2" x14ac:dyDescent="0.3">
      <c r="A678" s="3">
        <v>45194</v>
      </c>
      <c r="B678" s="2">
        <v>-2.5643374842452715E-2</v>
      </c>
    </row>
    <row r="679" spans="1:2" x14ac:dyDescent="0.3">
      <c r="A679" s="3">
        <v>45195</v>
      </c>
      <c r="B679" s="2">
        <v>-2.6131183344187181E-2</v>
      </c>
    </row>
    <row r="680" spans="1:2" x14ac:dyDescent="0.3">
      <c r="A680" s="3">
        <v>45196</v>
      </c>
      <c r="B680" s="2">
        <v>-2.3568331571114709E-2</v>
      </c>
    </row>
    <row r="681" spans="1:2" x14ac:dyDescent="0.3">
      <c r="A681" s="3">
        <v>45197</v>
      </c>
      <c r="B681" s="2">
        <v>-3.3121454412190721E-2</v>
      </c>
    </row>
    <row r="682" spans="1:2" x14ac:dyDescent="0.3">
      <c r="A682" s="3">
        <v>45198</v>
      </c>
      <c r="B682" s="2">
        <v>-2.7438609176247408E-2</v>
      </c>
    </row>
    <row r="683" spans="1:2" x14ac:dyDescent="0.3">
      <c r="A683" s="3">
        <v>45202</v>
      </c>
      <c r="B683" s="2">
        <v>-3.28639311422394E-2</v>
      </c>
    </row>
    <row r="684" spans="1:2" x14ac:dyDescent="0.3">
      <c r="A684" s="3">
        <v>45203</v>
      </c>
      <c r="B684" s="2">
        <v>-3.7452302480890043E-2</v>
      </c>
    </row>
    <row r="685" spans="1:2" x14ac:dyDescent="0.3">
      <c r="A685" s="3">
        <v>45204</v>
      </c>
      <c r="B685" s="2">
        <v>-3.2022028144321868E-2</v>
      </c>
    </row>
    <row r="686" spans="1:2" x14ac:dyDescent="0.3">
      <c r="A686" s="3">
        <v>45205</v>
      </c>
      <c r="B686" s="2">
        <v>-2.6685848848697624E-2</v>
      </c>
    </row>
    <row r="687" spans="1:2" x14ac:dyDescent="0.3">
      <c r="A687" s="3">
        <v>45208</v>
      </c>
      <c r="B687" s="2">
        <v>-3.3676119916701164E-2</v>
      </c>
    </row>
    <row r="688" spans="1:2" x14ac:dyDescent="0.3">
      <c r="A688" s="3">
        <v>45209</v>
      </c>
      <c r="B688" s="2">
        <v>-2.488566214432697E-2</v>
      </c>
    </row>
    <row r="689" spans="1:2" x14ac:dyDescent="0.3">
      <c r="A689" s="3">
        <v>45210</v>
      </c>
      <c r="B689" s="2">
        <v>-1.8868531894504659E-2</v>
      </c>
    </row>
    <row r="690" spans="1:2" x14ac:dyDescent="0.3">
      <c r="A690" s="3">
        <v>45211</v>
      </c>
      <c r="B690" s="2">
        <v>-1.9727768189438E-2</v>
      </c>
    </row>
    <row r="691" spans="1:2" x14ac:dyDescent="0.3">
      <c r="A691" s="3">
        <v>45212</v>
      </c>
      <c r="B691" s="2">
        <v>-2.1854811351823766E-2</v>
      </c>
    </row>
    <row r="692" spans="1:2" x14ac:dyDescent="0.3">
      <c r="A692" s="3">
        <v>45215</v>
      </c>
      <c r="B692" s="2">
        <v>-2.2810618872988964E-2</v>
      </c>
    </row>
    <row r="693" spans="1:2" x14ac:dyDescent="0.3">
      <c r="A693" s="3">
        <v>45216</v>
      </c>
      <c r="B693" s="2">
        <v>-1.886110333864055E-2</v>
      </c>
    </row>
    <row r="694" spans="1:2" x14ac:dyDescent="0.3">
      <c r="A694" s="3">
        <v>45217</v>
      </c>
      <c r="B694" s="2">
        <v>-2.5814231627324213E-2</v>
      </c>
    </row>
    <row r="695" spans="1:2" x14ac:dyDescent="0.3">
      <c r="A695" s="3">
        <v>45218</v>
      </c>
      <c r="B695" s="2">
        <v>-2.8112131574581367E-2</v>
      </c>
    </row>
    <row r="696" spans="1:2" x14ac:dyDescent="0.3">
      <c r="A696" s="3">
        <v>45219</v>
      </c>
      <c r="B696" s="2">
        <v>-3.2175551632177446E-2</v>
      </c>
    </row>
    <row r="697" spans="1:2" x14ac:dyDescent="0.3">
      <c r="A697" s="3">
        <v>45222</v>
      </c>
      <c r="B697" s="2">
        <v>-4.5096286464923474E-2</v>
      </c>
    </row>
    <row r="698" spans="1:2" x14ac:dyDescent="0.3">
      <c r="A698" s="3">
        <v>45224</v>
      </c>
      <c r="B698" s="2">
        <v>-5.3000269904196262E-2</v>
      </c>
    </row>
    <row r="699" spans="1:2" x14ac:dyDescent="0.3">
      <c r="A699" s="3">
        <v>45225</v>
      </c>
      <c r="B699" s="2">
        <v>-6.6119099559981853E-2</v>
      </c>
    </row>
    <row r="700" spans="1:2" x14ac:dyDescent="0.3">
      <c r="A700" s="3">
        <v>45226</v>
      </c>
      <c r="B700" s="2">
        <v>-5.6709595465609386E-2</v>
      </c>
    </row>
    <row r="701" spans="1:2" x14ac:dyDescent="0.3">
      <c r="A701" s="3">
        <v>45229</v>
      </c>
      <c r="B701" s="2">
        <v>-5.2071700421199019E-2</v>
      </c>
    </row>
    <row r="702" spans="1:2" x14ac:dyDescent="0.3">
      <c r="A702" s="3">
        <v>45230</v>
      </c>
      <c r="B702" s="2">
        <v>-5.5107503584278184E-2</v>
      </c>
    </row>
    <row r="703" spans="1:2" x14ac:dyDescent="0.3">
      <c r="A703" s="3">
        <v>45231</v>
      </c>
      <c r="B703" s="2">
        <v>-5.95869227702569E-2</v>
      </c>
    </row>
    <row r="704" spans="1:2" x14ac:dyDescent="0.3">
      <c r="A704" s="3">
        <v>45232</v>
      </c>
      <c r="B704" s="2">
        <v>-5.2450556770261891E-2</v>
      </c>
    </row>
    <row r="705" spans="1:2" x14ac:dyDescent="0.3">
      <c r="A705" s="3">
        <v>45233</v>
      </c>
      <c r="B705" s="2">
        <v>-4.7629424014540178E-2</v>
      </c>
    </row>
    <row r="706" spans="1:2" x14ac:dyDescent="0.3">
      <c r="A706" s="3">
        <v>45236</v>
      </c>
      <c r="B706" s="2">
        <v>-3.8658204716142452E-2</v>
      </c>
    </row>
    <row r="707" spans="1:2" x14ac:dyDescent="0.3">
      <c r="A707" s="3">
        <v>45237</v>
      </c>
      <c r="B707" s="2">
        <v>-3.8908299430229665E-2</v>
      </c>
    </row>
    <row r="708" spans="1:2" x14ac:dyDescent="0.3">
      <c r="A708" s="3">
        <v>45238</v>
      </c>
      <c r="B708" s="2">
        <v>-3.7085827058267018E-2</v>
      </c>
    </row>
    <row r="709" spans="1:2" x14ac:dyDescent="0.3">
      <c r="A709" s="3">
        <v>45239</v>
      </c>
      <c r="B709" s="2">
        <v>-3.9472869675892031E-2</v>
      </c>
    </row>
    <row r="710" spans="1:2" x14ac:dyDescent="0.3">
      <c r="A710" s="3">
        <v>45240</v>
      </c>
      <c r="B710" s="2">
        <v>-3.7984682317808494E-2</v>
      </c>
    </row>
    <row r="711" spans="1:2" x14ac:dyDescent="0.3">
      <c r="A711" s="3">
        <v>45242</v>
      </c>
      <c r="B711" s="2">
        <v>-3.302240700067105E-2</v>
      </c>
    </row>
    <row r="712" spans="1:2" x14ac:dyDescent="0.3">
      <c r="A712" s="3">
        <v>45243</v>
      </c>
      <c r="B712" s="2">
        <v>-3.7083350872979093E-2</v>
      </c>
    </row>
    <row r="713" spans="1:2" x14ac:dyDescent="0.3">
      <c r="A713" s="3">
        <v>45245</v>
      </c>
      <c r="B713" s="2">
        <v>-2.559880350726873E-2</v>
      </c>
    </row>
    <row r="714" spans="1:2" x14ac:dyDescent="0.3">
      <c r="A714" s="3">
        <v>45246</v>
      </c>
      <c r="B714" s="2">
        <v>-2.1154050915321743E-2</v>
      </c>
    </row>
    <row r="715" spans="1:2" x14ac:dyDescent="0.3">
      <c r="A715" s="3">
        <v>45247</v>
      </c>
      <c r="B715" s="2">
        <v>-2.2808142687701038E-2</v>
      </c>
    </row>
    <row r="716" spans="1:2" x14ac:dyDescent="0.3">
      <c r="A716" s="3">
        <v>45250</v>
      </c>
      <c r="B716" s="2">
        <v>-2.468013876542352E-2</v>
      </c>
    </row>
    <row r="717" spans="1:2" x14ac:dyDescent="0.3">
      <c r="A717" s="3">
        <v>45251</v>
      </c>
      <c r="B717" s="2">
        <v>-2.0252719470492342E-2</v>
      </c>
    </row>
    <row r="718" spans="1:2" x14ac:dyDescent="0.3">
      <c r="A718" s="3">
        <v>45252</v>
      </c>
      <c r="B718" s="2">
        <v>-1.884377004162463E-2</v>
      </c>
    </row>
    <row r="719" spans="1:2" x14ac:dyDescent="0.3">
      <c r="A719" s="3">
        <v>45253</v>
      </c>
      <c r="B719" s="2">
        <v>-1.9331578543359207E-2</v>
      </c>
    </row>
    <row r="720" spans="1:2" x14ac:dyDescent="0.3">
      <c r="A720" s="3">
        <v>45254</v>
      </c>
      <c r="B720" s="2">
        <v>-1.9693101595406048E-2</v>
      </c>
    </row>
    <row r="721" spans="1:2" x14ac:dyDescent="0.3">
      <c r="A721" s="3">
        <v>45258</v>
      </c>
      <c r="B721" s="2">
        <v>-1.4988349548219926E-2</v>
      </c>
    </row>
    <row r="722" spans="1:2" x14ac:dyDescent="0.3">
      <c r="A722" s="3">
        <v>45259</v>
      </c>
      <c r="B722" s="2">
        <v>-4.74189482650611E-3</v>
      </c>
    </row>
    <row r="723" spans="1:2" x14ac:dyDescent="0.3">
      <c r="A723" s="3">
        <v>45260</v>
      </c>
      <c r="B723" s="2">
        <v>-2.9318033809832E-3</v>
      </c>
    </row>
    <row r="724" spans="1:2" x14ac:dyDescent="0.3">
      <c r="A724" s="3">
        <v>45261</v>
      </c>
      <c r="B724" s="2">
        <v>0</v>
      </c>
    </row>
    <row r="725" spans="1:2" x14ac:dyDescent="0.3">
      <c r="A725" s="3">
        <v>45264</v>
      </c>
      <c r="B725" s="2">
        <v>0</v>
      </c>
    </row>
    <row r="726" spans="1:2" x14ac:dyDescent="0.3">
      <c r="A726" s="3">
        <v>45265</v>
      </c>
      <c r="B726" s="2">
        <v>0</v>
      </c>
    </row>
    <row r="727" spans="1:2" x14ac:dyDescent="0.3">
      <c r="A727" s="3">
        <v>45266</v>
      </c>
      <c r="B727" s="2">
        <v>0</v>
      </c>
    </row>
    <row r="728" spans="1:2" x14ac:dyDescent="0.3">
      <c r="A728" s="3">
        <v>45267</v>
      </c>
      <c r="B728" s="2">
        <v>-1.7456549668778409E-3</v>
      </c>
    </row>
    <row r="729" spans="1:2" x14ac:dyDescent="0.3">
      <c r="A729" s="3">
        <v>45268</v>
      </c>
      <c r="B729" s="2">
        <v>0</v>
      </c>
    </row>
    <row r="730" spans="1:2" x14ac:dyDescent="0.3">
      <c r="A730" s="3">
        <v>45271</v>
      </c>
      <c r="B730" s="2">
        <v>0</v>
      </c>
    </row>
    <row r="731" spans="1:2" x14ac:dyDescent="0.3">
      <c r="A731" s="3">
        <v>45272</v>
      </c>
      <c r="B731" s="2">
        <v>-4.3196441413336784E-3</v>
      </c>
    </row>
    <row r="732" spans="1:2" x14ac:dyDescent="0.3">
      <c r="A732" s="3">
        <v>45273</v>
      </c>
      <c r="B732" s="2">
        <v>-3.36951293273835E-3</v>
      </c>
    </row>
    <row r="733" spans="1:2" x14ac:dyDescent="0.3">
      <c r="A733" s="3">
        <v>45274</v>
      </c>
      <c r="B733" s="2">
        <v>0</v>
      </c>
    </row>
    <row r="734" spans="1:2" x14ac:dyDescent="0.3">
      <c r="A734" s="3">
        <v>45275</v>
      </c>
      <c r="B734" s="2">
        <v>0</v>
      </c>
    </row>
    <row r="735" spans="1:2" x14ac:dyDescent="0.3">
      <c r="A735" s="3">
        <v>45278</v>
      </c>
      <c r="B735" s="2">
        <v>-1.7710127163373945E-3</v>
      </c>
    </row>
    <row r="736" spans="1:2" x14ac:dyDescent="0.3">
      <c r="A736" s="3">
        <v>45279</v>
      </c>
      <c r="B736" s="2">
        <v>-1.6544987218425344E-4</v>
      </c>
    </row>
    <row r="737" spans="1:2" x14ac:dyDescent="0.3">
      <c r="A737" s="3">
        <v>45280</v>
      </c>
      <c r="B737" s="2">
        <v>-1.4284615725194794E-2</v>
      </c>
    </row>
    <row r="738" spans="1:2" x14ac:dyDescent="0.3">
      <c r="A738" s="3">
        <v>45281</v>
      </c>
      <c r="B738" s="2">
        <v>-9.3956885161478043E-3</v>
      </c>
    </row>
    <row r="739" spans="1:2" x14ac:dyDescent="0.3">
      <c r="A739" s="3">
        <v>45282</v>
      </c>
      <c r="B739" s="2">
        <v>-4.9984503638732525E-3</v>
      </c>
    </row>
    <row r="740" spans="1:2" x14ac:dyDescent="0.3">
      <c r="A740" s="3">
        <v>45286</v>
      </c>
      <c r="B740" s="2">
        <v>-7.1306564631490321E-4</v>
      </c>
    </row>
    <row r="741" spans="1:2" x14ac:dyDescent="0.3">
      <c r="A741" s="3">
        <v>45287</v>
      </c>
      <c r="B741" s="2">
        <v>0</v>
      </c>
    </row>
    <row r="742" spans="1:2" x14ac:dyDescent="0.3">
      <c r="A742" s="3">
        <v>45288</v>
      </c>
      <c r="B742" s="2">
        <v>0</v>
      </c>
    </row>
    <row r="743" spans="1:2" x14ac:dyDescent="0.3">
      <c r="A743" s="3">
        <v>45289</v>
      </c>
      <c r="B743" s="2">
        <v>-2.1718468044464867E-3</v>
      </c>
    </row>
    <row r="744" spans="1:2" x14ac:dyDescent="0.3">
      <c r="A744" s="3">
        <v>45292</v>
      </c>
      <c r="B744" s="2">
        <v>-1.6897243637131742E-3</v>
      </c>
    </row>
    <row r="745" spans="1:2" x14ac:dyDescent="0.3">
      <c r="A745" s="3">
        <v>45293</v>
      </c>
      <c r="B745" s="2">
        <v>-5.1839641484570098E-3</v>
      </c>
    </row>
    <row r="746" spans="1:2" x14ac:dyDescent="0.3">
      <c r="A746" s="3">
        <v>45294</v>
      </c>
      <c r="B746" s="2">
        <v>-1.2000257131968506E-2</v>
      </c>
    </row>
    <row r="747" spans="1:2" x14ac:dyDescent="0.3">
      <c r="A747" s="3">
        <v>45295</v>
      </c>
      <c r="B747" s="2">
        <v>-5.5145623935314303E-3</v>
      </c>
    </row>
    <row r="748" spans="1:2" x14ac:dyDescent="0.3">
      <c r="A748" s="3">
        <v>45296</v>
      </c>
      <c r="B748" s="2">
        <v>-3.1177251167425757E-3</v>
      </c>
    </row>
    <row r="749" spans="1:2" x14ac:dyDescent="0.3">
      <c r="A749" s="3">
        <v>45299</v>
      </c>
      <c r="B749" s="2">
        <v>-1.2199993571700873E-2</v>
      </c>
    </row>
    <row r="750" spans="1:2" x14ac:dyDescent="0.3">
      <c r="A750" s="3">
        <v>45300</v>
      </c>
      <c r="B750" s="2">
        <v>-1.0737555501476259E-2</v>
      </c>
    </row>
    <row r="751" spans="1:2" x14ac:dyDescent="0.3">
      <c r="A751" s="3">
        <v>45301</v>
      </c>
      <c r="B751" s="2">
        <v>-7.346627668318173E-3</v>
      </c>
    </row>
    <row r="752" spans="1:2" x14ac:dyDescent="0.3">
      <c r="A752" s="3">
        <v>45302</v>
      </c>
      <c r="B752" s="2">
        <v>-6.0380096148989759E-3</v>
      </c>
    </row>
    <row r="753" spans="1:2" x14ac:dyDescent="0.3">
      <c r="A753" s="3">
        <v>45303</v>
      </c>
      <c r="B753" s="2">
        <v>0</v>
      </c>
    </row>
    <row r="754" spans="1:2" x14ac:dyDescent="0.3">
      <c r="A754" s="3">
        <v>45306</v>
      </c>
      <c r="B754" s="2">
        <v>0</v>
      </c>
    </row>
    <row r="755" spans="1:2" x14ac:dyDescent="0.3">
      <c r="A755" s="3">
        <v>45307</v>
      </c>
      <c r="B755" s="2">
        <v>-2.9483039898269281E-3</v>
      </c>
    </row>
    <row r="756" spans="1:2" x14ac:dyDescent="0.3">
      <c r="A756" s="3">
        <v>45308</v>
      </c>
      <c r="B756" s="2">
        <v>-2.3781024507352644E-2</v>
      </c>
    </row>
    <row r="757" spans="1:2" x14ac:dyDescent="0.3">
      <c r="A757" s="3">
        <v>45309</v>
      </c>
      <c r="B757" s="2">
        <v>-2.8745398224682028E-2</v>
      </c>
    </row>
    <row r="758" spans="1:2" x14ac:dyDescent="0.3">
      <c r="A758" s="3">
        <v>45310</v>
      </c>
      <c r="B758" s="2">
        <v>-2.1497955646465949E-2</v>
      </c>
    </row>
    <row r="759" spans="1:2" x14ac:dyDescent="0.3">
      <c r="A759" s="3">
        <v>45311</v>
      </c>
      <c r="B759" s="2">
        <v>-2.378781262091334E-2</v>
      </c>
    </row>
    <row r="760" spans="1:2" x14ac:dyDescent="0.3">
      <c r="A760" s="3">
        <v>45314</v>
      </c>
      <c r="B760" s="2">
        <v>-3.8857424725477485E-2</v>
      </c>
    </row>
    <row r="761" spans="1:2" x14ac:dyDescent="0.3">
      <c r="A761" s="3">
        <v>45315</v>
      </c>
      <c r="B761" s="2">
        <v>-2.9121007175036073E-2</v>
      </c>
    </row>
    <row r="762" spans="1:2" x14ac:dyDescent="0.3">
      <c r="A762" s="3">
        <v>45316</v>
      </c>
      <c r="B762" s="2">
        <v>-3.3707509237491329E-2</v>
      </c>
    </row>
    <row r="763" spans="1:2" x14ac:dyDescent="0.3">
      <c r="A763" s="3">
        <v>45320</v>
      </c>
      <c r="B763" s="2">
        <v>-1.628468443191422E-2</v>
      </c>
    </row>
    <row r="764" spans="1:2" x14ac:dyDescent="0.3">
      <c r="A764" s="3">
        <v>45321</v>
      </c>
      <c r="B764" s="2">
        <v>-2.6036940913996998E-2</v>
      </c>
    </row>
    <row r="765" spans="1:2" x14ac:dyDescent="0.3">
      <c r="A765" s="3">
        <v>45322</v>
      </c>
      <c r="B765" s="2">
        <v>-1.6823208107722865E-2</v>
      </c>
    </row>
    <row r="766" spans="1:2" x14ac:dyDescent="0.3">
      <c r="A766" s="3">
        <v>45323</v>
      </c>
      <c r="B766" s="2">
        <v>-1.8101636161638512E-2</v>
      </c>
    </row>
    <row r="767" spans="1:2" x14ac:dyDescent="0.3">
      <c r="A767" s="3">
        <v>45324</v>
      </c>
      <c r="B767" s="2">
        <v>-1.1026159126958146E-2</v>
      </c>
    </row>
    <row r="768" spans="1:2" x14ac:dyDescent="0.3">
      <c r="A768" s="3">
        <v>45327</v>
      </c>
      <c r="B768" s="2">
        <v>-1.4741519949134418E-2</v>
      </c>
    </row>
    <row r="769" spans="1:2" x14ac:dyDescent="0.3">
      <c r="A769" s="3">
        <v>45328</v>
      </c>
      <c r="B769" s="2">
        <v>-7.6049498924083414E-3</v>
      </c>
    </row>
    <row r="770" spans="1:2" x14ac:dyDescent="0.3">
      <c r="A770" s="3">
        <v>45329</v>
      </c>
      <c r="B770" s="2">
        <v>-7.5551703929639391E-3</v>
      </c>
    </row>
    <row r="771" spans="1:2" x14ac:dyDescent="0.3">
      <c r="A771" s="3">
        <v>45330</v>
      </c>
      <c r="B771" s="2">
        <v>-1.7173927308354542E-2</v>
      </c>
    </row>
    <row r="772" spans="1:2" x14ac:dyDescent="0.3">
      <c r="A772" s="3">
        <v>45331</v>
      </c>
      <c r="B772" s="2">
        <v>-1.4252775772770176E-2</v>
      </c>
    </row>
    <row r="773" spans="1:2" x14ac:dyDescent="0.3">
      <c r="A773" s="3">
        <v>45334</v>
      </c>
      <c r="B773" s="2">
        <v>-2.1785319120532054E-2</v>
      </c>
    </row>
    <row r="774" spans="1:2" x14ac:dyDescent="0.3">
      <c r="A774" s="3">
        <v>45335</v>
      </c>
      <c r="B774" s="2">
        <v>-1.6028998821130958E-2</v>
      </c>
    </row>
    <row r="775" spans="1:2" x14ac:dyDescent="0.3">
      <c r="A775" s="3">
        <v>45336</v>
      </c>
      <c r="B775" s="2">
        <v>-1.1648402870014452E-2</v>
      </c>
    </row>
    <row r="776" spans="1:2" x14ac:dyDescent="0.3">
      <c r="A776" s="3">
        <v>45337</v>
      </c>
      <c r="B776" s="2">
        <v>-8.4489386784448728E-3</v>
      </c>
    </row>
    <row r="777" spans="1:2" x14ac:dyDescent="0.3">
      <c r="A777" s="3">
        <v>45338</v>
      </c>
      <c r="B777" s="2">
        <v>-2.568169630432493E-3</v>
      </c>
    </row>
    <row r="778" spans="1:2" x14ac:dyDescent="0.3">
      <c r="A778" s="3">
        <v>45341</v>
      </c>
      <c r="B778" s="2">
        <v>0</v>
      </c>
    </row>
    <row r="779" spans="1:2" x14ac:dyDescent="0.3">
      <c r="A779" s="3">
        <v>45342</v>
      </c>
      <c r="B779" s="2">
        <v>0</v>
      </c>
    </row>
    <row r="780" spans="1:2" x14ac:dyDescent="0.3">
      <c r="A780" s="3">
        <v>45343</v>
      </c>
      <c r="B780" s="2">
        <v>-6.3927701778848656E-3</v>
      </c>
    </row>
    <row r="781" spans="1:2" x14ac:dyDescent="0.3">
      <c r="A781" s="3">
        <v>45344</v>
      </c>
      <c r="B781" s="2">
        <v>0</v>
      </c>
    </row>
    <row r="782" spans="1:2" x14ac:dyDescent="0.3">
      <c r="A782" s="3">
        <v>45345</v>
      </c>
      <c r="B782" s="2">
        <v>-2.1379591267223219E-4</v>
      </c>
    </row>
    <row r="783" spans="1:2" x14ac:dyDescent="0.3">
      <c r="A783" s="3">
        <v>45348</v>
      </c>
      <c r="B783" s="2">
        <v>-4.2939221197753064E-3</v>
      </c>
    </row>
    <row r="784" spans="1:2" x14ac:dyDescent="0.3">
      <c r="A784" s="3">
        <v>45349</v>
      </c>
      <c r="B784" s="2">
        <v>-8.5968461727170542E-4</v>
      </c>
    </row>
    <row r="785" spans="1:2" x14ac:dyDescent="0.3">
      <c r="A785" s="3">
        <v>45350</v>
      </c>
      <c r="B785" s="2">
        <v>-1.1986074009393444E-2</v>
      </c>
    </row>
    <row r="786" spans="1:2" x14ac:dyDescent="0.3">
      <c r="A786" s="3">
        <v>45351</v>
      </c>
      <c r="B786" s="2">
        <v>-1.0561518086009025E-2</v>
      </c>
    </row>
    <row r="787" spans="1:2" x14ac:dyDescent="0.3">
      <c r="A787" s="3">
        <v>45352</v>
      </c>
      <c r="B787" s="2">
        <v>0</v>
      </c>
    </row>
    <row r="788" spans="1:2" x14ac:dyDescent="0.3">
      <c r="A788" s="3">
        <v>45355</v>
      </c>
      <c r="B788" s="2">
        <v>0</v>
      </c>
    </row>
    <row r="789" spans="1:2" x14ac:dyDescent="0.3">
      <c r="A789" s="3">
        <v>45356</v>
      </c>
      <c r="B789" s="2">
        <v>-2.2003427714499812E-3</v>
      </c>
    </row>
    <row r="790" spans="1:2" x14ac:dyDescent="0.3">
      <c r="A790" s="3">
        <v>45357</v>
      </c>
      <c r="B790" s="2">
        <v>0</v>
      </c>
    </row>
    <row r="791" spans="1:2" x14ac:dyDescent="0.3">
      <c r="A791" s="3">
        <v>45358</v>
      </c>
      <c r="B791" s="2">
        <v>0</v>
      </c>
    </row>
    <row r="792" spans="1:2" x14ac:dyDescent="0.3">
      <c r="A792" s="3">
        <v>45362</v>
      </c>
      <c r="B792" s="2">
        <v>-7.1531616841271628E-3</v>
      </c>
    </row>
    <row r="793" spans="1:2" x14ac:dyDescent="0.3">
      <c r="A793" s="3">
        <v>45363</v>
      </c>
      <c r="B793" s="2">
        <v>-7.0175672581694881E-3</v>
      </c>
    </row>
    <row r="794" spans="1:2" x14ac:dyDescent="0.3">
      <c r="A794" s="3">
        <v>45364</v>
      </c>
      <c r="B794" s="2">
        <v>-2.2044097085608949E-2</v>
      </c>
    </row>
    <row r="795" spans="1:2" x14ac:dyDescent="0.3">
      <c r="A795" s="3">
        <v>45365</v>
      </c>
      <c r="B795" s="2">
        <v>-1.5422198808102694E-2</v>
      </c>
    </row>
    <row r="796" spans="1:2" x14ac:dyDescent="0.3">
      <c r="A796" s="3">
        <v>45366</v>
      </c>
      <c r="B796" s="2">
        <v>-2.0903770191899484E-2</v>
      </c>
    </row>
    <row r="797" spans="1:2" x14ac:dyDescent="0.3">
      <c r="A797" s="3">
        <v>45369</v>
      </c>
      <c r="B797" s="2">
        <v>-1.9465580132971394E-2</v>
      </c>
    </row>
    <row r="798" spans="1:2" x14ac:dyDescent="0.3">
      <c r="A798" s="3">
        <v>45370</v>
      </c>
      <c r="B798" s="2">
        <v>-3.0057505373762616E-2</v>
      </c>
    </row>
    <row r="799" spans="1:2" x14ac:dyDescent="0.3">
      <c r="A799" s="3">
        <v>45371</v>
      </c>
      <c r="B799" s="2">
        <v>-2.9095007235407477E-2</v>
      </c>
    </row>
    <row r="800" spans="1:2" x14ac:dyDescent="0.3">
      <c r="A800" s="3">
        <v>45372</v>
      </c>
      <c r="B800" s="2">
        <v>-2.1410582144659185E-2</v>
      </c>
    </row>
    <row r="801" spans="1:2" x14ac:dyDescent="0.3">
      <c r="A801" s="3">
        <v>45373</v>
      </c>
      <c r="B801" s="2">
        <v>-1.7640612531147792E-2</v>
      </c>
    </row>
    <row r="802" spans="1:2" x14ac:dyDescent="0.3">
      <c r="A802" s="3">
        <v>45377</v>
      </c>
      <c r="B802" s="2">
        <v>-2.1732896763738907E-2</v>
      </c>
    </row>
    <row r="803" spans="1:2" x14ac:dyDescent="0.3">
      <c r="A803" s="3">
        <v>45378</v>
      </c>
      <c r="B803" s="2">
        <v>-1.6444714151389928E-2</v>
      </c>
    </row>
    <row r="804" spans="1:2" x14ac:dyDescent="0.3">
      <c r="A804" s="3">
        <v>45379</v>
      </c>
      <c r="B804" s="2">
        <v>-7.4087905199489157E-3</v>
      </c>
    </row>
    <row r="805" spans="1:2" x14ac:dyDescent="0.3">
      <c r="A805" s="3">
        <v>45383</v>
      </c>
      <c r="B805" s="2">
        <v>-1.4026243078570921E-3</v>
      </c>
    </row>
    <row r="806" spans="1:2" x14ac:dyDescent="0.3">
      <c r="A806" s="3">
        <v>45384</v>
      </c>
      <c r="B806" s="2">
        <v>-1.7894018507528253E-3</v>
      </c>
    </row>
    <row r="807" spans="1:2" x14ac:dyDescent="0.3">
      <c r="A807" s="3">
        <v>45385</v>
      </c>
      <c r="B807" s="2">
        <v>-2.6185284225921368E-3</v>
      </c>
    </row>
    <row r="808" spans="1:2" x14ac:dyDescent="0.3">
      <c r="A808" s="3">
        <v>45386</v>
      </c>
      <c r="B808" s="2">
        <v>0</v>
      </c>
    </row>
    <row r="809" spans="1:2" x14ac:dyDescent="0.3">
      <c r="A809" s="3">
        <v>45387</v>
      </c>
      <c r="B809" s="2">
        <v>-4.2194748752555356E-5</v>
      </c>
    </row>
    <row r="810" spans="1:2" x14ac:dyDescent="0.3">
      <c r="A810" s="3">
        <v>45390</v>
      </c>
      <c r="B810" s="2">
        <v>0</v>
      </c>
    </row>
    <row r="811" spans="1:2" x14ac:dyDescent="0.3">
      <c r="A811" s="3">
        <v>45391</v>
      </c>
      <c r="B811" s="2">
        <v>-1.0389873953843276E-3</v>
      </c>
    </row>
    <row r="812" spans="1:2" x14ac:dyDescent="0.3">
      <c r="A812" s="3">
        <v>45392</v>
      </c>
      <c r="B812" s="2">
        <v>0</v>
      </c>
    </row>
    <row r="813" spans="1:2" x14ac:dyDescent="0.3">
      <c r="A813" s="3">
        <v>45394</v>
      </c>
      <c r="B813" s="2">
        <v>-1.0301576000492085E-2</v>
      </c>
    </row>
    <row r="814" spans="1:2" x14ac:dyDescent="0.3">
      <c r="A814" s="3">
        <v>45397</v>
      </c>
      <c r="B814" s="2">
        <v>-2.1152510789406609E-2</v>
      </c>
    </row>
    <row r="815" spans="1:2" x14ac:dyDescent="0.3">
      <c r="A815" s="3">
        <v>45398</v>
      </c>
      <c r="B815" s="2">
        <v>-2.6628519192398503E-2</v>
      </c>
    </row>
    <row r="816" spans="1:2" x14ac:dyDescent="0.3">
      <c r="A816" s="3">
        <v>45400</v>
      </c>
      <c r="B816" s="2">
        <v>-3.3310919494765723E-2</v>
      </c>
    </row>
    <row r="817" spans="1:2" x14ac:dyDescent="0.3">
      <c r="A817" s="3">
        <v>45401</v>
      </c>
      <c r="B817" s="2">
        <v>-2.6668073025165051E-2</v>
      </c>
    </row>
    <row r="818" spans="1:2" x14ac:dyDescent="0.3">
      <c r="A818" s="3">
        <v>45404</v>
      </c>
      <c r="B818" s="2">
        <v>-1.8344188662992478E-2</v>
      </c>
    </row>
    <row r="819" spans="1:2" x14ac:dyDescent="0.3">
      <c r="A819" s="3">
        <v>45405</v>
      </c>
      <c r="B819" s="2">
        <v>-1.6955409645861286E-2</v>
      </c>
    </row>
    <row r="820" spans="1:2" x14ac:dyDescent="0.3">
      <c r="A820" s="3">
        <v>45406</v>
      </c>
      <c r="B820" s="2">
        <v>-1.5443574260123438E-2</v>
      </c>
    </row>
    <row r="821" spans="1:2" x14ac:dyDescent="0.3">
      <c r="A821" s="3">
        <v>45407</v>
      </c>
      <c r="B821" s="2">
        <v>-8.0623895788836109E-3</v>
      </c>
    </row>
    <row r="822" spans="1:2" x14ac:dyDescent="0.3">
      <c r="A822" s="3">
        <v>45408</v>
      </c>
      <c r="B822" s="2">
        <v>-1.4672274521178807E-2</v>
      </c>
    </row>
    <row r="823" spans="1:2" x14ac:dyDescent="0.3">
      <c r="A823" s="3">
        <v>45411</v>
      </c>
      <c r="B823" s="2">
        <v>-4.8519368193443713E-3</v>
      </c>
    </row>
    <row r="824" spans="1:2" x14ac:dyDescent="0.3">
      <c r="A824" s="3">
        <v>45412</v>
      </c>
      <c r="B824" s="2">
        <v>-6.5461593228384185E-3</v>
      </c>
    </row>
    <row r="825" spans="1:2" x14ac:dyDescent="0.3">
      <c r="A825" s="3">
        <v>45414</v>
      </c>
      <c r="B825" s="2">
        <v>-4.6409830445902633E-3</v>
      </c>
    </row>
    <row r="826" spans="1:2" x14ac:dyDescent="0.3">
      <c r="A826" s="3">
        <v>45415</v>
      </c>
      <c r="B826" s="2">
        <v>-1.2215542019355041E-2</v>
      </c>
    </row>
    <row r="827" spans="1:2" x14ac:dyDescent="0.3">
      <c r="A827" s="3">
        <v>45418</v>
      </c>
      <c r="B827" s="2">
        <v>-1.3672441526250467E-2</v>
      </c>
    </row>
    <row r="828" spans="1:2" x14ac:dyDescent="0.3">
      <c r="A828" s="3">
        <v>45419</v>
      </c>
      <c r="B828" s="2">
        <v>-1.9834049697193379E-2</v>
      </c>
    </row>
    <row r="829" spans="1:2" x14ac:dyDescent="0.3">
      <c r="A829" s="3">
        <v>45420</v>
      </c>
      <c r="B829" s="2">
        <v>-1.9834049697193379E-2</v>
      </c>
    </row>
    <row r="830" spans="1:2" x14ac:dyDescent="0.3">
      <c r="A830" s="3">
        <v>45421</v>
      </c>
      <c r="B830" s="2">
        <v>-3.4996352257644858E-2</v>
      </c>
    </row>
    <row r="831" spans="1:2" x14ac:dyDescent="0.3">
      <c r="A831" s="3">
        <v>45422</v>
      </c>
      <c r="B831" s="2">
        <v>-3.0702563967337282E-2</v>
      </c>
    </row>
    <row r="832" spans="1:2" x14ac:dyDescent="0.3">
      <c r="A832" s="3">
        <v>45425</v>
      </c>
      <c r="B832" s="2">
        <v>-2.8555669822183494E-2</v>
      </c>
    </row>
    <row r="833" spans="1:2" x14ac:dyDescent="0.3">
      <c r="A833" s="3">
        <v>45426</v>
      </c>
      <c r="B833" s="2">
        <v>-2.3554307412388287E-2</v>
      </c>
    </row>
    <row r="834" spans="1:2" x14ac:dyDescent="0.3">
      <c r="A834" s="3">
        <v>45427</v>
      </c>
      <c r="B834" s="2">
        <v>-2.43146199755645E-2</v>
      </c>
    </row>
    <row r="835" spans="1:2" x14ac:dyDescent="0.3">
      <c r="A835" s="3">
        <v>45428</v>
      </c>
      <c r="B835" s="2">
        <v>-1.537984864066666E-2</v>
      </c>
    </row>
    <row r="836" spans="1:2" x14ac:dyDescent="0.3">
      <c r="A836" s="3">
        <v>45429</v>
      </c>
      <c r="B836" s="2">
        <v>-1.264404187432433E-2</v>
      </c>
    </row>
    <row r="837" spans="1:2" x14ac:dyDescent="0.3">
      <c r="A837" s="3">
        <v>45430</v>
      </c>
      <c r="B837" s="2">
        <v>-1.1066283433975865E-2</v>
      </c>
    </row>
    <row r="838" spans="1:2" x14ac:dyDescent="0.3">
      <c r="A838" s="3">
        <v>45433</v>
      </c>
      <c r="B838" s="2">
        <v>-9.8774710158303636E-3</v>
      </c>
    </row>
    <row r="839" spans="1:2" x14ac:dyDescent="0.3">
      <c r="A839" s="3">
        <v>45434</v>
      </c>
      <c r="B839" s="2">
        <v>-6.8559976795085076E-3</v>
      </c>
    </row>
    <row r="840" spans="1:2" x14ac:dyDescent="0.3">
      <c r="A840" s="3">
        <v>45435</v>
      </c>
      <c r="B840" s="2">
        <v>0</v>
      </c>
    </row>
    <row r="841" spans="1:2" x14ac:dyDescent="0.3">
      <c r="A841" s="3">
        <v>45436</v>
      </c>
      <c r="B841" s="2">
        <v>-4.5934172629780168E-4</v>
      </c>
    </row>
    <row r="842" spans="1:2" x14ac:dyDescent="0.3">
      <c r="A842" s="3">
        <v>45439</v>
      </c>
      <c r="B842" s="2">
        <v>-1.5325904043296257E-3</v>
      </c>
    </row>
    <row r="843" spans="1:2" x14ac:dyDescent="0.3">
      <c r="A843" s="3">
        <v>45440</v>
      </c>
      <c r="B843" s="2">
        <v>-3.4613902597784296E-3</v>
      </c>
    </row>
    <row r="844" spans="1:2" x14ac:dyDescent="0.3">
      <c r="A844" s="3">
        <v>45441</v>
      </c>
      <c r="B844" s="2">
        <v>-1.1448711557342617E-2</v>
      </c>
    </row>
    <row r="845" spans="1:2" x14ac:dyDescent="0.3">
      <c r="A845" s="3">
        <v>45442</v>
      </c>
      <c r="B845" s="2">
        <v>-2.0855420558916538E-2</v>
      </c>
    </row>
    <row r="846" spans="1:2" x14ac:dyDescent="0.3">
      <c r="A846" s="3">
        <v>45443</v>
      </c>
      <c r="B846" s="2">
        <v>-1.9024584578744452E-2</v>
      </c>
    </row>
    <row r="847" spans="1:2" x14ac:dyDescent="0.3">
      <c r="A847" s="3">
        <v>45446</v>
      </c>
      <c r="B847" s="2">
        <v>0</v>
      </c>
    </row>
    <row r="848" spans="1:2" x14ac:dyDescent="0.3">
      <c r="A848" s="3">
        <v>45447</v>
      </c>
      <c r="B848" s="2">
        <v>-5.9293583620975032E-2</v>
      </c>
    </row>
    <row r="849" spans="1:2" x14ac:dyDescent="0.3">
      <c r="A849" s="3">
        <v>45448</v>
      </c>
      <c r="B849" s="2">
        <v>-2.7663031563925355E-2</v>
      </c>
    </row>
    <row r="850" spans="1:2" x14ac:dyDescent="0.3">
      <c r="A850" s="3">
        <v>45449</v>
      </c>
      <c r="B850" s="2">
        <v>-1.9020886437785545E-2</v>
      </c>
    </row>
    <row r="851" spans="1:2" x14ac:dyDescent="0.3">
      <c r="A851" s="3">
        <v>45450</v>
      </c>
      <c r="B851" s="2">
        <v>0</v>
      </c>
    </row>
    <row r="852" spans="1:2" x14ac:dyDescent="0.3">
      <c r="A852" s="3">
        <v>45453</v>
      </c>
      <c r="B852" s="2">
        <v>-1.3288879633664985E-3</v>
      </c>
    </row>
    <row r="853" spans="1:2" x14ac:dyDescent="0.3">
      <c r="A853" s="3">
        <v>45454</v>
      </c>
      <c r="B853" s="2">
        <v>-1.0862961380670999E-3</v>
      </c>
    </row>
    <row r="854" spans="1:2" x14ac:dyDescent="0.3">
      <c r="A854" s="3">
        <v>45455</v>
      </c>
      <c r="B854" s="2">
        <v>0</v>
      </c>
    </row>
    <row r="855" spans="1:2" x14ac:dyDescent="0.3">
      <c r="A855" s="3">
        <v>45456</v>
      </c>
      <c r="B855" s="2">
        <v>0</v>
      </c>
    </row>
    <row r="856" spans="1:2" x14ac:dyDescent="0.3">
      <c r="A856" s="3">
        <v>45457</v>
      </c>
      <c r="B856" s="2">
        <v>0</v>
      </c>
    </row>
    <row r="857" spans="1:2" x14ac:dyDescent="0.3">
      <c r="A857" s="3">
        <v>45461</v>
      </c>
      <c r="B857" s="2">
        <v>0</v>
      </c>
    </row>
    <row r="858" spans="1:2" x14ac:dyDescent="0.3">
      <c r="A858" s="3">
        <v>45462</v>
      </c>
      <c r="B858" s="2">
        <v>-1.7785965642099777E-3</v>
      </c>
    </row>
    <row r="859" spans="1:2" x14ac:dyDescent="0.3">
      <c r="A859" s="3">
        <v>45463</v>
      </c>
      <c r="B859" s="2">
        <v>0</v>
      </c>
    </row>
    <row r="860" spans="1:2" x14ac:dyDescent="0.3">
      <c r="A860" s="3">
        <v>45464</v>
      </c>
      <c r="B860" s="2">
        <v>-2.7962829380066001E-3</v>
      </c>
    </row>
    <row r="861" spans="1:2" x14ac:dyDescent="0.3">
      <c r="A861" s="3">
        <v>45467</v>
      </c>
      <c r="B861" s="2">
        <v>-1.2368990537616753E-3</v>
      </c>
    </row>
    <row r="862" spans="1:2" x14ac:dyDescent="0.3">
      <c r="A862" s="3">
        <v>45468</v>
      </c>
      <c r="B862" s="2">
        <v>0</v>
      </c>
    </row>
    <row r="863" spans="1:2" x14ac:dyDescent="0.3">
      <c r="A863" s="3">
        <v>45469</v>
      </c>
      <c r="B863" s="2">
        <v>0</v>
      </c>
    </row>
    <row r="864" spans="1:2" x14ac:dyDescent="0.3">
      <c r="A864" s="3">
        <v>45470</v>
      </c>
      <c r="B864" s="2">
        <v>0</v>
      </c>
    </row>
    <row r="865" spans="1:2" x14ac:dyDescent="0.3">
      <c r="A865" s="3">
        <v>45471</v>
      </c>
      <c r="B865" s="2">
        <v>-1.4098858366778932E-3</v>
      </c>
    </row>
    <row r="866" spans="1:2" x14ac:dyDescent="0.3">
      <c r="A866" s="3">
        <v>45474</v>
      </c>
      <c r="B866" s="2">
        <v>0</v>
      </c>
    </row>
    <row r="867" spans="1:2" x14ac:dyDescent="0.3">
      <c r="A867" s="3">
        <v>45475</v>
      </c>
      <c r="B867" s="2">
        <v>-7.4973231242725369E-4</v>
      </c>
    </row>
    <row r="868" spans="1:2" x14ac:dyDescent="0.3">
      <c r="A868" s="3">
        <v>45476</v>
      </c>
      <c r="B868" s="2">
        <v>0</v>
      </c>
    </row>
    <row r="869" spans="1:2" x14ac:dyDescent="0.3">
      <c r="A869" s="3">
        <v>45477</v>
      </c>
      <c r="B869" s="2">
        <v>0</v>
      </c>
    </row>
    <row r="870" spans="1:2" x14ac:dyDescent="0.3">
      <c r="A870" s="3">
        <v>45478</v>
      </c>
      <c r="B870" s="2">
        <v>0</v>
      </c>
    </row>
    <row r="871" spans="1:2" x14ac:dyDescent="0.3">
      <c r="A871" s="3">
        <v>45481</v>
      </c>
      <c r="B871" s="2">
        <v>-1.3566931221820067E-4</v>
      </c>
    </row>
    <row r="872" spans="1:2" x14ac:dyDescent="0.3">
      <c r="A872" s="3">
        <v>45482</v>
      </c>
      <c r="B872" s="2">
        <v>0</v>
      </c>
    </row>
    <row r="873" spans="1:2" x14ac:dyDescent="0.3">
      <c r="A873" s="3">
        <v>45483</v>
      </c>
      <c r="B873" s="2">
        <v>-4.4509110554491471E-3</v>
      </c>
    </row>
    <row r="874" spans="1:2" x14ac:dyDescent="0.3">
      <c r="A874" s="3">
        <v>45484</v>
      </c>
      <c r="B874" s="2">
        <v>-4.798798356334788E-3</v>
      </c>
    </row>
    <row r="875" spans="1:2" x14ac:dyDescent="0.3">
      <c r="A875" s="3">
        <v>45485</v>
      </c>
      <c r="B875" s="2">
        <v>0</v>
      </c>
    </row>
    <row r="876" spans="1:2" x14ac:dyDescent="0.3">
      <c r="A876" s="3">
        <v>45488</v>
      </c>
      <c r="B876" s="2">
        <v>0</v>
      </c>
    </row>
    <row r="877" spans="1:2" x14ac:dyDescent="0.3">
      <c r="A877" s="3">
        <v>45489</v>
      </c>
      <c r="B877" s="2">
        <v>0</v>
      </c>
    </row>
    <row r="878" spans="1:2" x14ac:dyDescent="0.3">
      <c r="A878" s="3">
        <v>45491</v>
      </c>
      <c r="B878" s="2">
        <v>0</v>
      </c>
    </row>
    <row r="879" spans="1:2" x14ac:dyDescent="0.3">
      <c r="A879" s="3">
        <v>45492</v>
      </c>
      <c r="B879" s="2">
        <v>-1.0884707580586794E-2</v>
      </c>
    </row>
    <row r="880" spans="1:2" x14ac:dyDescent="0.3">
      <c r="A880" s="3">
        <v>45495</v>
      </c>
      <c r="B880" s="2">
        <v>-1.1757661531761943E-2</v>
      </c>
    </row>
    <row r="881" spans="1:2" x14ac:dyDescent="0.3">
      <c r="A881" s="3">
        <v>45496</v>
      </c>
      <c r="B881" s="2">
        <v>-1.2975361731553559E-2</v>
      </c>
    </row>
    <row r="882" spans="1:2" x14ac:dyDescent="0.3">
      <c r="A882" s="3">
        <v>45497</v>
      </c>
      <c r="B882" s="2">
        <v>-1.5618416304279847E-2</v>
      </c>
    </row>
    <row r="883" spans="1:2" x14ac:dyDescent="0.3">
      <c r="A883" s="3">
        <v>45498</v>
      </c>
      <c r="B883" s="2">
        <v>-1.5916793174427513E-2</v>
      </c>
    </row>
    <row r="884" spans="1:2" x14ac:dyDescent="0.3">
      <c r="A884" s="3">
        <v>45499</v>
      </c>
      <c r="B884" s="2">
        <v>0</v>
      </c>
    </row>
    <row r="885" spans="1:2" x14ac:dyDescent="0.3">
      <c r="A885" s="3">
        <v>45502</v>
      </c>
      <c r="B885" s="2">
        <v>0</v>
      </c>
    </row>
    <row r="886" spans="1:2" x14ac:dyDescent="0.3">
      <c r="A886" s="3">
        <v>45503</v>
      </c>
      <c r="B886" s="2">
        <v>0</v>
      </c>
    </row>
    <row r="887" spans="1:2" x14ac:dyDescent="0.3">
      <c r="A887" s="3">
        <v>45504</v>
      </c>
      <c r="B887" s="2">
        <v>0</v>
      </c>
    </row>
    <row r="888" spans="1:2" x14ac:dyDescent="0.3">
      <c r="A888" s="3">
        <v>45505</v>
      </c>
      <c r="B888" s="2">
        <v>0</v>
      </c>
    </row>
    <row r="889" spans="1:2" x14ac:dyDescent="0.3">
      <c r="A889" s="3">
        <v>45506</v>
      </c>
      <c r="B889" s="2">
        <v>-1.1722888820474342E-2</v>
      </c>
    </row>
    <row r="890" spans="1:2" x14ac:dyDescent="0.3">
      <c r="A890" s="3">
        <v>45509</v>
      </c>
      <c r="B890" s="2">
        <v>-3.8195346828782784E-2</v>
      </c>
    </row>
    <row r="891" spans="1:2" x14ac:dyDescent="0.3">
      <c r="A891" s="3">
        <v>45510</v>
      </c>
      <c r="B891" s="2">
        <v>-4.0716247715995912E-2</v>
      </c>
    </row>
    <row r="892" spans="1:2" x14ac:dyDescent="0.3">
      <c r="A892" s="3">
        <v>45511</v>
      </c>
      <c r="B892" s="2">
        <v>-2.8523563726215451E-2</v>
      </c>
    </row>
    <row r="893" spans="1:2" x14ac:dyDescent="0.3">
      <c r="A893" s="3">
        <v>45512</v>
      </c>
      <c r="B893" s="2">
        <v>-3.5740417178110384E-2</v>
      </c>
    </row>
    <row r="894" spans="1:2" x14ac:dyDescent="0.3">
      <c r="A894" s="3">
        <v>45513</v>
      </c>
      <c r="B894" s="2">
        <v>-2.5724783994178546E-2</v>
      </c>
    </row>
    <row r="895" spans="1:2" x14ac:dyDescent="0.3">
      <c r="A895" s="3">
        <v>45516</v>
      </c>
      <c r="B895" s="2">
        <v>-2.6544426629989348E-2</v>
      </c>
    </row>
    <row r="896" spans="1:2" x14ac:dyDescent="0.3">
      <c r="A896" s="3">
        <v>45517</v>
      </c>
      <c r="B896" s="2">
        <v>-3.4860800690898808E-2</v>
      </c>
    </row>
    <row r="897" spans="1:2" x14ac:dyDescent="0.3">
      <c r="A897" s="3">
        <v>45518</v>
      </c>
      <c r="B897" s="2">
        <v>-3.4670883494796301E-2</v>
      </c>
    </row>
    <row r="898" spans="1:2" x14ac:dyDescent="0.3">
      <c r="A898" s="3">
        <v>45520</v>
      </c>
      <c r="B898" s="2">
        <v>-1.8781811130347159E-2</v>
      </c>
    </row>
    <row r="899" spans="1:2" x14ac:dyDescent="0.3">
      <c r="A899" s="3">
        <v>45523</v>
      </c>
      <c r="B899" s="2">
        <v>-1.7522360250930569E-2</v>
      </c>
    </row>
    <row r="900" spans="1:2" x14ac:dyDescent="0.3">
      <c r="A900" s="3">
        <v>45524</v>
      </c>
      <c r="B900" s="2">
        <v>-1.2476560219744304E-2</v>
      </c>
    </row>
    <row r="901" spans="1:2" x14ac:dyDescent="0.3">
      <c r="A901" s="3">
        <v>45525</v>
      </c>
      <c r="B901" s="2">
        <v>-9.6238040214466913E-3</v>
      </c>
    </row>
    <row r="902" spans="1:2" x14ac:dyDescent="0.3">
      <c r="A902" s="3">
        <v>45526</v>
      </c>
      <c r="B902" s="2">
        <v>-7.9725239795449543E-3</v>
      </c>
    </row>
    <row r="903" spans="1:2" x14ac:dyDescent="0.3">
      <c r="A903" s="3">
        <v>45527</v>
      </c>
      <c r="B903" s="2">
        <v>-7.5067270669988417E-3</v>
      </c>
    </row>
    <row r="904" spans="1:2" x14ac:dyDescent="0.3">
      <c r="A904" s="3">
        <v>45530</v>
      </c>
      <c r="B904" s="2">
        <v>-1.199477028024365E-5</v>
      </c>
    </row>
    <row r="905" spans="1:2" x14ac:dyDescent="0.3">
      <c r="A905" s="3">
        <v>45531</v>
      </c>
      <c r="B905" s="2">
        <v>0</v>
      </c>
    </row>
    <row r="906" spans="1:2" x14ac:dyDescent="0.3">
      <c r="A906" s="3">
        <v>45532</v>
      </c>
      <c r="B906" s="2">
        <v>0</v>
      </c>
    </row>
    <row r="907" spans="1:2" x14ac:dyDescent="0.3">
      <c r="A907" s="3">
        <v>45533</v>
      </c>
      <c r="B907" s="2">
        <v>0</v>
      </c>
    </row>
    <row r="908" spans="1:2" x14ac:dyDescent="0.3">
      <c r="A908" s="3">
        <v>45534</v>
      </c>
      <c r="B908" s="2">
        <v>0</v>
      </c>
    </row>
    <row r="909" spans="1:2" x14ac:dyDescent="0.3">
      <c r="A909" s="3">
        <v>45537</v>
      </c>
      <c r="B909" s="2">
        <v>0</v>
      </c>
    </row>
    <row r="910" spans="1:2" x14ac:dyDescent="0.3">
      <c r="A910" s="3">
        <v>45538</v>
      </c>
      <c r="B910" s="2">
        <v>0</v>
      </c>
    </row>
    <row r="911" spans="1:2" x14ac:dyDescent="0.3">
      <c r="A911" s="3">
        <v>45539</v>
      </c>
      <c r="B911" s="2">
        <v>-3.2100665154262131E-3</v>
      </c>
    </row>
    <row r="912" spans="1:2" x14ac:dyDescent="0.3">
      <c r="A912" s="3">
        <v>45540</v>
      </c>
      <c r="B912" s="2">
        <v>-5.3303322606740311E-3</v>
      </c>
    </row>
    <row r="913" spans="1:2" x14ac:dyDescent="0.3">
      <c r="A913" s="3">
        <v>45541</v>
      </c>
      <c r="B913" s="2">
        <v>-1.6918613045567854E-2</v>
      </c>
    </row>
    <row r="914" spans="1:2" x14ac:dyDescent="0.3">
      <c r="A914" s="3">
        <v>45544</v>
      </c>
      <c r="B914" s="2">
        <v>-1.3585919220248432E-2</v>
      </c>
    </row>
    <row r="915" spans="1:2" x14ac:dyDescent="0.3">
      <c r="A915" s="3">
        <v>45545</v>
      </c>
      <c r="B915" s="2">
        <v>-9.4442807216024161E-3</v>
      </c>
    </row>
    <row r="916" spans="1:2" x14ac:dyDescent="0.3">
      <c r="A916" s="3">
        <v>45546</v>
      </c>
      <c r="B916" s="2">
        <v>-1.4295970901725963E-2</v>
      </c>
    </row>
    <row r="917" spans="1:2" x14ac:dyDescent="0.3">
      <c r="A917" s="3">
        <v>45547</v>
      </c>
      <c r="B917" s="2">
        <v>0</v>
      </c>
    </row>
    <row r="918" spans="1:2" x14ac:dyDescent="0.3">
      <c r="A918" s="3">
        <v>45548</v>
      </c>
      <c r="B918" s="2">
        <v>-1.276148238009589E-3</v>
      </c>
    </row>
    <row r="919" spans="1:2" x14ac:dyDescent="0.3">
      <c r="A919" s="3">
        <v>45551</v>
      </c>
      <c r="B919" s="2">
        <v>-2.0284455017749448E-4</v>
      </c>
    </row>
    <row r="920" spans="1:2" x14ac:dyDescent="0.3">
      <c r="A920" s="3">
        <v>45552</v>
      </c>
      <c r="B920" s="2">
        <v>0</v>
      </c>
    </row>
    <row r="921" spans="1:2" x14ac:dyDescent="0.3">
      <c r="A921" s="3">
        <v>45553</v>
      </c>
      <c r="B921" s="2">
        <v>-1.6129952337957665E-3</v>
      </c>
    </row>
    <row r="922" spans="1:2" x14ac:dyDescent="0.3">
      <c r="A922" s="3">
        <v>45554</v>
      </c>
      <c r="B922" s="2">
        <v>-1.0818870470585829E-4</v>
      </c>
    </row>
    <row r="923" spans="1:2" x14ac:dyDescent="0.3">
      <c r="A923" s="3">
        <v>45555</v>
      </c>
      <c r="B923" s="2">
        <v>0</v>
      </c>
    </row>
    <row r="924" spans="1:2" x14ac:dyDescent="0.3">
      <c r="A924" s="3">
        <v>45558</v>
      </c>
      <c r="B924" s="2">
        <v>0</v>
      </c>
    </row>
    <row r="925" spans="1:2" x14ac:dyDescent="0.3">
      <c r="A925" s="3">
        <v>45559</v>
      </c>
      <c r="B925" s="2">
        <v>0</v>
      </c>
    </row>
    <row r="926" spans="1:2" x14ac:dyDescent="0.3">
      <c r="A926" s="3">
        <v>45560</v>
      </c>
      <c r="B926" s="2">
        <v>0</v>
      </c>
    </row>
    <row r="927" spans="1:2" x14ac:dyDescent="0.3">
      <c r="A927" s="3">
        <v>45561</v>
      </c>
      <c r="B927" s="2">
        <v>0</v>
      </c>
    </row>
    <row r="928" spans="1:2" x14ac:dyDescent="0.3">
      <c r="A928" s="3">
        <v>45562</v>
      </c>
      <c r="B928" s="2">
        <v>-1.4151636116043198E-3</v>
      </c>
    </row>
    <row r="929" spans="1:2" x14ac:dyDescent="0.3">
      <c r="A929" s="3">
        <v>45565</v>
      </c>
      <c r="B929" s="2">
        <v>-1.5456180469597847E-2</v>
      </c>
    </row>
    <row r="930" spans="1:2" x14ac:dyDescent="0.3">
      <c r="A930" s="3">
        <v>45566</v>
      </c>
      <c r="B930" s="2">
        <v>-1.5988297245389638E-2</v>
      </c>
    </row>
    <row r="931" spans="1:2" x14ac:dyDescent="0.3">
      <c r="A931" s="3">
        <v>45568</v>
      </c>
      <c r="B931" s="2">
        <v>-3.6845749073563749E-2</v>
      </c>
    </row>
    <row r="932" spans="1:2" x14ac:dyDescent="0.3">
      <c r="A932" s="3">
        <v>45569</v>
      </c>
      <c r="B932" s="2">
        <v>-4.5828795718653281E-2</v>
      </c>
    </row>
    <row r="933" spans="1:2" x14ac:dyDescent="0.3">
      <c r="A933" s="3">
        <v>45572</v>
      </c>
      <c r="B933" s="2">
        <v>-5.4176735244249152E-2</v>
      </c>
    </row>
    <row r="934" spans="1:2" x14ac:dyDescent="0.3">
      <c r="A934" s="3">
        <v>45573</v>
      </c>
      <c r="B934" s="2">
        <v>-4.5884105347678172E-2</v>
      </c>
    </row>
    <row r="935" spans="1:2" x14ac:dyDescent="0.3">
      <c r="A935" s="3">
        <v>45574</v>
      </c>
      <c r="B935" s="2">
        <v>-4.7074215986008472E-2</v>
      </c>
    </row>
    <row r="936" spans="1:2" x14ac:dyDescent="0.3">
      <c r="A936" s="3">
        <v>45575</v>
      </c>
      <c r="B936" s="2">
        <v>-4.6444830552276106E-2</v>
      </c>
    </row>
    <row r="937" spans="1:2" x14ac:dyDescent="0.3">
      <c r="A937" s="3">
        <v>45576</v>
      </c>
      <c r="B937" s="2">
        <v>-4.7749374905830533E-2</v>
      </c>
    </row>
    <row r="938" spans="1:2" x14ac:dyDescent="0.3">
      <c r="A938" s="3">
        <v>45579</v>
      </c>
      <c r="B938" s="2">
        <v>-4.1505108511770361E-2</v>
      </c>
    </row>
    <row r="939" spans="1:2" x14ac:dyDescent="0.3">
      <c r="A939" s="3">
        <v>45580</v>
      </c>
      <c r="B939" s="2">
        <v>-4.4198115276710248E-2</v>
      </c>
    </row>
    <row r="940" spans="1:2" x14ac:dyDescent="0.3">
      <c r="A940" s="3">
        <v>45581</v>
      </c>
      <c r="B940" s="2">
        <v>-4.748045567505399E-2</v>
      </c>
    </row>
    <row r="941" spans="1:2" x14ac:dyDescent="0.3">
      <c r="A941" s="3">
        <v>45582</v>
      </c>
      <c r="B941" s="2">
        <v>-5.5927571087177497E-2</v>
      </c>
    </row>
    <row r="942" spans="1:2" x14ac:dyDescent="0.3">
      <c r="A942" s="3">
        <v>45583</v>
      </c>
      <c r="B942" s="2">
        <v>-5.1952906711728142E-2</v>
      </c>
    </row>
    <row r="943" spans="1:2" x14ac:dyDescent="0.3">
      <c r="A943" s="3">
        <v>45586</v>
      </c>
      <c r="B943" s="2">
        <v>-5.4735553220260136E-2</v>
      </c>
    </row>
    <row r="944" spans="1:2" x14ac:dyDescent="0.3">
      <c r="A944" s="3">
        <v>45587</v>
      </c>
      <c r="B944" s="2">
        <v>-6.6522225888339448E-2</v>
      </c>
    </row>
    <row r="945" spans="1:2" x14ac:dyDescent="0.3">
      <c r="A945" s="3">
        <v>45588</v>
      </c>
      <c r="B945" s="2">
        <v>-6.7918317214073043E-2</v>
      </c>
    </row>
    <row r="946" spans="1:2" x14ac:dyDescent="0.3">
      <c r="A946" s="3">
        <v>45589</v>
      </c>
      <c r="B946" s="2">
        <v>-6.9295336253935913E-2</v>
      </c>
    </row>
    <row r="947" spans="1:2" x14ac:dyDescent="0.3">
      <c r="A947" s="3">
        <v>45590</v>
      </c>
      <c r="B947" s="2">
        <v>-7.7633739636596699E-2</v>
      </c>
    </row>
    <row r="948" spans="1:2" x14ac:dyDescent="0.3">
      <c r="A948" s="3">
        <v>45593</v>
      </c>
      <c r="B948" s="2">
        <v>-7.1593546701352762E-2</v>
      </c>
    </row>
    <row r="949" spans="1:2" x14ac:dyDescent="0.3">
      <c r="A949" s="3">
        <v>45594</v>
      </c>
      <c r="B949" s="2">
        <v>-6.6722484889981559E-2</v>
      </c>
    </row>
    <row r="950" spans="1:2" x14ac:dyDescent="0.3">
      <c r="A950" s="3">
        <v>45595</v>
      </c>
      <c r="B950" s="2">
        <v>-7.1528700929392564E-2</v>
      </c>
    </row>
    <row r="951" spans="1:2" x14ac:dyDescent="0.3">
      <c r="A951" s="3">
        <v>45596</v>
      </c>
      <c r="B951" s="2">
        <v>-7.6697290400346341E-2</v>
      </c>
    </row>
    <row r="952" spans="1:2" x14ac:dyDescent="0.3">
      <c r="A952" s="3">
        <v>45597</v>
      </c>
      <c r="B952" s="2">
        <v>-7.2920977797952036E-2</v>
      </c>
    </row>
    <row r="953" spans="1:2" x14ac:dyDescent="0.3">
      <c r="A953" s="3">
        <v>45600</v>
      </c>
      <c r="B953" s="2">
        <v>-8.4707650466031348E-2</v>
      </c>
    </row>
    <row r="954" spans="1:2" x14ac:dyDescent="0.3">
      <c r="A954" s="3">
        <v>45601</v>
      </c>
      <c r="B954" s="2">
        <v>-7.6394041055002582E-2</v>
      </c>
    </row>
    <row r="955" spans="1:2" x14ac:dyDescent="0.3">
      <c r="A955" s="3">
        <v>45602</v>
      </c>
      <c r="B955" s="2">
        <v>-6.6066398256030223E-2</v>
      </c>
    </row>
    <row r="956" spans="1:2" x14ac:dyDescent="0.3">
      <c r="A956" s="3">
        <v>45603</v>
      </c>
      <c r="B956" s="2">
        <v>-7.6926157830794484E-2</v>
      </c>
    </row>
    <row r="957" spans="1:2" x14ac:dyDescent="0.3">
      <c r="A957" s="3">
        <v>45604</v>
      </c>
      <c r="B957" s="2">
        <v>-7.8877252675364828E-2</v>
      </c>
    </row>
    <row r="958" spans="1:2" x14ac:dyDescent="0.3">
      <c r="A958" s="3">
        <v>45607</v>
      </c>
      <c r="B958" s="2">
        <v>-7.9140450220380298E-2</v>
      </c>
    </row>
    <row r="959" spans="1:2" x14ac:dyDescent="0.3">
      <c r="A959" s="3">
        <v>45608</v>
      </c>
      <c r="B959" s="2">
        <v>-8.8976028043889044E-2</v>
      </c>
    </row>
    <row r="960" spans="1:2" x14ac:dyDescent="0.3">
      <c r="A960" s="3">
        <v>45609</v>
      </c>
      <c r="B960" s="2">
        <v>-0.10135012711678537</v>
      </c>
    </row>
    <row r="961" spans="1:2" x14ac:dyDescent="0.3">
      <c r="A961" s="3">
        <v>45610</v>
      </c>
      <c r="B961" s="2">
        <v>-0.10235523658217005</v>
      </c>
    </row>
    <row r="962" spans="1:2" x14ac:dyDescent="0.3">
      <c r="A962" s="3">
        <v>45614</v>
      </c>
      <c r="B962" s="2">
        <v>-0.10536484329256313</v>
      </c>
    </row>
    <row r="963" spans="1:2" x14ac:dyDescent="0.3">
      <c r="A963" s="3">
        <v>45615</v>
      </c>
      <c r="B963" s="2">
        <v>-0.10289688950089737</v>
      </c>
    </row>
    <row r="964" spans="1:2" x14ac:dyDescent="0.3">
      <c r="A964" s="3">
        <v>45617</v>
      </c>
      <c r="B964" s="2">
        <v>-0.10932806429649</v>
      </c>
    </row>
    <row r="965" spans="1:2" x14ac:dyDescent="0.3">
      <c r="A965" s="3">
        <v>45618</v>
      </c>
      <c r="B965" s="2">
        <v>-8.8068187236444828E-2</v>
      </c>
    </row>
    <row r="966" spans="1:2" x14ac:dyDescent="0.3">
      <c r="A966" s="3">
        <v>45621</v>
      </c>
      <c r="B966" s="2">
        <v>-7.6065997738026803E-2</v>
      </c>
    </row>
    <row r="967" spans="1:2" x14ac:dyDescent="0.3">
      <c r="A967" s="3">
        <v>45622</v>
      </c>
      <c r="B967" s="2">
        <v>-7.7111159003740104E-2</v>
      </c>
    </row>
    <row r="968" spans="1:2" x14ac:dyDescent="0.3">
      <c r="A968" s="3">
        <v>45623</v>
      </c>
      <c r="B968" s="2">
        <v>-7.4044335435734854E-2</v>
      </c>
    </row>
    <row r="969" spans="1:2" x14ac:dyDescent="0.3">
      <c r="A969" s="3">
        <v>45624</v>
      </c>
      <c r="B969" s="2">
        <v>-8.7804989691429358E-2</v>
      </c>
    </row>
    <row r="970" spans="1:2" x14ac:dyDescent="0.3">
      <c r="A970" s="3">
        <v>45625</v>
      </c>
      <c r="B970" s="2">
        <v>-7.9529524852142153E-2</v>
      </c>
    </row>
    <row r="971" spans="1:2" x14ac:dyDescent="0.3">
      <c r="A971" s="3">
        <v>45628</v>
      </c>
      <c r="B971" s="2">
        <v>-7.4000469178232442E-2</v>
      </c>
    </row>
    <row r="972" spans="1:2" x14ac:dyDescent="0.3">
      <c r="A972" s="3">
        <v>45629</v>
      </c>
      <c r="B972" s="2">
        <v>-6.7092487235872578E-2</v>
      </c>
    </row>
    <row r="973" spans="1:2" x14ac:dyDescent="0.3">
      <c r="A973" s="3">
        <v>45630</v>
      </c>
      <c r="B973" s="2">
        <v>-6.6699598146936601E-2</v>
      </c>
    </row>
    <row r="974" spans="1:2" x14ac:dyDescent="0.3">
      <c r="A974" s="3">
        <v>45631</v>
      </c>
      <c r="B974" s="2">
        <v>-5.7508663585856712E-2</v>
      </c>
    </row>
    <row r="975" spans="1:2" x14ac:dyDescent="0.3">
      <c r="A975" s="3">
        <v>45632</v>
      </c>
      <c r="B975" s="2">
        <v>-5.8675887481142275E-2</v>
      </c>
    </row>
    <row r="976" spans="1:2" x14ac:dyDescent="0.3">
      <c r="A976" s="3">
        <v>45635</v>
      </c>
      <c r="B976" s="2">
        <v>-6.091878829953401E-2</v>
      </c>
    </row>
    <row r="977" spans="1:2" x14ac:dyDescent="0.3">
      <c r="A977" s="3">
        <v>45636</v>
      </c>
      <c r="B977" s="2">
        <v>-6.1260182216619219E-2</v>
      </c>
    </row>
    <row r="978" spans="1:2" x14ac:dyDescent="0.3">
      <c r="A978" s="3">
        <v>45637</v>
      </c>
      <c r="B978" s="2">
        <v>-6.0049092063831133E-2</v>
      </c>
    </row>
    <row r="979" spans="1:2" x14ac:dyDescent="0.3">
      <c r="A979" s="3">
        <v>45638</v>
      </c>
      <c r="B979" s="2">
        <v>-6.3600351692951418E-2</v>
      </c>
    </row>
    <row r="980" spans="1:2" x14ac:dyDescent="0.3">
      <c r="A980" s="3">
        <v>45639</v>
      </c>
      <c r="B980" s="2">
        <v>-5.5223803738549515E-2</v>
      </c>
    </row>
    <row r="981" spans="1:2" x14ac:dyDescent="0.3">
      <c r="A981" s="3">
        <v>45642</v>
      </c>
      <c r="B981" s="2">
        <v>-5.904016814127222E-2</v>
      </c>
    </row>
    <row r="982" spans="1:2" x14ac:dyDescent="0.3">
      <c r="A982" s="3">
        <v>45643</v>
      </c>
      <c r="B982" s="2">
        <v>-7.1713702102338073E-2</v>
      </c>
    </row>
    <row r="983" spans="1:2" x14ac:dyDescent="0.3">
      <c r="A983" s="3">
        <v>45644</v>
      </c>
      <c r="B983" s="2">
        <v>-7.6945230116665209E-2</v>
      </c>
    </row>
    <row r="984" spans="1:2" x14ac:dyDescent="0.3">
      <c r="A984" s="3">
        <v>45645</v>
      </c>
      <c r="B984" s="2">
        <v>-8.6372661022541486E-2</v>
      </c>
    </row>
    <row r="985" spans="1:2" x14ac:dyDescent="0.3">
      <c r="A985" s="3">
        <v>45646</v>
      </c>
      <c r="B985" s="2">
        <v>-0.10026491405074367</v>
      </c>
    </row>
    <row r="986" spans="1:2" x14ac:dyDescent="0.3">
      <c r="A986" s="3">
        <v>45649</v>
      </c>
      <c r="B986" s="2">
        <v>-9.3934822370265514E-2</v>
      </c>
    </row>
    <row r="987" spans="1:2" x14ac:dyDescent="0.3">
      <c r="A987" s="3">
        <v>45650</v>
      </c>
      <c r="B987" s="2">
        <v>-9.4918952321192518E-2</v>
      </c>
    </row>
    <row r="988" spans="1:2" x14ac:dyDescent="0.3">
      <c r="A988" s="3">
        <v>45652</v>
      </c>
      <c r="B988" s="2">
        <v>-9.4058792228424948E-2</v>
      </c>
    </row>
    <row r="989" spans="1:2" x14ac:dyDescent="0.3">
      <c r="A989" s="3">
        <v>45653</v>
      </c>
      <c r="B989" s="2">
        <v>-9.1648055294371145E-2</v>
      </c>
    </row>
    <row r="990" spans="1:2" x14ac:dyDescent="0.3">
      <c r="A990" s="3">
        <v>45656</v>
      </c>
      <c r="B990" s="2">
        <v>-9.8075415632789764E-2</v>
      </c>
    </row>
    <row r="991" spans="1:2" x14ac:dyDescent="0.3">
      <c r="A991" s="3">
        <v>45657</v>
      </c>
      <c r="B991" s="2">
        <v>-9.8079230089963998E-2</v>
      </c>
    </row>
    <row r="992" spans="1:2" x14ac:dyDescent="0.3">
      <c r="A992" s="3">
        <v>45658</v>
      </c>
      <c r="B992" s="2">
        <v>-9.4337247602136798E-2</v>
      </c>
    </row>
    <row r="993" spans="1:2" x14ac:dyDescent="0.3">
      <c r="A993" s="3">
        <v>45659</v>
      </c>
      <c r="B993" s="2">
        <v>-7.7334304748426952E-2</v>
      </c>
    </row>
    <row r="994" spans="1:2" x14ac:dyDescent="0.3">
      <c r="A994" s="3">
        <v>45660</v>
      </c>
      <c r="B994" s="2">
        <v>-8.4349091491662476E-2</v>
      </c>
    </row>
    <row r="995" spans="1:2" x14ac:dyDescent="0.3">
      <c r="A995" s="3">
        <v>45663</v>
      </c>
      <c r="B995" s="2">
        <v>-9.9175886527527957E-2</v>
      </c>
    </row>
    <row r="996" spans="1:2" x14ac:dyDescent="0.3">
      <c r="A996" s="3">
        <v>45664</v>
      </c>
      <c r="B996" s="2">
        <v>-9.5672307613084318E-2</v>
      </c>
    </row>
    <row r="997" spans="1:2" x14ac:dyDescent="0.3">
      <c r="A997" s="3">
        <v>45665</v>
      </c>
      <c r="B997" s="2">
        <v>-9.6395147247583024E-2</v>
      </c>
    </row>
    <row r="998" spans="1:2" x14ac:dyDescent="0.3">
      <c r="A998" s="3">
        <v>45666</v>
      </c>
      <c r="B998" s="2">
        <v>-0.10259173292696644</v>
      </c>
    </row>
    <row r="999" spans="1:2" x14ac:dyDescent="0.3">
      <c r="A999" s="3">
        <v>45667</v>
      </c>
      <c r="B999" s="2">
        <v>-0.10621546724239539</v>
      </c>
    </row>
    <row r="1000" spans="1:2" x14ac:dyDescent="0.3">
      <c r="A1000" s="3">
        <v>45670</v>
      </c>
      <c r="B1000" s="2">
        <v>-0.11939632400762124</v>
      </c>
    </row>
    <row r="1001" spans="1:2" x14ac:dyDescent="0.3">
      <c r="A1001" s="3">
        <v>45671</v>
      </c>
      <c r="B1001" s="2">
        <v>-0.11595949809372508</v>
      </c>
    </row>
    <row r="1002" spans="1:2" x14ac:dyDescent="0.3">
      <c r="A1002" s="3">
        <v>45672</v>
      </c>
      <c r="B1002" s="2">
        <v>-0.11454242725353359</v>
      </c>
    </row>
    <row r="1003" spans="1:2" x14ac:dyDescent="0.3">
      <c r="A1003" s="3">
        <v>45673</v>
      </c>
      <c r="B1003" s="2">
        <v>-0.11078137247983588</v>
      </c>
    </row>
    <row r="1004" spans="1:2" x14ac:dyDescent="0.3">
      <c r="A1004" s="3">
        <v>45674</v>
      </c>
      <c r="B1004" s="2">
        <v>-0.11492387297094708</v>
      </c>
    </row>
    <row r="1005" spans="1:2" x14ac:dyDescent="0.3">
      <c r="A1005" s="3">
        <v>45677</v>
      </c>
      <c r="B1005" s="2">
        <v>-0.1095245088409581</v>
      </c>
    </row>
    <row r="1006" spans="1:2" x14ac:dyDescent="0.3">
      <c r="A1006" s="3">
        <v>45678</v>
      </c>
      <c r="B1006" s="2">
        <v>-0.12173458625536637</v>
      </c>
    </row>
    <row r="1007" spans="1:2" x14ac:dyDescent="0.3">
      <c r="A1007" s="3">
        <v>45679</v>
      </c>
      <c r="B1007" s="2">
        <v>-0.11674909072877115</v>
      </c>
    </row>
    <row r="1008" spans="1:2" x14ac:dyDescent="0.3">
      <c r="A1008" s="3">
        <v>45680</v>
      </c>
      <c r="B1008" s="2">
        <v>-0.11484186214170333</v>
      </c>
    </row>
    <row r="1009" spans="1:2" x14ac:dyDescent="0.3">
      <c r="A1009" s="3">
        <v>45681</v>
      </c>
      <c r="B1009" s="2">
        <v>-0.11915792043423779</v>
      </c>
    </row>
    <row r="1010" spans="1:2" x14ac:dyDescent="0.3">
      <c r="A1010" s="3">
        <v>45684</v>
      </c>
      <c r="B1010" s="2">
        <v>-0.12919185003080169</v>
      </c>
    </row>
    <row r="1011" spans="1:2" x14ac:dyDescent="0.3">
      <c r="A1011" s="3">
        <v>45685</v>
      </c>
      <c r="B1011" s="2">
        <v>-0.12430553039073389</v>
      </c>
    </row>
    <row r="1012" spans="1:2" x14ac:dyDescent="0.3">
      <c r="A1012" s="3">
        <v>45686</v>
      </c>
      <c r="B1012" s="2">
        <v>-0.11645347029777564</v>
      </c>
    </row>
    <row r="1013" spans="1:2" x14ac:dyDescent="0.3">
      <c r="A1013" s="3">
        <v>45687</v>
      </c>
      <c r="B1013" s="2">
        <v>-0.11315777929932236</v>
      </c>
    </row>
    <row r="1014" spans="1:2" x14ac:dyDescent="0.3">
      <c r="A1014" s="3">
        <v>45688</v>
      </c>
      <c r="B1014" s="2">
        <v>-0.10328214967548499</v>
      </c>
    </row>
    <row r="1015" spans="1:2" x14ac:dyDescent="0.3">
      <c r="A1015" s="3">
        <v>45689</v>
      </c>
      <c r="B1015" s="2">
        <v>-0.10428344468369555</v>
      </c>
    </row>
    <row r="1016" spans="1:2" x14ac:dyDescent="0.3">
      <c r="A1016" s="3">
        <v>45691</v>
      </c>
      <c r="B1016" s="2">
        <v>-0.10890275232157398</v>
      </c>
    </row>
    <row r="1017" spans="1:2" x14ac:dyDescent="0.3">
      <c r="A1017" s="3">
        <v>45692</v>
      </c>
      <c r="B1017" s="2">
        <v>-9.4476475288992834E-2</v>
      </c>
    </row>
    <row r="1018" spans="1:2" x14ac:dyDescent="0.3">
      <c r="A1018" s="3">
        <v>45693</v>
      </c>
      <c r="B1018" s="2">
        <v>-9.6114784645284113E-2</v>
      </c>
    </row>
    <row r="1019" spans="1:2" x14ac:dyDescent="0.3">
      <c r="A1019" s="3">
        <v>45694</v>
      </c>
      <c r="B1019" s="2">
        <v>-9.9660322588643213E-2</v>
      </c>
    </row>
    <row r="1020" spans="1:2" x14ac:dyDescent="0.3">
      <c r="A1020" s="3">
        <v>45695</v>
      </c>
      <c r="B1020" s="2">
        <v>-0.10131579700221804</v>
      </c>
    </row>
    <row r="1021" spans="1:2" x14ac:dyDescent="0.3">
      <c r="A1021" s="3">
        <v>45698</v>
      </c>
      <c r="B1021" s="2">
        <v>-0.10811888137228909</v>
      </c>
    </row>
    <row r="1022" spans="1:2" x14ac:dyDescent="0.3">
      <c r="A1022" s="3">
        <v>45699</v>
      </c>
      <c r="B1022" s="2">
        <v>-0.11993606969776149</v>
      </c>
    </row>
    <row r="1023" spans="1:2" x14ac:dyDescent="0.3">
      <c r="A1023" s="3">
        <v>45700</v>
      </c>
      <c r="B1023" s="2">
        <v>-0.12094880807749453</v>
      </c>
    </row>
    <row r="1024" spans="1:2" x14ac:dyDescent="0.3">
      <c r="A1024" s="3">
        <v>45701</v>
      </c>
      <c r="B1024" s="2">
        <v>-0.1214771103961122</v>
      </c>
    </row>
    <row r="1025" spans="1:2" x14ac:dyDescent="0.3">
      <c r="A1025" s="3">
        <v>45702</v>
      </c>
      <c r="B1025" s="2">
        <v>-0.12537357839949193</v>
      </c>
    </row>
    <row r="1026" spans="1:2" x14ac:dyDescent="0.3">
      <c r="A1026" s="3">
        <v>45705</v>
      </c>
      <c r="B1026" s="2">
        <v>-0.12421970510431579</v>
      </c>
    </row>
    <row r="1027" spans="1:2" x14ac:dyDescent="0.3">
      <c r="A1027" s="3">
        <v>45706</v>
      </c>
      <c r="B1027" s="2">
        <v>-0.12476135802304311</v>
      </c>
    </row>
    <row r="1028" spans="1:2" x14ac:dyDescent="0.3">
      <c r="A1028" s="3">
        <v>45707</v>
      </c>
      <c r="B1028" s="2">
        <v>-0.12523435071263589</v>
      </c>
    </row>
    <row r="1029" spans="1:2" x14ac:dyDescent="0.3">
      <c r="A1029" s="3">
        <v>45708</v>
      </c>
      <c r="B1029" s="2">
        <v>-0.12598770600452769</v>
      </c>
    </row>
    <row r="1030" spans="1:2" x14ac:dyDescent="0.3">
      <c r="A1030" s="3">
        <v>45709</v>
      </c>
      <c r="B1030" s="2">
        <v>-0.13046015704120173</v>
      </c>
    </row>
    <row r="1031" spans="1:2" x14ac:dyDescent="0.3">
      <c r="A1031" s="3">
        <v>45712</v>
      </c>
      <c r="B1031" s="2">
        <v>-0.13971212291706803</v>
      </c>
    </row>
    <row r="1032" spans="1:2" x14ac:dyDescent="0.3">
      <c r="A1032" s="3">
        <v>45713</v>
      </c>
      <c r="B1032" s="2">
        <v>-0.13993336143316781</v>
      </c>
    </row>
    <row r="1033" spans="1:2" x14ac:dyDescent="0.3">
      <c r="A1033" s="3">
        <v>45715</v>
      </c>
      <c r="B1033" s="2">
        <v>-0.14002872286252122</v>
      </c>
    </row>
    <row r="1034" spans="1:2" x14ac:dyDescent="0.3">
      <c r="A1034" s="3">
        <v>45716</v>
      </c>
      <c r="B1034" s="2">
        <v>-0.15606279359400055</v>
      </c>
    </row>
    <row r="1035" spans="1:2" x14ac:dyDescent="0.3">
      <c r="A1035" s="3">
        <v>45719</v>
      </c>
      <c r="B1035" s="2">
        <v>-0.15626877428140395</v>
      </c>
    </row>
    <row r="1036" spans="1:2" x14ac:dyDescent="0.3">
      <c r="A1036" s="3">
        <v>45720</v>
      </c>
      <c r="B1036" s="2">
        <v>-0.15766677283572461</v>
      </c>
    </row>
    <row r="1037" spans="1:2" x14ac:dyDescent="0.3">
      <c r="A1037" s="3">
        <v>45721</v>
      </c>
      <c r="B1037" s="2">
        <v>-0.14795325764178813</v>
      </c>
    </row>
    <row r="1038" spans="1:2" x14ac:dyDescent="0.3">
      <c r="A1038" s="3">
        <v>45722</v>
      </c>
      <c r="B1038" s="2">
        <v>-0.14004207346263065</v>
      </c>
    </row>
    <row r="1039" spans="1:2" x14ac:dyDescent="0.3">
      <c r="A1039" s="3">
        <v>45723</v>
      </c>
      <c r="B1039" s="2">
        <v>-0.13974454580304807</v>
      </c>
    </row>
    <row r="1040" spans="1:2" x14ac:dyDescent="0.3">
      <c r="A1040" s="3">
        <v>45726</v>
      </c>
      <c r="B1040" s="2">
        <v>-0.14326147531760125</v>
      </c>
    </row>
    <row r="1041" spans="1:2" x14ac:dyDescent="0.3">
      <c r="A1041" s="3">
        <v>45727</v>
      </c>
      <c r="B1041" s="2">
        <v>-0.14182723942012609</v>
      </c>
    </row>
    <row r="1042" spans="1:2" x14ac:dyDescent="0.3">
      <c r="A1042" s="3">
        <v>45728</v>
      </c>
      <c r="B1042" s="2">
        <v>-0.1428724006858394</v>
      </c>
    </row>
    <row r="1043" spans="1:2" x14ac:dyDescent="0.3">
      <c r="A1043" s="3">
        <v>45729</v>
      </c>
      <c r="B1043" s="2">
        <v>-0.14566839779448082</v>
      </c>
    </row>
    <row r="1044" spans="1:2" x14ac:dyDescent="0.3">
      <c r="A1044" s="3">
        <v>45733</v>
      </c>
      <c r="B1044" s="2">
        <v>-0.14141337081673244</v>
      </c>
    </row>
    <row r="1045" spans="1:2" x14ac:dyDescent="0.3">
      <c r="A1045" s="3">
        <v>45734</v>
      </c>
      <c r="B1045" s="2">
        <v>-0.1289954054863337</v>
      </c>
    </row>
    <row r="1046" spans="1:2" x14ac:dyDescent="0.3">
      <c r="A1046" s="3">
        <v>45735</v>
      </c>
      <c r="B1046" s="2">
        <v>-0.12619940837769228</v>
      </c>
    </row>
    <row r="1047" spans="1:2" x14ac:dyDescent="0.3">
      <c r="A1047" s="3">
        <v>45736</v>
      </c>
      <c r="B1047" s="2">
        <v>-0.11540258734630116</v>
      </c>
    </row>
    <row r="1048" spans="1:2" x14ac:dyDescent="0.3">
      <c r="A1048" s="3">
        <v>45737</v>
      </c>
      <c r="B1048" s="2">
        <v>-0.10930899201061939</v>
      </c>
    </row>
    <row r="1049" spans="1:2" x14ac:dyDescent="0.3">
      <c r="A1049" s="3">
        <v>45740</v>
      </c>
      <c r="B1049" s="2">
        <v>-9.7562371142868587E-2</v>
      </c>
    </row>
    <row r="1050" spans="1:2" x14ac:dyDescent="0.3">
      <c r="A1050" s="3">
        <v>45741</v>
      </c>
      <c r="B1050" s="2">
        <v>-9.7169482053932499E-2</v>
      </c>
    </row>
    <row r="1051" spans="1:2" x14ac:dyDescent="0.3">
      <c r="A1051" s="3">
        <v>45742</v>
      </c>
      <c r="B1051" s="2">
        <v>-0.10410416519651133</v>
      </c>
    </row>
    <row r="1052" spans="1:2" x14ac:dyDescent="0.3">
      <c r="A1052" s="3">
        <v>45743</v>
      </c>
      <c r="B1052" s="2">
        <v>-0.10009517070649465</v>
      </c>
    </row>
    <row r="1053" spans="1:2" x14ac:dyDescent="0.3">
      <c r="A1053" s="3">
        <v>45744</v>
      </c>
      <c r="B1053" s="2">
        <v>-0.10286446661491722</v>
      </c>
    </row>
    <row r="1054" spans="1:2" x14ac:dyDescent="0.3">
      <c r="A1054" s="3">
        <v>45748</v>
      </c>
      <c r="B1054" s="2">
        <v>-0.116354294411248</v>
      </c>
    </row>
    <row r="1055" spans="1:2" x14ac:dyDescent="0.3">
      <c r="A1055" s="3">
        <v>45749</v>
      </c>
      <c r="B1055" s="2">
        <v>-0.10999750153055099</v>
      </c>
    </row>
    <row r="1056" spans="1:2" x14ac:dyDescent="0.3">
      <c r="A1056" s="3">
        <v>45750</v>
      </c>
      <c r="B1056" s="2">
        <v>-0.11313489255627762</v>
      </c>
    </row>
    <row r="1057" spans="1:2" x14ac:dyDescent="0.3">
      <c r="A1057" s="3">
        <v>45751</v>
      </c>
      <c r="B1057" s="2">
        <v>-0.12631956377867748</v>
      </c>
    </row>
    <row r="1058" spans="1:2" x14ac:dyDescent="0.3">
      <c r="A1058" s="3">
        <v>45754</v>
      </c>
      <c r="B1058" s="2">
        <v>-0.15465525889674459</v>
      </c>
    </row>
    <row r="1059" spans="1:2" x14ac:dyDescent="0.3">
      <c r="A1059" s="3">
        <v>45755</v>
      </c>
      <c r="B1059" s="2">
        <v>-0.14037965292254173</v>
      </c>
    </row>
    <row r="1060" spans="1:2" x14ac:dyDescent="0.3">
      <c r="A1060" s="3">
        <v>45756</v>
      </c>
      <c r="B1060" s="2">
        <v>-0.14559401587958509</v>
      </c>
    </row>
    <row r="1061" spans="1:2" x14ac:dyDescent="0.3">
      <c r="A1061" s="3">
        <v>45758</v>
      </c>
      <c r="B1061" s="2">
        <v>-0.12921473677384654</v>
      </c>
    </row>
    <row r="1062" spans="1:2" x14ac:dyDescent="0.3">
      <c r="A1062" s="3">
        <v>45762</v>
      </c>
      <c r="B1062" s="2">
        <v>-0.1101424509031681</v>
      </c>
    </row>
    <row r="1063" spans="1:2" x14ac:dyDescent="0.3">
      <c r="A1063" s="3">
        <v>45763</v>
      </c>
      <c r="B1063" s="2">
        <v>-0.10599804318346961</v>
      </c>
    </row>
    <row r="1064" spans="1:2" x14ac:dyDescent="0.3">
      <c r="A1064" s="3">
        <v>45764</v>
      </c>
      <c r="B1064" s="2">
        <v>-9.0189025425264191E-2</v>
      </c>
    </row>
    <row r="1065" spans="1:2" x14ac:dyDescent="0.3">
      <c r="A1065" s="3">
        <v>45768</v>
      </c>
      <c r="B1065" s="2">
        <v>-7.9741227225306632E-2</v>
      </c>
    </row>
    <row r="1066" spans="1:2" x14ac:dyDescent="0.3">
      <c r="A1066" s="3">
        <v>45769</v>
      </c>
      <c r="B1066" s="2">
        <v>-7.8150598583691999E-2</v>
      </c>
    </row>
    <row r="1067" spans="1:2" x14ac:dyDescent="0.3">
      <c r="A1067" s="3">
        <v>45770</v>
      </c>
      <c r="B1067" s="2">
        <v>-7.1982621333114616E-2</v>
      </c>
    </row>
    <row r="1068" spans="1:2" x14ac:dyDescent="0.3">
      <c r="A1068" s="3">
        <v>45771</v>
      </c>
      <c r="B1068" s="2">
        <v>-7.5120012358841137E-2</v>
      </c>
    </row>
    <row r="1069" spans="1:2" x14ac:dyDescent="0.3">
      <c r="A1069" s="3">
        <v>45772</v>
      </c>
      <c r="B1069" s="2">
        <v>-8.3029289309411669E-2</v>
      </c>
    </row>
    <row r="1070" spans="1:2" x14ac:dyDescent="0.3">
      <c r="A1070" s="3">
        <v>45775</v>
      </c>
      <c r="B1070" s="2">
        <v>-7.1999786390398168E-2</v>
      </c>
    </row>
    <row r="1071" spans="1:2" x14ac:dyDescent="0.3">
      <c r="A1071" s="3">
        <v>45776</v>
      </c>
      <c r="B1071" s="2">
        <v>-7.1715609330925134E-2</v>
      </c>
    </row>
    <row r="1072" spans="1:2" x14ac:dyDescent="0.3">
      <c r="A1072" s="3">
        <v>45777</v>
      </c>
      <c r="B1072" s="2">
        <v>-7.1782362331472505E-2</v>
      </c>
    </row>
    <row r="1073" spans="1:2" x14ac:dyDescent="0.3">
      <c r="A1073" s="3">
        <v>45779</v>
      </c>
      <c r="B1073" s="2">
        <v>-7.1305555184705494E-2</v>
      </c>
    </row>
    <row r="1074" spans="1:2" x14ac:dyDescent="0.3">
      <c r="A1074" s="3">
        <v>45782</v>
      </c>
      <c r="B1074" s="2">
        <v>-6.6939908948907223E-2</v>
      </c>
    </row>
    <row r="1075" spans="1:2" x14ac:dyDescent="0.3">
      <c r="A1075" s="3">
        <v>45783</v>
      </c>
      <c r="B1075" s="2">
        <v>-7.0050598774414885E-2</v>
      </c>
    </row>
    <row r="1076" spans="1:2" x14ac:dyDescent="0.3">
      <c r="A1076" s="3">
        <v>45784</v>
      </c>
      <c r="B1076" s="2">
        <v>-6.8723167677815611E-2</v>
      </c>
    </row>
    <row r="1077" spans="1:2" x14ac:dyDescent="0.3">
      <c r="A1077" s="3">
        <v>45785</v>
      </c>
      <c r="B1077" s="2">
        <v>-7.4086294464650426E-2</v>
      </c>
    </row>
    <row r="1078" spans="1:2" x14ac:dyDescent="0.3">
      <c r="A1078" s="3">
        <v>45786</v>
      </c>
      <c r="B1078" s="2">
        <v>-8.4225121633503153E-2</v>
      </c>
    </row>
    <row r="1079" spans="1:2" x14ac:dyDescent="0.3">
      <c r="A1079" s="3">
        <v>45789</v>
      </c>
      <c r="B1079" s="2">
        <v>-4.9257992718201193E-2</v>
      </c>
    </row>
    <row r="1080" spans="1:2" x14ac:dyDescent="0.3">
      <c r="A1080" s="3">
        <v>45790</v>
      </c>
      <c r="B1080" s="2">
        <v>-6.2469365140820243E-2</v>
      </c>
    </row>
    <row r="1081" spans="1:2" x14ac:dyDescent="0.3">
      <c r="A1081" s="3">
        <v>45791</v>
      </c>
      <c r="B1081" s="2">
        <v>-5.9091663313122988E-2</v>
      </c>
    </row>
    <row r="1082" spans="1:2" x14ac:dyDescent="0.3">
      <c r="A1082" s="3">
        <v>45792</v>
      </c>
      <c r="B1082" s="2">
        <v>-4.4016928560938862E-2</v>
      </c>
    </row>
    <row r="1083" spans="1:2" x14ac:dyDescent="0.3">
      <c r="A1083" s="3">
        <v>45793</v>
      </c>
      <c r="B1083" s="2">
        <v>-4.5630443945598231E-2</v>
      </c>
    </row>
    <row r="1084" spans="1:2" x14ac:dyDescent="0.3">
      <c r="A1084" s="3">
        <v>45796</v>
      </c>
      <c r="B1084" s="2">
        <v>-4.8466492854568055E-2</v>
      </c>
    </row>
    <row r="1085" spans="1:2" x14ac:dyDescent="0.3">
      <c r="A1085" s="3">
        <v>45797</v>
      </c>
      <c r="B1085" s="2">
        <v>-5.8443205593519898E-2</v>
      </c>
    </row>
    <row r="1086" spans="1:2" x14ac:dyDescent="0.3">
      <c r="A1086" s="3">
        <v>45798</v>
      </c>
      <c r="B1086" s="2">
        <v>-5.3501576324427202E-2</v>
      </c>
    </row>
    <row r="1087" spans="1:2" x14ac:dyDescent="0.3">
      <c r="A1087" s="3">
        <v>45799</v>
      </c>
      <c r="B1087" s="2">
        <v>-6.1273532816728649E-2</v>
      </c>
    </row>
    <row r="1088" spans="1:2" x14ac:dyDescent="0.3">
      <c r="A1088" s="3">
        <v>45800</v>
      </c>
      <c r="B1088" s="2">
        <v>-5.1987236826295247E-2</v>
      </c>
    </row>
    <row r="1089" spans="1:2" x14ac:dyDescent="0.3">
      <c r="A1089" s="3">
        <v>45803</v>
      </c>
      <c r="B1089" s="2">
        <v>-4.6341840208574459E-2</v>
      </c>
    </row>
    <row r="1090" spans="1:2" x14ac:dyDescent="0.3">
      <c r="A1090" s="3">
        <v>45804</v>
      </c>
      <c r="B1090" s="2">
        <v>-5.3015233034724885E-2</v>
      </c>
    </row>
    <row r="1091" spans="1:2" x14ac:dyDescent="0.3">
      <c r="A1091" s="3">
        <v>45805</v>
      </c>
      <c r="B1091" s="2">
        <v>-5.5828395200649972E-2</v>
      </c>
    </row>
    <row r="1092" spans="1:2" x14ac:dyDescent="0.3">
      <c r="A1092" s="3">
        <v>45806</v>
      </c>
      <c r="B1092" s="2">
        <v>-5.2732963203838912E-2</v>
      </c>
    </row>
    <row r="1093" spans="1:2" x14ac:dyDescent="0.3">
      <c r="A1093" s="3">
        <v>45807</v>
      </c>
      <c r="B1093" s="2">
        <v>-5.5895148201197342E-2</v>
      </c>
    </row>
    <row r="1094" spans="1:2" x14ac:dyDescent="0.3">
      <c r="A1094" s="3">
        <v>45810</v>
      </c>
      <c r="B1094" s="2">
        <v>-5.7195878097577646E-2</v>
      </c>
    </row>
    <row r="1095" spans="1:2" x14ac:dyDescent="0.3">
      <c r="A1095" s="3">
        <v>45811</v>
      </c>
      <c r="B1095" s="2">
        <v>-6.3836848037747806E-2</v>
      </c>
    </row>
    <row r="1096" spans="1:2" x14ac:dyDescent="0.3">
      <c r="A1096" s="3">
        <v>45812</v>
      </c>
      <c r="B1096" s="2">
        <v>-6.0873014813444426E-2</v>
      </c>
    </row>
    <row r="1097" spans="1:2" x14ac:dyDescent="0.3">
      <c r="A1097" s="3">
        <v>45813</v>
      </c>
      <c r="B1097" s="2">
        <v>-5.5887519286848986E-2</v>
      </c>
    </row>
    <row r="1098" spans="1:2" x14ac:dyDescent="0.3">
      <c r="A1098" s="3">
        <v>45814</v>
      </c>
      <c r="B1098" s="2">
        <v>-4.6269365522265904E-2</v>
      </c>
    </row>
    <row r="1099" spans="1:2" x14ac:dyDescent="0.3">
      <c r="A1099" s="3">
        <v>45817</v>
      </c>
      <c r="B1099" s="2">
        <v>-4.2449186662368965E-2</v>
      </c>
    </row>
    <row r="1100" spans="1:2" x14ac:dyDescent="0.3">
      <c r="A1100" s="3">
        <v>45818</v>
      </c>
      <c r="B1100" s="2">
        <v>-4.2409134862040565E-2</v>
      </c>
    </row>
    <row r="1101" spans="1:2" x14ac:dyDescent="0.3">
      <c r="A1101" s="3">
        <v>45819</v>
      </c>
      <c r="B1101" s="2">
        <v>-4.0992064021849184E-2</v>
      </c>
    </row>
    <row r="1102" spans="1:2" x14ac:dyDescent="0.3">
      <c r="A1102" s="3">
        <v>45820</v>
      </c>
      <c r="B1102" s="2">
        <v>-5.0650269586760777E-2</v>
      </c>
    </row>
    <row r="1103" spans="1:2" x14ac:dyDescent="0.3">
      <c r="A1103" s="3">
        <v>45821</v>
      </c>
      <c r="B1103" s="2">
        <v>-5.7119588954094969E-2</v>
      </c>
    </row>
    <row r="1104" spans="1:2" x14ac:dyDescent="0.3">
      <c r="A1104" s="3">
        <v>45824</v>
      </c>
      <c r="B1104" s="2">
        <v>-4.8426441054239655E-2</v>
      </c>
    </row>
    <row r="1105" spans="1:2" x14ac:dyDescent="0.3">
      <c r="A1105" s="3">
        <v>45825</v>
      </c>
      <c r="B1105" s="2">
        <v>-5.197770068335994E-2</v>
      </c>
    </row>
    <row r="1106" spans="1:2" x14ac:dyDescent="0.3">
      <c r="A1106" s="3">
        <v>45826</v>
      </c>
      <c r="B1106" s="2">
        <v>-5.3554978724865143E-2</v>
      </c>
    </row>
    <row r="1107" spans="1:2" x14ac:dyDescent="0.3">
      <c r="A1107" s="3">
        <v>45827</v>
      </c>
      <c r="B1107" s="2">
        <v>-5.4272096673602555E-2</v>
      </c>
    </row>
    <row r="1108" spans="1:2" x14ac:dyDescent="0.3">
      <c r="A1108" s="3">
        <v>45828</v>
      </c>
      <c r="B1108" s="2">
        <v>-4.2098256602348449E-2</v>
      </c>
    </row>
    <row r="1109" spans="1:2" x14ac:dyDescent="0.3">
      <c r="A1109" s="3">
        <v>45831</v>
      </c>
      <c r="B1109" s="2">
        <v>-4.7457568932009142E-2</v>
      </c>
    </row>
    <row r="1110" spans="1:2" x14ac:dyDescent="0.3">
      <c r="A1110" s="3">
        <v>45832</v>
      </c>
      <c r="B1110" s="2">
        <v>-4.4693994709347984E-2</v>
      </c>
    </row>
    <row r="1111" spans="1:2" x14ac:dyDescent="0.3">
      <c r="A1111" s="3">
        <v>45833</v>
      </c>
      <c r="B1111" s="2">
        <v>-3.7049822532379983E-2</v>
      </c>
    </row>
    <row r="1112" spans="1:2" x14ac:dyDescent="0.3">
      <c r="A1112" s="3">
        <v>45834</v>
      </c>
      <c r="B1112" s="2">
        <v>-2.5444336580072058E-2</v>
      </c>
    </row>
    <row r="1113" spans="1:2" x14ac:dyDescent="0.3">
      <c r="A1113" s="3">
        <v>45835</v>
      </c>
      <c r="B1113" s="2">
        <v>-2.2057098609439607E-2</v>
      </c>
    </row>
    <row r="1114" spans="1:2" x14ac:dyDescent="0.3">
      <c r="A1114" s="3">
        <v>45838</v>
      </c>
      <c r="B1114" s="2">
        <v>-2.66630556472085E-2</v>
      </c>
    </row>
    <row r="1115" spans="1:2" x14ac:dyDescent="0.3">
      <c r="A1115" s="3">
        <v>45839</v>
      </c>
      <c r="B1115" s="2">
        <v>-2.5718977496609896E-2</v>
      </c>
    </row>
    <row r="1116" spans="1:2" x14ac:dyDescent="0.3">
      <c r="A1116" s="3">
        <v>45840</v>
      </c>
      <c r="B1116" s="2">
        <v>-2.9090957638545745E-2</v>
      </c>
    </row>
    <row r="1117" spans="1:2" x14ac:dyDescent="0.3">
      <c r="A1117" s="3">
        <v>45841</v>
      </c>
      <c r="B1117" s="2">
        <v>-3.0925711539305123E-2</v>
      </c>
    </row>
    <row r="1118" spans="1:2" x14ac:dyDescent="0.3">
      <c r="A1118" s="3">
        <v>45842</v>
      </c>
      <c r="B1118" s="2">
        <v>-2.8801058893311526E-2</v>
      </c>
    </row>
    <row r="1119" spans="1:2" x14ac:dyDescent="0.3">
      <c r="A1119" s="3">
        <v>45845</v>
      </c>
      <c r="B1119" s="2">
        <v>-2.8789615521789158E-2</v>
      </c>
    </row>
    <row r="1120" spans="1:2" x14ac:dyDescent="0.3">
      <c r="A1120" s="3">
        <v>45846</v>
      </c>
      <c r="B1120" s="2">
        <v>-2.6455167731218032E-2</v>
      </c>
    </row>
    <row r="1121" spans="1:2" x14ac:dyDescent="0.3">
      <c r="A1121" s="3">
        <v>45847</v>
      </c>
      <c r="B1121" s="2">
        <v>-2.8225075860017101E-2</v>
      </c>
    </row>
    <row r="1122" spans="1:2" x14ac:dyDescent="0.3">
      <c r="A1122" s="3">
        <v>45848</v>
      </c>
      <c r="B1122" s="2">
        <v>-3.2834847354960006E-2</v>
      </c>
    </row>
    <row r="1123" spans="1:2" x14ac:dyDescent="0.3">
      <c r="A1123" s="3">
        <v>45849</v>
      </c>
      <c r="B1123" s="2">
        <v>-4.0669742390634811E-2</v>
      </c>
    </row>
    <row r="1124" spans="1:2" x14ac:dyDescent="0.3">
      <c r="A1124" s="3">
        <v>45852</v>
      </c>
      <c r="B1124" s="2">
        <v>-4.3246408211763399E-2</v>
      </c>
    </row>
    <row r="1125" spans="1:2" x14ac:dyDescent="0.3">
      <c r="A1125" s="3">
        <v>45853</v>
      </c>
      <c r="B1125" s="2">
        <v>-3.8916999319119405E-2</v>
      </c>
    </row>
    <row r="1126" spans="1:2" x14ac:dyDescent="0.3">
      <c r="A1126" s="3">
        <v>45854</v>
      </c>
      <c r="B1126" s="2">
        <v>-3.8297150028322346E-2</v>
      </c>
    </row>
    <row r="1127" spans="1:2" x14ac:dyDescent="0.3">
      <c r="A1127" s="3">
        <v>45855</v>
      </c>
      <c r="B1127" s="2">
        <v>-4.2134493945502838E-2</v>
      </c>
    </row>
    <row r="1128" spans="1:2" x14ac:dyDescent="0.3">
      <c r="A1128" s="3">
        <v>45856</v>
      </c>
      <c r="B1128" s="2">
        <v>-4.7591074933103883E-2</v>
      </c>
    </row>
    <row r="1129" spans="1:2" x14ac:dyDescent="0.3">
      <c r="A1129" s="3">
        <v>45859</v>
      </c>
      <c r="B1129" s="2">
        <v>-4.2925993809135976E-2</v>
      </c>
    </row>
    <row r="1130" spans="1:2" x14ac:dyDescent="0.3">
      <c r="A1130" s="3">
        <v>45860</v>
      </c>
      <c r="B1130" s="2">
        <v>-4.4062702047028335E-2</v>
      </c>
    </row>
    <row r="1131" spans="1:2" x14ac:dyDescent="0.3">
      <c r="A1131" s="3">
        <v>45861</v>
      </c>
      <c r="B1131" s="2">
        <v>-3.7997715140152599E-2</v>
      </c>
    </row>
    <row r="1132" spans="1:2" x14ac:dyDescent="0.3">
      <c r="A1132" s="3">
        <v>45862</v>
      </c>
      <c r="B1132" s="2">
        <v>-4.4016928560938862E-2</v>
      </c>
    </row>
    <row r="1133" spans="1:2" x14ac:dyDescent="0.3">
      <c r="A1133" s="3">
        <v>45863</v>
      </c>
      <c r="B1133" s="2">
        <v>-5.2603271659918183E-2</v>
      </c>
    </row>
    <row r="1134" spans="1:2" x14ac:dyDescent="0.3">
      <c r="A1134" s="3">
        <v>45866</v>
      </c>
      <c r="B1134" s="2">
        <v>-5.8557639308744025E-2</v>
      </c>
    </row>
    <row r="1135" spans="1:2" x14ac:dyDescent="0.3">
      <c r="A1135" s="3">
        <v>45867</v>
      </c>
      <c r="B1135" s="2">
        <v>-5.3209770350605812E-2</v>
      </c>
    </row>
    <row r="1136" spans="1:2" x14ac:dyDescent="0.3">
      <c r="A1136" s="3">
        <v>45868</v>
      </c>
      <c r="B1136" s="2">
        <v>-5.1914762139986803E-2</v>
      </c>
    </row>
    <row r="1137" spans="1:2" x14ac:dyDescent="0.3">
      <c r="A1137" s="3">
        <v>45869</v>
      </c>
      <c r="B1137" s="2">
        <v>-5.5221896509962454E-2</v>
      </c>
    </row>
    <row r="1138" spans="1:2" x14ac:dyDescent="0.3">
      <c r="A1138" s="3">
        <v>45870</v>
      </c>
      <c r="B1138" s="2">
        <v>-6.2965244573457868E-2</v>
      </c>
    </row>
    <row r="1139" spans="1:2" x14ac:dyDescent="0.3">
      <c r="A1139" s="3">
        <v>45873</v>
      </c>
      <c r="B1139" s="2">
        <v>-5.6961288981368208E-2</v>
      </c>
    </row>
    <row r="1140" spans="1:2" x14ac:dyDescent="0.3">
      <c r="A1140" s="3">
        <v>45874</v>
      </c>
      <c r="B1140" s="2">
        <v>-5.975347163283562E-2</v>
      </c>
    </row>
    <row r="1141" spans="1:2" x14ac:dyDescent="0.3">
      <c r="A1141" s="3">
        <v>45875</v>
      </c>
      <c r="B1141" s="2">
        <v>-6.2627665113546782E-2</v>
      </c>
    </row>
    <row r="1142" spans="1:2" x14ac:dyDescent="0.3">
      <c r="A1142" s="3">
        <v>45876</v>
      </c>
      <c r="B1142" s="2">
        <v>-6.1790391763823949E-2</v>
      </c>
    </row>
    <row r="1143" spans="1:2" x14ac:dyDescent="0.3">
      <c r="A1143" s="3">
        <v>45877</v>
      </c>
      <c r="B1143" s="2">
        <v>-7.0672355293799005E-2</v>
      </c>
    </row>
    <row r="1144" spans="1:2" x14ac:dyDescent="0.3">
      <c r="A1144" s="3">
        <v>45880</v>
      </c>
      <c r="B1144" s="2">
        <v>-6.221379651015313E-2</v>
      </c>
    </row>
    <row r="1145" spans="1:2" x14ac:dyDescent="0.3">
      <c r="A1145" s="3">
        <v>45881</v>
      </c>
      <c r="B1145" s="2">
        <v>-6.5938613940696555E-2</v>
      </c>
    </row>
    <row r="1146" spans="1:2" x14ac:dyDescent="0.3">
      <c r="A1146" s="3">
        <v>45882</v>
      </c>
      <c r="B1146" s="2">
        <v>-6.0905437699424581E-2</v>
      </c>
    </row>
    <row r="1147" spans="1:2" x14ac:dyDescent="0.3">
      <c r="A1147" s="3">
        <v>45883</v>
      </c>
      <c r="B1147" s="2">
        <v>-6.0449610067115356E-2</v>
      </c>
    </row>
    <row r="1148" spans="1:2" x14ac:dyDescent="0.3">
      <c r="A1148" s="3">
        <v>45887</v>
      </c>
      <c r="B1148" s="2">
        <v>-5.1079396018851031E-2</v>
      </c>
    </row>
    <row r="1149" spans="1:2" x14ac:dyDescent="0.3">
      <c r="A1149" s="3">
        <v>45888</v>
      </c>
      <c r="B1149" s="2">
        <v>-4.712380392927229E-2</v>
      </c>
    </row>
    <row r="1150" spans="1:2" x14ac:dyDescent="0.3">
      <c r="A1150" s="3">
        <v>45889</v>
      </c>
      <c r="B1150" s="2">
        <v>-4.4457498364551484E-2</v>
      </c>
    </row>
    <row r="1151" spans="1:2" x14ac:dyDescent="0.3">
      <c r="A1151" s="3">
        <v>45890</v>
      </c>
      <c r="B1151" s="2">
        <v>-4.3191098582738396E-2</v>
      </c>
    </row>
    <row r="1152" spans="1:2" x14ac:dyDescent="0.3">
      <c r="A1152" s="3">
        <v>45891</v>
      </c>
      <c r="B1152" s="2">
        <v>-5.1340686335279329E-2</v>
      </c>
    </row>
    <row r="1153" spans="1:2" x14ac:dyDescent="0.3">
      <c r="A1153" s="3">
        <v>45894</v>
      </c>
      <c r="B1153" s="2">
        <v>-4.7615868904735792E-2</v>
      </c>
    </row>
    <row r="1154" spans="1:2" x14ac:dyDescent="0.3">
      <c r="A1154" s="3">
        <v>45895</v>
      </c>
      <c r="B1154" s="2">
        <v>-5.7369435899000787E-2</v>
      </c>
    </row>
    <row r="1155" spans="1:2" x14ac:dyDescent="0.3">
      <c r="A1155" s="3">
        <v>45897</v>
      </c>
      <c r="B1155" s="2">
        <v>-6.5423662222188206E-2</v>
      </c>
    </row>
    <row r="1156" spans="1:2" x14ac:dyDescent="0.3">
      <c r="A1156" s="3">
        <v>45898</v>
      </c>
      <c r="B1156" s="2">
        <v>-6.8248267759635772E-2</v>
      </c>
    </row>
    <row r="1157" spans="1:2" x14ac:dyDescent="0.3">
      <c r="A1157" s="3">
        <v>45901</v>
      </c>
      <c r="B1157" s="2">
        <v>-6.0688013640498806E-2</v>
      </c>
    </row>
    <row r="1158" spans="1:2" x14ac:dyDescent="0.3">
      <c r="A1158" s="3">
        <v>45902</v>
      </c>
      <c r="B1158" s="2">
        <v>-6.2421684426143598E-2</v>
      </c>
    </row>
    <row r="1159" spans="1:2" x14ac:dyDescent="0.3">
      <c r="A1159" s="3">
        <v>45903</v>
      </c>
      <c r="B1159" s="2">
        <v>-5.7255002183776771E-2</v>
      </c>
    </row>
    <row r="1160" spans="1:2" x14ac:dyDescent="0.3">
      <c r="A1160" s="3">
        <v>45904</v>
      </c>
      <c r="B1160" s="2">
        <v>-5.6520719177755585E-2</v>
      </c>
    </row>
    <row r="1161" spans="1:2" x14ac:dyDescent="0.3">
      <c r="A1161" s="3">
        <v>45905</v>
      </c>
      <c r="B1161" s="2">
        <v>-5.6265150547088472E-2</v>
      </c>
    </row>
    <row r="1162" spans="1:2" x14ac:dyDescent="0.3">
      <c r="A1162" s="3">
        <v>45908</v>
      </c>
      <c r="B1162" s="2">
        <v>-5.5038802565603784E-2</v>
      </c>
    </row>
    <row r="1163" spans="1:2" x14ac:dyDescent="0.3">
      <c r="A1163" s="3">
        <v>45909</v>
      </c>
      <c r="B1163" s="2">
        <v>-5.1397903192891392E-2</v>
      </c>
    </row>
    <row r="1164" spans="1:2" x14ac:dyDescent="0.3">
      <c r="A1164" s="3">
        <v>45910</v>
      </c>
      <c r="B1164" s="2">
        <v>-4.7411795445919558E-2</v>
      </c>
    </row>
    <row r="1165" spans="1:2" x14ac:dyDescent="0.3">
      <c r="A1165" s="3">
        <v>45911</v>
      </c>
      <c r="B1165" s="2">
        <v>-4.6175911321499563E-2</v>
      </c>
    </row>
    <row r="1166" spans="1:2" x14ac:dyDescent="0.3">
      <c r="A1166" s="3">
        <v>45912</v>
      </c>
      <c r="B1166" s="2">
        <v>-4.2037225287562374E-2</v>
      </c>
    </row>
    <row r="1167" spans="1:2" x14ac:dyDescent="0.3">
      <c r="A1167" s="3">
        <v>45915</v>
      </c>
      <c r="B1167" s="2">
        <v>-4.3746102101575146E-2</v>
      </c>
    </row>
    <row r="1168" spans="1:2" x14ac:dyDescent="0.3">
      <c r="A1168" s="3">
        <v>45916</v>
      </c>
      <c r="B1168" s="2">
        <v>-3.7265339362718697E-2</v>
      </c>
    </row>
    <row r="1169" spans="1:2" x14ac:dyDescent="0.3">
      <c r="A1169" s="3">
        <v>45917</v>
      </c>
      <c r="B1169" s="2">
        <v>-3.3788461648493917E-2</v>
      </c>
    </row>
    <row r="1170" spans="1:2" x14ac:dyDescent="0.3">
      <c r="A1170" s="3">
        <v>45918</v>
      </c>
      <c r="B1170" s="2">
        <v>-3.0227665876438325E-2</v>
      </c>
    </row>
    <row r="1171" spans="1:2" x14ac:dyDescent="0.3">
      <c r="A1171" s="3">
        <v>45919</v>
      </c>
      <c r="B1171" s="2">
        <v>-3.391052427806629E-2</v>
      </c>
    </row>
    <row r="1172" spans="1:2" x14ac:dyDescent="0.3">
      <c r="A1172" s="3">
        <v>45922</v>
      </c>
      <c r="B1172" s="2">
        <v>-3.8667152374213587E-2</v>
      </c>
    </row>
    <row r="1173" spans="1:2" x14ac:dyDescent="0.3">
      <c r="A1173" s="3">
        <v>45923</v>
      </c>
      <c r="B1173" s="2">
        <v>-3.9920201555917023E-2</v>
      </c>
    </row>
    <row r="1174" spans="1:2" x14ac:dyDescent="0.3">
      <c r="A1174" s="3">
        <v>45924</v>
      </c>
      <c r="B1174" s="2">
        <v>-4.4215280333993801E-2</v>
      </c>
    </row>
    <row r="1175" spans="1:2" x14ac:dyDescent="0.3">
      <c r="A1175" s="3">
        <v>45925</v>
      </c>
      <c r="B1175" s="2">
        <v>-5.054918647164619E-2</v>
      </c>
    </row>
    <row r="1176" spans="1:2" x14ac:dyDescent="0.3">
      <c r="A1176" s="3">
        <v>45926</v>
      </c>
      <c r="B1176" s="2">
        <v>-5.955702708836752E-2</v>
      </c>
    </row>
    <row r="1177" spans="1:2" x14ac:dyDescent="0.3">
      <c r="A1177" s="3">
        <v>45929</v>
      </c>
      <c r="B1177" s="2">
        <v>-6.0312289608846381E-2</v>
      </c>
    </row>
    <row r="1178" spans="1:2" x14ac:dyDescent="0.3">
      <c r="A1178" s="3">
        <v>45930</v>
      </c>
      <c r="B1178" s="2">
        <v>-6.1220130416290819E-2</v>
      </c>
    </row>
    <row r="1179" spans="1:2" x14ac:dyDescent="0.3">
      <c r="A1179" s="3">
        <v>45931</v>
      </c>
      <c r="B1179" s="2">
        <v>-5.2629972860137153E-2</v>
      </c>
    </row>
    <row r="1180" spans="1:2" x14ac:dyDescent="0.3">
      <c r="A1180" s="3">
        <v>45933</v>
      </c>
      <c r="B1180" s="2">
        <v>-5.0419494927725572E-2</v>
      </c>
    </row>
    <row r="1181" spans="1:2" x14ac:dyDescent="0.3">
      <c r="A1181" s="3">
        <v>45936</v>
      </c>
      <c r="B1181" s="2">
        <v>-4.3423780470360662E-2</v>
      </c>
    </row>
    <row r="1182" spans="1:2" x14ac:dyDescent="0.3">
      <c r="A1182" s="3">
        <v>45937</v>
      </c>
      <c r="B1182" s="2">
        <v>-4.2254649346488149E-2</v>
      </c>
    </row>
    <row r="1183" spans="1:2" x14ac:dyDescent="0.3">
      <c r="A1183" s="3">
        <v>45938</v>
      </c>
      <c r="B1183" s="2">
        <v>-4.462533448021333E-2</v>
      </c>
    </row>
    <row r="1184" spans="1:2" x14ac:dyDescent="0.3">
      <c r="A1184" s="3">
        <v>45939</v>
      </c>
      <c r="B1184" s="2">
        <v>-3.9451023323498369E-2</v>
      </c>
    </row>
    <row r="1185" spans="1:2" x14ac:dyDescent="0.3">
      <c r="A1185" s="3">
        <v>45940</v>
      </c>
      <c r="B1185" s="2">
        <v>-3.5501152919680923E-2</v>
      </c>
    </row>
    <row r="1186" spans="1:2" x14ac:dyDescent="0.3">
      <c r="A1186" s="3">
        <v>45943</v>
      </c>
      <c r="B1186" s="2">
        <v>-3.7713538080679565E-2</v>
      </c>
    </row>
    <row r="1187" spans="1:2" x14ac:dyDescent="0.3">
      <c r="A1187" s="3">
        <v>45944</v>
      </c>
      <c r="B1187" s="2">
        <v>-4.0835671277709595E-2</v>
      </c>
    </row>
    <row r="1188" spans="1:2" x14ac:dyDescent="0.3">
      <c r="A1188" s="3">
        <v>45945</v>
      </c>
      <c r="B1188" s="2">
        <v>-3.4044030279161031E-2</v>
      </c>
    </row>
    <row r="1189" spans="1:2" x14ac:dyDescent="0.3">
      <c r="A1189" s="3">
        <v>45946</v>
      </c>
      <c r="B1189" s="2">
        <v>-2.4059688625860831E-2</v>
      </c>
    </row>
    <row r="1190" spans="1:2" x14ac:dyDescent="0.3">
      <c r="A1190" s="3">
        <v>45947</v>
      </c>
      <c r="B1190" s="2">
        <v>-1.930878221547494E-2</v>
      </c>
    </row>
    <row r="1191" spans="1:2" x14ac:dyDescent="0.3">
      <c r="A1191" s="3">
        <v>45950</v>
      </c>
      <c r="B1191" s="2">
        <v>-1.4224110802351864E-2</v>
      </c>
    </row>
    <row r="1192" spans="1:2" x14ac:dyDescent="0.3">
      <c r="A1192" s="3">
        <v>45951</v>
      </c>
      <c r="B1192" s="2">
        <v>-1.3253331451534511E-2</v>
      </c>
    </row>
    <row r="1193" spans="1:2" x14ac:dyDescent="0.3">
      <c r="A1193" s="3">
        <v>45953</v>
      </c>
      <c r="B1193" s="2">
        <v>-1.2383635215831412E-2</v>
      </c>
    </row>
    <row r="1194" spans="1:2" x14ac:dyDescent="0.3">
      <c r="A1194" s="3">
        <v>45954</v>
      </c>
      <c r="B1194" s="2">
        <v>-1.6055050245937008E-2</v>
      </c>
    </row>
    <row r="1195" spans="1:2" x14ac:dyDescent="0.3">
      <c r="A1195" s="3">
        <v>45957</v>
      </c>
      <c r="B1195" s="2">
        <v>-9.5361429353392202E-3</v>
      </c>
    </row>
    <row r="1196" spans="1:2" x14ac:dyDescent="0.3">
      <c r="A1196" s="3">
        <v>45958</v>
      </c>
      <c r="B1196" s="2">
        <v>-1.067475840181864E-2</v>
      </c>
    </row>
    <row r="1197" spans="1:2" x14ac:dyDescent="0.3">
      <c r="A1197" s="3">
        <v>45959</v>
      </c>
      <c r="B1197" s="2">
        <v>-6.1851423078609358E-3</v>
      </c>
    </row>
    <row r="1198" spans="1:2" x14ac:dyDescent="0.3">
      <c r="A1198" s="3">
        <v>45960</v>
      </c>
      <c r="B1198" s="2">
        <v>-1.2900494162926934E-2</v>
      </c>
    </row>
    <row r="1199" spans="1:2" x14ac:dyDescent="0.3">
      <c r="A1199" s="3">
        <v>45961</v>
      </c>
      <c r="B1199" s="2">
        <v>-1.8841511211643236E-2</v>
      </c>
    </row>
    <row r="1200" spans="1:2" x14ac:dyDescent="0.3">
      <c r="A1200" s="3">
        <v>45964</v>
      </c>
      <c r="B1200" s="2">
        <v>-1.7268047627312266E-2</v>
      </c>
    </row>
    <row r="1201" spans="1:2" x14ac:dyDescent="0.3">
      <c r="A1201" s="3">
        <v>45965</v>
      </c>
      <c r="B1201" s="2">
        <v>-2.3588603164855004E-2</v>
      </c>
    </row>
    <row r="1202" spans="1:2" x14ac:dyDescent="0.3">
      <c r="A1202" s="3">
        <v>45967</v>
      </c>
      <c r="B1202" s="2">
        <v>-2.6943418249507411E-2</v>
      </c>
    </row>
    <row r="1203" spans="1:2" x14ac:dyDescent="0.3">
      <c r="A1203" s="3">
        <v>45968</v>
      </c>
      <c r="B1203" s="2">
        <v>-2.7607133797807104E-2</v>
      </c>
    </row>
    <row r="1204" spans="1:2" x14ac:dyDescent="0.3">
      <c r="A1204" s="3">
        <v>45971</v>
      </c>
      <c r="B1204" s="2">
        <v>-2.4477371686428717E-2</v>
      </c>
    </row>
    <row r="1205" spans="1:2" x14ac:dyDescent="0.3">
      <c r="A1205" s="3">
        <v>45972</v>
      </c>
      <c r="B1205" s="2">
        <v>-1.9877136334421008E-2</v>
      </c>
    </row>
    <row r="1206" spans="1:2" x14ac:dyDescent="0.3">
      <c r="A1206" s="3">
        <v>45973</v>
      </c>
      <c r="B1206" s="2">
        <v>-1.2978690534996673E-2</v>
      </c>
    </row>
    <row r="1207" spans="1:2" x14ac:dyDescent="0.3">
      <c r="A1207" s="3">
        <v>45974</v>
      </c>
      <c r="B1207" s="2">
        <v>-1.2850906219663116E-2</v>
      </c>
    </row>
    <row r="1208" spans="1:2" x14ac:dyDescent="0.3">
      <c r="A1208" s="3">
        <v>45975</v>
      </c>
      <c r="B1208" s="2">
        <v>-1.1672238952855185E-2</v>
      </c>
    </row>
    <row r="1209" spans="1:2" x14ac:dyDescent="0.3">
      <c r="A1209" s="3">
        <v>45978</v>
      </c>
      <c r="B1209" s="2">
        <v>-7.7280902347988123E-3</v>
      </c>
    </row>
    <row r="1210" spans="1:2" x14ac:dyDescent="0.3">
      <c r="A1210" s="3">
        <v>45979</v>
      </c>
      <c r="B1210" s="2">
        <v>-1.1672238952855185E-2</v>
      </c>
    </row>
    <row r="1211" spans="1:2" x14ac:dyDescent="0.3">
      <c r="A1211" s="3">
        <v>45980</v>
      </c>
      <c r="B1211" s="2">
        <v>-6.2328230225376924E-3</v>
      </c>
    </row>
    <row r="1212" spans="1:2" x14ac:dyDescent="0.3">
      <c r="A1212" s="3">
        <v>45981</v>
      </c>
      <c r="B1212" s="2">
        <v>-9.1165526461833846E-4</v>
      </c>
    </row>
    <row r="1213" spans="1:2" x14ac:dyDescent="0.3">
      <c r="A1213" s="3">
        <v>45982</v>
      </c>
      <c r="B1213" s="2">
        <v>-5.6415821605465544E-3</v>
      </c>
    </row>
    <row r="1214" spans="1:2" x14ac:dyDescent="0.3">
      <c r="A1214" s="3">
        <v>45985</v>
      </c>
      <c r="B1214" s="2">
        <v>-9.7859898802450385E-3</v>
      </c>
    </row>
    <row r="1215" spans="1:2" x14ac:dyDescent="0.3">
      <c r="A1215" s="3">
        <v>45986</v>
      </c>
      <c r="B1215" s="2">
        <v>-1.2635389389324514E-2</v>
      </c>
    </row>
    <row r="1216" spans="1:2" x14ac:dyDescent="0.3">
      <c r="A1216" s="3">
        <v>45987</v>
      </c>
      <c r="B1216" s="2">
        <v>-4.1005414621964054E-4</v>
      </c>
    </row>
    <row r="1217" spans="1:2" x14ac:dyDescent="0.3">
      <c r="A1217" s="3">
        <v>45988</v>
      </c>
      <c r="B1217" s="2">
        <v>-1.9072285870724848E-5</v>
      </c>
    </row>
    <row r="1218" spans="1:2" x14ac:dyDescent="0.3">
      <c r="A1218" s="3">
        <v>45989</v>
      </c>
      <c r="B1218" s="2">
        <v>-4.9969388981174756E-4</v>
      </c>
    </row>
    <row r="1219" spans="1:2" x14ac:dyDescent="0.3">
      <c r="A1219" s="3">
        <v>45992</v>
      </c>
      <c r="B1219" s="2">
        <v>-1.5372262411766924E-3</v>
      </c>
    </row>
    <row r="1220" spans="1:2" x14ac:dyDescent="0.3">
      <c r="A1220" s="3">
        <v>45993</v>
      </c>
      <c r="B1220" s="2">
        <v>-7.0128795146484624E-3</v>
      </c>
    </row>
    <row r="1221" spans="1:2" x14ac:dyDescent="0.3">
      <c r="A1221" s="3">
        <v>45994</v>
      </c>
      <c r="B1221" s="2">
        <v>-8.775158729099175E-3</v>
      </c>
    </row>
    <row r="1222" spans="1:2" x14ac:dyDescent="0.3">
      <c r="A1222" s="3">
        <v>45995</v>
      </c>
      <c r="B1222" s="2">
        <v>-6.9537554284493375E-3</v>
      </c>
    </row>
    <row r="1223" spans="1:2" x14ac:dyDescent="0.3">
      <c r="A1223" s="3">
        <v>45996</v>
      </c>
      <c r="B1223" s="2">
        <v>-1.1290793235441132E-3</v>
      </c>
    </row>
    <row r="1224" spans="1:2" x14ac:dyDescent="0.3">
      <c r="A1224" s="3">
        <v>45999</v>
      </c>
      <c r="B1224" s="2">
        <v>-9.7459380799166384E-3</v>
      </c>
    </row>
    <row r="1225" spans="1:2" x14ac:dyDescent="0.3">
      <c r="A1225" s="3">
        <v>46000</v>
      </c>
      <c r="B1225" s="2">
        <v>-1.4357616803446716E-2</v>
      </c>
    </row>
    <row r="1226" spans="1:2" x14ac:dyDescent="0.3">
      <c r="A1226" s="3">
        <v>46001</v>
      </c>
      <c r="B1226" s="2">
        <v>-1.74721210861285E-2</v>
      </c>
    </row>
    <row r="1227" spans="1:2" x14ac:dyDescent="0.3">
      <c r="A1227" s="3">
        <v>46002</v>
      </c>
      <c r="B1227" s="2">
        <v>-1.2110901527880857E-2</v>
      </c>
    </row>
    <row r="1228" spans="1:2" x14ac:dyDescent="0.3">
      <c r="A1228" s="3">
        <v>46003</v>
      </c>
      <c r="B1228" s="2">
        <v>-6.4502470814633561E-3</v>
      </c>
    </row>
    <row r="1229" spans="1:2" x14ac:dyDescent="0.3">
      <c r="A1229" s="3">
        <v>46006</v>
      </c>
      <c r="B1229" s="2">
        <v>-7.199787916181144E-3</v>
      </c>
    </row>
    <row r="1230" spans="1:2" x14ac:dyDescent="0.3">
      <c r="A1230" s="3">
        <v>46007</v>
      </c>
      <c r="B1230" s="2">
        <v>-1.3577560311336057E-2</v>
      </c>
    </row>
    <row r="1231" spans="1:2" x14ac:dyDescent="0.3">
      <c r="A1231" s="3">
        <v>46008</v>
      </c>
      <c r="B1231" s="2">
        <v>-1.5162467267189395E-2</v>
      </c>
    </row>
    <row r="1232" spans="1:2" x14ac:dyDescent="0.3">
      <c r="A1232" s="3">
        <v>46009</v>
      </c>
      <c r="B1232" s="2">
        <v>-1.5276900982413411E-2</v>
      </c>
    </row>
    <row r="1233" spans="1:2" x14ac:dyDescent="0.3">
      <c r="A1233" s="3">
        <v>46010</v>
      </c>
      <c r="B1233" s="2">
        <v>-9.5227923352296795E-3</v>
      </c>
    </row>
    <row r="1234" spans="1:2" x14ac:dyDescent="0.3">
      <c r="A1234" s="3">
        <v>46013</v>
      </c>
      <c r="B1234" s="2">
        <v>-1.6650105565101381E-3</v>
      </c>
    </row>
    <row r="1235" spans="1:2" x14ac:dyDescent="0.3">
      <c r="A1235" s="3">
        <v>46014</v>
      </c>
      <c r="B1235" s="2">
        <v>-1.4838238407387516E-3</v>
      </c>
    </row>
    <row r="1236" spans="1:2" x14ac:dyDescent="0.3">
      <c r="A1236" s="3">
        <v>46015</v>
      </c>
      <c r="B1236" s="2">
        <v>-2.8207910802733327E-3</v>
      </c>
    </row>
    <row r="1237" spans="1:2" x14ac:dyDescent="0.3">
      <c r="A1237" s="3">
        <v>46017</v>
      </c>
      <c r="B1237" s="2">
        <v>-6.6276193400607308E-3</v>
      </c>
    </row>
    <row r="1238" spans="1:2" x14ac:dyDescent="0.3">
      <c r="A1238" s="3">
        <v>46020</v>
      </c>
      <c r="B1238" s="2">
        <v>-1.0449705428544731E-2</v>
      </c>
    </row>
    <row r="1239" spans="1:2" x14ac:dyDescent="0.3">
      <c r="A1239" s="3">
        <v>46021</v>
      </c>
      <c r="B1239" s="2">
        <v>-1.0573675286704165E-2</v>
      </c>
    </row>
    <row r="1240" spans="1:2" x14ac:dyDescent="0.3">
      <c r="A1240" s="3">
        <v>46022</v>
      </c>
      <c r="B1240" s="2">
        <v>-3.2975982270403437E-3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9FF3-C47E-46A9-90F0-EED414F1FFAF}">
  <dimension ref="A3:G28"/>
  <sheetViews>
    <sheetView workbookViewId="0">
      <selection activeCell="G9" sqref="G9"/>
    </sheetView>
  </sheetViews>
  <sheetFormatPr defaultRowHeight="14.4" x14ac:dyDescent="0.3"/>
  <cols>
    <col min="1" max="1" width="19.44140625" bestFit="1" customWidth="1"/>
    <col min="2" max="2" width="18.77734375" bestFit="1" customWidth="1"/>
    <col min="3" max="3" width="18" bestFit="1" customWidth="1"/>
    <col min="4" max="4" width="20.33203125" bestFit="1" customWidth="1"/>
    <col min="5" max="5" width="7.6640625" bestFit="1" customWidth="1"/>
    <col min="6" max="6" width="8" bestFit="1" customWidth="1"/>
    <col min="7" max="7" width="10.77734375" bestFit="1" customWidth="1"/>
    <col min="8" max="11" width="9" bestFit="1" customWidth="1"/>
    <col min="12" max="13" width="8" bestFit="1" customWidth="1"/>
    <col min="14" max="14" width="9" bestFit="1" customWidth="1"/>
    <col min="15" max="15" width="8" bestFit="1" customWidth="1"/>
    <col min="16" max="17" width="9" bestFit="1" customWidth="1"/>
    <col min="18" max="18" width="8" bestFit="1" customWidth="1"/>
    <col min="19" max="19" width="9" bestFit="1" customWidth="1"/>
    <col min="20" max="20" width="8" bestFit="1" customWidth="1"/>
    <col min="21" max="21" width="9" bestFit="1" customWidth="1"/>
    <col min="22" max="22" width="8" bestFit="1" customWidth="1"/>
    <col min="23" max="23" width="9" bestFit="1" customWidth="1"/>
    <col min="24" max="29" width="8" bestFit="1" customWidth="1"/>
    <col min="30" max="30" width="9" bestFit="1" customWidth="1"/>
    <col min="31" max="32" width="8" bestFit="1" customWidth="1"/>
    <col min="33" max="33" width="9" bestFit="1" customWidth="1"/>
    <col min="34" max="34" width="8" bestFit="1" customWidth="1"/>
    <col min="35" max="35" width="9" bestFit="1" customWidth="1"/>
    <col min="36" max="37" width="8" bestFit="1" customWidth="1"/>
    <col min="38" max="40" width="9" bestFit="1" customWidth="1"/>
    <col min="41" max="42" width="8" bestFit="1" customWidth="1"/>
    <col min="43" max="46" width="9" bestFit="1" customWidth="1"/>
    <col min="47" max="47" width="8" bestFit="1" customWidth="1"/>
    <col min="48" max="48" width="6" bestFit="1" customWidth="1"/>
    <col min="49" max="49" width="9" bestFit="1" customWidth="1"/>
    <col min="50" max="51" width="8" bestFit="1" customWidth="1"/>
    <col min="52" max="55" width="9" bestFit="1" customWidth="1"/>
    <col min="56" max="57" width="8" bestFit="1" customWidth="1"/>
    <col min="58" max="60" width="9" bestFit="1" customWidth="1"/>
    <col min="61" max="63" width="8" bestFit="1" customWidth="1"/>
    <col min="64" max="65" width="9" bestFit="1" customWidth="1"/>
    <col min="66" max="66" width="8" bestFit="1" customWidth="1"/>
    <col min="67" max="68" width="9" bestFit="1" customWidth="1"/>
    <col min="69" max="69" width="8" bestFit="1" customWidth="1"/>
    <col min="70" max="70" width="9" bestFit="1" customWidth="1"/>
    <col min="71" max="71" width="6" bestFit="1" customWidth="1"/>
    <col min="72" max="73" width="8" bestFit="1" customWidth="1"/>
    <col min="74" max="76" width="9" bestFit="1" customWidth="1"/>
    <col min="77" max="83" width="8" bestFit="1" customWidth="1"/>
    <col min="84" max="84" width="9" bestFit="1" customWidth="1"/>
    <col min="85" max="85" width="8" bestFit="1" customWidth="1"/>
    <col min="86" max="88" width="9" bestFit="1" customWidth="1"/>
    <col min="89" max="89" width="8" bestFit="1" customWidth="1"/>
    <col min="90" max="91" width="9" bestFit="1" customWidth="1"/>
    <col min="92" max="92" width="8" bestFit="1" customWidth="1"/>
    <col min="93" max="93" width="9" bestFit="1" customWidth="1"/>
    <col min="94" max="94" width="8" bestFit="1" customWidth="1"/>
    <col min="95" max="95" width="9" bestFit="1" customWidth="1"/>
    <col min="96" max="96" width="8" bestFit="1" customWidth="1"/>
    <col min="97" max="99" width="9" bestFit="1" customWidth="1"/>
    <col min="100" max="100" width="8" bestFit="1" customWidth="1"/>
    <col min="101" max="101" width="9" bestFit="1" customWidth="1"/>
    <col min="102" max="102" width="8" bestFit="1" customWidth="1"/>
    <col min="103" max="109" width="9" bestFit="1" customWidth="1"/>
    <col min="110" max="110" width="8" bestFit="1" customWidth="1"/>
    <col min="111" max="111" width="9" bestFit="1" customWidth="1"/>
    <col min="112" max="112" width="8" bestFit="1" customWidth="1"/>
    <col min="113" max="114" width="9" bestFit="1" customWidth="1"/>
    <col min="115" max="117" width="8" bestFit="1" customWidth="1"/>
    <col min="118" max="119" width="9" bestFit="1" customWidth="1"/>
    <col min="120" max="122" width="8" bestFit="1" customWidth="1"/>
    <col min="123" max="123" width="9" bestFit="1" customWidth="1"/>
    <col min="124" max="125" width="8" bestFit="1" customWidth="1"/>
    <col min="126" max="126" width="9" bestFit="1" customWidth="1"/>
    <col min="127" max="127" width="8" bestFit="1" customWidth="1"/>
    <col min="128" max="128" width="9" bestFit="1" customWidth="1"/>
    <col min="129" max="129" width="8" bestFit="1" customWidth="1"/>
    <col min="130" max="131" width="9" bestFit="1" customWidth="1"/>
    <col min="132" max="139" width="8" bestFit="1" customWidth="1"/>
    <col min="140" max="140" width="6" bestFit="1" customWidth="1"/>
    <col min="141" max="141" width="9" bestFit="1" customWidth="1"/>
    <col min="142" max="144" width="8" bestFit="1" customWidth="1"/>
    <col min="145" max="145" width="9" bestFit="1" customWidth="1"/>
    <col min="146" max="147" width="8" bestFit="1" customWidth="1"/>
    <col min="148" max="149" width="9" bestFit="1" customWidth="1"/>
    <col min="150" max="157" width="8" bestFit="1" customWidth="1"/>
    <col min="158" max="160" width="9" bestFit="1" customWidth="1"/>
    <col min="161" max="161" width="8" bestFit="1" customWidth="1"/>
    <col min="162" max="163" width="9" bestFit="1" customWidth="1"/>
    <col min="164" max="164" width="8" bestFit="1" customWidth="1"/>
    <col min="165" max="165" width="9" bestFit="1" customWidth="1"/>
    <col min="166" max="167" width="8" bestFit="1" customWidth="1"/>
    <col min="168" max="169" width="9" bestFit="1" customWidth="1"/>
    <col min="170" max="170" width="6" bestFit="1" customWidth="1"/>
    <col min="171" max="171" width="8" bestFit="1" customWidth="1"/>
    <col min="172" max="172" width="9" bestFit="1" customWidth="1"/>
    <col min="173" max="174" width="8" bestFit="1" customWidth="1"/>
    <col min="175" max="176" width="6" bestFit="1" customWidth="1"/>
    <col min="177" max="177" width="9" bestFit="1" customWidth="1"/>
    <col min="178" max="179" width="8" bestFit="1" customWidth="1"/>
    <col min="180" max="180" width="9" bestFit="1" customWidth="1"/>
    <col min="181" max="181" width="8" bestFit="1" customWidth="1"/>
    <col min="182" max="185" width="9" bestFit="1" customWidth="1"/>
    <col min="186" max="187" width="8" bestFit="1" customWidth="1"/>
    <col min="188" max="190" width="9" bestFit="1" customWidth="1"/>
    <col min="191" max="191" width="8" bestFit="1" customWidth="1"/>
    <col min="192" max="195" width="9" bestFit="1" customWidth="1"/>
    <col min="196" max="196" width="8" bestFit="1" customWidth="1"/>
    <col min="197" max="197" width="9" bestFit="1" customWidth="1"/>
    <col min="198" max="198" width="8" bestFit="1" customWidth="1"/>
    <col min="199" max="199" width="9" bestFit="1" customWidth="1"/>
    <col min="200" max="200" width="8" bestFit="1" customWidth="1"/>
    <col min="201" max="201" width="9" bestFit="1" customWidth="1"/>
    <col min="202" max="203" width="8" bestFit="1" customWidth="1"/>
    <col min="204" max="204" width="9" bestFit="1" customWidth="1"/>
    <col min="205" max="205" width="8" bestFit="1" customWidth="1"/>
    <col min="206" max="207" width="9" bestFit="1" customWidth="1"/>
    <col min="208" max="208" width="8" bestFit="1" customWidth="1"/>
    <col min="209" max="210" width="9" bestFit="1" customWidth="1"/>
    <col min="211" max="211" width="8" bestFit="1" customWidth="1"/>
    <col min="212" max="212" width="9" bestFit="1" customWidth="1"/>
    <col min="213" max="215" width="8" bestFit="1" customWidth="1"/>
    <col min="216" max="216" width="9" bestFit="1" customWidth="1"/>
    <col min="217" max="219" width="8" bestFit="1" customWidth="1"/>
    <col min="220" max="221" width="9" bestFit="1" customWidth="1"/>
    <col min="222" max="223" width="8" bestFit="1" customWidth="1"/>
    <col min="224" max="224" width="9" bestFit="1" customWidth="1"/>
    <col min="225" max="226" width="8" bestFit="1" customWidth="1"/>
    <col min="227" max="227" width="9" bestFit="1" customWidth="1"/>
    <col min="228" max="228" width="6" bestFit="1" customWidth="1"/>
    <col min="229" max="231" width="9" bestFit="1" customWidth="1"/>
    <col min="232" max="233" width="8" bestFit="1" customWidth="1"/>
    <col min="234" max="248" width="9" bestFit="1" customWidth="1"/>
    <col min="249" max="252" width="8" bestFit="1" customWidth="1"/>
    <col min="253" max="257" width="9" bestFit="1" customWidth="1"/>
    <col min="258" max="258" width="8" bestFit="1" customWidth="1"/>
    <col min="259" max="260" width="9" bestFit="1" customWidth="1"/>
    <col min="261" max="262" width="8" bestFit="1" customWidth="1"/>
    <col min="263" max="263" width="6" bestFit="1" customWidth="1"/>
    <col min="264" max="265" width="8" bestFit="1" customWidth="1"/>
    <col min="266" max="267" width="9" bestFit="1" customWidth="1"/>
    <col min="268" max="269" width="8" bestFit="1" customWidth="1"/>
    <col min="270" max="272" width="9" bestFit="1" customWidth="1"/>
    <col min="273" max="282" width="8" bestFit="1" customWidth="1"/>
    <col min="283" max="283" width="9" bestFit="1" customWidth="1"/>
    <col min="284" max="285" width="8" bestFit="1" customWidth="1"/>
    <col min="286" max="288" width="9" bestFit="1" customWidth="1"/>
    <col min="289" max="289" width="8" bestFit="1" customWidth="1"/>
    <col min="290" max="290" width="9" bestFit="1" customWidth="1"/>
    <col min="291" max="291" width="8" bestFit="1" customWidth="1"/>
    <col min="292" max="292" width="9" bestFit="1" customWidth="1"/>
    <col min="293" max="293" width="8" bestFit="1" customWidth="1"/>
    <col min="294" max="294" width="9" bestFit="1" customWidth="1"/>
    <col min="295" max="295" width="8" bestFit="1" customWidth="1"/>
    <col min="296" max="296" width="9" bestFit="1" customWidth="1"/>
    <col min="297" max="297" width="8" bestFit="1" customWidth="1"/>
    <col min="298" max="298" width="9" bestFit="1" customWidth="1"/>
    <col min="299" max="300" width="8" bestFit="1" customWidth="1"/>
    <col min="301" max="302" width="9" bestFit="1" customWidth="1"/>
    <col min="303" max="304" width="8" bestFit="1" customWidth="1"/>
    <col min="305" max="306" width="9" bestFit="1" customWidth="1"/>
    <col min="307" max="308" width="8" bestFit="1" customWidth="1"/>
    <col min="309" max="311" width="9" bestFit="1" customWidth="1"/>
    <col min="312" max="312" width="6" bestFit="1" customWidth="1"/>
    <col min="313" max="314" width="9" bestFit="1" customWidth="1"/>
    <col min="315" max="316" width="8" bestFit="1" customWidth="1"/>
    <col min="317" max="317" width="6" bestFit="1" customWidth="1"/>
    <col min="318" max="318" width="8" bestFit="1" customWidth="1"/>
    <col min="319" max="322" width="9" bestFit="1" customWidth="1"/>
    <col min="323" max="323" width="8" bestFit="1" customWidth="1"/>
    <col min="324" max="325" width="9" bestFit="1" customWidth="1"/>
    <col min="326" max="326" width="8" bestFit="1" customWidth="1"/>
    <col min="327" max="329" width="9" bestFit="1" customWidth="1"/>
    <col min="330" max="330" width="8" bestFit="1" customWidth="1"/>
    <col min="331" max="331" width="9" bestFit="1" customWidth="1"/>
    <col min="332" max="332" width="8" bestFit="1" customWidth="1"/>
    <col min="333" max="333" width="6" bestFit="1" customWidth="1"/>
    <col min="334" max="340" width="9" bestFit="1" customWidth="1"/>
    <col min="341" max="341" width="8" bestFit="1" customWidth="1"/>
    <col min="342" max="345" width="9" bestFit="1" customWidth="1"/>
    <col min="346" max="346" width="8" bestFit="1" customWidth="1"/>
    <col min="347" max="347" width="9" bestFit="1" customWidth="1"/>
    <col min="348" max="351" width="8" bestFit="1" customWidth="1"/>
    <col min="352" max="352" width="9" bestFit="1" customWidth="1"/>
    <col min="353" max="353" width="8" bestFit="1" customWidth="1"/>
    <col min="354" max="354" width="9" bestFit="1" customWidth="1"/>
    <col min="355" max="356" width="8" bestFit="1" customWidth="1"/>
    <col min="357" max="357" width="9" bestFit="1" customWidth="1"/>
    <col min="358" max="358" width="8" bestFit="1" customWidth="1"/>
    <col min="359" max="359" width="9" bestFit="1" customWidth="1"/>
    <col min="360" max="360" width="8" bestFit="1" customWidth="1"/>
    <col min="361" max="361" width="6" bestFit="1" customWidth="1"/>
    <col min="362" max="362" width="9" bestFit="1" customWidth="1"/>
    <col min="363" max="364" width="8" bestFit="1" customWidth="1"/>
    <col min="365" max="366" width="9" bestFit="1" customWidth="1"/>
    <col min="367" max="371" width="8" bestFit="1" customWidth="1"/>
    <col min="372" max="373" width="9" bestFit="1" customWidth="1"/>
    <col min="374" max="374" width="8" bestFit="1" customWidth="1"/>
    <col min="375" max="375" width="9" bestFit="1" customWidth="1"/>
    <col min="376" max="376" width="8" bestFit="1" customWidth="1"/>
    <col min="377" max="380" width="9" bestFit="1" customWidth="1"/>
    <col min="381" max="382" width="8" bestFit="1" customWidth="1"/>
    <col min="383" max="385" width="9" bestFit="1" customWidth="1"/>
    <col min="386" max="386" width="8" bestFit="1" customWidth="1"/>
    <col min="387" max="387" width="9" bestFit="1" customWidth="1"/>
    <col min="388" max="388" width="8" bestFit="1" customWidth="1"/>
    <col min="389" max="390" width="9" bestFit="1" customWidth="1"/>
    <col min="391" max="392" width="8" bestFit="1" customWidth="1"/>
    <col min="393" max="393" width="9" bestFit="1" customWidth="1"/>
    <col min="394" max="394" width="8" bestFit="1" customWidth="1"/>
    <col min="395" max="395" width="9" bestFit="1" customWidth="1"/>
    <col min="396" max="397" width="8" bestFit="1" customWidth="1"/>
    <col min="398" max="398" width="9" bestFit="1" customWidth="1"/>
    <col min="399" max="400" width="8" bestFit="1" customWidth="1"/>
    <col min="401" max="407" width="9" bestFit="1" customWidth="1"/>
    <col min="408" max="408" width="6" bestFit="1" customWidth="1"/>
    <col min="409" max="409" width="9" bestFit="1" customWidth="1"/>
    <col min="410" max="412" width="8" bestFit="1" customWidth="1"/>
    <col min="413" max="413" width="9" bestFit="1" customWidth="1"/>
    <col min="414" max="415" width="8" bestFit="1" customWidth="1"/>
    <col min="416" max="418" width="9" bestFit="1" customWidth="1"/>
    <col min="419" max="419" width="8" bestFit="1" customWidth="1"/>
    <col min="420" max="420" width="9" bestFit="1" customWidth="1"/>
    <col min="421" max="421" width="8" bestFit="1" customWidth="1"/>
    <col min="422" max="423" width="9" bestFit="1" customWidth="1"/>
    <col min="424" max="424" width="8" bestFit="1" customWidth="1"/>
    <col min="425" max="425" width="9" bestFit="1" customWidth="1"/>
    <col min="426" max="426" width="8" bestFit="1" customWidth="1"/>
    <col min="427" max="427" width="9" bestFit="1" customWidth="1"/>
    <col min="428" max="428" width="8" bestFit="1" customWidth="1"/>
    <col min="429" max="431" width="9" bestFit="1" customWidth="1"/>
    <col min="432" max="433" width="8" bestFit="1" customWidth="1"/>
    <col min="434" max="434" width="9" bestFit="1" customWidth="1"/>
    <col min="435" max="436" width="8" bestFit="1" customWidth="1"/>
    <col min="437" max="437" width="9" bestFit="1" customWidth="1"/>
    <col min="438" max="438" width="8" bestFit="1" customWidth="1"/>
    <col min="439" max="440" width="9" bestFit="1" customWidth="1"/>
    <col min="441" max="441" width="8" bestFit="1" customWidth="1"/>
    <col min="442" max="442" width="9" bestFit="1" customWidth="1"/>
    <col min="443" max="448" width="8" bestFit="1" customWidth="1"/>
    <col min="449" max="449" width="9" bestFit="1" customWidth="1"/>
    <col min="450" max="451" width="8" bestFit="1" customWidth="1"/>
    <col min="452" max="452" width="9" bestFit="1" customWidth="1"/>
    <col min="453" max="454" width="8" bestFit="1" customWidth="1"/>
    <col min="455" max="458" width="9" bestFit="1" customWidth="1"/>
    <col min="459" max="460" width="8" bestFit="1" customWidth="1"/>
    <col min="461" max="461" width="6" bestFit="1" customWidth="1"/>
    <col min="462" max="462" width="8" bestFit="1" customWidth="1"/>
    <col min="463" max="464" width="9" bestFit="1" customWidth="1"/>
    <col min="465" max="466" width="8" bestFit="1" customWidth="1"/>
    <col min="467" max="469" width="9" bestFit="1" customWidth="1"/>
    <col min="470" max="470" width="8" bestFit="1" customWidth="1"/>
    <col min="471" max="472" width="9" bestFit="1" customWidth="1"/>
    <col min="473" max="473" width="8" bestFit="1" customWidth="1"/>
    <col min="474" max="474" width="9" bestFit="1" customWidth="1"/>
    <col min="475" max="477" width="8" bestFit="1" customWidth="1"/>
    <col min="478" max="478" width="9" bestFit="1" customWidth="1"/>
    <col min="479" max="479" width="6" bestFit="1" customWidth="1"/>
    <col min="480" max="480" width="8" bestFit="1" customWidth="1"/>
    <col min="481" max="482" width="9" bestFit="1" customWidth="1"/>
    <col min="483" max="483" width="8" bestFit="1" customWidth="1"/>
    <col min="484" max="486" width="9" bestFit="1" customWidth="1"/>
    <col min="487" max="487" width="8" bestFit="1" customWidth="1"/>
    <col min="488" max="492" width="9" bestFit="1" customWidth="1"/>
    <col min="493" max="493" width="8" bestFit="1" customWidth="1"/>
    <col min="494" max="495" width="9" bestFit="1" customWidth="1"/>
    <col min="496" max="496" width="8" bestFit="1" customWidth="1"/>
    <col min="497" max="500" width="9" bestFit="1" customWidth="1"/>
    <col min="501" max="501" width="8" bestFit="1" customWidth="1"/>
    <col min="502" max="503" width="9" bestFit="1" customWidth="1"/>
    <col min="504" max="504" width="8" bestFit="1" customWidth="1"/>
    <col min="505" max="505" width="9" bestFit="1" customWidth="1"/>
    <col min="506" max="508" width="8" bestFit="1" customWidth="1"/>
    <col min="509" max="509" width="6" bestFit="1" customWidth="1"/>
    <col min="510" max="511" width="9" bestFit="1" customWidth="1"/>
    <col min="512" max="512" width="8" bestFit="1" customWidth="1"/>
    <col min="513" max="516" width="9" bestFit="1" customWidth="1"/>
    <col min="517" max="519" width="8" bestFit="1" customWidth="1"/>
    <col min="520" max="520" width="9" bestFit="1" customWidth="1"/>
    <col min="521" max="524" width="8" bestFit="1" customWidth="1"/>
    <col min="525" max="525" width="9" bestFit="1" customWidth="1"/>
    <col min="526" max="528" width="8" bestFit="1" customWidth="1"/>
    <col min="529" max="529" width="9" bestFit="1" customWidth="1"/>
    <col min="530" max="533" width="8" bestFit="1" customWidth="1"/>
    <col min="534" max="535" width="9" bestFit="1" customWidth="1"/>
    <col min="536" max="536" width="6" bestFit="1" customWidth="1"/>
    <col min="537" max="538" width="9" bestFit="1" customWidth="1"/>
    <col min="539" max="539" width="8" bestFit="1" customWidth="1"/>
    <col min="540" max="540" width="9" bestFit="1" customWidth="1"/>
    <col min="541" max="541" width="8" bestFit="1" customWidth="1"/>
    <col min="542" max="542" width="9" bestFit="1" customWidth="1"/>
    <col min="543" max="543" width="8" bestFit="1" customWidth="1"/>
    <col min="544" max="544" width="9" bestFit="1" customWidth="1"/>
    <col min="545" max="545" width="8" bestFit="1" customWidth="1"/>
    <col min="546" max="546" width="6" bestFit="1" customWidth="1"/>
    <col min="547" max="548" width="8" bestFit="1" customWidth="1"/>
    <col min="549" max="551" width="9" bestFit="1" customWidth="1"/>
    <col min="552" max="553" width="8" bestFit="1" customWidth="1"/>
    <col min="554" max="554" width="9" bestFit="1" customWidth="1"/>
    <col min="555" max="556" width="8" bestFit="1" customWidth="1"/>
    <col min="557" max="558" width="9" bestFit="1" customWidth="1"/>
    <col min="559" max="568" width="8" bestFit="1" customWidth="1"/>
    <col min="569" max="569" width="9" bestFit="1" customWidth="1"/>
    <col min="570" max="570" width="8" bestFit="1" customWidth="1"/>
    <col min="571" max="571" width="9" bestFit="1" customWidth="1"/>
    <col min="572" max="573" width="8" bestFit="1" customWidth="1"/>
    <col min="574" max="579" width="9" bestFit="1" customWidth="1"/>
    <col min="580" max="582" width="8" bestFit="1" customWidth="1"/>
    <col min="583" max="586" width="9" bestFit="1" customWidth="1"/>
    <col min="587" max="588" width="8" bestFit="1" customWidth="1"/>
    <col min="589" max="590" width="9" bestFit="1" customWidth="1"/>
    <col min="591" max="591" width="8" bestFit="1" customWidth="1"/>
    <col min="592" max="593" width="9" bestFit="1" customWidth="1"/>
    <col min="594" max="594" width="6" bestFit="1" customWidth="1"/>
    <col min="595" max="595" width="8" bestFit="1" customWidth="1"/>
    <col min="596" max="596" width="9" bestFit="1" customWidth="1"/>
    <col min="597" max="598" width="8" bestFit="1" customWidth="1"/>
    <col min="599" max="599" width="9" bestFit="1" customWidth="1"/>
    <col min="600" max="602" width="8" bestFit="1" customWidth="1"/>
    <col min="603" max="605" width="9" bestFit="1" customWidth="1"/>
    <col min="606" max="606" width="8" bestFit="1" customWidth="1"/>
    <col min="607" max="608" width="9" bestFit="1" customWidth="1"/>
    <col min="609" max="609" width="8" bestFit="1" customWidth="1"/>
    <col min="610" max="611" width="9" bestFit="1" customWidth="1"/>
    <col min="612" max="612" width="8" bestFit="1" customWidth="1"/>
    <col min="613" max="613" width="9" bestFit="1" customWidth="1"/>
    <col min="614" max="615" width="8" bestFit="1" customWidth="1"/>
    <col min="616" max="616" width="9" bestFit="1" customWidth="1"/>
    <col min="617" max="617" width="8" bestFit="1" customWidth="1"/>
    <col min="618" max="620" width="9" bestFit="1" customWidth="1"/>
    <col min="621" max="621" width="8" bestFit="1" customWidth="1"/>
    <col min="622" max="623" width="9" bestFit="1" customWidth="1"/>
    <col min="624" max="624" width="6" bestFit="1" customWidth="1"/>
    <col min="625" max="625" width="9" bestFit="1" customWidth="1"/>
    <col min="626" max="626" width="6" bestFit="1" customWidth="1"/>
    <col min="627" max="627" width="8" bestFit="1" customWidth="1"/>
    <col min="628" max="629" width="9" bestFit="1" customWidth="1"/>
    <col min="630" max="630" width="8" bestFit="1" customWidth="1"/>
    <col min="631" max="635" width="9" bestFit="1" customWidth="1"/>
    <col min="636" max="636" width="6" bestFit="1" customWidth="1"/>
    <col min="637" max="639" width="9" bestFit="1" customWidth="1"/>
    <col min="640" max="640" width="8" bestFit="1" customWidth="1"/>
    <col min="641" max="643" width="9" bestFit="1" customWidth="1"/>
    <col min="644" max="647" width="8" bestFit="1" customWidth="1"/>
    <col min="648" max="648" width="9" bestFit="1" customWidth="1"/>
    <col min="649" max="651" width="8" bestFit="1" customWidth="1"/>
    <col min="652" max="652" width="9" bestFit="1" customWidth="1"/>
    <col min="653" max="654" width="8" bestFit="1" customWidth="1"/>
    <col min="655" max="657" width="9" bestFit="1" customWidth="1"/>
    <col min="658" max="658" width="8" bestFit="1" customWidth="1"/>
    <col min="659" max="659" width="9" bestFit="1" customWidth="1"/>
    <col min="660" max="660" width="8" bestFit="1" customWidth="1"/>
    <col min="661" max="665" width="9" bestFit="1" customWidth="1"/>
    <col min="666" max="666" width="8" bestFit="1" customWidth="1"/>
    <col min="667" max="669" width="9" bestFit="1" customWidth="1"/>
    <col min="670" max="670" width="8" bestFit="1" customWidth="1"/>
    <col min="671" max="671" width="9" bestFit="1" customWidth="1"/>
    <col min="672" max="673" width="8" bestFit="1" customWidth="1"/>
    <col min="674" max="676" width="9" bestFit="1" customWidth="1"/>
    <col min="677" max="679" width="8" bestFit="1" customWidth="1"/>
    <col min="680" max="680" width="9" bestFit="1" customWidth="1"/>
    <col min="681" max="681" width="8" bestFit="1" customWidth="1"/>
    <col min="682" max="682" width="9" bestFit="1" customWidth="1"/>
    <col min="683" max="683" width="8" bestFit="1" customWidth="1"/>
    <col min="684" max="685" width="9" bestFit="1" customWidth="1"/>
    <col min="686" max="686" width="8" bestFit="1" customWidth="1"/>
    <col min="687" max="687" width="9" bestFit="1" customWidth="1"/>
    <col min="688" max="689" width="8" bestFit="1" customWidth="1"/>
    <col min="690" max="695" width="9" bestFit="1" customWidth="1"/>
    <col min="696" max="696" width="8" bestFit="1" customWidth="1"/>
    <col min="697" max="697" width="6" bestFit="1" customWidth="1"/>
    <col min="698" max="699" width="8" bestFit="1" customWidth="1"/>
    <col min="700" max="700" width="6" bestFit="1" customWidth="1"/>
    <col min="701" max="701" width="8" bestFit="1" customWidth="1"/>
    <col min="702" max="703" width="9" bestFit="1" customWidth="1"/>
    <col min="704" max="704" width="8" bestFit="1" customWidth="1"/>
    <col min="705" max="705" width="9" bestFit="1" customWidth="1"/>
    <col min="706" max="706" width="8" bestFit="1" customWidth="1"/>
    <col min="707" max="707" width="9" bestFit="1" customWidth="1"/>
    <col min="708" max="708" width="8" bestFit="1" customWidth="1"/>
    <col min="709" max="709" width="9" bestFit="1" customWidth="1"/>
    <col min="710" max="710" width="8" bestFit="1" customWidth="1"/>
    <col min="711" max="711" width="9" bestFit="1" customWidth="1"/>
    <col min="712" max="712" width="8" bestFit="1" customWidth="1"/>
    <col min="713" max="713" width="6" bestFit="1" customWidth="1"/>
    <col min="714" max="715" width="9" bestFit="1" customWidth="1"/>
    <col min="716" max="717" width="8" bestFit="1" customWidth="1"/>
    <col min="718" max="721" width="9" bestFit="1" customWidth="1"/>
    <col min="722" max="722" width="8" bestFit="1" customWidth="1"/>
    <col min="723" max="723" width="9" bestFit="1" customWidth="1"/>
    <col min="724" max="724" width="8" bestFit="1" customWidth="1"/>
    <col min="725" max="725" width="9" bestFit="1" customWidth="1"/>
    <col min="726" max="727" width="8" bestFit="1" customWidth="1"/>
    <col min="728" max="728" width="9" bestFit="1" customWidth="1"/>
    <col min="729" max="729" width="8" bestFit="1" customWidth="1"/>
    <col min="730" max="731" width="9" bestFit="1" customWidth="1"/>
    <col min="732" max="732" width="8" bestFit="1" customWidth="1"/>
    <col min="733" max="735" width="9" bestFit="1" customWidth="1"/>
    <col min="736" max="740" width="8" bestFit="1" customWidth="1"/>
    <col min="741" max="743" width="9" bestFit="1" customWidth="1"/>
    <col min="744" max="745" width="8" bestFit="1" customWidth="1"/>
    <col min="746" max="746" width="9" bestFit="1" customWidth="1"/>
    <col min="747" max="748" width="8" bestFit="1" customWidth="1"/>
    <col min="749" max="749" width="9" bestFit="1" customWidth="1"/>
    <col min="750" max="752" width="8" bestFit="1" customWidth="1"/>
    <col min="753" max="753" width="6" bestFit="1" customWidth="1"/>
    <col min="754" max="755" width="9" bestFit="1" customWidth="1"/>
    <col min="756" max="756" width="6" bestFit="1" customWidth="1"/>
    <col min="757" max="757" width="8" bestFit="1" customWidth="1"/>
    <col min="758" max="758" width="6" bestFit="1" customWidth="1"/>
    <col min="759" max="760" width="9" bestFit="1" customWidth="1"/>
    <col min="761" max="761" width="8" bestFit="1" customWidth="1"/>
    <col min="762" max="762" width="9" bestFit="1" customWidth="1"/>
    <col min="763" max="763" width="8" bestFit="1" customWidth="1"/>
    <col min="764" max="766" width="9" bestFit="1" customWidth="1"/>
    <col min="767" max="767" width="8" bestFit="1" customWidth="1"/>
    <col min="768" max="768" width="9" bestFit="1" customWidth="1"/>
    <col min="769" max="771" width="8" bestFit="1" customWidth="1"/>
    <col min="772" max="773" width="9" bestFit="1" customWidth="1"/>
    <col min="774" max="775" width="8" bestFit="1" customWidth="1"/>
    <col min="776" max="776" width="9" bestFit="1" customWidth="1"/>
    <col min="777" max="777" width="8" bestFit="1" customWidth="1"/>
    <col min="778" max="779" width="9" bestFit="1" customWidth="1"/>
    <col min="780" max="781" width="8" bestFit="1" customWidth="1"/>
    <col min="782" max="783" width="9" bestFit="1" customWidth="1"/>
    <col min="784" max="784" width="8" bestFit="1" customWidth="1"/>
    <col min="785" max="786" width="9" bestFit="1" customWidth="1"/>
    <col min="787" max="787" width="8" bestFit="1" customWidth="1"/>
    <col min="788" max="791" width="9" bestFit="1" customWidth="1"/>
    <col min="792" max="792" width="8" bestFit="1" customWidth="1"/>
    <col min="793" max="793" width="9" bestFit="1" customWidth="1"/>
    <col min="794" max="795" width="8" bestFit="1" customWidth="1"/>
    <col min="796" max="796" width="9" bestFit="1" customWidth="1"/>
    <col min="797" max="798" width="8" bestFit="1" customWidth="1"/>
    <col min="799" max="799" width="9" bestFit="1" customWidth="1"/>
    <col min="800" max="801" width="8" bestFit="1" customWidth="1"/>
    <col min="802" max="803" width="9" bestFit="1" customWidth="1"/>
    <col min="804" max="806" width="8" bestFit="1" customWidth="1"/>
    <col min="807" max="807" width="9" bestFit="1" customWidth="1"/>
    <col min="808" max="808" width="8" bestFit="1" customWidth="1"/>
    <col min="809" max="809" width="6" bestFit="1" customWidth="1"/>
    <col min="810" max="812" width="8" bestFit="1" customWidth="1"/>
    <col min="813" max="813" width="9" bestFit="1" customWidth="1"/>
    <col min="814" max="814" width="8" bestFit="1" customWidth="1"/>
    <col min="815" max="818" width="9" bestFit="1" customWidth="1"/>
    <col min="819" max="820" width="8" bestFit="1" customWidth="1"/>
    <col min="821" max="823" width="9" bestFit="1" customWidth="1"/>
    <col min="824" max="825" width="8" bestFit="1" customWidth="1"/>
    <col min="826" max="827" width="9" bestFit="1" customWidth="1"/>
    <col min="828" max="828" width="6" bestFit="1" customWidth="1"/>
    <col min="829" max="830" width="8" bestFit="1" customWidth="1"/>
    <col min="831" max="832" width="9" bestFit="1" customWidth="1"/>
    <col min="833" max="833" width="8" bestFit="1" customWidth="1"/>
    <col min="834" max="834" width="9" bestFit="1" customWidth="1"/>
    <col min="835" max="835" width="8" bestFit="1" customWidth="1"/>
    <col min="836" max="838" width="9" bestFit="1" customWidth="1"/>
    <col min="839" max="839" width="8" bestFit="1" customWidth="1"/>
    <col min="840" max="841" width="9" bestFit="1" customWidth="1"/>
    <col min="842" max="843" width="8" bestFit="1" customWidth="1"/>
    <col min="844" max="844" width="9" bestFit="1" customWidth="1"/>
    <col min="845" max="845" width="8" bestFit="1" customWidth="1"/>
    <col min="846" max="846" width="9" bestFit="1" customWidth="1"/>
    <col min="847" max="847" width="8" bestFit="1" customWidth="1"/>
    <col min="848" max="848" width="9" bestFit="1" customWidth="1"/>
    <col min="849" max="849" width="8" bestFit="1" customWidth="1"/>
    <col min="850" max="850" width="9" bestFit="1" customWidth="1"/>
    <col min="851" max="851" width="8" bestFit="1" customWidth="1"/>
    <col min="852" max="852" width="9" bestFit="1" customWidth="1"/>
    <col min="853" max="853" width="8" bestFit="1" customWidth="1"/>
    <col min="854" max="854" width="9" bestFit="1" customWidth="1"/>
    <col min="855" max="855" width="8" bestFit="1" customWidth="1"/>
    <col min="856" max="856" width="9" bestFit="1" customWidth="1"/>
    <col min="857" max="857" width="8" bestFit="1" customWidth="1"/>
    <col min="858" max="859" width="9" bestFit="1" customWidth="1"/>
    <col min="860" max="860" width="8" bestFit="1" customWidth="1"/>
    <col min="861" max="861" width="9" bestFit="1" customWidth="1"/>
    <col min="862" max="864" width="8" bestFit="1" customWidth="1"/>
    <col min="865" max="866" width="9" bestFit="1" customWidth="1"/>
    <col min="867" max="867" width="8" bestFit="1" customWidth="1"/>
    <col min="868" max="874" width="9" bestFit="1" customWidth="1"/>
    <col min="875" max="875" width="8" bestFit="1" customWidth="1"/>
    <col min="876" max="876" width="9" bestFit="1" customWidth="1"/>
    <col min="877" max="877" width="8" bestFit="1" customWidth="1"/>
    <col min="878" max="880" width="9" bestFit="1" customWidth="1"/>
    <col min="881" max="883" width="8" bestFit="1" customWidth="1"/>
    <col min="884" max="884" width="9" bestFit="1" customWidth="1"/>
    <col min="885" max="890" width="8" bestFit="1" customWidth="1"/>
    <col min="891" max="891" width="9" bestFit="1" customWidth="1"/>
    <col min="892" max="892" width="8" bestFit="1" customWidth="1"/>
    <col min="893" max="893" width="9" bestFit="1" customWidth="1"/>
    <col min="894" max="894" width="8" bestFit="1" customWidth="1"/>
    <col min="895" max="897" width="9" bestFit="1" customWidth="1"/>
    <col min="898" max="900" width="8" bestFit="1" customWidth="1"/>
    <col min="901" max="903" width="9" bestFit="1" customWidth="1"/>
    <col min="904" max="904" width="8" bestFit="1" customWidth="1"/>
    <col min="905" max="906" width="9" bestFit="1" customWidth="1"/>
    <col min="907" max="907" width="8" bestFit="1" customWidth="1"/>
    <col min="908" max="912" width="9" bestFit="1" customWidth="1"/>
    <col min="913" max="915" width="8" bestFit="1" customWidth="1"/>
    <col min="916" max="917" width="9" bestFit="1" customWidth="1"/>
    <col min="918" max="922" width="8" bestFit="1" customWidth="1"/>
    <col min="923" max="923" width="9" bestFit="1" customWidth="1"/>
    <col min="924" max="925" width="8" bestFit="1" customWidth="1"/>
    <col min="926" max="927" width="9" bestFit="1" customWidth="1"/>
    <col min="928" max="928" width="8" bestFit="1" customWidth="1"/>
    <col min="929" max="930" width="9" bestFit="1" customWidth="1"/>
    <col min="931" max="931" width="8" bestFit="1" customWidth="1"/>
    <col min="932" max="932" width="9" bestFit="1" customWidth="1"/>
    <col min="933" max="934" width="8" bestFit="1" customWidth="1"/>
    <col min="935" max="935" width="9" bestFit="1" customWidth="1"/>
    <col min="936" max="936" width="8" bestFit="1" customWidth="1"/>
    <col min="937" max="937" width="9" bestFit="1" customWidth="1"/>
    <col min="938" max="939" width="8" bestFit="1" customWidth="1"/>
    <col min="940" max="940" width="6" bestFit="1" customWidth="1"/>
    <col min="941" max="942" width="8" bestFit="1" customWidth="1"/>
    <col min="943" max="946" width="9" bestFit="1" customWidth="1"/>
    <col min="947" max="947" width="8" bestFit="1" customWidth="1"/>
    <col min="948" max="950" width="9" bestFit="1" customWidth="1"/>
    <col min="951" max="951" width="8" bestFit="1" customWidth="1"/>
    <col min="952" max="952" width="9" bestFit="1" customWidth="1"/>
    <col min="953" max="953" width="8" bestFit="1" customWidth="1"/>
    <col min="954" max="954" width="9" bestFit="1" customWidth="1"/>
    <col min="955" max="955" width="8" bestFit="1" customWidth="1"/>
    <col min="956" max="957" width="9" bestFit="1" customWidth="1"/>
    <col min="958" max="959" width="8" bestFit="1" customWidth="1"/>
    <col min="960" max="960" width="9" bestFit="1" customWidth="1"/>
    <col min="961" max="963" width="8" bestFit="1" customWidth="1"/>
    <col min="964" max="964" width="9" bestFit="1" customWidth="1"/>
    <col min="965" max="965" width="8" bestFit="1" customWidth="1"/>
    <col min="966" max="967" width="9" bestFit="1" customWidth="1"/>
    <col min="968" max="968" width="8" bestFit="1" customWidth="1"/>
    <col min="969" max="969" width="9" bestFit="1" customWidth="1"/>
    <col min="970" max="970" width="8" bestFit="1" customWidth="1"/>
    <col min="971" max="972" width="9" bestFit="1" customWidth="1"/>
    <col min="973" max="973" width="8" bestFit="1" customWidth="1"/>
    <col min="974" max="974" width="6" bestFit="1" customWidth="1"/>
    <col min="975" max="975" width="8" bestFit="1" customWidth="1"/>
    <col min="976" max="980" width="9" bestFit="1" customWidth="1"/>
    <col min="981" max="981" width="8" bestFit="1" customWidth="1"/>
    <col min="982" max="988" width="9" bestFit="1" customWidth="1"/>
    <col min="989" max="989" width="8" bestFit="1" customWidth="1"/>
    <col min="990" max="990" width="9" bestFit="1" customWidth="1"/>
    <col min="991" max="991" width="6" bestFit="1" customWidth="1"/>
    <col min="992" max="993" width="8" bestFit="1" customWidth="1"/>
    <col min="994" max="994" width="9" bestFit="1" customWidth="1"/>
    <col min="995" max="995" width="8" bestFit="1" customWidth="1"/>
    <col min="996" max="996" width="9" bestFit="1" customWidth="1"/>
    <col min="997" max="997" width="8" bestFit="1" customWidth="1"/>
    <col min="998" max="1001" width="9" bestFit="1" customWidth="1"/>
    <col min="1002" max="1002" width="8" bestFit="1" customWidth="1"/>
    <col min="1003" max="1003" width="9" bestFit="1" customWidth="1"/>
    <col min="1004" max="1005" width="8" bestFit="1" customWidth="1"/>
    <col min="1006" max="1006" width="9" bestFit="1" customWidth="1"/>
    <col min="1007" max="1008" width="8" bestFit="1" customWidth="1"/>
    <col min="1009" max="1011" width="9" bestFit="1" customWidth="1"/>
    <col min="1012" max="1013" width="8" bestFit="1" customWidth="1"/>
    <col min="1014" max="1014" width="6" bestFit="1" customWidth="1"/>
    <col min="1015" max="1015" width="9" bestFit="1" customWidth="1"/>
    <col min="1016" max="1016" width="8" bestFit="1" customWidth="1"/>
    <col min="1017" max="1019" width="9" bestFit="1" customWidth="1"/>
    <col min="1020" max="1020" width="8" bestFit="1" customWidth="1"/>
    <col min="1021" max="1023" width="9" bestFit="1" customWidth="1"/>
    <col min="1024" max="1027" width="8" bestFit="1" customWidth="1"/>
    <col min="1028" max="1031" width="9" bestFit="1" customWidth="1"/>
    <col min="1032" max="1035" width="8" bestFit="1" customWidth="1"/>
    <col min="1036" max="1036" width="9" bestFit="1" customWidth="1"/>
    <col min="1037" max="1037" width="8" bestFit="1" customWidth="1"/>
    <col min="1038" max="1038" width="9" bestFit="1" customWidth="1"/>
    <col min="1039" max="1039" width="8" bestFit="1" customWidth="1"/>
    <col min="1040" max="1041" width="9" bestFit="1" customWidth="1"/>
    <col min="1042" max="1042" width="8" bestFit="1" customWidth="1"/>
    <col min="1043" max="1043" width="9" bestFit="1" customWidth="1"/>
    <col min="1044" max="1044" width="6" bestFit="1" customWidth="1"/>
    <col min="1045" max="1045" width="9" bestFit="1" customWidth="1"/>
    <col min="1046" max="1046" width="8" bestFit="1" customWidth="1"/>
    <col min="1047" max="1047" width="9" bestFit="1" customWidth="1"/>
    <col min="1048" max="1048" width="8" bestFit="1" customWidth="1"/>
    <col min="1049" max="1050" width="9" bestFit="1" customWidth="1"/>
    <col min="1051" max="1051" width="8" bestFit="1" customWidth="1"/>
    <col min="1052" max="1056" width="9" bestFit="1" customWidth="1"/>
    <col min="1057" max="1057" width="8" bestFit="1" customWidth="1"/>
    <col min="1058" max="1058" width="9" bestFit="1" customWidth="1"/>
    <col min="1059" max="1060" width="8" bestFit="1" customWidth="1"/>
    <col min="1061" max="1062" width="9" bestFit="1" customWidth="1"/>
    <col min="1063" max="1063" width="8" bestFit="1" customWidth="1"/>
    <col min="1064" max="1065" width="9" bestFit="1" customWidth="1"/>
    <col min="1066" max="1066" width="6" bestFit="1" customWidth="1"/>
    <col min="1067" max="1067" width="9" bestFit="1" customWidth="1"/>
    <col min="1068" max="1068" width="8" bestFit="1" customWidth="1"/>
    <col min="1069" max="1069" width="9" bestFit="1" customWidth="1"/>
    <col min="1070" max="1070" width="8" bestFit="1" customWidth="1"/>
    <col min="1071" max="1072" width="9" bestFit="1" customWidth="1"/>
    <col min="1073" max="1080" width="8" bestFit="1" customWidth="1"/>
    <col min="1081" max="1081" width="9" bestFit="1" customWidth="1"/>
    <col min="1082" max="1084" width="8" bestFit="1" customWidth="1"/>
    <col min="1085" max="1085" width="9" bestFit="1" customWidth="1"/>
    <col min="1086" max="1087" width="8" bestFit="1" customWidth="1"/>
    <col min="1088" max="1089" width="9" bestFit="1" customWidth="1"/>
    <col min="1090" max="1090" width="8" bestFit="1" customWidth="1"/>
    <col min="1091" max="1091" width="9" bestFit="1" customWidth="1"/>
    <col min="1092" max="1093" width="8" bestFit="1" customWidth="1"/>
    <col min="1094" max="1096" width="9" bestFit="1" customWidth="1"/>
    <col min="1097" max="1097" width="8" bestFit="1" customWidth="1"/>
    <col min="1098" max="1099" width="9" bestFit="1" customWidth="1"/>
    <col min="1100" max="1100" width="8" bestFit="1" customWidth="1"/>
    <col min="1101" max="1101" width="6" bestFit="1" customWidth="1"/>
    <col min="1102" max="1102" width="8" bestFit="1" customWidth="1"/>
    <col min="1103" max="1103" width="6" bestFit="1" customWidth="1"/>
    <col min="1104" max="1104" width="8" bestFit="1" customWidth="1"/>
    <col min="1105" max="1108" width="9" bestFit="1" customWidth="1"/>
    <col min="1109" max="1111" width="8" bestFit="1" customWidth="1"/>
    <col min="1112" max="1112" width="9" bestFit="1" customWidth="1"/>
    <col min="1113" max="1113" width="6" bestFit="1" customWidth="1"/>
    <col min="1114" max="1115" width="8" bestFit="1" customWidth="1"/>
    <col min="1116" max="1118" width="9" bestFit="1" customWidth="1"/>
    <col min="1119" max="1119" width="8" bestFit="1" customWidth="1"/>
    <col min="1120" max="1120" width="9" bestFit="1" customWidth="1"/>
    <col min="1121" max="1122" width="8" bestFit="1" customWidth="1"/>
    <col min="1123" max="1124" width="9" bestFit="1" customWidth="1"/>
    <col min="1125" max="1127" width="8" bestFit="1" customWidth="1"/>
    <col min="1128" max="1128" width="9" bestFit="1" customWidth="1"/>
    <col min="1129" max="1129" width="8" bestFit="1" customWidth="1"/>
    <col min="1130" max="1131" width="9" bestFit="1" customWidth="1"/>
    <col min="1132" max="1132" width="8" bestFit="1" customWidth="1"/>
    <col min="1133" max="1134" width="9" bestFit="1" customWidth="1"/>
    <col min="1135" max="1135" width="6" bestFit="1" customWidth="1"/>
    <col min="1136" max="1136" width="8" bestFit="1" customWidth="1"/>
    <col min="1137" max="1137" width="9" bestFit="1" customWidth="1"/>
    <col min="1138" max="1138" width="8" bestFit="1" customWidth="1"/>
    <col min="1139" max="1141" width="9" bestFit="1" customWidth="1"/>
    <col min="1142" max="1144" width="8" bestFit="1" customWidth="1"/>
    <col min="1145" max="1145" width="9" bestFit="1" customWidth="1"/>
    <col min="1146" max="1146" width="8" bestFit="1" customWidth="1"/>
    <col min="1147" max="1147" width="9" bestFit="1" customWidth="1"/>
    <col min="1148" max="1148" width="8" bestFit="1" customWidth="1"/>
    <col min="1149" max="1149" width="6" bestFit="1" customWidth="1"/>
    <col min="1150" max="1150" width="9" bestFit="1" customWidth="1"/>
    <col min="1151" max="1155" width="8" bestFit="1" customWidth="1"/>
    <col min="1156" max="1156" width="9" bestFit="1" customWidth="1"/>
    <col min="1157" max="1157" width="8" bestFit="1" customWidth="1"/>
    <col min="1158" max="1158" width="9" bestFit="1" customWidth="1"/>
    <col min="1159" max="1162" width="8" bestFit="1" customWidth="1"/>
    <col min="1163" max="1163" width="9" bestFit="1" customWidth="1"/>
    <col min="1164" max="1165" width="8" bestFit="1" customWidth="1"/>
    <col min="1166" max="1168" width="9" bestFit="1" customWidth="1"/>
    <col min="1169" max="1169" width="8" bestFit="1" customWidth="1"/>
    <col min="1170" max="1173" width="9" bestFit="1" customWidth="1"/>
    <col min="1174" max="1175" width="8" bestFit="1" customWidth="1"/>
    <col min="1176" max="1176" width="9" bestFit="1" customWidth="1"/>
    <col min="1177" max="1177" width="8" bestFit="1" customWidth="1"/>
    <col min="1178" max="1181" width="9" bestFit="1" customWidth="1"/>
    <col min="1182" max="1182" width="8" bestFit="1" customWidth="1"/>
    <col min="1183" max="1183" width="9" bestFit="1" customWidth="1"/>
    <col min="1184" max="1184" width="6" bestFit="1" customWidth="1"/>
    <col min="1185" max="1187" width="9" bestFit="1" customWidth="1"/>
    <col min="1188" max="1190" width="8" bestFit="1" customWidth="1"/>
    <col min="1191" max="1191" width="9" bestFit="1" customWidth="1"/>
    <col min="1192" max="1193" width="8" bestFit="1" customWidth="1"/>
    <col min="1194" max="1194" width="9" bestFit="1" customWidth="1"/>
    <col min="1195" max="1196" width="8" bestFit="1" customWidth="1"/>
    <col min="1197" max="1197" width="9" bestFit="1" customWidth="1"/>
    <col min="1198" max="1198" width="8" bestFit="1" customWidth="1"/>
    <col min="1199" max="1200" width="9" bestFit="1" customWidth="1"/>
    <col min="1201" max="1205" width="8" bestFit="1" customWidth="1"/>
    <col min="1206" max="1207" width="9" bestFit="1" customWidth="1"/>
    <col min="1208" max="1208" width="8" bestFit="1" customWidth="1"/>
    <col min="1209" max="1209" width="9" bestFit="1" customWidth="1"/>
    <col min="1210" max="1212" width="8" bestFit="1" customWidth="1"/>
    <col min="1213" max="1213" width="9" bestFit="1" customWidth="1"/>
    <col min="1214" max="1214" width="8" bestFit="1" customWidth="1"/>
    <col min="1215" max="1215" width="9" bestFit="1" customWidth="1"/>
    <col min="1216" max="1216" width="6" bestFit="1" customWidth="1"/>
    <col min="1217" max="1222" width="8" bestFit="1" customWidth="1"/>
    <col min="1223" max="1223" width="9" bestFit="1" customWidth="1"/>
    <col min="1224" max="1225" width="8" bestFit="1" customWidth="1"/>
    <col min="1226" max="1229" width="9" bestFit="1" customWidth="1"/>
    <col min="1230" max="1232" width="8" bestFit="1" customWidth="1"/>
    <col min="1233" max="1233" width="9" bestFit="1" customWidth="1"/>
    <col min="1234" max="1235" width="8" bestFit="1" customWidth="1"/>
    <col min="1236" max="1238" width="9" bestFit="1" customWidth="1"/>
    <col min="1239" max="1239" width="8" bestFit="1" customWidth="1"/>
    <col min="1240" max="1240" width="10.77734375" bestFit="1" customWidth="1"/>
  </cols>
  <sheetData>
    <row r="3" spans="1:7" x14ac:dyDescent="0.3">
      <c r="A3" s="4" t="s">
        <v>45</v>
      </c>
      <c r="B3" s="4" t="s">
        <v>42</v>
      </c>
      <c r="C3" s="4" t="s">
        <v>43</v>
      </c>
      <c r="D3" s="4" t="s">
        <v>44</v>
      </c>
    </row>
    <row r="4" spans="1:7" x14ac:dyDescent="0.3">
      <c r="A4" s="2" t="s">
        <v>9</v>
      </c>
      <c r="B4" s="2">
        <v>14018.5</v>
      </c>
      <c r="C4" s="2">
        <v>17354.05</v>
      </c>
      <c r="D4" s="15">
        <f>((C4-B4)/B4)</f>
        <v>0.23793915183507502</v>
      </c>
    </row>
    <row r="5" spans="1:7" x14ac:dyDescent="0.3">
      <c r="A5" s="2" t="s">
        <v>10</v>
      </c>
      <c r="B5" s="2">
        <v>17625.7</v>
      </c>
      <c r="C5" s="2">
        <v>18105.3</v>
      </c>
      <c r="D5" s="15">
        <f>((C5-B5)/B5)</f>
        <v>2.7210266826281995E-2</v>
      </c>
    </row>
    <row r="6" spans="1:7" x14ac:dyDescent="0.3">
      <c r="A6" s="2" t="s">
        <v>11</v>
      </c>
      <c r="B6" s="2">
        <v>18197.45</v>
      </c>
      <c r="C6" s="2">
        <v>21731.4</v>
      </c>
      <c r="D6" s="15">
        <f>((C6-B6)/B6)</f>
        <v>0.19420028630385031</v>
      </c>
    </row>
    <row r="7" spans="1:7" x14ac:dyDescent="0.3">
      <c r="A7" s="2" t="s">
        <v>12</v>
      </c>
      <c r="B7" s="2">
        <v>21741.9</v>
      </c>
      <c r="C7" s="2">
        <v>23644.799999999999</v>
      </c>
      <c r="D7" s="15">
        <f>((C7-B7)/B7)</f>
        <v>8.7522249665392529E-2</v>
      </c>
    </row>
    <row r="8" spans="1:7" x14ac:dyDescent="0.3">
      <c r="A8" s="2" t="s">
        <v>13</v>
      </c>
      <c r="B8" s="2">
        <v>23742.9</v>
      </c>
      <c r="C8" s="2">
        <v>26129.599999999999</v>
      </c>
      <c r="D8" s="15">
        <f>((C8-B8)/B8)</f>
        <v>0.10052268257036828</v>
      </c>
    </row>
    <row r="14" spans="1:7" x14ac:dyDescent="0.3">
      <c r="A14" s="5" t="s">
        <v>34</v>
      </c>
      <c r="B14" s="5" t="s">
        <v>18</v>
      </c>
      <c r="C14" s="1"/>
      <c r="D14" s="1"/>
      <c r="E14" s="1"/>
      <c r="F14" s="1"/>
      <c r="G14" s="1"/>
    </row>
    <row r="15" spans="1:7" x14ac:dyDescent="0.3">
      <c r="A15" s="5" t="s">
        <v>7</v>
      </c>
      <c r="B15" s="1" t="s">
        <v>9</v>
      </c>
      <c r="C15" s="1" t="s">
        <v>10</v>
      </c>
      <c r="D15" s="1" t="s">
        <v>11</v>
      </c>
      <c r="E15" s="1" t="s">
        <v>12</v>
      </c>
      <c r="F15" s="1" t="s">
        <v>13</v>
      </c>
      <c r="G15" s="1" t="s">
        <v>8</v>
      </c>
    </row>
    <row r="16" spans="1:7" x14ac:dyDescent="0.3">
      <c r="A16" s="1" t="s">
        <v>15</v>
      </c>
      <c r="B16" s="8">
        <v>-2.6996579162268532E-2</v>
      </c>
      <c r="C16" s="8">
        <v>-3.5357206715218477E-4</v>
      </c>
      <c r="D16" s="8">
        <v>-2.4323388380095769E-2</v>
      </c>
      <c r="E16" s="8">
        <v>1.3286566365083505E-4</v>
      </c>
      <c r="F16" s="8">
        <v>-5.3008333265250306E-3</v>
      </c>
      <c r="G16" s="8">
        <v>-5.6841507272390679E-2</v>
      </c>
    </row>
    <row r="17" spans="1:7" x14ac:dyDescent="0.3">
      <c r="A17" s="1" t="s">
        <v>16</v>
      </c>
      <c r="B17" s="8">
        <v>6.473662179787254E-2</v>
      </c>
      <c r="C17" s="8">
        <v>-3.211000078847525E-2</v>
      </c>
      <c r="D17" s="8">
        <v>-2.0287534788040129E-2</v>
      </c>
      <c r="E17" s="8">
        <v>1.2079085845186972E-2</v>
      </c>
      <c r="F17" s="8">
        <v>-6.0436362933755469E-2</v>
      </c>
      <c r="G17" s="8">
        <v>-3.6018190867211336E-2</v>
      </c>
    </row>
    <row r="18" spans="1:7" x14ac:dyDescent="0.3">
      <c r="A18" s="1" t="s">
        <v>17</v>
      </c>
      <c r="B18" s="8">
        <v>1.1658006204066929E-2</v>
      </c>
      <c r="C18" s="8">
        <v>3.9051482638561064E-2</v>
      </c>
      <c r="D18" s="8">
        <v>3.4728873477684209E-3</v>
      </c>
      <c r="E18" s="8">
        <v>1.5878822136493331E-2</v>
      </c>
      <c r="F18" s="8">
        <v>6.1330475978815732E-2</v>
      </c>
      <c r="G18" s="8">
        <v>0.13139167430570547</v>
      </c>
    </row>
    <row r="19" spans="1:7" x14ac:dyDescent="0.3">
      <c r="A19" s="1" t="s">
        <v>19</v>
      </c>
      <c r="B19" s="8">
        <v>-3.8211056361732165E-3</v>
      </c>
      <c r="C19" s="8">
        <v>-2.085047772243797E-2</v>
      </c>
      <c r="D19" s="8">
        <v>3.9920656738745029E-2</v>
      </c>
      <c r="E19" s="8">
        <v>1.2495376425197208E-2</v>
      </c>
      <c r="F19" s="8">
        <v>3.2824440223409697E-2</v>
      </c>
      <c r="G19" s="8">
        <v>6.0568890028740746E-2</v>
      </c>
    </row>
    <row r="20" spans="1:7" x14ac:dyDescent="0.3">
      <c r="A20" s="1" t="s">
        <v>20</v>
      </c>
      <c r="B20" s="8">
        <v>6.3154883453383659E-2</v>
      </c>
      <c r="C20" s="8">
        <v>-3.0539406282689543E-2</v>
      </c>
      <c r="D20" s="8">
        <v>2.5788209260898434E-2</v>
      </c>
      <c r="E20" s="8">
        <v>-2.965056770188304E-3</v>
      </c>
      <c r="F20" s="8">
        <v>1.7299838224757263E-2</v>
      </c>
      <c r="G20" s="8">
        <v>7.2738467886161506E-2</v>
      </c>
    </row>
    <row r="21" spans="1:7" x14ac:dyDescent="0.3">
      <c r="A21" s="1" t="s">
        <v>21</v>
      </c>
      <c r="B21" s="8">
        <v>8.9683422503592063E-3</v>
      </c>
      <c r="C21" s="8">
        <v>-4.9465064782091915E-2</v>
      </c>
      <c r="D21" s="8">
        <v>3.47946003977566E-2</v>
      </c>
      <c r="E21" s="8">
        <v>6.5039930223891845E-2</v>
      </c>
      <c r="F21" s="8">
        <v>3.0702811548120667E-2</v>
      </c>
      <c r="G21" s="8">
        <v>9.0040619638036404E-2</v>
      </c>
    </row>
    <row r="22" spans="1:7" x14ac:dyDescent="0.3">
      <c r="A22" s="1" t="s">
        <v>22</v>
      </c>
      <c r="B22" s="8">
        <v>2.6293528104515277E-3</v>
      </c>
      <c r="C22" s="8">
        <v>8.3813035847961598E-2</v>
      </c>
      <c r="D22" s="8">
        <v>2.9060591553938937E-2</v>
      </c>
      <c r="E22" s="8">
        <v>3.8719587594618562E-2</v>
      </c>
      <c r="F22" s="8">
        <v>-2.962793708459666E-2</v>
      </c>
      <c r="G22" s="8">
        <v>0.12459463072237398</v>
      </c>
    </row>
    <row r="23" spans="1:7" x14ac:dyDescent="0.3">
      <c r="A23" s="1" t="s">
        <v>23</v>
      </c>
      <c r="B23" s="8">
        <v>8.3416912365109341E-2</v>
      </c>
      <c r="C23" s="8">
        <v>3.4579501305069038E-2</v>
      </c>
      <c r="D23" s="8">
        <v>-2.5559532704882579E-2</v>
      </c>
      <c r="E23" s="8">
        <v>1.1148146284309927E-2</v>
      </c>
      <c r="F23" s="8">
        <v>-1.3759840617777869E-2</v>
      </c>
      <c r="G23" s="8">
        <v>8.9825186631827855E-2</v>
      </c>
    </row>
    <row r="24" spans="1:7" x14ac:dyDescent="0.3">
      <c r="A24" s="1" t="s">
        <v>24</v>
      </c>
      <c r="B24" s="8">
        <v>2.8106123512210746E-2</v>
      </c>
      <c r="C24" s="8">
        <v>-3.8022767283691222E-2</v>
      </c>
      <c r="D24" s="8">
        <v>1.9906775187264511E-2</v>
      </c>
      <c r="E24" s="8">
        <v>2.2758927527149246E-2</v>
      </c>
      <c r="F24" s="8">
        <v>7.5812290568245677E-3</v>
      </c>
      <c r="G24" s="8">
        <v>4.0330287999757852E-2</v>
      </c>
    </row>
    <row r="25" spans="1:7" x14ac:dyDescent="0.3">
      <c r="A25" s="1" t="s">
        <v>25</v>
      </c>
      <c r="B25" s="8">
        <v>3.3867593960328832E-3</v>
      </c>
      <c r="C25" s="8">
        <v>5.2240072336445537E-2</v>
      </c>
      <c r="D25" s="8">
        <v>-2.871627031806484E-2</v>
      </c>
      <c r="E25" s="8">
        <v>-6.3898837964909375E-2</v>
      </c>
      <c r="F25" s="8">
        <v>4.4330618843847695E-2</v>
      </c>
      <c r="G25" s="8">
        <v>7.3423422933519E-3</v>
      </c>
    </row>
    <row r="26" spans="1:7" x14ac:dyDescent="0.3">
      <c r="A26" s="1" t="s">
        <v>26</v>
      </c>
      <c r="B26" s="8">
        <v>-3.924161361027486E-2</v>
      </c>
      <c r="C26" s="8">
        <v>4.0567722175129439E-2</v>
      </c>
      <c r="D26" s="8">
        <v>5.3646385274640863E-2</v>
      </c>
      <c r="E26" s="8">
        <v>-2.3776287482441295E-3</v>
      </c>
      <c r="F26" s="8">
        <v>1.868403132212864E-2</v>
      </c>
      <c r="G26" s="8">
        <v>7.127889641337995E-2</v>
      </c>
    </row>
    <row r="27" spans="1:7" x14ac:dyDescent="0.3">
      <c r="A27" s="1" t="s">
        <v>27</v>
      </c>
      <c r="B27" s="8">
        <v>2.2151319663232402E-2</v>
      </c>
      <c r="C27" s="8">
        <v>-3.5132332738297967E-2</v>
      </c>
      <c r="D27" s="8">
        <v>7.6470965713015898E-2</v>
      </c>
      <c r="E27" s="8">
        <v>-2.0169299379542403E-2</v>
      </c>
      <c r="F27" s="8">
        <v>-2.6968349854626858E-3</v>
      </c>
      <c r="G27" s="8">
        <v>4.0623818272945249E-2</v>
      </c>
    </row>
    <row r="28" spans="1:7" x14ac:dyDescent="0.3">
      <c r="A28" s="1" t="s">
        <v>8</v>
      </c>
      <c r="B28" s="8">
        <v>0.21814902304400263</v>
      </c>
      <c r="C28" s="8">
        <v>4.3778192638330632E-2</v>
      </c>
      <c r="D28" s="8">
        <v>0.18417434528294538</v>
      </c>
      <c r="E28" s="8">
        <v>8.8841918837613762E-2</v>
      </c>
      <c r="F28" s="8">
        <v>0.10093163624978654</v>
      </c>
      <c r="G28" s="8">
        <v>0.63587511605267877</v>
      </c>
    </row>
  </sheetData>
  <phoneticPr fontId="18" type="noConversion"/>
  <pageMargins left="0.7" right="0.7" top="0.75" bottom="0.75" header="0.3" footer="0.3"/>
  <ignoredErrors>
    <ignoredError sqref="A4:A8"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386C4-2045-4539-9A1F-E983F389E5DB}">
  <dimension ref="A3:D44"/>
  <sheetViews>
    <sheetView workbookViewId="0">
      <selection activeCell="B6" sqref="B6"/>
    </sheetView>
  </sheetViews>
  <sheetFormatPr defaultRowHeight="14.4" x14ac:dyDescent="0.3"/>
  <cols>
    <col min="1" max="1" width="14.77734375" style="1" bestFit="1" customWidth="1"/>
    <col min="2" max="2" width="23.21875" style="1" bestFit="1" customWidth="1"/>
    <col min="3" max="3" width="12.21875" bestFit="1" customWidth="1"/>
    <col min="4" max="4" width="12.88671875" bestFit="1" customWidth="1"/>
    <col min="5" max="5" width="11.88671875" bestFit="1" customWidth="1"/>
    <col min="6" max="6" width="17.88671875" bestFit="1" customWidth="1"/>
    <col min="7" max="7" width="19.44140625" bestFit="1" customWidth="1"/>
  </cols>
  <sheetData>
    <row r="3" spans="1:2" x14ac:dyDescent="0.3">
      <c r="A3" s="5" t="s">
        <v>7</v>
      </c>
      <c r="B3" s="1" t="s">
        <v>14</v>
      </c>
    </row>
    <row r="4" spans="1:2" x14ac:dyDescent="0.3">
      <c r="A4" s="1" t="s">
        <v>9</v>
      </c>
      <c r="B4" s="1">
        <v>6955527074</v>
      </c>
    </row>
    <row r="5" spans="1:2" x14ac:dyDescent="0.3">
      <c r="A5" s="1" t="s">
        <v>10</v>
      </c>
      <c r="B5" s="1">
        <v>6900597267</v>
      </c>
    </row>
    <row r="6" spans="1:2" x14ac:dyDescent="0.3">
      <c r="A6" s="1" t="s">
        <v>11</v>
      </c>
      <c r="B6" s="1">
        <v>6077673965</v>
      </c>
    </row>
    <row r="7" spans="1:2" x14ac:dyDescent="0.3">
      <c r="A7" s="1" t="s">
        <v>12</v>
      </c>
      <c r="B7" s="1">
        <v>6194722735</v>
      </c>
    </row>
    <row r="8" spans="1:2" x14ac:dyDescent="0.3">
      <c r="A8" s="1" t="s">
        <v>13</v>
      </c>
      <c r="B8" s="1">
        <v>5978414023</v>
      </c>
    </row>
    <row r="9" spans="1:2" x14ac:dyDescent="0.3">
      <c r="A9" s="1" t="s">
        <v>8</v>
      </c>
      <c r="B9" s="1">
        <v>32106935064</v>
      </c>
    </row>
    <row r="10" spans="1:2" x14ac:dyDescent="0.3">
      <c r="A10"/>
      <c r="B10"/>
    </row>
    <row r="25" spans="1:4" x14ac:dyDescent="0.3">
      <c r="A25" s="5" t="s">
        <v>7</v>
      </c>
      <c r="B25" s="1" t="s">
        <v>40</v>
      </c>
      <c r="C25" s="1" t="s">
        <v>31</v>
      </c>
      <c r="D25" s="1" t="s">
        <v>41</v>
      </c>
    </row>
    <row r="26" spans="1:4" x14ac:dyDescent="0.3">
      <c r="A26" s="1" t="s">
        <v>9</v>
      </c>
      <c r="B26" s="1">
        <v>423328028.04435486</v>
      </c>
      <c r="C26" s="1">
        <v>18477.05</v>
      </c>
      <c r="D26" s="1">
        <v>13634.6</v>
      </c>
    </row>
    <row r="27" spans="1:4" x14ac:dyDescent="0.3">
      <c r="A27" s="1" t="s">
        <v>10</v>
      </c>
      <c r="B27" s="1">
        <v>279551915.16935486</v>
      </c>
      <c r="C27" s="1">
        <v>18812.5</v>
      </c>
      <c r="D27" s="1">
        <v>15293.5</v>
      </c>
    </row>
    <row r="28" spans="1:4" x14ac:dyDescent="0.3">
      <c r="A28" s="1" t="s">
        <v>11</v>
      </c>
      <c r="B28" s="1">
        <v>265832970.7682927</v>
      </c>
      <c r="C28" s="1">
        <v>21778.7</v>
      </c>
      <c r="D28" s="1">
        <v>16945.05</v>
      </c>
    </row>
    <row r="29" spans="1:4" x14ac:dyDescent="0.3">
      <c r="A29" s="1" t="s">
        <v>12</v>
      </c>
      <c r="B29" s="1">
        <v>317134516.875</v>
      </c>
      <c r="C29" s="1">
        <v>26216.05</v>
      </c>
      <c r="D29" s="1">
        <v>21238.799999999999</v>
      </c>
    </row>
    <row r="30" spans="1:4" x14ac:dyDescent="0.3">
      <c r="A30" s="1" t="s">
        <v>13</v>
      </c>
      <c r="B30" s="1">
        <v>310632742.15261042</v>
      </c>
      <c r="C30" s="1">
        <v>26215.55</v>
      </c>
      <c r="D30" s="1">
        <v>22082.65</v>
      </c>
    </row>
    <row r="31" spans="1:4" x14ac:dyDescent="0.3">
      <c r="A31" s="1" t="s">
        <v>8</v>
      </c>
      <c r="B31" s="1">
        <v>319375342.78208232</v>
      </c>
      <c r="C31" s="1">
        <v>26216.05</v>
      </c>
      <c r="D31" s="1">
        <v>13634.6</v>
      </c>
    </row>
    <row r="32" spans="1:4" x14ac:dyDescent="0.3">
      <c r="A32"/>
      <c r="B32"/>
    </row>
    <row r="33" spans="1:2" x14ac:dyDescent="0.3">
      <c r="A33"/>
      <c r="B33"/>
    </row>
    <row r="34" spans="1:2" x14ac:dyDescent="0.3">
      <c r="A34"/>
      <c r="B34"/>
    </row>
    <row r="37" spans="1:2" x14ac:dyDescent="0.3">
      <c r="A37"/>
      <c r="B37"/>
    </row>
    <row r="38" spans="1:2" x14ac:dyDescent="0.3">
      <c r="A38"/>
      <c r="B38"/>
    </row>
    <row r="39" spans="1:2" x14ac:dyDescent="0.3">
      <c r="A39"/>
      <c r="B39"/>
    </row>
    <row r="40" spans="1:2" x14ac:dyDescent="0.3">
      <c r="A40"/>
      <c r="B40"/>
    </row>
    <row r="41" spans="1:2" x14ac:dyDescent="0.3">
      <c r="A41"/>
      <c r="B41"/>
    </row>
    <row r="42" spans="1:2" x14ac:dyDescent="0.3">
      <c r="A42"/>
      <c r="B42"/>
    </row>
    <row r="43" spans="1:2" x14ac:dyDescent="0.3">
      <c r="A43"/>
      <c r="B43"/>
    </row>
    <row r="44" spans="1:2" x14ac:dyDescent="0.3">
      <c r="A44"/>
      <c r="B44"/>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D5A0A-ED2B-4DBF-B544-6595E66DA1EB}">
  <dimension ref="A1:I1241"/>
  <sheetViews>
    <sheetView workbookViewId="0">
      <selection activeCell="I8" sqref="I8"/>
    </sheetView>
  </sheetViews>
  <sheetFormatPr defaultRowHeight="14.4" x14ac:dyDescent="0.3"/>
  <cols>
    <col min="1" max="1" width="9.88671875" bestFit="1" customWidth="1"/>
    <col min="2" max="2" width="9" bestFit="1" customWidth="1"/>
    <col min="3" max="4" width="20.77734375" bestFit="1" customWidth="1"/>
    <col min="5" max="5" width="21.88671875" bestFit="1" customWidth="1"/>
    <col min="9" max="9" width="14.88671875" bestFit="1" customWidth="1"/>
  </cols>
  <sheetData>
    <row r="1" spans="1:9" ht="15" thickBot="1" x14ac:dyDescent="0.35">
      <c r="A1" s="4" t="s">
        <v>0</v>
      </c>
      <c r="B1" s="4" t="s">
        <v>4</v>
      </c>
      <c r="C1" s="6" t="s">
        <v>28</v>
      </c>
      <c r="D1" s="6" t="s">
        <v>30</v>
      </c>
      <c r="E1" s="6" t="s">
        <v>39</v>
      </c>
      <c r="G1" s="21" t="s">
        <v>54</v>
      </c>
      <c r="H1" s="22"/>
      <c r="I1" s="23"/>
    </row>
    <row r="2" spans="1:9" x14ac:dyDescent="0.3">
      <c r="A2" s="3">
        <v>44197</v>
      </c>
      <c r="B2" s="2">
        <v>14018.5</v>
      </c>
      <c r="C2" s="2" t="s">
        <v>29</v>
      </c>
      <c r="D2" s="2" t="s">
        <v>29</v>
      </c>
      <c r="E2" s="2" t="s">
        <v>29</v>
      </c>
      <c r="G2" s="20" t="s">
        <v>53</v>
      </c>
      <c r="H2" s="20"/>
      <c r="I2" s="13">
        <v>14018.5</v>
      </c>
    </row>
    <row r="3" spans="1:9" x14ac:dyDescent="0.3">
      <c r="A3" s="3">
        <v>44200</v>
      </c>
      <c r="B3" s="2">
        <v>14132.9</v>
      </c>
      <c r="C3" s="2" t="s">
        <v>29</v>
      </c>
      <c r="D3" s="2" t="s">
        <v>29</v>
      </c>
      <c r="E3" s="2" t="s">
        <v>29</v>
      </c>
      <c r="G3" s="19" t="s">
        <v>46</v>
      </c>
      <c r="H3" s="19"/>
      <c r="I3" s="16">
        <v>26129.599999999999</v>
      </c>
    </row>
    <row r="4" spans="1:9" x14ac:dyDescent="0.3">
      <c r="A4" s="3">
        <v>44201</v>
      </c>
      <c r="B4" s="2">
        <v>14199.5</v>
      </c>
      <c r="C4" s="2" t="s">
        <v>29</v>
      </c>
      <c r="D4" s="2" t="s">
        <v>29</v>
      </c>
      <c r="E4" s="2" t="s">
        <v>29</v>
      </c>
      <c r="G4" s="19" t="s">
        <v>47</v>
      </c>
      <c r="H4" s="19"/>
      <c r="I4" s="15">
        <f>(I3-I2)/I2</f>
        <v>0.8639369404715197</v>
      </c>
    </row>
    <row r="5" spans="1:9" x14ac:dyDescent="0.3">
      <c r="A5" s="3">
        <v>44202</v>
      </c>
      <c r="B5" s="2">
        <v>14146.25</v>
      </c>
      <c r="C5" s="2" t="s">
        <v>29</v>
      </c>
      <c r="D5" s="2" t="s">
        <v>29</v>
      </c>
      <c r="E5" s="2" t="s">
        <v>29</v>
      </c>
      <c r="G5" s="19" t="s">
        <v>48</v>
      </c>
      <c r="H5" s="19"/>
      <c r="I5" s="2">
        <f>MAX('NIFTY 50 2021-2026'!E2:E1240)</f>
        <v>26216.05</v>
      </c>
    </row>
    <row r="6" spans="1:9" x14ac:dyDescent="0.3">
      <c r="A6" s="3">
        <v>44203</v>
      </c>
      <c r="B6" s="2">
        <v>14137.35</v>
      </c>
      <c r="C6" s="2" t="s">
        <v>29</v>
      </c>
      <c r="D6" s="2" t="s">
        <v>29</v>
      </c>
      <c r="E6" s="2" t="s">
        <v>29</v>
      </c>
      <c r="G6" s="19" t="s">
        <v>49</v>
      </c>
      <c r="H6" s="19"/>
      <c r="I6" s="16">
        <f>MIN('NIFTY 50 2021-2026'!E2:E1240)</f>
        <v>13634.6</v>
      </c>
    </row>
    <row r="7" spans="1:9" x14ac:dyDescent="0.3">
      <c r="A7" s="3">
        <v>44204</v>
      </c>
      <c r="B7" s="2">
        <v>14347.25</v>
      </c>
      <c r="C7" s="2" t="s">
        <v>29</v>
      </c>
      <c r="D7" s="2" t="s">
        <v>29</v>
      </c>
      <c r="E7" s="2" t="s">
        <v>29</v>
      </c>
      <c r="G7" s="19" t="s">
        <v>50</v>
      </c>
      <c r="H7" s="19"/>
      <c r="I7" s="17">
        <f>AVERAGE('NIFTY 50 2021-2026'!F2:F1240)</f>
        <v>319375342.78208232</v>
      </c>
    </row>
    <row r="8" spans="1:9" x14ac:dyDescent="0.3">
      <c r="A8" s="3">
        <v>44207</v>
      </c>
      <c r="B8" s="2">
        <v>14484.75</v>
      </c>
      <c r="C8" s="2" t="s">
        <v>29</v>
      </c>
      <c r="D8" s="2" t="s">
        <v>29</v>
      </c>
      <c r="E8" s="2" t="s">
        <v>29</v>
      </c>
      <c r="G8" s="19" t="s">
        <v>51</v>
      </c>
      <c r="H8" s="19"/>
      <c r="I8" s="15">
        <v>8.7991906907909472E-3</v>
      </c>
    </row>
    <row r="9" spans="1:9" x14ac:dyDescent="0.3">
      <c r="A9" s="3">
        <v>44208</v>
      </c>
      <c r="B9" s="2">
        <v>14563.45</v>
      </c>
      <c r="C9" s="2" t="s">
        <v>29</v>
      </c>
      <c r="D9" s="2" t="s">
        <v>29</v>
      </c>
      <c r="E9" s="2" t="s">
        <v>29</v>
      </c>
      <c r="G9" s="19" t="s">
        <v>52</v>
      </c>
      <c r="H9" s="19"/>
      <c r="I9" s="15">
        <v>-0.17229752584963509</v>
      </c>
    </row>
    <row r="10" spans="1:9" x14ac:dyDescent="0.3">
      <c r="A10" s="3">
        <v>44209</v>
      </c>
      <c r="B10" s="2">
        <v>14564.85</v>
      </c>
      <c r="C10" s="2" t="s">
        <v>29</v>
      </c>
      <c r="D10" s="2" t="s">
        <v>29</v>
      </c>
      <c r="E10" s="2" t="s">
        <v>29</v>
      </c>
    </row>
    <row r="11" spans="1:9" x14ac:dyDescent="0.3">
      <c r="A11" s="3">
        <v>44210</v>
      </c>
      <c r="B11" s="2">
        <v>14595.6</v>
      </c>
      <c r="C11" s="2" t="s">
        <v>29</v>
      </c>
      <c r="D11" s="2" t="s">
        <v>29</v>
      </c>
      <c r="E11" s="2" t="s">
        <v>29</v>
      </c>
    </row>
    <row r="12" spans="1:9" x14ac:dyDescent="0.3">
      <c r="A12" s="3">
        <v>44211</v>
      </c>
      <c r="B12" s="2">
        <v>14433.7</v>
      </c>
      <c r="C12" s="2" t="s">
        <v>29</v>
      </c>
      <c r="D12" s="2" t="s">
        <v>29</v>
      </c>
      <c r="E12" s="2" t="s">
        <v>29</v>
      </c>
    </row>
    <row r="13" spans="1:9" x14ac:dyDescent="0.3">
      <c r="A13" s="3">
        <v>44214</v>
      </c>
      <c r="B13" s="2">
        <v>14281.3</v>
      </c>
      <c r="C13" s="2" t="s">
        <v>29</v>
      </c>
      <c r="D13" s="2" t="s">
        <v>29</v>
      </c>
      <c r="E13" s="2" t="s">
        <v>29</v>
      </c>
    </row>
    <row r="14" spans="1:9" x14ac:dyDescent="0.3">
      <c r="A14" s="3">
        <v>44215</v>
      </c>
      <c r="B14" s="2">
        <v>14521.15</v>
      </c>
      <c r="C14" s="2" t="s">
        <v>29</v>
      </c>
      <c r="D14" s="2" t="s">
        <v>29</v>
      </c>
      <c r="E14" s="2" t="s">
        <v>29</v>
      </c>
    </row>
    <row r="15" spans="1:9" x14ac:dyDescent="0.3">
      <c r="A15" s="3">
        <v>44216</v>
      </c>
      <c r="B15" s="2">
        <v>14644.7</v>
      </c>
      <c r="C15" s="2" t="s">
        <v>29</v>
      </c>
      <c r="D15" s="2" t="s">
        <v>29</v>
      </c>
      <c r="E15" s="2" t="s">
        <v>29</v>
      </c>
    </row>
    <row r="16" spans="1:9" x14ac:dyDescent="0.3">
      <c r="A16" s="3">
        <v>44217</v>
      </c>
      <c r="B16" s="2">
        <v>14590.35</v>
      </c>
      <c r="C16" s="2" t="s">
        <v>29</v>
      </c>
      <c r="D16" s="2" t="s">
        <v>29</v>
      </c>
      <c r="E16" s="2" t="s">
        <v>29</v>
      </c>
    </row>
    <row r="17" spans="1:5" x14ac:dyDescent="0.3">
      <c r="A17" s="3">
        <v>44218</v>
      </c>
      <c r="B17" s="2">
        <v>14371.9</v>
      </c>
      <c r="C17" s="2" t="s">
        <v>29</v>
      </c>
      <c r="D17" s="2" t="s">
        <v>29</v>
      </c>
      <c r="E17" s="2" t="s">
        <v>29</v>
      </c>
    </row>
    <row r="18" spans="1:5" x14ac:dyDescent="0.3">
      <c r="A18" s="3">
        <v>44221</v>
      </c>
      <c r="B18" s="2">
        <v>14238.9</v>
      </c>
      <c r="C18" s="2" t="s">
        <v>29</v>
      </c>
      <c r="D18" s="2" t="s">
        <v>29</v>
      </c>
      <c r="E18" s="2" t="s">
        <v>29</v>
      </c>
    </row>
    <row r="19" spans="1:5" x14ac:dyDescent="0.3">
      <c r="A19" s="3">
        <v>44223</v>
      </c>
      <c r="B19" s="2">
        <v>13967.5</v>
      </c>
      <c r="C19" s="2" t="s">
        <v>29</v>
      </c>
      <c r="D19" s="2" t="s">
        <v>29</v>
      </c>
      <c r="E19" s="2" t="s">
        <v>29</v>
      </c>
    </row>
    <row r="20" spans="1:5" x14ac:dyDescent="0.3">
      <c r="A20" s="3">
        <v>44224</v>
      </c>
      <c r="B20" s="2">
        <v>13817.55</v>
      </c>
      <c r="C20" s="2" t="s">
        <v>29</v>
      </c>
      <c r="D20" s="2" t="s">
        <v>29</v>
      </c>
      <c r="E20" s="2" t="s">
        <v>29</v>
      </c>
    </row>
    <row r="21" spans="1:5" x14ac:dyDescent="0.3">
      <c r="A21" s="3">
        <v>44225</v>
      </c>
      <c r="B21" s="2">
        <v>13634.6</v>
      </c>
      <c r="C21" s="2" t="s">
        <v>29</v>
      </c>
      <c r="D21" s="2" t="s">
        <v>29</v>
      </c>
      <c r="E21" s="2" t="s">
        <v>29</v>
      </c>
    </row>
    <row r="22" spans="1:5" x14ac:dyDescent="0.3">
      <c r="A22" s="3">
        <v>44228</v>
      </c>
      <c r="B22" s="2">
        <v>14281.2</v>
      </c>
      <c r="C22" s="2">
        <v>14284.602499999999</v>
      </c>
      <c r="D22" s="2" t="s">
        <v>29</v>
      </c>
      <c r="E22" s="2" t="s">
        <v>29</v>
      </c>
    </row>
    <row r="23" spans="1:5" x14ac:dyDescent="0.3">
      <c r="A23" s="3">
        <v>44229</v>
      </c>
      <c r="B23" s="2">
        <v>14647.85</v>
      </c>
      <c r="C23" s="2">
        <v>14297.737499999999</v>
      </c>
      <c r="D23" s="2" t="s">
        <v>29</v>
      </c>
      <c r="E23" s="2" t="s">
        <v>29</v>
      </c>
    </row>
    <row r="24" spans="1:5" x14ac:dyDescent="0.3">
      <c r="A24" s="3">
        <v>44230</v>
      </c>
      <c r="B24" s="2">
        <v>14789.95</v>
      </c>
      <c r="C24" s="2">
        <v>14323.484999999997</v>
      </c>
      <c r="D24" s="2" t="s">
        <v>29</v>
      </c>
      <c r="E24" s="2" t="s">
        <v>29</v>
      </c>
    </row>
    <row r="25" spans="1:5" x14ac:dyDescent="0.3">
      <c r="A25" s="3">
        <v>44231</v>
      </c>
      <c r="B25" s="2">
        <v>14895.65</v>
      </c>
      <c r="C25" s="2">
        <v>14353.007500000002</v>
      </c>
      <c r="D25" s="2" t="s">
        <v>29</v>
      </c>
      <c r="E25" s="2" t="s">
        <v>29</v>
      </c>
    </row>
    <row r="26" spans="1:5" x14ac:dyDescent="0.3">
      <c r="A26" s="3">
        <v>44232</v>
      </c>
      <c r="B26" s="2">
        <v>14924.25</v>
      </c>
      <c r="C26" s="2">
        <v>14390.477500000003</v>
      </c>
      <c r="D26" s="2" t="s">
        <v>29</v>
      </c>
      <c r="E26" s="2" t="s">
        <v>29</v>
      </c>
    </row>
    <row r="27" spans="1:5" x14ac:dyDescent="0.3">
      <c r="A27" s="3">
        <v>44235</v>
      </c>
      <c r="B27" s="2">
        <v>15115.8</v>
      </c>
      <c r="C27" s="2">
        <v>14429.8225</v>
      </c>
      <c r="D27" s="2" t="s">
        <v>29</v>
      </c>
      <c r="E27" s="2" t="s">
        <v>29</v>
      </c>
    </row>
    <row r="28" spans="1:5" x14ac:dyDescent="0.3">
      <c r="A28" s="3">
        <v>44236</v>
      </c>
      <c r="B28" s="2">
        <v>15109.3</v>
      </c>
      <c r="C28" s="2">
        <v>14468.25</v>
      </c>
      <c r="D28" s="2" t="s">
        <v>29</v>
      </c>
      <c r="E28" s="2" t="s">
        <v>29</v>
      </c>
    </row>
    <row r="29" spans="1:5" x14ac:dyDescent="0.3">
      <c r="A29" s="3">
        <v>44237</v>
      </c>
      <c r="B29" s="2">
        <v>15106.5</v>
      </c>
      <c r="C29" s="2">
        <v>14499.477499999999</v>
      </c>
      <c r="D29" s="2" t="s">
        <v>29</v>
      </c>
      <c r="E29" s="2" t="s">
        <v>29</v>
      </c>
    </row>
    <row r="30" spans="1:5" x14ac:dyDescent="0.3">
      <c r="A30" s="3">
        <v>44238</v>
      </c>
      <c r="B30" s="2">
        <v>15173.3</v>
      </c>
      <c r="C30" s="2">
        <v>14526.63</v>
      </c>
      <c r="D30" s="2" t="s">
        <v>29</v>
      </c>
      <c r="E30" s="2" t="s">
        <v>29</v>
      </c>
    </row>
    <row r="31" spans="1:5" x14ac:dyDescent="0.3">
      <c r="A31" s="3">
        <v>44239</v>
      </c>
      <c r="B31" s="2">
        <v>15163.3</v>
      </c>
      <c r="C31" s="2">
        <v>14557.0525</v>
      </c>
      <c r="D31" s="2" t="s">
        <v>29</v>
      </c>
      <c r="E31" s="2" t="s">
        <v>29</v>
      </c>
    </row>
    <row r="32" spans="1:5" x14ac:dyDescent="0.3">
      <c r="A32" s="3">
        <v>44242</v>
      </c>
      <c r="B32" s="2">
        <v>15314.7</v>
      </c>
      <c r="C32" s="2">
        <v>14585.4375</v>
      </c>
      <c r="D32" s="2" t="s">
        <v>29</v>
      </c>
      <c r="E32" s="2" t="s">
        <v>29</v>
      </c>
    </row>
    <row r="33" spans="1:5" x14ac:dyDescent="0.3">
      <c r="A33" s="3">
        <v>44243</v>
      </c>
      <c r="B33" s="2">
        <v>15313.45</v>
      </c>
      <c r="C33" s="2">
        <v>14629.487499999999</v>
      </c>
      <c r="D33" s="2" t="s">
        <v>29</v>
      </c>
      <c r="E33" s="2" t="s">
        <v>29</v>
      </c>
    </row>
    <row r="34" spans="1:5" x14ac:dyDescent="0.3">
      <c r="A34" s="3">
        <v>44244</v>
      </c>
      <c r="B34" s="2">
        <v>15208.9</v>
      </c>
      <c r="C34" s="2">
        <v>14681.095000000001</v>
      </c>
      <c r="D34" s="2" t="s">
        <v>29</v>
      </c>
      <c r="E34" s="2" t="s">
        <v>29</v>
      </c>
    </row>
    <row r="35" spans="1:5" x14ac:dyDescent="0.3">
      <c r="A35" s="3">
        <v>44245</v>
      </c>
      <c r="B35" s="2">
        <v>15118.95</v>
      </c>
      <c r="C35" s="2">
        <v>14715.482500000002</v>
      </c>
      <c r="D35" s="2" t="s">
        <v>29</v>
      </c>
      <c r="E35" s="2" t="s">
        <v>29</v>
      </c>
    </row>
    <row r="36" spans="1:5" x14ac:dyDescent="0.3">
      <c r="A36" s="3">
        <v>44246</v>
      </c>
      <c r="B36" s="2">
        <v>14981.75</v>
      </c>
      <c r="C36" s="2">
        <v>14739.195000000002</v>
      </c>
      <c r="D36" s="2" t="s">
        <v>29</v>
      </c>
      <c r="E36" s="2" t="s">
        <v>29</v>
      </c>
    </row>
    <row r="37" spans="1:5" x14ac:dyDescent="0.3">
      <c r="A37" s="3">
        <v>44249</v>
      </c>
      <c r="B37" s="2">
        <v>14675.7</v>
      </c>
      <c r="C37" s="2">
        <v>14758.764999999999</v>
      </c>
      <c r="D37" s="2" t="s">
        <v>29</v>
      </c>
      <c r="E37" s="2" t="s">
        <v>29</v>
      </c>
    </row>
    <row r="38" spans="1:5" x14ac:dyDescent="0.3">
      <c r="A38" s="3">
        <v>44250</v>
      </c>
      <c r="B38" s="2">
        <v>14707.8</v>
      </c>
      <c r="C38" s="2">
        <v>14773.954999999998</v>
      </c>
      <c r="D38" s="2" t="s">
        <v>29</v>
      </c>
      <c r="E38" s="2" t="s">
        <v>29</v>
      </c>
    </row>
    <row r="39" spans="1:5" x14ac:dyDescent="0.3">
      <c r="A39" s="3">
        <v>44251</v>
      </c>
      <c r="B39" s="2">
        <v>14982</v>
      </c>
      <c r="C39" s="2">
        <v>14797.4</v>
      </c>
      <c r="D39" s="2" t="s">
        <v>29</v>
      </c>
      <c r="E39" s="2" t="s">
        <v>29</v>
      </c>
    </row>
    <row r="40" spans="1:5" x14ac:dyDescent="0.3">
      <c r="A40" s="3">
        <v>44252</v>
      </c>
      <c r="B40" s="2">
        <v>15097.35</v>
      </c>
      <c r="C40" s="2">
        <v>14848.125</v>
      </c>
      <c r="D40" s="2" t="s">
        <v>29</v>
      </c>
      <c r="E40" s="2" t="s">
        <v>29</v>
      </c>
    </row>
    <row r="41" spans="1:5" x14ac:dyDescent="0.3">
      <c r="A41" s="3">
        <v>44253</v>
      </c>
      <c r="B41" s="2">
        <v>14529.15</v>
      </c>
      <c r="C41" s="2">
        <v>14912.115</v>
      </c>
      <c r="D41" s="2" t="s">
        <v>29</v>
      </c>
      <c r="E41" s="2" t="s">
        <v>29</v>
      </c>
    </row>
    <row r="42" spans="1:5" x14ac:dyDescent="0.3">
      <c r="A42" s="3">
        <v>44256</v>
      </c>
      <c r="B42" s="2">
        <v>14761.55</v>
      </c>
      <c r="C42" s="2">
        <v>14956.842499999999</v>
      </c>
      <c r="D42" s="2" t="s">
        <v>29</v>
      </c>
      <c r="E42" s="2" t="s">
        <v>29</v>
      </c>
    </row>
    <row r="43" spans="1:5" x14ac:dyDescent="0.3">
      <c r="A43" s="3">
        <v>44257</v>
      </c>
      <c r="B43" s="2">
        <v>14919.1</v>
      </c>
      <c r="C43" s="2">
        <v>14980.86</v>
      </c>
      <c r="D43" s="2" t="s">
        <v>29</v>
      </c>
      <c r="E43" s="2" t="s">
        <v>29</v>
      </c>
    </row>
    <row r="44" spans="1:5" x14ac:dyDescent="0.3">
      <c r="A44" s="3">
        <v>44258</v>
      </c>
      <c r="B44" s="2">
        <v>15245.6</v>
      </c>
      <c r="C44" s="2">
        <v>14994.422500000001</v>
      </c>
      <c r="D44" s="2" t="s">
        <v>29</v>
      </c>
      <c r="E44" s="2" t="s">
        <v>29</v>
      </c>
    </row>
    <row r="45" spans="1:5" x14ac:dyDescent="0.3">
      <c r="A45" s="3">
        <v>44259</v>
      </c>
      <c r="B45" s="2">
        <v>15080.75</v>
      </c>
      <c r="C45" s="2">
        <v>15017.204999999998</v>
      </c>
      <c r="D45" s="2" t="s">
        <v>29</v>
      </c>
      <c r="E45" s="2" t="s">
        <v>29</v>
      </c>
    </row>
    <row r="46" spans="1:5" x14ac:dyDescent="0.3">
      <c r="A46" s="3">
        <v>44260</v>
      </c>
      <c r="B46" s="2">
        <v>14938.1</v>
      </c>
      <c r="C46" s="2">
        <v>15026.459999999997</v>
      </c>
      <c r="D46" s="2" t="s">
        <v>29</v>
      </c>
      <c r="E46" s="2" t="s">
        <v>29</v>
      </c>
    </row>
    <row r="47" spans="1:5" x14ac:dyDescent="0.3">
      <c r="A47" s="3">
        <v>44263</v>
      </c>
      <c r="B47" s="2">
        <v>14956.2</v>
      </c>
      <c r="C47" s="2">
        <v>15027.152499999997</v>
      </c>
      <c r="D47" s="2" t="s">
        <v>29</v>
      </c>
      <c r="E47" s="2" t="s">
        <v>29</v>
      </c>
    </row>
    <row r="48" spans="1:5" x14ac:dyDescent="0.3">
      <c r="A48" s="3">
        <v>44264</v>
      </c>
      <c r="B48" s="2">
        <v>15098.4</v>
      </c>
      <c r="C48" s="2">
        <v>15019.172499999997</v>
      </c>
      <c r="D48" s="2" t="s">
        <v>29</v>
      </c>
      <c r="E48" s="2" t="s">
        <v>29</v>
      </c>
    </row>
    <row r="49" spans="1:5" x14ac:dyDescent="0.3">
      <c r="A49" s="3">
        <v>44265</v>
      </c>
      <c r="B49" s="2">
        <v>15174.8</v>
      </c>
      <c r="C49" s="2">
        <v>15018.627499999999</v>
      </c>
      <c r="D49" s="2" t="s">
        <v>29</v>
      </c>
      <c r="E49" s="2" t="s">
        <v>29</v>
      </c>
    </row>
    <row r="50" spans="1:5" x14ac:dyDescent="0.3">
      <c r="A50" s="3">
        <v>44267</v>
      </c>
      <c r="B50" s="2">
        <v>15030.95</v>
      </c>
      <c r="C50" s="2">
        <v>15022.0425</v>
      </c>
      <c r="D50" s="2" t="s">
        <v>29</v>
      </c>
      <c r="E50" s="2" t="s">
        <v>29</v>
      </c>
    </row>
    <row r="51" spans="1:5" x14ac:dyDescent="0.3">
      <c r="A51" s="3">
        <v>44270</v>
      </c>
      <c r="B51" s="2">
        <v>14929.5</v>
      </c>
      <c r="C51" s="2">
        <v>15014.924999999999</v>
      </c>
      <c r="D51" s="2" t="s">
        <v>29</v>
      </c>
      <c r="E51" s="2" t="s">
        <v>29</v>
      </c>
    </row>
    <row r="52" spans="1:5" x14ac:dyDescent="0.3">
      <c r="A52" s="3">
        <v>44271</v>
      </c>
      <c r="B52" s="2">
        <v>14910.45</v>
      </c>
      <c r="C52" s="2">
        <v>15003.235000000001</v>
      </c>
      <c r="D52" s="2">
        <v>14699.277</v>
      </c>
      <c r="E52" s="2" t="s">
        <v>29</v>
      </c>
    </row>
    <row r="53" spans="1:5" x14ac:dyDescent="0.3">
      <c r="A53" s="3">
        <v>44272</v>
      </c>
      <c r="B53" s="2">
        <v>14721.3</v>
      </c>
      <c r="C53" s="2">
        <v>14983.022500000001</v>
      </c>
      <c r="D53" s="2">
        <v>14717.115999999998</v>
      </c>
      <c r="E53" s="2" t="s">
        <v>29</v>
      </c>
    </row>
    <row r="54" spans="1:5" x14ac:dyDescent="0.3">
      <c r="A54" s="3">
        <v>44273</v>
      </c>
      <c r="B54" s="2">
        <v>14557.85</v>
      </c>
      <c r="C54" s="2">
        <v>14953.415000000003</v>
      </c>
      <c r="D54" s="2">
        <v>14728.883999999998</v>
      </c>
      <c r="E54" s="2" t="s">
        <v>29</v>
      </c>
    </row>
    <row r="55" spans="1:5" x14ac:dyDescent="0.3">
      <c r="A55" s="3">
        <v>44274</v>
      </c>
      <c r="B55" s="2">
        <v>14744</v>
      </c>
      <c r="C55" s="2">
        <v>14920.862499999999</v>
      </c>
      <c r="D55" s="2">
        <v>14736.051000000001</v>
      </c>
      <c r="E55" s="2" t="s">
        <v>29</v>
      </c>
    </row>
    <row r="56" spans="1:5" x14ac:dyDescent="0.3">
      <c r="A56" s="3">
        <v>44277</v>
      </c>
      <c r="B56" s="2">
        <v>14736.4</v>
      </c>
      <c r="C56" s="2">
        <v>14902.115</v>
      </c>
      <c r="D56" s="2">
        <v>14748.005999999999</v>
      </c>
      <c r="E56" s="2" t="s">
        <v>29</v>
      </c>
    </row>
    <row r="57" spans="1:5" x14ac:dyDescent="0.3">
      <c r="A57" s="3">
        <v>44278</v>
      </c>
      <c r="B57" s="2">
        <v>14814.75</v>
      </c>
      <c r="C57" s="2">
        <v>14889.8475</v>
      </c>
      <c r="D57" s="2">
        <v>14759.986999999999</v>
      </c>
      <c r="E57" s="2" t="s">
        <v>29</v>
      </c>
    </row>
    <row r="58" spans="1:5" x14ac:dyDescent="0.3">
      <c r="A58" s="3">
        <v>44279</v>
      </c>
      <c r="B58" s="2">
        <v>14549.4</v>
      </c>
      <c r="C58" s="2">
        <v>14896.800000000003</v>
      </c>
      <c r="D58" s="2">
        <v>14769.337</v>
      </c>
      <c r="E58" s="2" t="s">
        <v>29</v>
      </c>
    </row>
    <row r="59" spans="1:5" x14ac:dyDescent="0.3">
      <c r="A59" s="3">
        <v>44280</v>
      </c>
      <c r="B59" s="2">
        <v>14324.9</v>
      </c>
      <c r="C59" s="2">
        <v>14888.880000000001</v>
      </c>
      <c r="D59" s="2">
        <v>14770.63</v>
      </c>
      <c r="E59" s="2" t="s">
        <v>29</v>
      </c>
    </row>
    <row r="60" spans="1:5" x14ac:dyDescent="0.3">
      <c r="A60" s="3">
        <v>44281</v>
      </c>
      <c r="B60" s="2">
        <v>14507.3</v>
      </c>
      <c r="C60" s="2">
        <v>14856.025000000003</v>
      </c>
      <c r="D60" s="2">
        <v>14765.858999999999</v>
      </c>
      <c r="E60" s="2" t="s">
        <v>29</v>
      </c>
    </row>
    <row r="61" spans="1:5" x14ac:dyDescent="0.3">
      <c r="A61" s="3">
        <v>44285</v>
      </c>
      <c r="B61" s="2">
        <v>14845.1</v>
      </c>
      <c r="C61" s="2">
        <v>14826.522500000001</v>
      </c>
      <c r="D61" s="2">
        <v>14764.708000000001</v>
      </c>
      <c r="E61" s="2" t="s">
        <v>29</v>
      </c>
    </row>
    <row r="62" spans="1:5" x14ac:dyDescent="0.3">
      <c r="A62" s="3">
        <v>44286</v>
      </c>
      <c r="B62" s="2">
        <v>14690.7</v>
      </c>
      <c r="C62" s="2">
        <v>14842.319999999998</v>
      </c>
      <c r="D62" s="2">
        <v>14769.698</v>
      </c>
      <c r="E62" s="2" t="s">
        <v>29</v>
      </c>
    </row>
    <row r="63" spans="1:5" x14ac:dyDescent="0.3">
      <c r="A63" s="3">
        <v>44287</v>
      </c>
      <c r="B63" s="2">
        <v>14867.35</v>
      </c>
      <c r="C63" s="2">
        <v>14838.7775</v>
      </c>
      <c r="D63" s="2">
        <v>14774.838</v>
      </c>
      <c r="E63" s="2" t="s">
        <v>29</v>
      </c>
    </row>
    <row r="64" spans="1:5" x14ac:dyDescent="0.3">
      <c r="A64" s="3">
        <v>44291</v>
      </c>
      <c r="B64" s="2">
        <v>14637.8</v>
      </c>
      <c r="C64" s="2">
        <v>14836.189999999997</v>
      </c>
      <c r="D64" s="2">
        <v>14786.558999999999</v>
      </c>
      <c r="E64" s="2" t="s">
        <v>29</v>
      </c>
    </row>
    <row r="65" spans="1:5" x14ac:dyDescent="0.3">
      <c r="A65" s="3">
        <v>44292</v>
      </c>
      <c r="B65" s="2">
        <v>14683.5</v>
      </c>
      <c r="C65" s="2">
        <v>14805.799999999997</v>
      </c>
      <c r="D65" s="2">
        <v>14788.892</v>
      </c>
      <c r="E65" s="2" t="s">
        <v>29</v>
      </c>
    </row>
    <row r="66" spans="1:5" x14ac:dyDescent="0.3">
      <c r="A66" s="3">
        <v>44293</v>
      </c>
      <c r="B66" s="2">
        <v>14819.05</v>
      </c>
      <c r="C66" s="2">
        <v>14785.937499999996</v>
      </c>
      <c r="D66" s="2">
        <v>14789.668</v>
      </c>
      <c r="E66" s="2" t="s">
        <v>29</v>
      </c>
    </row>
    <row r="67" spans="1:5" x14ac:dyDescent="0.3">
      <c r="A67" s="3">
        <v>44294</v>
      </c>
      <c r="B67" s="2">
        <v>14873.8</v>
      </c>
      <c r="C67" s="2">
        <v>14779.985000000001</v>
      </c>
      <c r="D67" s="2">
        <v>14794.242000000002</v>
      </c>
      <c r="E67" s="2" t="s">
        <v>29</v>
      </c>
    </row>
    <row r="68" spans="1:5" x14ac:dyDescent="0.3">
      <c r="A68" s="3">
        <v>44295</v>
      </c>
      <c r="B68" s="2">
        <v>14834.85</v>
      </c>
      <c r="C68" s="2">
        <v>14775.864999999996</v>
      </c>
      <c r="D68" s="2">
        <v>14804.280000000002</v>
      </c>
      <c r="E68" s="2" t="s">
        <v>29</v>
      </c>
    </row>
    <row r="69" spans="1:5" x14ac:dyDescent="0.3">
      <c r="A69" s="3">
        <v>44298</v>
      </c>
      <c r="B69" s="2">
        <v>14310.8</v>
      </c>
      <c r="C69" s="2">
        <v>14762.687499999996</v>
      </c>
      <c r="D69" s="2">
        <v>14816.199000000001</v>
      </c>
      <c r="E69" s="2" t="s">
        <v>29</v>
      </c>
    </row>
    <row r="70" spans="1:5" x14ac:dyDescent="0.3">
      <c r="A70" s="3">
        <v>44299</v>
      </c>
      <c r="B70" s="2">
        <v>14504.8</v>
      </c>
      <c r="C70" s="2">
        <v>14719.487499999997</v>
      </c>
      <c r="D70" s="2">
        <v>14823.065000000002</v>
      </c>
      <c r="E70" s="2" t="s">
        <v>29</v>
      </c>
    </row>
    <row r="71" spans="1:5" x14ac:dyDescent="0.3">
      <c r="A71" s="3">
        <v>44301</v>
      </c>
      <c r="B71" s="2">
        <v>14581.45</v>
      </c>
      <c r="C71" s="2">
        <v>14693.179999999997</v>
      </c>
      <c r="D71" s="2">
        <v>14836.810000000003</v>
      </c>
      <c r="E71" s="2" t="s">
        <v>29</v>
      </c>
    </row>
    <row r="72" spans="1:5" x14ac:dyDescent="0.3">
      <c r="A72" s="3">
        <v>44302</v>
      </c>
      <c r="B72" s="2">
        <v>14617.85</v>
      </c>
      <c r="C72" s="2">
        <v>14675.7775</v>
      </c>
      <c r="D72" s="2">
        <v>14855.747000000001</v>
      </c>
      <c r="E72" s="2" t="s">
        <v>29</v>
      </c>
    </row>
    <row r="73" spans="1:5" x14ac:dyDescent="0.3">
      <c r="A73" s="3">
        <v>44305</v>
      </c>
      <c r="B73" s="2">
        <v>14359.45</v>
      </c>
      <c r="C73" s="2">
        <v>14661.147499999997</v>
      </c>
      <c r="D73" s="2">
        <v>14862.480000000003</v>
      </c>
      <c r="E73" s="2" t="s">
        <v>29</v>
      </c>
    </row>
    <row r="74" spans="1:5" x14ac:dyDescent="0.3">
      <c r="A74" s="3">
        <v>44306</v>
      </c>
      <c r="B74" s="2">
        <v>14296.4</v>
      </c>
      <c r="C74" s="2">
        <v>14643.054999999997</v>
      </c>
      <c r="D74" s="2">
        <v>14856.712000000001</v>
      </c>
      <c r="E74" s="2" t="s">
        <v>29</v>
      </c>
    </row>
    <row r="75" spans="1:5" x14ac:dyDescent="0.3">
      <c r="A75" s="3">
        <v>44308</v>
      </c>
      <c r="B75" s="2">
        <v>14406.15</v>
      </c>
      <c r="C75" s="2">
        <v>14629.982499999998</v>
      </c>
      <c r="D75" s="2">
        <v>14846.841</v>
      </c>
      <c r="E75" s="2" t="s">
        <v>29</v>
      </c>
    </row>
    <row r="76" spans="1:5" x14ac:dyDescent="0.3">
      <c r="A76" s="3">
        <v>44309</v>
      </c>
      <c r="B76" s="2">
        <v>14341.35</v>
      </c>
      <c r="C76" s="2">
        <v>14613.090000000002</v>
      </c>
      <c r="D76" s="2">
        <v>14837.051000000001</v>
      </c>
      <c r="E76" s="2" t="s">
        <v>29</v>
      </c>
    </row>
    <row r="77" spans="1:5" x14ac:dyDescent="0.3">
      <c r="A77" s="3">
        <v>44312</v>
      </c>
      <c r="B77" s="2">
        <v>14485</v>
      </c>
      <c r="C77" s="2">
        <v>14593.3375</v>
      </c>
      <c r="D77" s="2">
        <v>14825.393</v>
      </c>
      <c r="E77" s="2" t="s">
        <v>29</v>
      </c>
    </row>
    <row r="78" spans="1:5" x14ac:dyDescent="0.3">
      <c r="A78" s="3">
        <v>44313</v>
      </c>
      <c r="B78" s="2">
        <v>14653.05</v>
      </c>
      <c r="C78" s="2">
        <v>14576.85</v>
      </c>
      <c r="D78" s="2">
        <v>14812.777000000002</v>
      </c>
      <c r="E78" s="2" t="s">
        <v>29</v>
      </c>
    </row>
    <row r="79" spans="1:5" x14ac:dyDescent="0.3">
      <c r="A79" s="3">
        <v>44314</v>
      </c>
      <c r="B79" s="2">
        <v>14864.55</v>
      </c>
      <c r="C79" s="2">
        <v>14582.032499999998</v>
      </c>
      <c r="D79" s="2">
        <v>14803.652000000002</v>
      </c>
      <c r="E79" s="2" t="s">
        <v>29</v>
      </c>
    </row>
    <row r="80" spans="1:5" x14ac:dyDescent="0.3">
      <c r="A80" s="3">
        <v>44315</v>
      </c>
      <c r="B80" s="2">
        <v>14894.9</v>
      </c>
      <c r="C80" s="2">
        <v>14609.014999999999</v>
      </c>
      <c r="D80" s="2">
        <v>14798.813000000002</v>
      </c>
      <c r="E80" s="2" t="s">
        <v>29</v>
      </c>
    </row>
    <row r="81" spans="1:5" x14ac:dyDescent="0.3">
      <c r="A81" s="3">
        <v>44316</v>
      </c>
      <c r="B81" s="2">
        <v>14631.1</v>
      </c>
      <c r="C81" s="2">
        <v>14628.395</v>
      </c>
      <c r="D81" s="2">
        <v>14793.245000000003</v>
      </c>
      <c r="E81" s="2" t="s">
        <v>29</v>
      </c>
    </row>
    <row r="82" spans="1:5" x14ac:dyDescent="0.3">
      <c r="A82" s="3">
        <v>44319</v>
      </c>
      <c r="B82" s="2">
        <v>14634.15</v>
      </c>
      <c r="C82" s="2">
        <v>14617.695000000002</v>
      </c>
      <c r="D82" s="2">
        <v>14782.601000000001</v>
      </c>
      <c r="E82" s="2" t="s">
        <v>29</v>
      </c>
    </row>
    <row r="83" spans="1:5" x14ac:dyDescent="0.3">
      <c r="A83" s="3">
        <v>44320</v>
      </c>
      <c r="B83" s="2">
        <v>14496.5</v>
      </c>
      <c r="C83" s="2">
        <v>14614.867500000002</v>
      </c>
      <c r="D83" s="2">
        <v>14768.990000000002</v>
      </c>
      <c r="E83" s="2" t="s">
        <v>29</v>
      </c>
    </row>
    <row r="84" spans="1:5" x14ac:dyDescent="0.3">
      <c r="A84" s="3">
        <v>44321</v>
      </c>
      <c r="B84" s="2">
        <v>14617.85</v>
      </c>
      <c r="C84" s="2">
        <v>14596.325000000001</v>
      </c>
      <c r="D84" s="2">
        <v>14752.651000000002</v>
      </c>
      <c r="E84" s="2" t="s">
        <v>29</v>
      </c>
    </row>
    <row r="85" spans="1:5" x14ac:dyDescent="0.3">
      <c r="A85" s="3">
        <v>44322</v>
      </c>
      <c r="B85" s="2">
        <v>14724.8</v>
      </c>
      <c r="C85" s="2">
        <v>14595.327499999999</v>
      </c>
      <c r="D85" s="2">
        <v>14740.83</v>
      </c>
      <c r="E85" s="2" t="s">
        <v>29</v>
      </c>
    </row>
    <row r="86" spans="1:5" x14ac:dyDescent="0.3">
      <c r="A86" s="3">
        <v>44323</v>
      </c>
      <c r="B86" s="2">
        <v>14823.15</v>
      </c>
      <c r="C86" s="2">
        <v>14597.392499999996</v>
      </c>
      <c r="D86" s="2">
        <v>14732.947</v>
      </c>
      <c r="E86" s="2" t="s">
        <v>29</v>
      </c>
    </row>
    <row r="87" spans="1:5" x14ac:dyDescent="0.3">
      <c r="A87" s="3">
        <v>44326</v>
      </c>
      <c r="B87" s="2">
        <v>14942.35</v>
      </c>
      <c r="C87" s="2">
        <v>14597.597499999998</v>
      </c>
      <c r="D87" s="2">
        <v>14729.775000000001</v>
      </c>
      <c r="E87" s="2" t="s">
        <v>29</v>
      </c>
    </row>
    <row r="88" spans="1:5" x14ac:dyDescent="0.3">
      <c r="A88" s="3">
        <v>44327</v>
      </c>
      <c r="B88" s="2">
        <v>14850.75</v>
      </c>
      <c r="C88" s="2">
        <v>14601.024999999998</v>
      </c>
      <c r="D88" s="2">
        <v>14735.108000000002</v>
      </c>
      <c r="E88" s="2" t="s">
        <v>29</v>
      </c>
    </row>
    <row r="89" spans="1:5" x14ac:dyDescent="0.3">
      <c r="A89" s="3">
        <v>44328</v>
      </c>
      <c r="B89" s="2">
        <v>14696.5</v>
      </c>
      <c r="C89" s="2">
        <v>14601.819999999998</v>
      </c>
      <c r="D89" s="2">
        <v>14737.967000000002</v>
      </c>
      <c r="E89" s="2" t="s">
        <v>29</v>
      </c>
    </row>
    <row r="90" spans="1:5" x14ac:dyDescent="0.3">
      <c r="A90" s="3">
        <v>44330</v>
      </c>
      <c r="B90" s="2">
        <v>14677.8</v>
      </c>
      <c r="C90" s="2">
        <v>14621.105</v>
      </c>
      <c r="D90" s="2">
        <v>14732.257000000001</v>
      </c>
      <c r="E90" s="2" t="s">
        <v>29</v>
      </c>
    </row>
    <row r="91" spans="1:5" x14ac:dyDescent="0.3">
      <c r="A91" s="3">
        <v>44333</v>
      </c>
      <c r="B91" s="2">
        <v>14923.15</v>
      </c>
      <c r="C91" s="2">
        <v>14629.755000000001</v>
      </c>
      <c r="D91" s="2">
        <v>14723.866000000004</v>
      </c>
      <c r="E91" s="2" t="s">
        <v>29</v>
      </c>
    </row>
    <row r="92" spans="1:5" x14ac:dyDescent="0.3">
      <c r="A92" s="3">
        <v>44334</v>
      </c>
      <c r="B92" s="2">
        <v>15108.1</v>
      </c>
      <c r="C92" s="2">
        <v>14646.84</v>
      </c>
      <c r="D92" s="2">
        <v>14731.746000000003</v>
      </c>
      <c r="E92" s="2" t="s">
        <v>29</v>
      </c>
    </row>
    <row r="93" spans="1:5" x14ac:dyDescent="0.3">
      <c r="A93" s="3">
        <v>44335</v>
      </c>
      <c r="B93" s="2">
        <v>15030.15</v>
      </c>
      <c r="C93" s="2">
        <v>14671.352499999999</v>
      </c>
      <c r="D93" s="2">
        <v>14738.677000000001</v>
      </c>
      <c r="E93" s="2" t="s">
        <v>29</v>
      </c>
    </row>
    <row r="94" spans="1:5" x14ac:dyDescent="0.3">
      <c r="A94" s="3">
        <v>44336</v>
      </c>
      <c r="B94" s="2">
        <v>14906.05</v>
      </c>
      <c r="C94" s="2">
        <v>14704.887500000001</v>
      </c>
      <c r="D94" s="2">
        <v>14740.898000000001</v>
      </c>
      <c r="E94" s="2" t="s">
        <v>29</v>
      </c>
    </row>
    <row r="95" spans="1:5" x14ac:dyDescent="0.3">
      <c r="A95" s="3">
        <v>44337</v>
      </c>
      <c r="B95" s="2">
        <v>15175.3</v>
      </c>
      <c r="C95" s="2">
        <v>14735.369999999999</v>
      </c>
      <c r="D95" s="2">
        <v>14734.107</v>
      </c>
      <c r="E95" s="2" t="s">
        <v>29</v>
      </c>
    </row>
    <row r="96" spans="1:5" x14ac:dyDescent="0.3">
      <c r="A96" s="3">
        <v>44340</v>
      </c>
      <c r="B96" s="2">
        <v>15197.7</v>
      </c>
      <c r="C96" s="2">
        <v>14773.827499999996</v>
      </c>
      <c r="D96" s="2">
        <v>14735.998000000003</v>
      </c>
      <c r="E96" s="2" t="s">
        <v>29</v>
      </c>
    </row>
    <row r="97" spans="1:5" x14ac:dyDescent="0.3">
      <c r="A97" s="3">
        <v>44341</v>
      </c>
      <c r="B97" s="2">
        <v>15208.45</v>
      </c>
      <c r="C97" s="2">
        <v>14816.644999999999</v>
      </c>
      <c r="D97" s="2">
        <v>14741.190000000002</v>
      </c>
      <c r="E97" s="2" t="s">
        <v>29</v>
      </c>
    </row>
    <row r="98" spans="1:5" x14ac:dyDescent="0.3">
      <c r="A98" s="3">
        <v>44342</v>
      </c>
      <c r="B98" s="2">
        <v>15301.45</v>
      </c>
      <c r="C98" s="2">
        <v>14852.817500000001</v>
      </c>
      <c r="D98" s="2">
        <v>14746.235000000001</v>
      </c>
      <c r="E98" s="2" t="s">
        <v>29</v>
      </c>
    </row>
    <row r="99" spans="1:5" x14ac:dyDescent="0.3">
      <c r="A99" s="3">
        <v>44343</v>
      </c>
      <c r="B99" s="2">
        <v>15337.85</v>
      </c>
      <c r="C99" s="2">
        <v>14885.237499999999</v>
      </c>
      <c r="D99" s="2">
        <v>14750.296</v>
      </c>
      <c r="E99" s="2" t="s">
        <v>29</v>
      </c>
    </row>
    <row r="100" spans="1:5" x14ac:dyDescent="0.3">
      <c r="A100" s="3">
        <v>44344</v>
      </c>
      <c r="B100" s="2">
        <v>15435.65</v>
      </c>
      <c r="C100" s="2">
        <v>14908.902499999997</v>
      </c>
      <c r="D100" s="2">
        <v>14753.556999999999</v>
      </c>
      <c r="E100" s="2" t="s">
        <v>29</v>
      </c>
    </row>
    <row r="101" spans="1:5" x14ac:dyDescent="0.3">
      <c r="A101" s="3">
        <v>44347</v>
      </c>
      <c r="B101" s="2">
        <v>15582.8</v>
      </c>
      <c r="C101" s="2">
        <v>14935.939999999999</v>
      </c>
      <c r="D101" s="2">
        <v>14761.650999999998</v>
      </c>
      <c r="E101" s="2" t="s">
        <v>29</v>
      </c>
    </row>
    <row r="102" spans="1:5" x14ac:dyDescent="0.3">
      <c r="A102" s="3">
        <v>44348</v>
      </c>
      <c r="B102" s="2">
        <v>15574.85</v>
      </c>
      <c r="C102" s="2">
        <v>14983.525</v>
      </c>
      <c r="D102" s="2">
        <v>14774.717000000002</v>
      </c>
      <c r="E102" s="2" t="s">
        <v>29</v>
      </c>
    </row>
    <row r="103" spans="1:5" x14ac:dyDescent="0.3">
      <c r="A103" s="3">
        <v>44349</v>
      </c>
      <c r="B103" s="2">
        <v>15576.2</v>
      </c>
      <c r="C103" s="2">
        <v>15030.560000000001</v>
      </c>
      <c r="D103" s="2">
        <v>14788.004999999999</v>
      </c>
      <c r="E103" s="2" t="s">
        <v>29</v>
      </c>
    </row>
    <row r="104" spans="1:5" x14ac:dyDescent="0.3">
      <c r="A104" s="3">
        <v>44350</v>
      </c>
      <c r="B104" s="2">
        <v>15690.35</v>
      </c>
      <c r="C104" s="2">
        <v>15084.544999999998</v>
      </c>
      <c r="D104" s="2">
        <v>14805.102999999997</v>
      </c>
      <c r="E104" s="2" t="s">
        <v>29</v>
      </c>
    </row>
    <row r="105" spans="1:5" x14ac:dyDescent="0.3">
      <c r="A105" s="3">
        <v>44351</v>
      </c>
      <c r="B105" s="2">
        <v>15670.25</v>
      </c>
      <c r="C105" s="2">
        <v>15138.169999999998</v>
      </c>
      <c r="D105" s="2">
        <v>14827.752999999999</v>
      </c>
      <c r="E105" s="2" t="s">
        <v>29</v>
      </c>
    </row>
    <row r="106" spans="1:5" x14ac:dyDescent="0.3">
      <c r="A106" s="3">
        <v>44354</v>
      </c>
      <c r="B106" s="2">
        <v>15751.65</v>
      </c>
      <c r="C106" s="2">
        <v>15185.442499999999</v>
      </c>
      <c r="D106" s="2">
        <v>14846.277999999998</v>
      </c>
      <c r="E106" s="2" t="s">
        <v>29</v>
      </c>
    </row>
    <row r="107" spans="1:5" x14ac:dyDescent="0.3">
      <c r="A107" s="3">
        <v>44355</v>
      </c>
      <c r="B107" s="2">
        <v>15740.1</v>
      </c>
      <c r="C107" s="2">
        <v>15231.867500000002</v>
      </c>
      <c r="D107" s="2">
        <v>14866.582999999999</v>
      </c>
      <c r="E107" s="2" t="s">
        <v>29</v>
      </c>
    </row>
    <row r="108" spans="1:5" x14ac:dyDescent="0.3">
      <c r="A108" s="3">
        <v>44356</v>
      </c>
      <c r="B108" s="2">
        <v>15635.35</v>
      </c>
      <c r="C108" s="2">
        <v>15271.755000000001</v>
      </c>
      <c r="D108" s="2">
        <v>14885.089999999998</v>
      </c>
      <c r="E108" s="2" t="s">
        <v>29</v>
      </c>
    </row>
    <row r="109" spans="1:5" x14ac:dyDescent="0.3">
      <c r="A109" s="3">
        <v>44357</v>
      </c>
      <c r="B109" s="2">
        <v>15737.75</v>
      </c>
      <c r="C109" s="2">
        <v>15310.985000000001</v>
      </c>
      <c r="D109" s="2">
        <v>14906.808999999997</v>
      </c>
      <c r="E109" s="2" t="s">
        <v>29</v>
      </c>
    </row>
    <row r="110" spans="1:5" x14ac:dyDescent="0.3">
      <c r="A110" s="3">
        <v>44358</v>
      </c>
      <c r="B110" s="2">
        <v>15799.35</v>
      </c>
      <c r="C110" s="2">
        <v>15363.047499999997</v>
      </c>
      <c r="D110" s="2">
        <v>14935.065999999997</v>
      </c>
      <c r="E110" s="2" t="s">
        <v>29</v>
      </c>
    </row>
    <row r="111" spans="1:5" x14ac:dyDescent="0.3">
      <c r="A111" s="3">
        <v>44361</v>
      </c>
      <c r="B111" s="2">
        <v>15811.85</v>
      </c>
      <c r="C111" s="2">
        <v>15419.124999999996</v>
      </c>
      <c r="D111" s="2">
        <v>14960.906999999996</v>
      </c>
      <c r="E111" s="2" t="s">
        <v>29</v>
      </c>
    </row>
    <row r="112" spans="1:5" x14ac:dyDescent="0.3">
      <c r="A112" s="3">
        <v>44362</v>
      </c>
      <c r="B112" s="2">
        <v>15869.25</v>
      </c>
      <c r="C112" s="2">
        <v>15463.559999999998</v>
      </c>
      <c r="D112" s="2">
        <v>14980.241999999997</v>
      </c>
      <c r="E112" s="2" t="s">
        <v>29</v>
      </c>
    </row>
    <row r="113" spans="1:5" x14ac:dyDescent="0.3">
      <c r="A113" s="3">
        <v>44363</v>
      </c>
      <c r="B113" s="2">
        <v>15767.55</v>
      </c>
      <c r="C113" s="2">
        <v>15501.617499999998</v>
      </c>
      <c r="D113" s="2">
        <v>15003.812999999998</v>
      </c>
      <c r="E113" s="2" t="s">
        <v>29</v>
      </c>
    </row>
    <row r="114" spans="1:5" x14ac:dyDescent="0.3">
      <c r="A114" s="3">
        <v>44364</v>
      </c>
      <c r="B114" s="2">
        <v>15691.4</v>
      </c>
      <c r="C114" s="2">
        <v>15538.487499999999</v>
      </c>
      <c r="D114" s="2">
        <v>15021.816999999999</v>
      </c>
      <c r="E114" s="2" t="s">
        <v>29</v>
      </c>
    </row>
    <row r="115" spans="1:5" x14ac:dyDescent="0.3">
      <c r="A115" s="3">
        <v>44365</v>
      </c>
      <c r="B115" s="2">
        <v>15683.35</v>
      </c>
      <c r="C115" s="2">
        <v>15577.755000000001</v>
      </c>
      <c r="D115" s="2">
        <v>15042.888999999999</v>
      </c>
      <c r="E115" s="2" t="s">
        <v>29</v>
      </c>
    </row>
    <row r="116" spans="1:5" x14ac:dyDescent="0.3">
      <c r="A116" s="3">
        <v>44368</v>
      </c>
      <c r="B116" s="2">
        <v>15746.5</v>
      </c>
      <c r="C116" s="2">
        <v>15603.157500000001</v>
      </c>
      <c r="D116" s="2">
        <v>15062.885999999997</v>
      </c>
      <c r="E116" s="2" t="s">
        <v>29</v>
      </c>
    </row>
    <row r="117" spans="1:5" x14ac:dyDescent="0.3">
      <c r="A117" s="3">
        <v>44369</v>
      </c>
      <c r="B117" s="2">
        <v>15772.75</v>
      </c>
      <c r="C117" s="2">
        <v>15630.5975</v>
      </c>
      <c r="D117" s="2">
        <v>15081.434999999998</v>
      </c>
      <c r="E117" s="2" t="s">
        <v>29</v>
      </c>
    </row>
    <row r="118" spans="1:5" x14ac:dyDescent="0.3">
      <c r="A118" s="3">
        <v>44370</v>
      </c>
      <c r="B118" s="2">
        <v>15686.95</v>
      </c>
      <c r="C118" s="2">
        <v>15658.8125</v>
      </c>
      <c r="D118" s="2">
        <v>15099.413999999997</v>
      </c>
      <c r="E118" s="2" t="s">
        <v>29</v>
      </c>
    </row>
    <row r="119" spans="1:5" x14ac:dyDescent="0.3">
      <c r="A119" s="3">
        <v>44371</v>
      </c>
      <c r="B119" s="2">
        <v>15790.45</v>
      </c>
      <c r="C119" s="2">
        <v>15678.0875</v>
      </c>
      <c r="D119" s="2">
        <v>15116.455999999998</v>
      </c>
      <c r="E119" s="2" t="s">
        <v>29</v>
      </c>
    </row>
    <row r="120" spans="1:5" x14ac:dyDescent="0.3">
      <c r="A120" s="3">
        <v>44372</v>
      </c>
      <c r="B120" s="2">
        <v>15860.35</v>
      </c>
      <c r="C120" s="2">
        <v>15700.717500000002</v>
      </c>
      <c r="D120" s="2">
        <v>15146.048999999997</v>
      </c>
      <c r="E120" s="2" t="s">
        <v>29</v>
      </c>
    </row>
    <row r="121" spans="1:5" x14ac:dyDescent="0.3">
      <c r="A121" s="3">
        <v>44375</v>
      </c>
      <c r="B121" s="2">
        <v>15814.7</v>
      </c>
      <c r="C121" s="2">
        <v>15721.952500000003</v>
      </c>
      <c r="D121" s="2">
        <v>15173.159999999998</v>
      </c>
      <c r="E121" s="2" t="s">
        <v>29</v>
      </c>
    </row>
    <row r="122" spans="1:5" x14ac:dyDescent="0.3">
      <c r="A122" s="3">
        <v>44376</v>
      </c>
      <c r="B122" s="2">
        <v>15748.45</v>
      </c>
      <c r="C122" s="2">
        <v>15733.547500000001</v>
      </c>
      <c r="D122" s="2">
        <v>15197.824999999995</v>
      </c>
      <c r="E122" s="2" t="s">
        <v>29</v>
      </c>
    </row>
    <row r="123" spans="1:5" x14ac:dyDescent="0.3">
      <c r="A123" s="3">
        <v>44377</v>
      </c>
      <c r="B123" s="2">
        <v>15721.5</v>
      </c>
      <c r="C123" s="2">
        <v>15742.227499999999</v>
      </c>
      <c r="D123" s="2">
        <v>15220.436999999994</v>
      </c>
      <c r="E123" s="2" t="s">
        <v>29</v>
      </c>
    </row>
    <row r="124" spans="1:5" x14ac:dyDescent="0.3">
      <c r="A124" s="3">
        <v>44378</v>
      </c>
      <c r="B124" s="2">
        <v>15680</v>
      </c>
      <c r="C124" s="2">
        <v>15749.492500000002</v>
      </c>
      <c r="D124" s="2">
        <v>15247.677999999996</v>
      </c>
      <c r="E124" s="2" t="s">
        <v>29</v>
      </c>
    </row>
    <row r="125" spans="1:5" x14ac:dyDescent="0.3">
      <c r="A125" s="3">
        <v>44379</v>
      </c>
      <c r="B125" s="2">
        <v>15722.2</v>
      </c>
      <c r="C125" s="2">
        <v>15748.975000000002</v>
      </c>
      <c r="D125" s="2">
        <v>15275.349999999993</v>
      </c>
      <c r="E125" s="2" t="s">
        <v>29</v>
      </c>
    </row>
    <row r="126" spans="1:5" x14ac:dyDescent="0.3">
      <c r="A126" s="3">
        <v>44382</v>
      </c>
      <c r="B126" s="2">
        <v>15834.35</v>
      </c>
      <c r="C126" s="2">
        <v>15751.572500000004</v>
      </c>
      <c r="D126" s="2">
        <v>15301.670999999995</v>
      </c>
      <c r="E126" s="2" t="s">
        <v>29</v>
      </c>
    </row>
    <row r="127" spans="1:5" x14ac:dyDescent="0.3">
      <c r="A127" s="3">
        <v>44383</v>
      </c>
      <c r="B127" s="2">
        <v>15818.25</v>
      </c>
      <c r="C127" s="2">
        <v>15755.7075</v>
      </c>
      <c r="D127" s="2">
        <v>15331.530999999994</v>
      </c>
      <c r="E127" s="2" t="s">
        <v>29</v>
      </c>
    </row>
    <row r="128" spans="1:5" x14ac:dyDescent="0.3">
      <c r="A128" s="3">
        <v>44384</v>
      </c>
      <c r="B128" s="2">
        <v>15879.65</v>
      </c>
      <c r="C128" s="2">
        <v>15759.615</v>
      </c>
      <c r="D128" s="2">
        <v>15358.195999999994</v>
      </c>
      <c r="E128" s="2" t="s">
        <v>29</v>
      </c>
    </row>
    <row r="129" spans="1:5" x14ac:dyDescent="0.3">
      <c r="A129" s="3">
        <v>44385</v>
      </c>
      <c r="B129" s="2">
        <v>15727.9</v>
      </c>
      <c r="C129" s="2">
        <v>15771.830000000002</v>
      </c>
      <c r="D129" s="2">
        <v>15382.727999999994</v>
      </c>
      <c r="E129" s="2" t="s">
        <v>29</v>
      </c>
    </row>
    <row r="130" spans="1:5" x14ac:dyDescent="0.3">
      <c r="A130" s="3">
        <v>44386</v>
      </c>
      <c r="B130" s="2">
        <v>15689.8</v>
      </c>
      <c r="C130" s="2">
        <v>15771.337500000005</v>
      </c>
      <c r="D130" s="2">
        <v>15399.99499999999</v>
      </c>
      <c r="E130" s="2" t="s">
        <v>29</v>
      </c>
    </row>
    <row r="131" spans="1:5" x14ac:dyDescent="0.3">
      <c r="A131" s="3">
        <v>44389</v>
      </c>
      <c r="B131" s="2">
        <v>15692.6</v>
      </c>
      <c r="C131" s="2">
        <v>15765.860000000004</v>
      </c>
      <c r="D131" s="2">
        <v>15415.892999999993</v>
      </c>
      <c r="E131" s="2" t="s">
        <v>29</v>
      </c>
    </row>
    <row r="132" spans="1:5" x14ac:dyDescent="0.3">
      <c r="A132" s="3">
        <v>44390</v>
      </c>
      <c r="B132" s="2">
        <v>15812.35</v>
      </c>
      <c r="C132" s="2">
        <v>15759.897500000001</v>
      </c>
      <c r="D132" s="2">
        <v>15437.122999999994</v>
      </c>
      <c r="E132" s="2" t="s">
        <v>29</v>
      </c>
    </row>
    <row r="133" spans="1:5" x14ac:dyDescent="0.3">
      <c r="A133" s="3">
        <v>44391</v>
      </c>
      <c r="B133" s="2">
        <v>15853.95</v>
      </c>
      <c r="C133" s="2">
        <v>15757.0525</v>
      </c>
      <c r="D133" s="2">
        <v>15460.686999999993</v>
      </c>
      <c r="E133" s="2" t="s">
        <v>29</v>
      </c>
    </row>
    <row r="134" spans="1:5" x14ac:dyDescent="0.3">
      <c r="A134" s="3">
        <v>44392</v>
      </c>
      <c r="B134" s="2">
        <v>15924.2</v>
      </c>
      <c r="C134" s="2">
        <v>15761.372499999998</v>
      </c>
      <c r="D134" s="2">
        <v>15487.835999999992</v>
      </c>
      <c r="E134" s="2" t="s">
        <v>29</v>
      </c>
    </row>
    <row r="135" spans="1:5" x14ac:dyDescent="0.3">
      <c r="A135" s="3">
        <v>44393</v>
      </c>
      <c r="B135" s="2">
        <v>15923.4</v>
      </c>
      <c r="C135" s="2">
        <v>15773.012500000001</v>
      </c>
      <c r="D135" s="2">
        <v>15513.962999999994</v>
      </c>
      <c r="E135" s="2" t="s">
        <v>29</v>
      </c>
    </row>
    <row r="136" spans="1:5" x14ac:dyDescent="0.3">
      <c r="A136" s="3">
        <v>44396</v>
      </c>
      <c r="B136" s="2">
        <v>15752.4</v>
      </c>
      <c r="C136" s="2">
        <v>15785.015000000003</v>
      </c>
      <c r="D136" s="2">
        <v>15537.934999999996</v>
      </c>
      <c r="E136" s="2" t="s">
        <v>29</v>
      </c>
    </row>
    <row r="137" spans="1:5" x14ac:dyDescent="0.3">
      <c r="A137" s="3">
        <v>44397</v>
      </c>
      <c r="B137" s="2">
        <v>15632.1</v>
      </c>
      <c r="C137" s="2">
        <v>15785.310000000003</v>
      </c>
      <c r="D137" s="2">
        <v>15556.519999999995</v>
      </c>
      <c r="E137" s="2" t="s">
        <v>29</v>
      </c>
    </row>
    <row r="138" spans="1:5" x14ac:dyDescent="0.3">
      <c r="A138" s="3">
        <v>44399</v>
      </c>
      <c r="B138" s="2">
        <v>15824.05</v>
      </c>
      <c r="C138" s="2">
        <v>15778.2775</v>
      </c>
      <c r="D138" s="2">
        <v>15570.314999999995</v>
      </c>
      <c r="E138" s="2" t="s">
        <v>29</v>
      </c>
    </row>
    <row r="139" spans="1:5" x14ac:dyDescent="0.3">
      <c r="A139" s="3">
        <v>44400</v>
      </c>
      <c r="B139" s="2">
        <v>15856.05</v>
      </c>
      <c r="C139" s="2">
        <v>15785.132500000002</v>
      </c>
      <c r="D139" s="2">
        <v>15589.780999999999</v>
      </c>
      <c r="E139" s="2" t="s">
        <v>29</v>
      </c>
    </row>
    <row r="140" spans="1:5" x14ac:dyDescent="0.3">
      <c r="A140" s="3">
        <v>44403</v>
      </c>
      <c r="B140" s="2">
        <v>15824.45</v>
      </c>
      <c r="C140" s="2">
        <v>15788.4125</v>
      </c>
      <c r="D140" s="2">
        <v>15612.971999999998</v>
      </c>
      <c r="E140" s="2" t="s">
        <v>29</v>
      </c>
    </row>
    <row r="141" spans="1:5" x14ac:dyDescent="0.3">
      <c r="A141" s="3">
        <v>44404</v>
      </c>
      <c r="B141" s="2">
        <v>15746.45</v>
      </c>
      <c r="C141" s="2">
        <v>15786.617499999998</v>
      </c>
      <c r="D141" s="2">
        <v>15635.904999999997</v>
      </c>
      <c r="E141" s="2" t="s">
        <v>29</v>
      </c>
    </row>
    <row r="142" spans="1:5" x14ac:dyDescent="0.3">
      <c r="A142" s="3">
        <v>44405</v>
      </c>
      <c r="B142" s="2">
        <v>15709.4</v>
      </c>
      <c r="C142" s="2">
        <v>15783.205000000002</v>
      </c>
      <c r="D142" s="2">
        <v>15652.370999999999</v>
      </c>
      <c r="E142" s="2" t="s">
        <v>29</v>
      </c>
    </row>
    <row r="143" spans="1:5" x14ac:dyDescent="0.3">
      <c r="A143" s="3">
        <v>44406</v>
      </c>
      <c r="B143" s="2">
        <v>15778.45</v>
      </c>
      <c r="C143" s="2">
        <v>15781.252500000002</v>
      </c>
      <c r="D143" s="2">
        <v>15664.396999999999</v>
      </c>
      <c r="E143" s="2" t="s">
        <v>29</v>
      </c>
    </row>
    <row r="144" spans="1:5" x14ac:dyDescent="0.3">
      <c r="A144" s="3">
        <v>44407</v>
      </c>
      <c r="B144" s="2">
        <v>15763.05</v>
      </c>
      <c r="C144" s="2">
        <v>15784.100000000002</v>
      </c>
      <c r="D144" s="2">
        <v>15679.362999999998</v>
      </c>
      <c r="E144" s="2" t="s">
        <v>29</v>
      </c>
    </row>
    <row r="145" spans="1:5" x14ac:dyDescent="0.3">
      <c r="A145" s="3">
        <v>44410</v>
      </c>
      <c r="B145" s="2">
        <v>15885.15</v>
      </c>
      <c r="C145" s="2">
        <v>15788.252500000002</v>
      </c>
      <c r="D145" s="2">
        <v>15696.503000000001</v>
      </c>
      <c r="E145" s="2" t="s">
        <v>29</v>
      </c>
    </row>
    <row r="146" spans="1:5" x14ac:dyDescent="0.3">
      <c r="A146" s="3">
        <v>44411</v>
      </c>
      <c r="B146" s="2">
        <v>16130.75</v>
      </c>
      <c r="C146" s="2">
        <v>15796.400000000003</v>
      </c>
      <c r="D146" s="2">
        <v>15710.7</v>
      </c>
      <c r="E146" s="2" t="s">
        <v>29</v>
      </c>
    </row>
    <row r="147" spans="1:5" x14ac:dyDescent="0.3">
      <c r="A147" s="3">
        <v>44412</v>
      </c>
      <c r="B147" s="2">
        <v>16258.8</v>
      </c>
      <c r="C147" s="2">
        <v>15811.220000000001</v>
      </c>
      <c r="D147" s="2">
        <v>15729.361000000001</v>
      </c>
      <c r="E147" s="2" t="s">
        <v>29</v>
      </c>
    </row>
    <row r="148" spans="1:5" x14ac:dyDescent="0.3">
      <c r="A148" s="3">
        <v>44413</v>
      </c>
      <c r="B148" s="2">
        <v>16294.6</v>
      </c>
      <c r="C148" s="2">
        <v>15833.247500000001</v>
      </c>
      <c r="D148" s="2">
        <v>15750.368</v>
      </c>
      <c r="E148" s="2" t="s">
        <v>29</v>
      </c>
    </row>
    <row r="149" spans="1:5" x14ac:dyDescent="0.3">
      <c r="A149" s="3">
        <v>44414</v>
      </c>
      <c r="B149" s="2">
        <v>16238.2</v>
      </c>
      <c r="C149" s="2">
        <v>15853.994999999999</v>
      </c>
      <c r="D149" s="2">
        <v>15770.231000000002</v>
      </c>
      <c r="E149" s="2" t="s">
        <v>29</v>
      </c>
    </row>
    <row r="150" spans="1:5" x14ac:dyDescent="0.3">
      <c r="A150" s="3">
        <v>44417</v>
      </c>
      <c r="B150" s="2">
        <v>16258.25</v>
      </c>
      <c r="C150" s="2">
        <v>15879.509999999998</v>
      </c>
      <c r="D150" s="2">
        <v>15788.238000000001</v>
      </c>
      <c r="E150" s="2" t="s">
        <v>29</v>
      </c>
    </row>
    <row r="151" spans="1:5" x14ac:dyDescent="0.3">
      <c r="A151" s="3">
        <v>44418</v>
      </c>
      <c r="B151" s="2">
        <v>16280.1</v>
      </c>
      <c r="C151" s="2">
        <v>15907.932500000001</v>
      </c>
      <c r="D151" s="2">
        <v>15804.690000000002</v>
      </c>
      <c r="E151" s="2" t="s">
        <v>29</v>
      </c>
    </row>
    <row r="152" spans="1:5" x14ac:dyDescent="0.3">
      <c r="A152" s="3">
        <v>44419</v>
      </c>
      <c r="B152" s="2">
        <v>16282.25</v>
      </c>
      <c r="C152" s="2">
        <v>15937.307499999999</v>
      </c>
      <c r="D152" s="2">
        <v>15818.636</v>
      </c>
      <c r="E152" s="2" t="s">
        <v>29</v>
      </c>
    </row>
    <row r="153" spans="1:5" x14ac:dyDescent="0.3">
      <c r="A153" s="3">
        <v>44420</v>
      </c>
      <c r="B153" s="2">
        <v>16364.4</v>
      </c>
      <c r="C153" s="2">
        <v>15960.8025</v>
      </c>
      <c r="D153" s="2">
        <v>15832.784</v>
      </c>
      <c r="E153" s="2" t="s">
        <v>29</v>
      </c>
    </row>
    <row r="154" spans="1:5" x14ac:dyDescent="0.3">
      <c r="A154" s="3">
        <v>44421</v>
      </c>
      <c r="B154" s="2">
        <v>16529.099999999999</v>
      </c>
      <c r="C154" s="2">
        <v>15986.325000000001</v>
      </c>
      <c r="D154" s="2">
        <v>15848.548000000003</v>
      </c>
      <c r="E154" s="2" t="s">
        <v>29</v>
      </c>
    </row>
    <row r="155" spans="1:5" x14ac:dyDescent="0.3">
      <c r="A155" s="3">
        <v>44424</v>
      </c>
      <c r="B155" s="2">
        <v>16563.05</v>
      </c>
      <c r="C155" s="2">
        <v>16016.569999999998</v>
      </c>
      <c r="D155" s="2">
        <v>15865.323</v>
      </c>
      <c r="E155" s="2" t="s">
        <v>29</v>
      </c>
    </row>
    <row r="156" spans="1:5" x14ac:dyDescent="0.3">
      <c r="A156" s="3">
        <v>44425</v>
      </c>
      <c r="B156" s="2">
        <v>16614.599999999999</v>
      </c>
      <c r="C156" s="2">
        <v>16048.5525</v>
      </c>
      <c r="D156" s="2">
        <v>15883.179000000002</v>
      </c>
      <c r="E156" s="2" t="s">
        <v>29</v>
      </c>
    </row>
    <row r="157" spans="1:5" x14ac:dyDescent="0.3">
      <c r="A157" s="3">
        <v>44426</v>
      </c>
      <c r="B157" s="2">
        <v>16568.849999999999</v>
      </c>
      <c r="C157" s="2">
        <v>16091.662499999997</v>
      </c>
      <c r="D157" s="2">
        <v>15900.438</v>
      </c>
      <c r="E157" s="2" t="s">
        <v>29</v>
      </c>
    </row>
    <row r="158" spans="1:5" x14ac:dyDescent="0.3">
      <c r="A158" s="3">
        <v>44428</v>
      </c>
      <c r="B158" s="2">
        <v>16450.5</v>
      </c>
      <c r="C158" s="2">
        <v>16138.499999999996</v>
      </c>
      <c r="D158" s="2">
        <v>15917.013000000001</v>
      </c>
      <c r="E158" s="2" t="s">
        <v>29</v>
      </c>
    </row>
    <row r="159" spans="1:5" x14ac:dyDescent="0.3">
      <c r="A159" s="3">
        <v>44431</v>
      </c>
      <c r="B159" s="2">
        <v>16496.45</v>
      </c>
      <c r="C159" s="2">
        <v>16169.822499999998</v>
      </c>
      <c r="D159" s="2">
        <v>15933.316000000001</v>
      </c>
      <c r="E159" s="2" t="s">
        <v>29</v>
      </c>
    </row>
    <row r="160" spans="1:5" x14ac:dyDescent="0.3">
      <c r="A160" s="3">
        <v>44432</v>
      </c>
      <c r="B160" s="2">
        <v>16624.599999999999</v>
      </c>
      <c r="C160" s="2">
        <v>16201.842499999999</v>
      </c>
      <c r="D160" s="2">
        <v>15948.490000000002</v>
      </c>
      <c r="E160" s="2" t="s">
        <v>29</v>
      </c>
    </row>
    <row r="161" spans="1:5" x14ac:dyDescent="0.3">
      <c r="A161" s="3">
        <v>44433</v>
      </c>
      <c r="B161" s="2">
        <v>16634.650000000001</v>
      </c>
      <c r="C161" s="2">
        <v>16241.85</v>
      </c>
      <c r="D161" s="2">
        <v>15964.995000000001</v>
      </c>
      <c r="E161" s="2" t="s">
        <v>29</v>
      </c>
    </row>
    <row r="162" spans="1:5" x14ac:dyDescent="0.3">
      <c r="A162" s="3">
        <v>44434</v>
      </c>
      <c r="B162" s="2">
        <v>16636.900000000001</v>
      </c>
      <c r="C162" s="2">
        <v>16286.26</v>
      </c>
      <c r="D162" s="2">
        <v>15981.450999999999</v>
      </c>
      <c r="E162" s="2" t="s">
        <v>29</v>
      </c>
    </row>
    <row r="163" spans="1:5" x14ac:dyDescent="0.3">
      <c r="A163" s="3">
        <v>44435</v>
      </c>
      <c r="B163" s="2">
        <v>16705.2</v>
      </c>
      <c r="C163" s="2">
        <v>16332.635</v>
      </c>
      <c r="D163" s="2">
        <v>15996.804000000002</v>
      </c>
      <c r="E163" s="2" t="s">
        <v>29</v>
      </c>
    </row>
    <row r="164" spans="1:5" x14ac:dyDescent="0.3">
      <c r="A164" s="3">
        <v>44438</v>
      </c>
      <c r="B164" s="2">
        <v>16931.05</v>
      </c>
      <c r="C164" s="2">
        <v>16378.972500000003</v>
      </c>
      <c r="D164" s="2">
        <v>16015.556999999997</v>
      </c>
      <c r="E164" s="2" t="s">
        <v>29</v>
      </c>
    </row>
    <row r="165" spans="1:5" x14ac:dyDescent="0.3">
      <c r="A165" s="3">
        <v>44439</v>
      </c>
      <c r="B165" s="2">
        <v>17132.2</v>
      </c>
      <c r="C165" s="2">
        <v>16437.372500000005</v>
      </c>
      <c r="D165" s="2">
        <v>16040.35</v>
      </c>
      <c r="E165" s="2" t="s">
        <v>29</v>
      </c>
    </row>
    <row r="166" spans="1:5" x14ac:dyDescent="0.3">
      <c r="A166" s="3">
        <v>44440</v>
      </c>
      <c r="B166" s="2">
        <v>17076.25</v>
      </c>
      <c r="C166" s="2">
        <v>16499.725000000002</v>
      </c>
      <c r="D166" s="2">
        <v>16069.326999999999</v>
      </c>
      <c r="E166" s="2" t="s">
        <v>29</v>
      </c>
    </row>
    <row r="167" spans="1:5" x14ac:dyDescent="0.3">
      <c r="A167" s="3">
        <v>44441</v>
      </c>
      <c r="B167" s="2">
        <v>17234.150000000001</v>
      </c>
      <c r="C167" s="2">
        <v>16547.000000000004</v>
      </c>
      <c r="D167" s="2">
        <v>16095.921999999999</v>
      </c>
      <c r="E167" s="2" t="s">
        <v>29</v>
      </c>
    </row>
    <row r="168" spans="1:5" x14ac:dyDescent="0.3">
      <c r="A168" s="3">
        <v>44442</v>
      </c>
      <c r="B168" s="2">
        <v>17323.599999999999</v>
      </c>
      <c r="C168" s="2">
        <v>16595.767500000002</v>
      </c>
      <c r="D168" s="2">
        <v>16125.15</v>
      </c>
      <c r="E168" s="2" t="s">
        <v>29</v>
      </c>
    </row>
    <row r="169" spans="1:5" x14ac:dyDescent="0.3">
      <c r="A169" s="3">
        <v>44445</v>
      </c>
      <c r="B169" s="2">
        <v>17377.8</v>
      </c>
      <c r="C169" s="2">
        <v>16647.217500000002</v>
      </c>
      <c r="D169" s="2">
        <v>16157.883</v>
      </c>
      <c r="E169" s="2" t="s">
        <v>29</v>
      </c>
    </row>
    <row r="170" spans="1:5" x14ac:dyDescent="0.3">
      <c r="A170" s="3">
        <v>44446</v>
      </c>
      <c r="B170" s="2">
        <v>17362.099999999999</v>
      </c>
      <c r="C170" s="2">
        <v>16704.197500000002</v>
      </c>
      <c r="D170" s="2">
        <v>16189.63</v>
      </c>
      <c r="E170" s="2" t="s">
        <v>29</v>
      </c>
    </row>
    <row r="171" spans="1:5" x14ac:dyDescent="0.3">
      <c r="A171" s="3">
        <v>44447</v>
      </c>
      <c r="B171" s="2">
        <v>17353.5</v>
      </c>
      <c r="C171" s="2">
        <v>16759.39</v>
      </c>
      <c r="D171" s="2">
        <v>16219.664999999997</v>
      </c>
      <c r="E171" s="2" t="s">
        <v>29</v>
      </c>
    </row>
    <row r="172" spans="1:5" x14ac:dyDescent="0.3">
      <c r="A172" s="3">
        <v>44448</v>
      </c>
      <c r="B172" s="2">
        <v>17369.25</v>
      </c>
      <c r="C172" s="2">
        <v>16813.059999999998</v>
      </c>
      <c r="D172" s="2">
        <v>16250.441000000001</v>
      </c>
      <c r="E172" s="2" t="s">
        <v>29</v>
      </c>
    </row>
    <row r="173" spans="1:5" x14ac:dyDescent="0.3">
      <c r="A173" s="3">
        <v>44452</v>
      </c>
      <c r="B173" s="2">
        <v>17355.3</v>
      </c>
      <c r="C173" s="2">
        <v>16867.409999999996</v>
      </c>
      <c r="D173" s="2">
        <v>16282.857</v>
      </c>
      <c r="E173" s="2" t="s">
        <v>29</v>
      </c>
    </row>
    <row r="174" spans="1:5" x14ac:dyDescent="0.3">
      <c r="A174" s="3">
        <v>44453</v>
      </c>
      <c r="B174" s="2">
        <v>17380</v>
      </c>
      <c r="C174" s="2">
        <v>16916.954999999998</v>
      </c>
      <c r="D174" s="2">
        <v>16315.533000000001</v>
      </c>
      <c r="E174" s="2" t="s">
        <v>29</v>
      </c>
    </row>
    <row r="175" spans="1:5" x14ac:dyDescent="0.3">
      <c r="A175" s="3">
        <v>44454</v>
      </c>
      <c r="B175" s="2">
        <v>17519.45</v>
      </c>
      <c r="C175" s="2">
        <v>16959.499999999996</v>
      </c>
      <c r="D175" s="2">
        <v>16349.533000000001</v>
      </c>
      <c r="E175" s="2" t="s">
        <v>29</v>
      </c>
    </row>
    <row r="176" spans="1:5" x14ac:dyDescent="0.3">
      <c r="A176" s="3">
        <v>44455</v>
      </c>
      <c r="B176" s="2">
        <v>17629.5</v>
      </c>
      <c r="C176" s="2">
        <v>17007.32</v>
      </c>
      <c r="D176" s="2">
        <v>16385.477999999999</v>
      </c>
      <c r="E176" s="2" t="s">
        <v>29</v>
      </c>
    </row>
    <row r="177" spans="1:5" x14ac:dyDescent="0.3">
      <c r="A177" s="3">
        <v>44456</v>
      </c>
      <c r="B177" s="2">
        <v>17585.150000000001</v>
      </c>
      <c r="C177" s="2">
        <v>17058.064999999999</v>
      </c>
      <c r="D177" s="2">
        <v>16421.380999999998</v>
      </c>
      <c r="E177" s="2" t="s">
        <v>29</v>
      </c>
    </row>
    <row r="178" spans="1:5" x14ac:dyDescent="0.3">
      <c r="A178" s="3">
        <v>44459</v>
      </c>
      <c r="B178" s="2">
        <v>17396.900000000001</v>
      </c>
      <c r="C178" s="2">
        <v>17108.88</v>
      </c>
      <c r="D178" s="2">
        <v>16456.718999999997</v>
      </c>
      <c r="E178" s="2" t="s">
        <v>29</v>
      </c>
    </row>
    <row r="179" spans="1:5" x14ac:dyDescent="0.3">
      <c r="A179" s="3">
        <v>44460</v>
      </c>
      <c r="B179" s="2">
        <v>17562</v>
      </c>
      <c r="C179" s="2">
        <v>17156.200000000004</v>
      </c>
      <c r="D179" s="2">
        <v>16487.063999999998</v>
      </c>
      <c r="E179" s="2" t="s">
        <v>29</v>
      </c>
    </row>
    <row r="180" spans="1:5" x14ac:dyDescent="0.3">
      <c r="A180" s="3">
        <v>44461</v>
      </c>
      <c r="B180" s="2">
        <v>17546.650000000001</v>
      </c>
      <c r="C180" s="2">
        <v>17209.477500000001</v>
      </c>
      <c r="D180" s="2">
        <v>16523.745999999999</v>
      </c>
      <c r="E180" s="2" t="s">
        <v>29</v>
      </c>
    </row>
    <row r="181" spans="1:5" x14ac:dyDescent="0.3">
      <c r="A181" s="3">
        <v>44462</v>
      </c>
      <c r="B181" s="2">
        <v>17822.95</v>
      </c>
      <c r="C181" s="2">
        <v>17255.580000000005</v>
      </c>
      <c r="D181" s="2">
        <v>16560.883000000002</v>
      </c>
      <c r="E181" s="2" t="s">
        <v>29</v>
      </c>
    </row>
    <row r="182" spans="1:5" x14ac:dyDescent="0.3">
      <c r="A182" s="3">
        <v>44463</v>
      </c>
      <c r="B182" s="2">
        <v>17853.2</v>
      </c>
      <c r="C182" s="2">
        <v>17314.995000000003</v>
      </c>
      <c r="D182" s="2">
        <v>16603.490000000002</v>
      </c>
      <c r="E182" s="2" t="s">
        <v>29</v>
      </c>
    </row>
    <row r="183" spans="1:5" x14ac:dyDescent="0.3">
      <c r="A183" s="3">
        <v>44466</v>
      </c>
      <c r="B183" s="2">
        <v>17855.099999999999</v>
      </c>
      <c r="C183" s="2">
        <v>17375.810000000005</v>
      </c>
      <c r="D183" s="2">
        <v>16644.307000000001</v>
      </c>
      <c r="E183" s="2" t="s">
        <v>29</v>
      </c>
    </row>
    <row r="184" spans="1:5" x14ac:dyDescent="0.3">
      <c r="A184" s="3">
        <v>44467</v>
      </c>
      <c r="B184" s="2">
        <v>17748.599999999999</v>
      </c>
      <c r="C184" s="2">
        <v>17433.305</v>
      </c>
      <c r="D184" s="2">
        <v>16684.329999999998</v>
      </c>
      <c r="E184" s="2" t="s">
        <v>29</v>
      </c>
    </row>
    <row r="185" spans="1:5" x14ac:dyDescent="0.3">
      <c r="A185" s="3">
        <v>44468</v>
      </c>
      <c r="B185" s="2">
        <v>17711.3</v>
      </c>
      <c r="C185" s="2">
        <v>17474.182499999999</v>
      </c>
      <c r="D185" s="2">
        <v>16720.817999999999</v>
      </c>
      <c r="E185" s="2" t="s">
        <v>29</v>
      </c>
    </row>
    <row r="186" spans="1:5" x14ac:dyDescent="0.3">
      <c r="A186" s="3">
        <v>44469</v>
      </c>
      <c r="B186" s="2">
        <v>17618.150000000001</v>
      </c>
      <c r="C186" s="2">
        <v>17503.137499999997</v>
      </c>
      <c r="D186" s="2">
        <v>16756.576000000001</v>
      </c>
      <c r="E186" s="2" t="s">
        <v>29</v>
      </c>
    </row>
    <row r="187" spans="1:5" x14ac:dyDescent="0.3">
      <c r="A187" s="3">
        <v>44470</v>
      </c>
      <c r="B187" s="2">
        <v>17532.05</v>
      </c>
      <c r="C187" s="2">
        <v>17530.232499999998</v>
      </c>
      <c r="D187" s="2">
        <v>16793.891</v>
      </c>
      <c r="E187" s="2" t="s">
        <v>29</v>
      </c>
    </row>
    <row r="188" spans="1:5" x14ac:dyDescent="0.3">
      <c r="A188" s="3">
        <v>44473</v>
      </c>
      <c r="B188" s="2">
        <v>17691.25</v>
      </c>
      <c r="C188" s="2">
        <v>17545.127499999995</v>
      </c>
      <c r="D188" s="2">
        <v>16831.89</v>
      </c>
      <c r="E188" s="2" t="s">
        <v>29</v>
      </c>
    </row>
    <row r="189" spans="1:5" x14ac:dyDescent="0.3">
      <c r="A189" s="3">
        <v>44474</v>
      </c>
      <c r="B189" s="2">
        <v>17822.3</v>
      </c>
      <c r="C189" s="2">
        <v>17563.509999999998</v>
      </c>
      <c r="D189" s="2">
        <v>16869.234</v>
      </c>
      <c r="E189" s="2" t="s">
        <v>29</v>
      </c>
    </row>
    <row r="190" spans="1:5" x14ac:dyDescent="0.3">
      <c r="A190" s="3">
        <v>44475</v>
      </c>
      <c r="B190" s="2">
        <v>17646</v>
      </c>
      <c r="C190" s="2">
        <v>17585.735000000001</v>
      </c>
      <c r="D190" s="2">
        <v>16908.559000000001</v>
      </c>
      <c r="E190" s="2" t="s">
        <v>29</v>
      </c>
    </row>
    <row r="191" spans="1:5" x14ac:dyDescent="0.3">
      <c r="A191" s="3">
        <v>44476</v>
      </c>
      <c r="B191" s="2">
        <v>17790.349999999999</v>
      </c>
      <c r="C191" s="2">
        <v>17599.93</v>
      </c>
      <c r="D191" s="2">
        <v>16944.990000000002</v>
      </c>
      <c r="E191" s="2" t="s">
        <v>29</v>
      </c>
    </row>
    <row r="192" spans="1:5" x14ac:dyDescent="0.3">
      <c r="A192" s="3">
        <v>44477</v>
      </c>
      <c r="B192" s="2">
        <v>17895.2</v>
      </c>
      <c r="C192" s="2">
        <v>17621.772499999999</v>
      </c>
      <c r="D192" s="2">
        <v>16985.868000000002</v>
      </c>
      <c r="E192" s="2" t="s">
        <v>29</v>
      </c>
    </row>
    <row r="193" spans="1:5" x14ac:dyDescent="0.3">
      <c r="A193" s="3">
        <v>44480</v>
      </c>
      <c r="B193" s="2">
        <v>17945.95</v>
      </c>
      <c r="C193" s="2">
        <v>17648.07</v>
      </c>
      <c r="D193" s="2">
        <v>17029.583999999999</v>
      </c>
      <c r="E193" s="2" t="s">
        <v>29</v>
      </c>
    </row>
    <row r="194" spans="1:5" x14ac:dyDescent="0.3">
      <c r="A194" s="3">
        <v>44481</v>
      </c>
      <c r="B194" s="2">
        <v>17991.95</v>
      </c>
      <c r="C194" s="2">
        <v>17677.602500000001</v>
      </c>
      <c r="D194" s="2">
        <v>17072.933999999997</v>
      </c>
      <c r="E194" s="2" t="s">
        <v>29</v>
      </c>
    </row>
    <row r="195" spans="1:5" x14ac:dyDescent="0.3">
      <c r="A195" s="3">
        <v>44482</v>
      </c>
      <c r="B195" s="2">
        <v>18161.75</v>
      </c>
      <c r="C195" s="2">
        <v>17708.2</v>
      </c>
      <c r="D195" s="2">
        <v>17117.511999999999</v>
      </c>
      <c r="E195" s="2" t="s">
        <v>29</v>
      </c>
    </row>
    <row r="196" spans="1:5" x14ac:dyDescent="0.3">
      <c r="A196" s="3">
        <v>44483</v>
      </c>
      <c r="B196" s="2">
        <v>18338.55</v>
      </c>
      <c r="C196" s="2">
        <v>17740.314999999999</v>
      </c>
      <c r="D196" s="2">
        <v>17163.043999999998</v>
      </c>
      <c r="E196" s="2" t="s">
        <v>29</v>
      </c>
    </row>
    <row r="197" spans="1:5" x14ac:dyDescent="0.3">
      <c r="A197" s="3">
        <v>44487</v>
      </c>
      <c r="B197" s="2">
        <v>18477.05</v>
      </c>
      <c r="C197" s="2">
        <v>17775.767499999998</v>
      </c>
      <c r="D197" s="2">
        <v>17207.2</v>
      </c>
      <c r="E197" s="2" t="s">
        <v>29</v>
      </c>
    </row>
    <row r="198" spans="1:5" x14ac:dyDescent="0.3">
      <c r="A198" s="3">
        <v>44488</v>
      </c>
      <c r="B198" s="2">
        <v>18418.75</v>
      </c>
      <c r="C198" s="2">
        <v>17820.362499999996</v>
      </c>
      <c r="D198" s="2">
        <v>17251.564999999999</v>
      </c>
      <c r="E198" s="2" t="s">
        <v>29</v>
      </c>
    </row>
    <row r="199" spans="1:5" x14ac:dyDescent="0.3">
      <c r="A199" s="3">
        <v>44489</v>
      </c>
      <c r="B199" s="2">
        <v>18266.599999999999</v>
      </c>
      <c r="C199" s="2">
        <v>17871.454999999998</v>
      </c>
      <c r="D199" s="2">
        <v>17294.047999999999</v>
      </c>
      <c r="E199" s="2" t="s">
        <v>29</v>
      </c>
    </row>
    <row r="200" spans="1:5" x14ac:dyDescent="0.3">
      <c r="A200" s="3">
        <v>44490</v>
      </c>
      <c r="B200" s="2">
        <v>18178.099999999999</v>
      </c>
      <c r="C200" s="2">
        <v>17906.684999999998</v>
      </c>
      <c r="D200" s="2">
        <v>17334.615999999998</v>
      </c>
      <c r="E200" s="2" t="s">
        <v>29</v>
      </c>
    </row>
    <row r="201" spans="1:5" x14ac:dyDescent="0.3">
      <c r="A201" s="3">
        <v>44491</v>
      </c>
      <c r="B201" s="2">
        <v>18114.900000000001</v>
      </c>
      <c r="C201" s="2">
        <v>17938.2575</v>
      </c>
      <c r="D201" s="2">
        <v>17373.012999999999</v>
      </c>
      <c r="E201" s="2" t="s">
        <v>29</v>
      </c>
    </row>
    <row r="202" spans="1:5" x14ac:dyDescent="0.3">
      <c r="A202" s="3">
        <v>44494</v>
      </c>
      <c r="B202" s="2">
        <v>18125.400000000001</v>
      </c>
      <c r="C202" s="2">
        <v>17952.855000000003</v>
      </c>
      <c r="D202" s="2">
        <v>17409.709000000003</v>
      </c>
      <c r="E202" s="2">
        <v>15675.584750000004</v>
      </c>
    </row>
    <row r="203" spans="1:5" x14ac:dyDescent="0.3">
      <c r="A203" s="3">
        <v>44495</v>
      </c>
      <c r="B203" s="2">
        <v>18268.400000000001</v>
      </c>
      <c r="C203" s="2">
        <v>17966.465000000004</v>
      </c>
      <c r="D203" s="2">
        <v>17446.572</v>
      </c>
      <c r="E203" s="2">
        <v>15696.119250000003</v>
      </c>
    </row>
    <row r="204" spans="1:5" x14ac:dyDescent="0.3">
      <c r="A204" s="3">
        <v>44496</v>
      </c>
      <c r="B204" s="2">
        <v>18210.95</v>
      </c>
      <c r="C204" s="2">
        <v>17987.13</v>
      </c>
      <c r="D204" s="2">
        <v>17484.652000000006</v>
      </c>
      <c r="E204" s="2">
        <v>15716.796750000003</v>
      </c>
    </row>
    <row r="205" spans="1:5" x14ac:dyDescent="0.3">
      <c r="A205" s="3">
        <v>44497</v>
      </c>
      <c r="B205" s="2">
        <v>17857.25</v>
      </c>
      <c r="C205" s="2">
        <v>18010.247500000005</v>
      </c>
      <c r="D205" s="2">
        <v>17518.289000000001</v>
      </c>
      <c r="E205" s="2">
        <v>15736.854000000003</v>
      </c>
    </row>
    <row r="206" spans="1:5" x14ac:dyDescent="0.3">
      <c r="A206" s="3">
        <v>44498</v>
      </c>
      <c r="B206" s="2">
        <v>17671.650000000001</v>
      </c>
      <c r="C206" s="2">
        <v>18017.545000000006</v>
      </c>
      <c r="D206" s="2">
        <v>17544.172999999999</v>
      </c>
      <c r="E206" s="2">
        <v>15755.409000000003</v>
      </c>
    </row>
    <row r="207" spans="1:5" x14ac:dyDescent="0.3">
      <c r="A207" s="3">
        <v>44501</v>
      </c>
      <c r="B207" s="2">
        <v>17929.650000000001</v>
      </c>
      <c r="C207" s="2">
        <v>18020.220000000005</v>
      </c>
      <c r="D207" s="2">
        <v>17565.314000000002</v>
      </c>
      <c r="E207" s="2">
        <v>15773.080500000004</v>
      </c>
    </row>
    <row r="208" spans="1:5" x14ac:dyDescent="0.3">
      <c r="A208" s="3">
        <v>44502</v>
      </c>
      <c r="B208" s="2">
        <v>17888.95</v>
      </c>
      <c r="C208" s="2">
        <v>18040.100000000002</v>
      </c>
      <c r="D208" s="2">
        <v>17592.53</v>
      </c>
      <c r="E208" s="2">
        <v>15790.992500000002</v>
      </c>
    </row>
    <row r="209" spans="1:5" x14ac:dyDescent="0.3">
      <c r="A209" s="3">
        <v>44503</v>
      </c>
      <c r="B209" s="2">
        <v>17829.2</v>
      </c>
      <c r="C209" s="2">
        <v>18049.985000000004</v>
      </c>
      <c r="D209" s="2">
        <v>17621.298999999999</v>
      </c>
      <c r="E209" s="2">
        <v>15808.013500000003</v>
      </c>
    </row>
    <row r="210" spans="1:5" x14ac:dyDescent="0.3">
      <c r="A210" s="3">
        <v>44504</v>
      </c>
      <c r="B210" s="2">
        <v>17916.8</v>
      </c>
      <c r="C210" s="2">
        <v>18050.330000000002</v>
      </c>
      <c r="D210" s="2">
        <v>17647.953999999998</v>
      </c>
      <c r="E210" s="2">
        <v>15824.342250000005</v>
      </c>
    </row>
    <row r="211" spans="1:5" x14ac:dyDescent="0.3">
      <c r="A211" s="3">
        <v>44508</v>
      </c>
      <c r="B211" s="2">
        <v>18068.55</v>
      </c>
      <c r="C211" s="2">
        <v>18063.870000000003</v>
      </c>
      <c r="D211" s="2">
        <v>17673.797999999999</v>
      </c>
      <c r="E211" s="2">
        <v>15841.102000000004</v>
      </c>
    </row>
    <row r="212" spans="1:5" x14ac:dyDescent="0.3">
      <c r="A212" s="3">
        <v>44509</v>
      </c>
      <c r="B212" s="2">
        <v>18044.25</v>
      </c>
      <c r="C212" s="2">
        <v>18077.780000000002</v>
      </c>
      <c r="D212" s="2">
        <v>17702.476000000002</v>
      </c>
      <c r="E212" s="2">
        <v>15858.466750000003</v>
      </c>
    </row>
    <row r="213" spans="1:5" x14ac:dyDescent="0.3">
      <c r="A213" s="3">
        <v>44510</v>
      </c>
      <c r="B213" s="2">
        <v>18017.2</v>
      </c>
      <c r="C213" s="2">
        <v>18085.232500000002</v>
      </c>
      <c r="D213" s="2">
        <v>17730.623</v>
      </c>
      <c r="E213" s="2">
        <v>15876.519500000002</v>
      </c>
    </row>
    <row r="214" spans="1:5" x14ac:dyDescent="0.3">
      <c r="A214" s="3">
        <v>44511</v>
      </c>
      <c r="B214" s="2">
        <v>17873.599999999999</v>
      </c>
      <c r="C214" s="2">
        <v>18088.794999999998</v>
      </c>
      <c r="D214" s="2">
        <v>17756.862999999998</v>
      </c>
      <c r="E214" s="2">
        <v>15895.199000000004</v>
      </c>
    </row>
    <row r="215" spans="1:5" x14ac:dyDescent="0.3">
      <c r="A215" s="3">
        <v>44512</v>
      </c>
      <c r="B215" s="2">
        <v>18102.75</v>
      </c>
      <c r="C215" s="2">
        <v>18082.877499999999</v>
      </c>
      <c r="D215" s="2">
        <v>17775.714</v>
      </c>
      <c r="E215" s="2">
        <v>15911.961250000004</v>
      </c>
    </row>
    <row r="216" spans="1:5" x14ac:dyDescent="0.3">
      <c r="A216" s="3">
        <v>44515</v>
      </c>
      <c r="B216" s="2">
        <v>18109.45</v>
      </c>
      <c r="C216" s="2">
        <v>18079.927499999998</v>
      </c>
      <c r="D216" s="2">
        <v>17795.125</v>
      </c>
      <c r="E216" s="2">
        <v>15929.251500000004</v>
      </c>
    </row>
    <row r="217" spans="1:5" x14ac:dyDescent="0.3">
      <c r="A217" s="3">
        <v>44516</v>
      </c>
      <c r="B217" s="2">
        <v>17999.2</v>
      </c>
      <c r="C217" s="2">
        <v>18068.4725</v>
      </c>
      <c r="D217" s="2">
        <v>17815.789000000001</v>
      </c>
      <c r="E217" s="2">
        <v>15946.847000000003</v>
      </c>
    </row>
    <row r="218" spans="1:5" x14ac:dyDescent="0.3">
      <c r="A218" s="3">
        <v>44517</v>
      </c>
      <c r="B218" s="2">
        <v>17898.650000000001</v>
      </c>
      <c r="C218" s="2">
        <v>18044.579999999998</v>
      </c>
      <c r="D218" s="2">
        <v>17831.089999999997</v>
      </c>
      <c r="E218" s="2">
        <v>15964.983500000006</v>
      </c>
    </row>
    <row r="219" spans="1:5" x14ac:dyDescent="0.3">
      <c r="A219" s="3">
        <v>44518</v>
      </c>
      <c r="B219" s="2">
        <v>17764.8</v>
      </c>
      <c r="C219" s="2">
        <v>18018.575000000001</v>
      </c>
      <c r="D219" s="2">
        <v>17842.590999999997</v>
      </c>
      <c r="E219" s="2">
        <v>15983.282250000006</v>
      </c>
    </row>
    <row r="220" spans="1:5" x14ac:dyDescent="0.3">
      <c r="A220" s="3">
        <v>44522</v>
      </c>
      <c r="B220" s="2">
        <v>17416.55</v>
      </c>
      <c r="C220" s="2">
        <v>17993.485000000001</v>
      </c>
      <c r="D220" s="2">
        <v>17850.330999999998</v>
      </c>
      <c r="E220" s="2">
        <v>16002.268750000005</v>
      </c>
    </row>
    <row r="221" spans="1:5" x14ac:dyDescent="0.3">
      <c r="A221" s="3">
        <v>44523</v>
      </c>
      <c r="B221" s="2">
        <v>17503.349999999999</v>
      </c>
      <c r="C221" s="2">
        <v>17955.407500000001</v>
      </c>
      <c r="D221" s="2">
        <v>17851.419999999998</v>
      </c>
      <c r="E221" s="2">
        <v>16020.263750000006</v>
      </c>
    </row>
    <row r="222" spans="1:5" x14ac:dyDescent="0.3">
      <c r="A222" s="3">
        <v>44524</v>
      </c>
      <c r="B222" s="2">
        <v>17415.05</v>
      </c>
      <c r="C222" s="2">
        <v>17924.829999999998</v>
      </c>
      <c r="D222" s="2">
        <v>17854.416999999998</v>
      </c>
      <c r="E222" s="2">
        <v>16039.607500000006</v>
      </c>
    </row>
    <row r="223" spans="1:5" x14ac:dyDescent="0.3">
      <c r="A223" s="3">
        <v>44525</v>
      </c>
      <c r="B223" s="2">
        <v>17536.25</v>
      </c>
      <c r="C223" s="2">
        <v>17889.312499999996</v>
      </c>
      <c r="D223" s="2">
        <v>17855.332999999999</v>
      </c>
      <c r="E223" s="2">
        <v>16055.276750000003</v>
      </c>
    </row>
    <row r="224" spans="1:5" x14ac:dyDescent="0.3">
      <c r="A224" s="3">
        <v>44526</v>
      </c>
      <c r="B224" s="2">
        <v>17026.45</v>
      </c>
      <c r="C224" s="2">
        <v>17852.704999999998</v>
      </c>
      <c r="D224" s="2">
        <v>17858.952000000001</v>
      </c>
      <c r="E224" s="2">
        <v>16069.718750000002</v>
      </c>
    </row>
    <row r="225" spans="1:5" x14ac:dyDescent="0.3">
      <c r="A225" s="3">
        <v>44529</v>
      </c>
      <c r="B225" s="2">
        <v>17053.95</v>
      </c>
      <c r="C225" s="2">
        <v>17793.48</v>
      </c>
      <c r="D225" s="2">
        <v>17851.880999999998</v>
      </c>
      <c r="E225" s="2">
        <v>16080.901250000004</v>
      </c>
    </row>
    <row r="226" spans="1:5" x14ac:dyDescent="0.3">
      <c r="A226" s="3">
        <v>44530</v>
      </c>
      <c r="B226" s="2">
        <v>16983.2</v>
      </c>
      <c r="C226" s="2">
        <v>17753.314999999999</v>
      </c>
      <c r="D226" s="2">
        <v>17842.571</v>
      </c>
      <c r="E226" s="2">
        <v>16091.692750000006</v>
      </c>
    </row>
    <row r="227" spans="1:5" x14ac:dyDescent="0.3">
      <c r="A227" s="3">
        <v>44531</v>
      </c>
      <c r="B227" s="2">
        <v>17166.900000000001</v>
      </c>
      <c r="C227" s="2">
        <v>17718.892500000002</v>
      </c>
      <c r="D227" s="2">
        <v>17829.644999999997</v>
      </c>
      <c r="E227" s="2">
        <v>16101.987500000005</v>
      </c>
    </row>
    <row r="228" spans="1:5" x14ac:dyDescent="0.3">
      <c r="A228" s="3">
        <v>44532</v>
      </c>
      <c r="B228" s="2">
        <v>17401.650000000001</v>
      </c>
      <c r="C228" s="2">
        <v>17680.755000000001</v>
      </c>
      <c r="D228" s="2">
        <v>17821.28</v>
      </c>
      <c r="E228" s="2">
        <v>16112.243000000006</v>
      </c>
    </row>
    <row r="229" spans="1:5" x14ac:dyDescent="0.3">
      <c r="A229" s="3">
        <v>44533</v>
      </c>
      <c r="B229" s="2">
        <v>17196.7</v>
      </c>
      <c r="C229" s="2">
        <v>17656.390000000007</v>
      </c>
      <c r="D229" s="2">
        <v>17821.375</v>
      </c>
      <c r="E229" s="2">
        <v>16123.704750000003</v>
      </c>
    </row>
    <row r="230" spans="1:5" x14ac:dyDescent="0.3">
      <c r="A230" s="3">
        <v>44536</v>
      </c>
      <c r="B230" s="2">
        <v>16912.25</v>
      </c>
      <c r="C230" s="2">
        <v>17624.765000000003</v>
      </c>
      <c r="D230" s="2">
        <v>17814.069</v>
      </c>
      <c r="E230" s="2">
        <v>16134.155750000004</v>
      </c>
    </row>
    <row r="231" spans="1:5" x14ac:dyDescent="0.3">
      <c r="A231" s="3">
        <v>44537</v>
      </c>
      <c r="B231" s="2">
        <v>17176.7</v>
      </c>
      <c r="C231" s="2">
        <v>17574.537500000002</v>
      </c>
      <c r="D231" s="2">
        <v>17801.381000000001</v>
      </c>
      <c r="E231" s="2">
        <v>16142.850500000006</v>
      </c>
    </row>
    <row r="232" spans="1:5" x14ac:dyDescent="0.3">
      <c r="A232" s="3">
        <v>44538</v>
      </c>
      <c r="B232" s="2">
        <v>17469.75</v>
      </c>
      <c r="C232" s="2">
        <v>17529.945</v>
      </c>
      <c r="D232" s="2">
        <v>17788.455999999998</v>
      </c>
      <c r="E232" s="2">
        <v>16152.917500000005</v>
      </c>
    </row>
    <row r="233" spans="1:5" x14ac:dyDescent="0.3">
      <c r="A233" s="3">
        <v>44539</v>
      </c>
      <c r="B233" s="2">
        <v>17516.849999999999</v>
      </c>
      <c r="C233" s="2">
        <v>17501.220000000005</v>
      </c>
      <c r="D233" s="2">
        <v>17780.787</v>
      </c>
      <c r="E233" s="2">
        <v>16163.692750000004</v>
      </c>
    </row>
    <row r="234" spans="1:5" x14ac:dyDescent="0.3">
      <c r="A234" s="3">
        <v>44540</v>
      </c>
      <c r="B234" s="2">
        <v>17511.3</v>
      </c>
      <c r="C234" s="2">
        <v>17476.202500000003</v>
      </c>
      <c r="D234" s="2">
        <v>17774.021999999997</v>
      </c>
      <c r="E234" s="2">
        <v>16174.709750000005</v>
      </c>
    </row>
    <row r="235" spans="1:5" x14ac:dyDescent="0.3">
      <c r="A235" s="3">
        <v>44543</v>
      </c>
      <c r="B235" s="2">
        <v>17368.25</v>
      </c>
      <c r="C235" s="2">
        <v>17458.087500000001</v>
      </c>
      <c r="D235" s="2">
        <v>17769.276000000002</v>
      </c>
      <c r="E235" s="2">
        <v>16186.221750000002</v>
      </c>
    </row>
    <row r="236" spans="1:5" x14ac:dyDescent="0.3">
      <c r="A236" s="3">
        <v>44544</v>
      </c>
      <c r="B236" s="2">
        <v>17324.900000000001</v>
      </c>
      <c r="C236" s="2">
        <v>17421.362499999999</v>
      </c>
      <c r="D236" s="2">
        <v>17762.415000000001</v>
      </c>
      <c r="E236" s="2">
        <v>16197.468250000004</v>
      </c>
    </row>
    <row r="237" spans="1:5" x14ac:dyDescent="0.3">
      <c r="A237" s="3">
        <v>44545</v>
      </c>
      <c r="B237" s="2">
        <v>17221.400000000001</v>
      </c>
      <c r="C237" s="2">
        <v>17382.135000000002</v>
      </c>
      <c r="D237" s="2">
        <v>17756.55</v>
      </c>
      <c r="E237" s="2">
        <v>16209.184000000007</v>
      </c>
    </row>
    <row r="238" spans="1:5" x14ac:dyDescent="0.3">
      <c r="A238" s="3">
        <v>44546</v>
      </c>
      <c r="B238" s="2">
        <v>17248.400000000001</v>
      </c>
      <c r="C238" s="2">
        <v>17343.245000000003</v>
      </c>
      <c r="D238" s="2">
        <v>17750.337000000003</v>
      </c>
      <c r="E238" s="2">
        <v>16221.912500000004</v>
      </c>
    </row>
    <row r="239" spans="1:5" x14ac:dyDescent="0.3">
      <c r="A239" s="3">
        <v>44547</v>
      </c>
      <c r="B239" s="2">
        <v>16985.2</v>
      </c>
      <c r="C239" s="2">
        <v>17310.732500000006</v>
      </c>
      <c r="D239" s="2">
        <v>17741.480000000003</v>
      </c>
      <c r="E239" s="2">
        <v>16234.615500000005</v>
      </c>
    </row>
    <row r="240" spans="1:5" x14ac:dyDescent="0.3">
      <c r="A240" s="3">
        <v>44550</v>
      </c>
      <c r="B240" s="2">
        <v>16614.2</v>
      </c>
      <c r="C240" s="2">
        <v>17271.752500000006</v>
      </c>
      <c r="D240" s="2">
        <v>17724.738000000001</v>
      </c>
      <c r="E240" s="2">
        <v>16244.631500000007</v>
      </c>
    </row>
    <row r="241" spans="1:5" x14ac:dyDescent="0.3">
      <c r="A241" s="3">
        <v>44551</v>
      </c>
      <c r="B241" s="2">
        <v>16770.849999999999</v>
      </c>
      <c r="C241" s="2">
        <v>17231.635000000002</v>
      </c>
      <c r="D241" s="2">
        <v>17704.101999999999</v>
      </c>
      <c r="E241" s="2">
        <v>16252.215750000005</v>
      </c>
    </row>
    <row r="242" spans="1:5" x14ac:dyDescent="0.3">
      <c r="A242" s="3">
        <v>44552</v>
      </c>
      <c r="B242" s="2">
        <v>16955.45</v>
      </c>
      <c r="C242" s="2">
        <v>17195.010000000002</v>
      </c>
      <c r="D242" s="2">
        <v>17683.711999999996</v>
      </c>
      <c r="E242" s="2">
        <v>16263.424250000004</v>
      </c>
    </row>
    <row r="243" spans="1:5" x14ac:dyDescent="0.3">
      <c r="A243" s="3">
        <v>44553</v>
      </c>
      <c r="B243" s="2">
        <v>17072.599999999999</v>
      </c>
      <c r="C243" s="2">
        <v>17172.03</v>
      </c>
      <c r="D243" s="2">
        <v>17664.916999999994</v>
      </c>
      <c r="E243" s="2">
        <v>16274.393750000005</v>
      </c>
    </row>
    <row r="244" spans="1:5" x14ac:dyDescent="0.3">
      <c r="A244" s="3">
        <v>44554</v>
      </c>
      <c r="B244" s="2">
        <v>17003.75</v>
      </c>
      <c r="C244" s="2">
        <v>17148.847499999996</v>
      </c>
      <c r="D244" s="2">
        <v>17647.449999999993</v>
      </c>
      <c r="E244" s="2">
        <v>16285.161250000005</v>
      </c>
    </row>
    <row r="245" spans="1:5" x14ac:dyDescent="0.3">
      <c r="A245" s="3">
        <v>44557</v>
      </c>
      <c r="B245" s="2">
        <v>17086.25</v>
      </c>
      <c r="C245" s="2">
        <v>17147.712499999998</v>
      </c>
      <c r="D245" s="2">
        <v>17627.685999999994</v>
      </c>
      <c r="E245" s="2">
        <v>16293.952000000005</v>
      </c>
    </row>
    <row r="246" spans="1:5" x14ac:dyDescent="0.3">
      <c r="A246" s="3">
        <v>44558</v>
      </c>
      <c r="B246" s="2">
        <v>17233.25</v>
      </c>
      <c r="C246" s="2">
        <v>17149.327499999999</v>
      </c>
      <c r="D246" s="2">
        <v>17606.175999999996</v>
      </c>
      <c r="E246" s="2">
        <v>16303.979500000007</v>
      </c>
    </row>
    <row r="247" spans="1:5" x14ac:dyDescent="0.3">
      <c r="A247" s="3">
        <v>44559</v>
      </c>
      <c r="B247" s="2">
        <v>17213.599999999999</v>
      </c>
      <c r="C247" s="2">
        <v>17161.829999999998</v>
      </c>
      <c r="D247" s="2">
        <v>17584.069999999996</v>
      </c>
      <c r="E247" s="2">
        <v>16315.455250000006</v>
      </c>
    </row>
    <row r="248" spans="1:5" x14ac:dyDescent="0.3">
      <c r="A248" s="3">
        <v>44560</v>
      </c>
      <c r="B248" s="2">
        <v>17203.95</v>
      </c>
      <c r="C248" s="2">
        <v>17164.165000000001</v>
      </c>
      <c r="D248" s="2">
        <v>17558.800999999996</v>
      </c>
      <c r="E248" s="2">
        <v>16326.742250000005</v>
      </c>
    </row>
    <row r="249" spans="1:5" x14ac:dyDescent="0.3">
      <c r="A249" s="3">
        <v>44561</v>
      </c>
      <c r="B249" s="2">
        <v>17354.05</v>
      </c>
      <c r="C249" s="2">
        <v>17154.280000000002</v>
      </c>
      <c r="D249" s="2">
        <v>17534.504999999994</v>
      </c>
      <c r="E249" s="2">
        <v>16337.270000000004</v>
      </c>
    </row>
    <row r="250" spans="1:5" x14ac:dyDescent="0.3">
      <c r="A250" s="3">
        <v>44564</v>
      </c>
      <c r="B250" s="2">
        <v>17625.7</v>
      </c>
      <c r="C250" s="2">
        <v>17162.147499999999</v>
      </c>
      <c r="D250" s="2">
        <v>17516.253999999997</v>
      </c>
      <c r="E250" s="2">
        <v>16348.166250000002</v>
      </c>
    </row>
    <row r="251" spans="1:5" x14ac:dyDescent="0.3">
      <c r="A251" s="3">
        <v>44565</v>
      </c>
      <c r="B251" s="2">
        <v>17805.25</v>
      </c>
      <c r="C251" s="2">
        <v>17197.82</v>
      </c>
      <c r="D251" s="2">
        <v>17505.205999999998</v>
      </c>
      <c r="E251" s="2">
        <v>16361.140000000003</v>
      </c>
    </row>
    <row r="252" spans="1:5" x14ac:dyDescent="0.3">
      <c r="A252" s="3">
        <v>44566</v>
      </c>
      <c r="B252" s="2">
        <v>17925.25</v>
      </c>
      <c r="C252" s="2">
        <v>17229.247500000001</v>
      </c>
      <c r="D252" s="2">
        <v>17499.012999999999</v>
      </c>
      <c r="E252" s="2">
        <v>16375.518750000005</v>
      </c>
    </row>
    <row r="253" spans="1:5" x14ac:dyDescent="0.3">
      <c r="A253" s="3">
        <v>44567</v>
      </c>
      <c r="B253" s="2">
        <v>17745.900000000001</v>
      </c>
      <c r="C253" s="2">
        <v>17252.022499999999</v>
      </c>
      <c r="D253" s="2">
        <v>17495.009999999998</v>
      </c>
      <c r="E253" s="2">
        <v>16390.592750000003</v>
      </c>
    </row>
    <row r="254" spans="1:5" x14ac:dyDescent="0.3">
      <c r="A254" s="3">
        <v>44568</v>
      </c>
      <c r="B254" s="2">
        <v>17812.7</v>
      </c>
      <c r="C254" s="2">
        <v>17263.475000000002</v>
      </c>
      <c r="D254" s="2">
        <v>17484.560000000001</v>
      </c>
      <c r="E254" s="2">
        <v>16405.715750000003</v>
      </c>
    </row>
    <row r="255" spans="1:5" x14ac:dyDescent="0.3">
      <c r="A255" s="3">
        <v>44571</v>
      </c>
      <c r="B255" s="2">
        <v>18003.3</v>
      </c>
      <c r="C255" s="2">
        <v>17278.545000000006</v>
      </c>
      <c r="D255" s="2">
        <v>17476.594999999998</v>
      </c>
      <c r="E255" s="2">
        <v>16421.990000000005</v>
      </c>
    </row>
    <row r="256" spans="1:5" x14ac:dyDescent="0.3">
      <c r="A256" s="3">
        <v>44572</v>
      </c>
      <c r="B256" s="2">
        <v>18055.75</v>
      </c>
      <c r="C256" s="2">
        <v>17310.297500000004</v>
      </c>
      <c r="D256" s="2">
        <v>17479.516</v>
      </c>
      <c r="E256" s="2">
        <v>16438.286500000006</v>
      </c>
    </row>
    <row r="257" spans="1:5" x14ac:dyDescent="0.3">
      <c r="A257" s="3">
        <v>44573</v>
      </c>
      <c r="B257" s="2">
        <v>18212.349999999999</v>
      </c>
      <c r="C257" s="2">
        <v>17346.840000000004</v>
      </c>
      <c r="D257" s="2">
        <v>17487.197999999997</v>
      </c>
      <c r="E257" s="2">
        <v>16454.883250000003</v>
      </c>
    </row>
    <row r="258" spans="1:5" x14ac:dyDescent="0.3">
      <c r="A258" s="3">
        <v>44574</v>
      </c>
      <c r="B258" s="2">
        <v>18257.8</v>
      </c>
      <c r="C258" s="2">
        <v>17396.387500000001</v>
      </c>
      <c r="D258" s="2">
        <v>17492.851999999999</v>
      </c>
      <c r="E258" s="2">
        <v>16471.871250000004</v>
      </c>
    </row>
    <row r="259" spans="1:5" x14ac:dyDescent="0.3">
      <c r="A259" s="3">
        <v>44575</v>
      </c>
      <c r="B259" s="2">
        <v>18255.75</v>
      </c>
      <c r="C259" s="2">
        <v>17446.857499999998</v>
      </c>
      <c r="D259" s="2">
        <v>17500.228999999999</v>
      </c>
      <c r="E259" s="2">
        <v>16490.413250000005</v>
      </c>
    </row>
    <row r="260" spans="1:5" x14ac:dyDescent="0.3">
      <c r="A260" s="3">
        <v>44578</v>
      </c>
      <c r="B260" s="2">
        <v>18308.099999999999</v>
      </c>
      <c r="C260" s="2">
        <v>17510.385000000002</v>
      </c>
      <c r="D260" s="2">
        <v>17508.759999999998</v>
      </c>
      <c r="E260" s="2">
        <v>16510.067500000005</v>
      </c>
    </row>
    <row r="261" spans="1:5" x14ac:dyDescent="0.3">
      <c r="A261" s="3">
        <v>44579</v>
      </c>
      <c r="B261" s="2">
        <v>18113.05</v>
      </c>
      <c r="C261" s="2">
        <v>17595.079999999994</v>
      </c>
      <c r="D261" s="2">
        <v>17516.585999999999</v>
      </c>
      <c r="E261" s="2">
        <v>16529.071500000005</v>
      </c>
    </row>
    <row r="262" spans="1:5" x14ac:dyDescent="0.3">
      <c r="A262" s="3">
        <v>44580</v>
      </c>
      <c r="B262" s="2">
        <v>17938.400000000001</v>
      </c>
      <c r="C262" s="2">
        <v>17662.189999999995</v>
      </c>
      <c r="D262" s="2">
        <v>17517.476000000002</v>
      </c>
      <c r="E262" s="2">
        <v>16545.411250000005</v>
      </c>
    </row>
    <row r="263" spans="1:5" x14ac:dyDescent="0.3">
      <c r="A263" s="3">
        <v>44581</v>
      </c>
      <c r="B263" s="2">
        <v>17757</v>
      </c>
      <c r="C263" s="2">
        <v>17711.337500000001</v>
      </c>
      <c r="D263" s="2">
        <v>17515.359000000004</v>
      </c>
      <c r="E263" s="2">
        <v>16561.649750000004</v>
      </c>
    </row>
    <row r="264" spans="1:5" x14ac:dyDescent="0.3">
      <c r="A264" s="3">
        <v>44582</v>
      </c>
      <c r="B264" s="2">
        <v>17617.150000000001</v>
      </c>
      <c r="C264" s="2">
        <v>17745.557499999999</v>
      </c>
      <c r="D264" s="2">
        <v>17510.155000000002</v>
      </c>
      <c r="E264" s="2">
        <v>16576.098000000002</v>
      </c>
    </row>
    <row r="265" spans="1:5" x14ac:dyDescent="0.3">
      <c r="A265" s="3">
        <v>44585</v>
      </c>
      <c r="B265" s="2">
        <v>17149.099999999999</v>
      </c>
      <c r="C265" s="2">
        <v>17776.227500000001</v>
      </c>
      <c r="D265" s="2">
        <v>17505.026000000002</v>
      </c>
      <c r="E265" s="2">
        <v>16590.994750000002</v>
      </c>
    </row>
    <row r="266" spans="1:5" x14ac:dyDescent="0.3">
      <c r="A266" s="3">
        <v>44586</v>
      </c>
      <c r="B266" s="2">
        <v>17277.95</v>
      </c>
      <c r="C266" s="2">
        <v>17779.370000000003</v>
      </c>
      <c r="D266" s="2">
        <v>17485.953000000001</v>
      </c>
      <c r="E266" s="2">
        <v>16603.322750000003</v>
      </c>
    </row>
    <row r="267" spans="1:5" x14ac:dyDescent="0.3">
      <c r="A267" s="3">
        <v>44588</v>
      </c>
      <c r="B267" s="2">
        <v>17110.150000000001</v>
      </c>
      <c r="C267" s="2">
        <v>17781.605000000003</v>
      </c>
      <c r="D267" s="2">
        <v>17469.323</v>
      </c>
      <c r="E267" s="2">
        <v>16615.617250000003</v>
      </c>
    </row>
    <row r="268" spans="1:5" x14ac:dyDescent="0.3">
      <c r="A268" s="3">
        <v>44589</v>
      </c>
      <c r="B268" s="2">
        <v>17101.95</v>
      </c>
      <c r="C268" s="2">
        <v>17776.432500000003</v>
      </c>
      <c r="D268" s="2">
        <v>17451.542000000001</v>
      </c>
      <c r="E268" s="2">
        <v>16626.799000000003</v>
      </c>
    </row>
    <row r="269" spans="1:5" x14ac:dyDescent="0.3">
      <c r="A269" s="3">
        <v>44592</v>
      </c>
      <c r="B269" s="2">
        <v>17339.849999999999</v>
      </c>
      <c r="C269" s="2">
        <v>17771.3325</v>
      </c>
      <c r="D269" s="2">
        <v>17435.608</v>
      </c>
      <c r="E269" s="2">
        <v>16638.134500000004</v>
      </c>
    </row>
    <row r="270" spans="1:5" x14ac:dyDescent="0.3">
      <c r="A270" s="3">
        <v>44593</v>
      </c>
      <c r="B270" s="2">
        <v>17576.849999999999</v>
      </c>
      <c r="C270" s="2">
        <v>17770.622500000001</v>
      </c>
      <c r="D270" s="2">
        <v>17427.109</v>
      </c>
      <c r="E270" s="2">
        <v>16653.279750000005</v>
      </c>
    </row>
    <row r="271" spans="1:5" x14ac:dyDescent="0.3">
      <c r="A271" s="3">
        <v>44594</v>
      </c>
      <c r="B271" s="2">
        <v>17780</v>
      </c>
      <c r="C271" s="2">
        <v>17768.18</v>
      </c>
      <c r="D271" s="2">
        <v>17430.314999999999</v>
      </c>
      <c r="E271" s="2">
        <v>16668.640000000003</v>
      </c>
    </row>
    <row r="272" spans="1:5" x14ac:dyDescent="0.3">
      <c r="A272" s="3">
        <v>44595</v>
      </c>
      <c r="B272" s="2">
        <v>17560.2</v>
      </c>
      <c r="C272" s="2">
        <v>17766.9175</v>
      </c>
      <c r="D272" s="2">
        <v>17435.848000000002</v>
      </c>
      <c r="E272" s="2">
        <v>16684.632750000004</v>
      </c>
    </row>
    <row r="273" spans="1:5" x14ac:dyDescent="0.3">
      <c r="A273" s="3">
        <v>44596</v>
      </c>
      <c r="B273" s="2">
        <v>17516.3</v>
      </c>
      <c r="C273" s="2">
        <v>17748.665000000001</v>
      </c>
      <c r="D273" s="2">
        <v>17438.750999999997</v>
      </c>
      <c r="E273" s="2">
        <v>16699.34450000001</v>
      </c>
    </row>
    <row r="274" spans="1:5" x14ac:dyDescent="0.3">
      <c r="A274" s="3">
        <v>44599</v>
      </c>
      <c r="B274" s="2">
        <v>17213.599999999999</v>
      </c>
      <c r="C274" s="2">
        <v>17737.184999999998</v>
      </c>
      <c r="D274" s="2">
        <v>17438.351999999999</v>
      </c>
      <c r="E274" s="2">
        <v>16715.128750000007</v>
      </c>
    </row>
    <row r="275" spans="1:5" x14ac:dyDescent="0.3">
      <c r="A275" s="3">
        <v>44600</v>
      </c>
      <c r="B275" s="2">
        <v>17266.75</v>
      </c>
      <c r="C275" s="2">
        <v>17707.23</v>
      </c>
      <c r="D275" s="2">
        <v>17442.094999999998</v>
      </c>
      <c r="E275" s="2">
        <v>16729.714750000006</v>
      </c>
    </row>
    <row r="276" spans="1:5" x14ac:dyDescent="0.3">
      <c r="A276" s="3">
        <v>44601</v>
      </c>
      <c r="B276" s="2">
        <v>17463.8</v>
      </c>
      <c r="C276" s="2">
        <v>17670.4025</v>
      </c>
      <c r="D276" s="2">
        <v>17446.350999999999</v>
      </c>
      <c r="E276" s="2">
        <v>16744.017750000006</v>
      </c>
    </row>
    <row r="277" spans="1:5" x14ac:dyDescent="0.3">
      <c r="A277" s="3">
        <v>44602</v>
      </c>
      <c r="B277" s="2">
        <v>17605.849999999999</v>
      </c>
      <c r="C277" s="2">
        <v>17640.805</v>
      </c>
      <c r="D277" s="2">
        <v>17455.963</v>
      </c>
      <c r="E277" s="2">
        <v>16759.630000000005</v>
      </c>
    </row>
    <row r="278" spans="1:5" x14ac:dyDescent="0.3">
      <c r="A278" s="3">
        <v>44603</v>
      </c>
      <c r="B278" s="2">
        <v>17374.75</v>
      </c>
      <c r="C278" s="2">
        <v>17610.48</v>
      </c>
      <c r="D278" s="2">
        <v>17464.741999999998</v>
      </c>
      <c r="E278" s="2">
        <v>16775.234250000009</v>
      </c>
    </row>
    <row r="279" spans="1:5" x14ac:dyDescent="0.3">
      <c r="A279" s="3">
        <v>44606</v>
      </c>
      <c r="B279" s="2">
        <v>16842.8</v>
      </c>
      <c r="C279" s="2">
        <v>17566.327499999999</v>
      </c>
      <c r="D279" s="2">
        <v>17464.203999999998</v>
      </c>
      <c r="E279" s="2">
        <v>16788.842750000007</v>
      </c>
    </row>
    <row r="280" spans="1:5" x14ac:dyDescent="0.3">
      <c r="A280" s="3">
        <v>44607</v>
      </c>
      <c r="B280" s="2">
        <v>17352.45</v>
      </c>
      <c r="C280" s="2">
        <v>17495.68</v>
      </c>
      <c r="D280" s="2">
        <v>17457.126</v>
      </c>
      <c r="E280" s="2">
        <v>16798.734000000004</v>
      </c>
    </row>
    <row r="281" spans="1:5" x14ac:dyDescent="0.3">
      <c r="A281" s="3">
        <v>44608</v>
      </c>
      <c r="B281" s="2">
        <v>17322.2</v>
      </c>
      <c r="C281" s="2">
        <v>17447.897499999999</v>
      </c>
      <c r="D281" s="2">
        <v>17465.93</v>
      </c>
      <c r="E281" s="2">
        <v>16811.021750000004</v>
      </c>
    </row>
    <row r="282" spans="1:5" x14ac:dyDescent="0.3">
      <c r="A282" s="3">
        <v>44609</v>
      </c>
      <c r="B282" s="2">
        <v>17304.599999999999</v>
      </c>
      <c r="C282" s="2">
        <v>17408.355</v>
      </c>
      <c r="D282" s="2">
        <v>17468.839999999997</v>
      </c>
      <c r="E282" s="2">
        <v>16824.477250000007</v>
      </c>
    </row>
    <row r="283" spans="1:5" x14ac:dyDescent="0.3">
      <c r="A283" s="3">
        <v>44610</v>
      </c>
      <c r="B283" s="2">
        <v>17276.3</v>
      </c>
      <c r="C283" s="2">
        <v>17376.665000000001</v>
      </c>
      <c r="D283" s="2">
        <v>17465.536999999997</v>
      </c>
      <c r="E283" s="2">
        <v>16837.829500000003</v>
      </c>
    </row>
    <row r="284" spans="1:5" x14ac:dyDescent="0.3">
      <c r="A284" s="3">
        <v>44613</v>
      </c>
      <c r="B284" s="2">
        <v>17206.650000000001</v>
      </c>
      <c r="C284" s="2">
        <v>17352.629999999997</v>
      </c>
      <c r="D284" s="2">
        <v>17460.725999999995</v>
      </c>
      <c r="E284" s="2">
        <v>16851.728500000005</v>
      </c>
    </row>
    <row r="285" spans="1:5" x14ac:dyDescent="0.3">
      <c r="A285" s="3">
        <v>44614</v>
      </c>
      <c r="B285" s="2">
        <v>17092.2</v>
      </c>
      <c r="C285" s="2">
        <v>17332.105</v>
      </c>
      <c r="D285" s="2">
        <v>17454.632999999998</v>
      </c>
      <c r="E285" s="2">
        <v>16864.672500000008</v>
      </c>
    </row>
    <row r="286" spans="1:5" x14ac:dyDescent="0.3">
      <c r="A286" s="3">
        <v>44615</v>
      </c>
      <c r="B286" s="2">
        <v>17063.25</v>
      </c>
      <c r="C286" s="2">
        <v>17329.260000000002</v>
      </c>
      <c r="D286" s="2">
        <v>17449.111999999997</v>
      </c>
      <c r="E286" s="2">
        <v>16876.509500000007</v>
      </c>
    </row>
    <row r="287" spans="1:5" x14ac:dyDescent="0.3">
      <c r="A287" s="3">
        <v>44616</v>
      </c>
      <c r="B287" s="2">
        <v>16247.95</v>
      </c>
      <c r="C287" s="2">
        <v>17318.525000000001</v>
      </c>
      <c r="D287" s="2">
        <v>17443.878999999997</v>
      </c>
      <c r="E287" s="2">
        <v>16887.710000000006</v>
      </c>
    </row>
    <row r="288" spans="1:5" x14ac:dyDescent="0.3">
      <c r="A288" s="3">
        <v>44617</v>
      </c>
      <c r="B288" s="2">
        <v>16658.400000000001</v>
      </c>
      <c r="C288" s="2">
        <v>17275.415000000001</v>
      </c>
      <c r="D288" s="2">
        <v>17424.409999999996</v>
      </c>
      <c r="E288" s="2">
        <v>16894.238000000005</v>
      </c>
    </row>
    <row r="289" spans="1:5" x14ac:dyDescent="0.3">
      <c r="A289" s="3">
        <v>44620</v>
      </c>
      <c r="B289" s="2">
        <v>16793.900000000001</v>
      </c>
      <c r="C289" s="2">
        <v>17253.237500000003</v>
      </c>
      <c r="D289" s="2">
        <v>17412.609999999997</v>
      </c>
      <c r="E289" s="2">
        <v>16903.276250000006</v>
      </c>
    </row>
    <row r="290" spans="1:5" x14ac:dyDescent="0.3">
      <c r="A290" s="3">
        <v>44622</v>
      </c>
      <c r="B290" s="2">
        <v>16605.95</v>
      </c>
      <c r="C290" s="2">
        <v>17225.940000000002</v>
      </c>
      <c r="D290" s="2">
        <v>17408.784</v>
      </c>
      <c r="E290" s="2">
        <v>16913.763250000004</v>
      </c>
    </row>
    <row r="291" spans="1:5" x14ac:dyDescent="0.3">
      <c r="A291" s="3">
        <v>44623</v>
      </c>
      <c r="B291" s="2">
        <v>16498.05</v>
      </c>
      <c r="C291" s="2">
        <v>17177.395000000004</v>
      </c>
      <c r="D291" s="2">
        <v>17408.618999999995</v>
      </c>
      <c r="E291" s="2">
        <v>16923.404000000006</v>
      </c>
    </row>
    <row r="292" spans="1:5" x14ac:dyDescent="0.3">
      <c r="A292" s="3">
        <v>44624</v>
      </c>
      <c r="B292" s="2">
        <v>16245.35</v>
      </c>
      <c r="C292" s="2">
        <v>17113.297500000004</v>
      </c>
      <c r="D292" s="2">
        <v>17403.162999999997</v>
      </c>
      <c r="E292" s="2">
        <v>16931.278500000004</v>
      </c>
    </row>
    <row r="293" spans="1:5" x14ac:dyDescent="0.3">
      <c r="A293" s="3">
        <v>44627</v>
      </c>
      <c r="B293" s="2">
        <v>15863.15</v>
      </c>
      <c r="C293" s="2">
        <v>17047.555</v>
      </c>
      <c r="D293" s="2">
        <v>17388.960999999999</v>
      </c>
      <c r="E293" s="2">
        <v>16936.964750000003</v>
      </c>
    </row>
    <row r="294" spans="1:5" x14ac:dyDescent="0.3">
      <c r="A294" s="3">
        <v>44628</v>
      </c>
      <c r="B294" s="2">
        <v>16013.45</v>
      </c>
      <c r="C294" s="2">
        <v>16964.897499999999</v>
      </c>
      <c r="D294" s="2">
        <v>17364.772000000001</v>
      </c>
      <c r="E294" s="2">
        <v>16941.129750000004</v>
      </c>
    </row>
    <row r="295" spans="1:5" x14ac:dyDescent="0.3">
      <c r="A295" s="3">
        <v>44629</v>
      </c>
      <c r="B295" s="2">
        <v>16345.35</v>
      </c>
      <c r="C295" s="2">
        <v>16904.89</v>
      </c>
      <c r="D295" s="2">
        <v>17344.966</v>
      </c>
      <c r="E295" s="2">
        <v>16946.666750000004</v>
      </c>
    </row>
    <row r="296" spans="1:5" x14ac:dyDescent="0.3">
      <c r="A296" s="3">
        <v>44630</v>
      </c>
      <c r="B296" s="2">
        <v>16594.900000000001</v>
      </c>
      <c r="C296" s="2">
        <v>16858.82</v>
      </c>
      <c r="D296" s="2">
        <v>17330.147999999997</v>
      </c>
      <c r="E296" s="2">
        <v>16952.517000000007</v>
      </c>
    </row>
    <row r="297" spans="1:5" x14ac:dyDescent="0.3">
      <c r="A297" s="3">
        <v>44631</v>
      </c>
      <c r="B297" s="2">
        <v>16630.45</v>
      </c>
      <c r="C297" s="2">
        <v>16815.375000000004</v>
      </c>
      <c r="D297" s="2">
        <v>17317.380999999998</v>
      </c>
      <c r="E297" s="2">
        <v>16959.503000000008</v>
      </c>
    </row>
    <row r="298" spans="1:5" x14ac:dyDescent="0.3">
      <c r="A298" s="3">
        <v>44634</v>
      </c>
      <c r="B298" s="2">
        <v>16871.3</v>
      </c>
      <c r="C298" s="2">
        <v>16766.605000000003</v>
      </c>
      <c r="D298" s="2">
        <v>17305.717999999997</v>
      </c>
      <c r="E298" s="2">
        <v>16966.613000000008</v>
      </c>
    </row>
    <row r="299" spans="1:5" x14ac:dyDescent="0.3">
      <c r="A299" s="3">
        <v>44635</v>
      </c>
      <c r="B299" s="2">
        <v>16663</v>
      </c>
      <c r="C299" s="2">
        <v>16741.432500000003</v>
      </c>
      <c r="D299" s="2">
        <v>17299.064999999995</v>
      </c>
      <c r="E299" s="2">
        <v>16974.462250000008</v>
      </c>
    </row>
    <row r="300" spans="1:5" x14ac:dyDescent="0.3">
      <c r="A300" s="3">
        <v>44636</v>
      </c>
      <c r="B300" s="2">
        <v>16975.349999999999</v>
      </c>
      <c r="C300" s="2">
        <v>16732.442500000001</v>
      </c>
      <c r="D300" s="2">
        <v>17285.243999999995</v>
      </c>
      <c r="E300" s="2">
        <v>16981.088000000007</v>
      </c>
    </row>
    <row r="301" spans="1:5" x14ac:dyDescent="0.3">
      <c r="A301" s="3">
        <v>44637</v>
      </c>
      <c r="B301" s="2">
        <v>17287.05</v>
      </c>
      <c r="C301" s="2">
        <v>16713.587500000001</v>
      </c>
      <c r="D301" s="2">
        <v>17272.236999999994</v>
      </c>
      <c r="E301" s="2">
        <v>16988.786500000006</v>
      </c>
    </row>
    <row r="302" spans="1:5" x14ac:dyDescent="0.3">
      <c r="A302" s="3">
        <v>44641</v>
      </c>
      <c r="B302" s="2">
        <v>17117.599999999999</v>
      </c>
      <c r="C302" s="2">
        <v>16711.829999999998</v>
      </c>
      <c r="D302" s="2">
        <v>17261.873</v>
      </c>
      <c r="E302" s="2">
        <v>16997.307750000007</v>
      </c>
    </row>
    <row r="303" spans="1:5" x14ac:dyDescent="0.3">
      <c r="A303" s="3">
        <v>44642</v>
      </c>
      <c r="B303" s="2">
        <v>17315.5</v>
      </c>
      <c r="C303" s="2">
        <v>16702.48</v>
      </c>
      <c r="D303" s="2">
        <v>17245.719999999998</v>
      </c>
      <c r="E303" s="2">
        <v>17005.021500000006</v>
      </c>
    </row>
    <row r="304" spans="1:5" x14ac:dyDescent="0.3">
      <c r="A304" s="3">
        <v>44643</v>
      </c>
      <c r="B304" s="2">
        <v>17245.650000000001</v>
      </c>
      <c r="C304" s="2">
        <v>16704.439999999999</v>
      </c>
      <c r="D304" s="2">
        <v>17237.111999999997</v>
      </c>
      <c r="E304" s="2">
        <v>17013.718000000004</v>
      </c>
    </row>
    <row r="305" spans="1:5" x14ac:dyDescent="0.3">
      <c r="A305" s="3">
        <v>44644</v>
      </c>
      <c r="B305" s="2">
        <v>17222.75</v>
      </c>
      <c r="C305" s="2">
        <v>16706.39</v>
      </c>
      <c r="D305" s="2">
        <v>17225.770999999997</v>
      </c>
      <c r="E305" s="2">
        <v>17021.494500000004</v>
      </c>
    </row>
    <row r="306" spans="1:5" x14ac:dyDescent="0.3">
      <c r="A306" s="3">
        <v>44645</v>
      </c>
      <c r="B306" s="2">
        <v>17153</v>
      </c>
      <c r="C306" s="2">
        <v>16712.917500000003</v>
      </c>
      <c r="D306" s="2">
        <v>17210.159999999996</v>
      </c>
      <c r="E306" s="2">
        <v>17029.257000000005</v>
      </c>
    </row>
    <row r="307" spans="1:5" x14ac:dyDescent="0.3">
      <c r="A307" s="3">
        <v>44648</v>
      </c>
      <c r="B307" s="2">
        <v>17222</v>
      </c>
      <c r="C307" s="2">
        <v>16717.405000000002</v>
      </c>
      <c r="D307" s="2">
        <v>17192.105</v>
      </c>
      <c r="E307" s="2">
        <v>17036.263750000002</v>
      </c>
    </row>
    <row r="308" spans="1:5" x14ac:dyDescent="0.3">
      <c r="A308" s="3">
        <v>44649</v>
      </c>
      <c r="B308" s="2">
        <v>17325.3</v>
      </c>
      <c r="C308" s="2">
        <v>16766.107500000002</v>
      </c>
      <c r="D308" s="2">
        <v>17172.297999999999</v>
      </c>
      <c r="E308" s="2">
        <v>17043.673250000003</v>
      </c>
    </row>
    <row r="309" spans="1:5" x14ac:dyDescent="0.3">
      <c r="A309" s="3">
        <v>44650</v>
      </c>
      <c r="B309" s="2">
        <v>17498.25</v>
      </c>
      <c r="C309" s="2">
        <v>16799.452499999999</v>
      </c>
      <c r="D309" s="2">
        <v>17153.648000000001</v>
      </c>
      <c r="E309" s="2">
        <v>17052.123</v>
      </c>
    </row>
    <row r="310" spans="1:5" x14ac:dyDescent="0.3">
      <c r="A310" s="3">
        <v>44651</v>
      </c>
      <c r="B310" s="2">
        <v>17464.75</v>
      </c>
      <c r="C310" s="2">
        <v>16834.669999999998</v>
      </c>
      <c r="D310" s="2">
        <v>17138.498000000003</v>
      </c>
      <c r="E310" s="2">
        <v>17060.925500000001</v>
      </c>
    </row>
    <row r="311" spans="1:5" x14ac:dyDescent="0.3">
      <c r="A311" s="3">
        <v>44652</v>
      </c>
      <c r="B311" s="2">
        <v>17670.45</v>
      </c>
      <c r="C311" s="2">
        <v>16877.61</v>
      </c>
      <c r="D311" s="2">
        <v>17121.631000000005</v>
      </c>
      <c r="E311" s="2">
        <v>17069.252500000002</v>
      </c>
    </row>
    <row r="312" spans="1:5" x14ac:dyDescent="0.3">
      <c r="A312" s="3">
        <v>44655</v>
      </c>
      <c r="B312" s="2">
        <v>18053.400000000001</v>
      </c>
      <c r="C312" s="2">
        <v>16936.23</v>
      </c>
      <c r="D312" s="2">
        <v>17112.779000000002</v>
      </c>
      <c r="E312" s="2">
        <v>17078.545500000004</v>
      </c>
    </row>
    <row r="313" spans="1:5" x14ac:dyDescent="0.3">
      <c r="A313" s="3">
        <v>44656</v>
      </c>
      <c r="B313" s="2">
        <v>17957.400000000001</v>
      </c>
      <c r="C313" s="2">
        <v>17026.6325</v>
      </c>
      <c r="D313" s="2">
        <v>17115.079000000002</v>
      </c>
      <c r="E313" s="2">
        <v>17089.466250000001</v>
      </c>
    </row>
    <row r="314" spans="1:5" x14ac:dyDescent="0.3">
      <c r="A314" s="3">
        <v>44657</v>
      </c>
      <c r="B314" s="2">
        <v>17807.650000000001</v>
      </c>
      <c r="C314" s="2">
        <v>17131.345000000005</v>
      </c>
      <c r="D314" s="2">
        <v>17119.087000000003</v>
      </c>
      <c r="E314" s="2">
        <v>17100.415500000003</v>
      </c>
    </row>
    <row r="315" spans="1:5" x14ac:dyDescent="0.3">
      <c r="A315" s="3">
        <v>44658</v>
      </c>
      <c r="B315" s="2">
        <v>17639.55</v>
      </c>
      <c r="C315" s="2">
        <v>17221.055</v>
      </c>
      <c r="D315" s="2">
        <v>17122.897000000004</v>
      </c>
      <c r="E315" s="2">
        <v>17110.996750000002</v>
      </c>
    </row>
    <row r="316" spans="1:5" x14ac:dyDescent="0.3">
      <c r="A316" s="3">
        <v>44659</v>
      </c>
      <c r="B316" s="2">
        <v>17784.349999999999</v>
      </c>
      <c r="C316" s="2">
        <v>17285.765000000003</v>
      </c>
      <c r="D316" s="2">
        <v>17132.706000000002</v>
      </c>
      <c r="E316" s="2">
        <v>17120.777750000001</v>
      </c>
    </row>
    <row r="317" spans="1:5" x14ac:dyDescent="0.3">
      <c r="A317" s="3">
        <v>44662</v>
      </c>
      <c r="B317" s="2">
        <v>17674.95</v>
      </c>
      <c r="C317" s="2">
        <v>17345.237499999999</v>
      </c>
      <c r="D317" s="2">
        <v>17142.834000000003</v>
      </c>
      <c r="E317" s="2">
        <v>17130.967000000001</v>
      </c>
    </row>
    <row r="318" spans="1:5" x14ac:dyDescent="0.3">
      <c r="A318" s="3">
        <v>44663</v>
      </c>
      <c r="B318" s="2">
        <v>17530.3</v>
      </c>
      <c r="C318" s="2">
        <v>17397.462500000001</v>
      </c>
      <c r="D318" s="2">
        <v>17154.130000000005</v>
      </c>
      <c r="E318" s="2">
        <v>17140.477999999999</v>
      </c>
    </row>
    <row r="319" spans="1:5" x14ac:dyDescent="0.3">
      <c r="A319" s="3">
        <v>44664</v>
      </c>
      <c r="B319" s="2">
        <v>17475.650000000001</v>
      </c>
      <c r="C319" s="2">
        <v>17430.412499999999</v>
      </c>
      <c r="D319" s="2">
        <v>17162.697000000004</v>
      </c>
      <c r="E319" s="2">
        <v>17149.694750000002</v>
      </c>
    </row>
    <row r="320" spans="1:5" x14ac:dyDescent="0.3">
      <c r="A320" s="3">
        <v>44669</v>
      </c>
      <c r="B320" s="2">
        <v>17173.650000000001</v>
      </c>
      <c r="C320" s="2">
        <v>17471.044999999998</v>
      </c>
      <c r="D320" s="2">
        <v>17165.413000000004</v>
      </c>
      <c r="E320" s="2">
        <v>17158.120749999998</v>
      </c>
    </row>
    <row r="321" spans="1:5" x14ac:dyDescent="0.3">
      <c r="A321" s="3">
        <v>44670</v>
      </c>
      <c r="B321" s="2">
        <v>16958.650000000001</v>
      </c>
      <c r="C321" s="2">
        <v>17480.96</v>
      </c>
      <c r="D321" s="2">
        <v>17157.349000000002</v>
      </c>
      <c r="E321" s="2">
        <v>17164.687249999995</v>
      </c>
    </row>
    <row r="322" spans="1:5" x14ac:dyDescent="0.3">
      <c r="A322" s="3">
        <v>44671</v>
      </c>
      <c r="B322" s="2">
        <v>17136.55</v>
      </c>
      <c r="C322" s="2">
        <v>17464.54</v>
      </c>
      <c r="D322" s="2">
        <v>17140.922000000006</v>
      </c>
      <c r="E322" s="2">
        <v>17170.406999999996</v>
      </c>
    </row>
    <row r="323" spans="1:5" x14ac:dyDescent="0.3">
      <c r="A323" s="3">
        <v>44672</v>
      </c>
      <c r="B323" s="2">
        <v>17392.599999999999</v>
      </c>
      <c r="C323" s="2">
        <v>17465.487500000003</v>
      </c>
      <c r="D323" s="2">
        <v>17132.449000000004</v>
      </c>
      <c r="E323" s="2">
        <v>17177.347499999996</v>
      </c>
    </row>
    <row r="324" spans="1:5" x14ac:dyDescent="0.3">
      <c r="A324" s="3">
        <v>44673</v>
      </c>
      <c r="B324" s="2">
        <v>17171.95</v>
      </c>
      <c r="C324" s="2">
        <v>17469.342500000002</v>
      </c>
      <c r="D324" s="2">
        <v>17129.975000000002</v>
      </c>
      <c r="E324" s="2">
        <v>17185.702999999994</v>
      </c>
    </row>
    <row r="325" spans="1:5" x14ac:dyDescent="0.3">
      <c r="A325" s="3">
        <v>44676</v>
      </c>
      <c r="B325" s="2">
        <v>16953.95</v>
      </c>
      <c r="C325" s="2">
        <v>17465.657500000001</v>
      </c>
      <c r="D325" s="2">
        <v>17129.142000000003</v>
      </c>
      <c r="E325" s="2">
        <v>17193.162749999996</v>
      </c>
    </row>
    <row r="326" spans="1:5" x14ac:dyDescent="0.3">
      <c r="A326" s="3">
        <v>44677</v>
      </c>
      <c r="B326" s="2">
        <v>17200.8</v>
      </c>
      <c r="C326" s="2">
        <v>17452.217499999999</v>
      </c>
      <c r="D326" s="2">
        <v>17122.886000000002</v>
      </c>
      <c r="E326" s="2">
        <v>17199.321499999998</v>
      </c>
    </row>
    <row r="327" spans="1:5" x14ac:dyDescent="0.3">
      <c r="A327" s="3">
        <v>44678</v>
      </c>
      <c r="B327" s="2">
        <v>17038.400000000001</v>
      </c>
      <c r="C327" s="2">
        <v>17454.607499999998</v>
      </c>
      <c r="D327" s="2">
        <v>17117.626000000004</v>
      </c>
      <c r="E327" s="2">
        <v>17206.153749999994</v>
      </c>
    </row>
    <row r="328" spans="1:5" x14ac:dyDescent="0.3">
      <c r="A328" s="3">
        <v>44679</v>
      </c>
      <c r="B328" s="2">
        <v>17245.05</v>
      </c>
      <c r="C328" s="2">
        <v>17445.427499999998</v>
      </c>
      <c r="D328" s="2">
        <v>17106.277000000002</v>
      </c>
      <c r="E328" s="2">
        <v>17212.254499999995</v>
      </c>
    </row>
    <row r="329" spans="1:5" x14ac:dyDescent="0.3">
      <c r="A329" s="3">
        <v>44680</v>
      </c>
      <c r="B329" s="2">
        <v>17102.55</v>
      </c>
      <c r="C329" s="2">
        <v>17441.415000000001</v>
      </c>
      <c r="D329" s="2">
        <v>17103.683000000005</v>
      </c>
      <c r="E329" s="2">
        <v>17219.081499999993</v>
      </c>
    </row>
    <row r="330" spans="1:5" x14ac:dyDescent="0.3">
      <c r="A330" s="3">
        <v>44683</v>
      </c>
      <c r="B330" s="2">
        <v>17069.099999999999</v>
      </c>
      <c r="C330" s="2">
        <v>17421.629999999997</v>
      </c>
      <c r="D330" s="2">
        <v>17108.878000000004</v>
      </c>
      <c r="E330" s="2">
        <v>17225.954749999994</v>
      </c>
    </row>
    <row r="331" spans="1:5" x14ac:dyDescent="0.3">
      <c r="A331" s="3">
        <v>44685</v>
      </c>
      <c r="B331" s="2">
        <v>16677.599999999999</v>
      </c>
      <c r="C331" s="2">
        <v>17401.847499999996</v>
      </c>
      <c r="D331" s="2">
        <v>17103.211000000003</v>
      </c>
      <c r="E331" s="2">
        <v>17232.851249999996</v>
      </c>
    </row>
    <row r="332" spans="1:5" x14ac:dyDescent="0.3">
      <c r="A332" s="3">
        <v>44686</v>
      </c>
      <c r="B332" s="2">
        <v>16682.650000000001</v>
      </c>
      <c r="C332" s="2">
        <v>17352.204999999994</v>
      </c>
      <c r="D332" s="2">
        <v>17090.319000000003</v>
      </c>
      <c r="E332" s="2">
        <v>17237.776249999995</v>
      </c>
    </row>
    <row r="333" spans="1:5" x14ac:dyDescent="0.3">
      <c r="A333" s="3">
        <v>44687</v>
      </c>
      <c r="B333" s="2">
        <v>16411.25</v>
      </c>
      <c r="C333" s="2">
        <v>17283.6675</v>
      </c>
      <c r="D333" s="2">
        <v>17077.880000000005</v>
      </c>
      <c r="E333" s="2">
        <v>17242.127749999992</v>
      </c>
    </row>
    <row r="334" spans="1:5" x14ac:dyDescent="0.3">
      <c r="A334" s="3">
        <v>44690</v>
      </c>
      <c r="B334" s="2">
        <v>16301.85</v>
      </c>
      <c r="C334" s="2">
        <v>17206.359999999997</v>
      </c>
      <c r="D334" s="2">
        <v>17060.579000000005</v>
      </c>
      <c r="E334" s="2">
        <v>17244.914249999994</v>
      </c>
    </row>
    <row r="335" spans="1:5" x14ac:dyDescent="0.3">
      <c r="A335" s="3">
        <v>44691</v>
      </c>
      <c r="B335" s="2">
        <v>16240.05</v>
      </c>
      <c r="C335" s="2">
        <v>17131.069999999996</v>
      </c>
      <c r="D335" s="2">
        <v>17042.483000000004</v>
      </c>
      <c r="E335" s="2">
        <v>17246.802499999994</v>
      </c>
    </row>
    <row r="336" spans="1:5" x14ac:dyDescent="0.3">
      <c r="A336" s="3">
        <v>44692</v>
      </c>
      <c r="B336" s="2">
        <v>16167.1</v>
      </c>
      <c r="C336" s="2">
        <v>17061.094999999998</v>
      </c>
      <c r="D336" s="2">
        <v>17025.440000000006</v>
      </c>
      <c r="E336" s="2">
        <v>17248.385749999994</v>
      </c>
    </row>
    <row r="337" spans="1:5" x14ac:dyDescent="0.3">
      <c r="A337" s="3">
        <v>44693</v>
      </c>
      <c r="B337" s="2">
        <v>15808</v>
      </c>
      <c r="C337" s="2">
        <v>16980.232499999998</v>
      </c>
      <c r="D337" s="2">
        <v>17007.517000000003</v>
      </c>
      <c r="E337" s="2">
        <v>17250.459249999993</v>
      </c>
    </row>
    <row r="338" spans="1:5" x14ac:dyDescent="0.3">
      <c r="A338" s="3">
        <v>44694</v>
      </c>
      <c r="B338" s="2">
        <v>15782.15</v>
      </c>
      <c r="C338" s="2">
        <v>16886.884999999995</v>
      </c>
      <c r="D338" s="2">
        <v>16998.718000000004</v>
      </c>
      <c r="E338" s="2">
        <v>17251.338749999995</v>
      </c>
    </row>
    <row r="339" spans="1:5" x14ac:dyDescent="0.3">
      <c r="A339" s="3">
        <v>44697</v>
      </c>
      <c r="B339" s="2">
        <v>15842.3</v>
      </c>
      <c r="C339" s="2">
        <v>16799.477499999997</v>
      </c>
      <c r="D339" s="2">
        <v>16981.193000000003</v>
      </c>
      <c r="E339" s="2">
        <v>17251.129249999994</v>
      </c>
    </row>
    <row r="340" spans="1:5" x14ac:dyDescent="0.3">
      <c r="A340" s="3">
        <v>44698</v>
      </c>
      <c r="B340" s="2">
        <v>16259.3</v>
      </c>
      <c r="C340" s="2">
        <v>16717.810000000001</v>
      </c>
      <c r="D340" s="2">
        <v>16962.161000000004</v>
      </c>
      <c r="E340" s="2">
        <v>17251.060499999992</v>
      </c>
    </row>
    <row r="341" spans="1:5" x14ac:dyDescent="0.3">
      <c r="A341" s="3">
        <v>44699</v>
      </c>
      <c r="B341" s="2">
        <v>16240.3</v>
      </c>
      <c r="C341" s="2">
        <v>16672.092499999999</v>
      </c>
      <c r="D341" s="2">
        <v>16955.228000000006</v>
      </c>
      <c r="E341" s="2">
        <v>17253.234749999992</v>
      </c>
    </row>
    <row r="342" spans="1:5" x14ac:dyDescent="0.3">
      <c r="A342" s="3">
        <v>44700</v>
      </c>
      <c r="B342" s="2">
        <v>15809.4</v>
      </c>
      <c r="C342" s="2">
        <v>16636.174999999999</v>
      </c>
      <c r="D342" s="2">
        <v>16950.073000000004</v>
      </c>
      <c r="E342" s="2">
        <v>17255.703999999991</v>
      </c>
    </row>
    <row r="343" spans="1:5" x14ac:dyDescent="0.3">
      <c r="A343" s="3">
        <v>44701</v>
      </c>
      <c r="B343" s="2">
        <v>16266.15</v>
      </c>
      <c r="C343" s="2">
        <v>16569.817500000001</v>
      </c>
      <c r="D343" s="2">
        <v>16941.354000000007</v>
      </c>
      <c r="E343" s="2">
        <v>17256.203999999991</v>
      </c>
    </row>
    <row r="344" spans="1:5" x14ac:dyDescent="0.3">
      <c r="A344" s="3">
        <v>44704</v>
      </c>
      <c r="B344" s="2">
        <v>16214.7</v>
      </c>
      <c r="C344" s="2">
        <v>16513.495000000003</v>
      </c>
      <c r="D344" s="2">
        <v>16949.414000000008</v>
      </c>
      <c r="E344" s="2">
        <v>17258.642499999994</v>
      </c>
    </row>
    <row r="345" spans="1:5" x14ac:dyDescent="0.3">
      <c r="A345" s="3">
        <v>44705</v>
      </c>
      <c r="B345" s="2">
        <v>16125.15</v>
      </c>
      <c r="C345" s="2">
        <v>16465.6325</v>
      </c>
      <c r="D345" s="2">
        <v>16953.439000000006</v>
      </c>
      <c r="E345" s="2">
        <v>17260.900749999993</v>
      </c>
    </row>
    <row r="346" spans="1:5" x14ac:dyDescent="0.3">
      <c r="A346" s="3">
        <v>44706</v>
      </c>
      <c r="B346" s="2">
        <v>16025.8</v>
      </c>
      <c r="C346" s="2">
        <v>16424.192500000001</v>
      </c>
      <c r="D346" s="2">
        <v>16949.035000000007</v>
      </c>
      <c r="E346" s="2">
        <v>17262.100749999994</v>
      </c>
    </row>
    <row r="347" spans="1:5" x14ac:dyDescent="0.3">
      <c r="A347" s="3">
        <v>44707</v>
      </c>
      <c r="B347" s="2">
        <v>16170.15</v>
      </c>
      <c r="C347" s="2">
        <v>16365.442500000001</v>
      </c>
      <c r="D347" s="2">
        <v>16937.653000000006</v>
      </c>
      <c r="E347" s="2">
        <v>17261.57599999999</v>
      </c>
    </row>
    <row r="348" spans="1:5" x14ac:dyDescent="0.3">
      <c r="A348" s="3">
        <v>44708</v>
      </c>
      <c r="B348" s="2">
        <v>16352.45</v>
      </c>
      <c r="C348" s="2">
        <v>16322.029999999999</v>
      </c>
      <c r="D348" s="2">
        <v>16928.447000000007</v>
      </c>
      <c r="E348" s="2">
        <v>17261.132749999993</v>
      </c>
    </row>
    <row r="349" spans="1:5" x14ac:dyDescent="0.3">
      <c r="A349" s="3">
        <v>44711</v>
      </c>
      <c r="B349" s="2">
        <v>16661.400000000001</v>
      </c>
      <c r="C349" s="2">
        <v>16277.4</v>
      </c>
      <c r="D349" s="2">
        <v>16918.070000000003</v>
      </c>
      <c r="E349" s="2">
        <v>17261.421999999991</v>
      </c>
    </row>
    <row r="350" spans="1:5" x14ac:dyDescent="0.3">
      <c r="A350" s="3">
        <v>44712</v>
      </c>
      <c r="B350" s="2">
        <v>16584.55</v>
      </c>
      <c r="C350" s="2">
        <v>16255.342500000002</v>
      </c>
      <c r="D350" s="2">
        <v>16918.038000000004</v>
      </c>
      <c r="E350" s="2">
        <v>17263.53799999999</v>
      </c>
    </row>
    <row r="351" spans="1:5" x14ac:dyDescent="0.3">
      <c r="A351" s="3">
        <v>44713</v>
      </c>
      <c r="B351" s="2">
        <v>16522.75</v>
      </c>
      <c r="C351" s="2">
        <v>16231.115</v>
      </c>
      <c r="D351" s="2">
        <v>16910.222000000005</v>
      </c>
      <c r="E351" s="2">
        <v>17265.169499999989</v>
      </c>
    </row>
    <row r="352" spans="1:5" x14ac:dyDescent="0.3">
      <c r="A352" s="3">
        <v>44714</v>
      </c>
      <c r="B352" s="2">
        <v>16628</v>
      </c>
      <c r="C352" s="2">
        <v>16223.372499999998</v>
      </c>
      <c r="D352" s="2">
        <v>16894.936000000005</v>
      </c>
      <c r="E352" s="2">
        <v>17266.38274999999</v>
      </c>
    </row>
    <row r="353" spans="1:5" x14ac:dyDescent="0.3">
      <c r="A353" s="3">
        <v>44715</v>
      </c>
      <c r="B353" s="2">
        <v>16584.3</v>
      </c>
      <c r="C353" s="2">
        <v>16220.64</v>
      </c>
      <c r="D353" s="2">
        <v>16885.144000000008</v>
      </c>
      <c r="E353" s="2">
        <v>17268.111499999988</v>
      </c>
    </row>
    <row r="354" spans="1:5" x14ac:dyDescent="0.3">
      <c r="A354" s="3">
        <v>44718</v>
      </c>
      <c r="B354" s="2">
        <v>16569.55</v>
      </c>
      <c r="C354" s="2">
        <v>16229.2925</v>
      </c>
      <c r="D354" s="2">
        <v>16870.520000000008</v>
      </c>
      <c r="E354" s="2">
        <v>17269.210999999988</v>
      </c>
    </row>
    <row r="355" spans="1:5" x14ac:dyDescent="0.3">
      <c r="A355" s="3">
        <v>44719</v>
      </c>
      <c r="B355" s="2">
        <v>16416.349999999999</v>
      </c>
      <c r="C355" s="2">
        <v>16242.677499999996</v>
      </c>
      <c r="D355" s="2">
        <v>16856.998000000007</v>
      </c>
      <c r="E355" s="2">
        <v>17269.413249999987</v>
      </c>
    </row>
    <row r="356" spans="1:5" x14ac:dyDescent="0.3">
      <c r="A356" s="3">
        <v>44720</v>
      </c>
      <c r="B356" s="2">
        <v>16356.25</v>
      </c>
      <c r="C356" s="2">
        <v>16251.492499999997</v>
      </c>
      <c r="D356" s="2">
        <v>16840.870000000006</v>
      </c>
      <c r="E356" s="2">
        <v>17268.679749999988</v>
      </c>
    </row>
    <row r="357" spans="1:5" x14ac:dyDescent="0.3">
      <c r="A357" s="3">
        <v>44721</v>
      </c>
      <c r="B357" s="2">
        <v>16478.099999999999</v>
      </c>
      <c r="C357" s="2">
        <v>16260.949999999997</v>
      </c>
      <c r="D357" s="2">
        <v>16824.935000000005</v>
      </c>
      <c r="E357" s="2">
        <v>17267.387999999988</v>
      </c>
    </row>
    <row r="358" spans="1:5" x14ac:dyDescent="0.3">
      <c r="A358" s="3">
        <v>44722</v>
      </c>
      <c r="B358" s="2">
        <v>16201.8</v>
      </c>
      <c r="C358" s="2">
        <v>16294.454999999996</v>
      </c>
      <c r="D358" s="2">
        <v>16810.057000000004</v>
      </c>
      <c r="E358" s="2">
        <v>17266.934249999988</v>
      </c>
    </row>
    <row r="359" spans="1:5" x14ac:dyDescent="0.3">
      <c r="A359" s="3">
        <v>44725</v>
      </c>
      <c r="B359" s="2">
        <v>15774.4</v>
      </c>
      <c r="C359" s="2">
        <v>16315.437499999996</v>
      </c>
      <c r="D359" s="2">
        <v>16787.587000000003</v>
      </c>
      <c r="E359" s="2">
        <v>17265.690749999991</v>
      </c>
    </row>
    <row r="360" spans="1:5" x14ac:dyDescent="0.3">
      <c r="A360" s="3">
        <v>44726</v>
      </c>
      <c r="B360" s="2">
        <v>15732.1</v>
      </c>
      <c r="C360" s="2">
        <v>16312.042499999996</v>
      </c>
      <c r="D360" s="2">
        <v>16753.110000000004</v>
      </c>
      <c r="E360" s="2">
        <v>17262.080499999989</v>
      </c>
    </row>
    <row r="361" spans="1:5" x14ac:dyDescent="0.3">
      <c r="A361" s="3">
        <v>44727</v>
      </c>
      <c r="B361" s="2">
        <v>15692.15</v>
      </c>
      <c r="C361" s="2">
        <v>16285.682499999999</v>
      </c>
      <c r="D361" s="2">
        <v>16718.457000000002</v>
      </c>
      <c r="E361" s="2">
        <v>17257.617999999988</v>
      </c>
    </row>
    <row r="362" spans="1:5" x14ac:dyDescent="0.3">
      <c r="A362" s="3">
        <v>44728</v>
      </c>
      <c r="B362" s="2">
        <v>15360.6</v>
      </c>
      <c r="C362" s="2">
        <v>16258.275</v>
      </c>
      <c r="D362" s="2">
        <v>16678.891</v>
      </c>
      <c r="E362" s="2">
        <v>17252.90549999999</v>
      </c>
    </row>
    <row r="363" spans="1:5" x14ac:dyDescent="0.3">
      <c r="A363" s="3">
        <v>44729</v>
      </c>
      <c r="B363" s="2">
        <v>15293.5</v>
      </c>
      <c r="C363" s="2">
        <v>16235.834999999997</v>
      </c>
      <c r="D363" s="2">
        <v>16625.035000000003</v>
      </c>
      <c r="E363" s="2">
        <v>17246.523999999987</v>
      </c>
    </row>
    <row r="364" spans="1:5" x14ac:dyDescent="0.3">
      <c r="A364" s="3">
        <v>44732</v>
      </c>
      <c r="B364" s="2">
        <v>15350.15</v>
      </c>
      <c r="C364" s="2">
        <v>16187.202499999999</v>
      </c>
      <c r="D364" s="2">
        <v>16571.757000000001</v>
      </c>
      <c r="E364" s="2">
        <v>17239.465499999988</v>
      </c>
    </row>
    <row r="365" spans="1:5" x14ac:dyDescent="0.3">
      <c r="A365" s="3">
        <v>44733</v>
      </c>
      <c r="B365" s="2">
        <v>15638.8</v>
      </c>
      <c r="C365" s="2">
        <v>16143.975</v>
      </c>
      <c r="D365" s="2">
        <v>16522.607000000004</v>
      </c>
      <c r="E365" s="2">
        <v>17231.560999999991</v>
      </c>
    </row>
    <row r="366" spans="1:5" x14ac:dyDescent="0.3">
      <c r="A366" s="3">
        <v>44734</v>
      </c>
      <c r="B366" s="2">
        <v>15413.3</v>
      </c>
      <c r="C366" s="2">
        <v>16119.657499999998</v>
      </c>
      <c r="D366" s="2">
        <v>16482.592000000004</v>
      </c>
      <c r="E366" s="2">
        <v>17224.093999999986</v>
      </c>
    </row>
    <row r="367" spans="1:5" x14ac:dyDescent="0.3">
      <c r="A367" s="3">
        <v>44735</v>
      </c>
      <c r="B367" s="2">
        <v>15556.65</v>
      </c>
      <c r="C367" s="2">
        <v>16089.032500000001</v>
      </c>
      <c r="D367" s="2">
        <v>16435.171000000006</v>
      </c>
      <c r="E367" s="2">
        <v>17215.779249999985</v>
      </c>
    </row>
    <row r="368" spans="1:5" x14ac:dyDescent="0.3">
      <c r="A368" s="3">
        <v>44736</v>
      </c>
      <c r="B368" s="2">
        <v>15699.25</v>
      </c>
      <c r="C368" s="2">
        <v>16058.357500000002</v>
      </c>
      <c r="D368" s="2">
        <v>16392.805000000004</v>
      </c>
      <c r="E368" s="2">
        <v>17207.391749999984</v>
      </c>
    </row>
    <row r="369" spans="1:5" x14ac:dyDescent="0.3">
      <c r="A369" s="3">
        <v>44739</v>
      </c>
      <c r="B369" s="2">
        <v>15832.05</v>
      </c>
      <c r="C369" s="2">
        <v>16025.6975</v>
      </c>
      <c r="D369" s="2">
        <v>16356.184000000007</v>
      </c>
      <c r="E369" s="2">
        <v>17199.269999999982</v>
      </c>
    </row>
    <row r="370" spans="1:5" x14ac:dyDescent="0.3">
      <c r="A370" s="3">
        <v>44740</v>
      </c>
      <c r="B370" s="2">
        <v>15850.2</v>
      </c>
      <c r="C370" s="2">
        <v>15984.23</v>
      </c>
      <c r="D370" s="2">
        <v>16323.312000000007</v>
      </c>
      <c r="E370" s="2">
        <v>17191.541249999984</v>
      </c>
    </row>
    <row r="371" spans="1:5" x14ac:dyDescent="0.3">
      <c r="A371" s="3">
        <v>44741</v>
      </c>
      <c r="B371" s="2">
        <v>15799.1</v>
      </c>
      <c r="C371" s="2">
        <v>15947.512500000001</v>
      </c>
      <c r="D371" s="2">
        <v>16296.843000000008</v>
      </c>
      <c r="E371" s="2">
        <v>17183.981749999984</v>
      </c>
    </row>
    <row r="372" spans="1:5" x14ac:dyDescent="0.3">
      <c r="A372" s="3">
        <v>44742</v>
      </c>
      <c r="B372" s="2">
        <v>15780.25</v>
      </c>
      <c r="C372" s="2">
        <v>15911.329999999998</v>
      </c>
      <c r="D372" s="2">
        <v>16273.652000000007</v>
      </c>
      <c r="E372" s="2">
        <v>17176.209749999984</v>
      </c>
    </row>
    <row r="373" spans="1:5" x14ac:dyDescent="0.3">
      <c r="A373" s="3">
        <v>44743</v>
      </c>
      <c r="B373" s="2">
        <v>15752.05</v>
      </c>
      <c r="C373" s="2">
        <v>15868.942499999999</v>
      </c>
      <c r="D373" s="2">
        <v>16246.526000000005</v>
      </c>
      <c r="E373" s="2">
        <v>17168.264749999984</v>
      </c>
    </row>
    <row r="374" spans="1:5" x14ac:dyDescent="0.3">
      <c r="A374" s="3">
        <v>44746</v>
      </c>
      <c r="B374" s="2">
        <v>15835.35</v>
      </c>
      <c r="C374" s="2">
        <v>15827.329999999996</v>
      </c>
      <c r="D374" s="2">
        <v>16213.715000000004</v>
      </c>
      <c r="E374" s="2">
        <v>17160.248499999983</v>
      </c>
    </row>
    <row r="375" spans="1:5" x14ac:dyDescent="0.3">
      <c r="A375" s="3">
        <v>44747</v>
      </c>
      <c r="B375" s="2">
        <v>15810.85</v>
      </c>
      <c r="C375" s="2">
        <v>15790.619999999995</v>
      </c>
      <c r="D375" s="2">
        <v>16186.983000000006</v>
      </c>
      <c r="E375" s="2">
        <v>17152.525249999984</v>
      </c>
    </row>
    <row r="376" spans="1:5" x14ac:dyDescent="0.3">
      <c r="A376" s="3">
        <v>44748</v>
      </c>
      <c r="B376" s="2">
        <v>15989.8</v>
      </c>
      <c r="C376" s="2">
        <v>15760.344999999996</v>
      </c>
      <c r="D376" s="2">
        <v>16164.121000000003</v>
      </c>
      <c r="E376" s="2">
        <v>17143.982249999983</v>
      </c>
    </row>
    <row r="377" spans="1:5" x14ac:dyDescent="0.3">
      <c r="A377" s="3">
        <v>44749</v>
      </c>
      <c r="B377" s="2">
        <v>16132.9</v>
      </c>
      <c r="C377" s="2">
        <v>15742.022499999995</v>
      </c>
      <c r="D377" s="2">
        <v>16139.901000000003</v>
      </c>
      <c r="E377" s="2">
        <v>17135.783749999984</v>
      </c>
    </row>
    <row r="378" spans="1:5" x14ac:dyDescent="0.3">
      <c r="A378" s="3">
        <v>44750</v>
      </c>
      <c r="B378" s="2">
        <v>16220.6</v>
      </c>
      <c r="C378" s="2">
        <v>15724.762499999997</v>
      </c>
      <c r="D378" s="2">
        <v>16121.791000000003</v>
      </c>
      <c r="E378" s="2">
        <v>17128.522499999981</v>
      </c>
    </row>
    <row r="379" spans="1:5" x14ac:dyDescent="0.3">
      <c r="A379" s="3">
        <v>44753</v>
      </c>
      <c r="B379" s="2">
        <v>16216</v>
      </c>
      <c r="C379" s="2">
        <v>15725.702499999999</v>
      </c>
      <c r="D379" s="2">
        <v>16101.302000000001</v>
      </c>
      <c r="E379" s="2">
        <v>17122.640999999985</v>
      </c>
    </row>
    <row r="380" spans="1:5" x14ac:dyDescent="0.3">
      <c r="A380" s="3">
        <v>44754</v>
      </c>
      <c r="B380" s="2">
        <v>16058.3</v>
      </c>
      <c r="C380" s="2">
        <v>15747.782500000001</v>
      </c>
      <c r="D380" s="2">
        <v>16083.571000000004</v>
      </c>
      <c r="E380" s="2">
        <v>17115.910999999986</v>
      </c>
    </row>
    <row r="381" spans="1:5" x14ac:dyDescent="0.3">
      <c r="A381" s="3">
        <v>44755</v>
      </c>
      <c r="B381" s="2">
        <v>15966.65</v>
      </c>
      <c r="C381" s="2">
        <v>15764.092499999999</v>
      </c>
      <c r="D381" s="2">
        <v>16063.355000000003</v>
      </c>
      <c r="E381" s="2">
        <v>17108.469249999984</v>
      </c>
    </row>
    <row r="382" spans="1:5" x14ac:dyDescent="0.3">
      <c r="A382" s="3">
        <v>44756</v>
      </c>
      <c r="B382" s="2">
        <v>15938.65</v>
      </c>
      <c r="C382" s="2">
        <v>15777.817499999999</v>
      </c>
      <c r="D382" s="2">
        <v>16049.136</v>
      </c>
      <c r="E382" s="2">
        <v>17099.187749999983</v>
      </c>
    </row>
    <row r="383" spans="1:5" x14ac:dyDescent="0.3">
      <c r="A383" s="3">
        <v>44757</v>
      </c>
      <c r="B383" s="2">
        <v>16049.2</v>
      </c>
      <c r="C383" s="2">
        <v>15806.720000000001</v>
      </c>
      <c r="D383" s="2">
        <v>16034.256000000003</v>
      </c>
      <c r="E383" s="2">
        <v>17089.614999999983</v>
      </c>
    </row>
    <row r="384" spans="1:5" x14ac:dyDescent="0.3">
      <c r="A384" s="3">
        <v>44760</v>
      </c>
      <c r="B384" s="2">
        <v>16278.5</v>
      </c>
      <c r="C384" s="2">
        <v>15844.505000000001</v>
      </c>
      <c r="D384" s="2">
        <v>16027.014999999999</v>
      </c>
      <c r="E384" s="2">
        <v>17080.585499999983</v>
      </c>
    </row>
    <row r="385" spans="1:5" x14ac:dyDescent="0.3">
      <c r="A385" s="3">
        <v>44761</v>
      </c>
      <c r="B385" s="2">
        <v>16340.55</v>
      </c>
      <c r="C385" s="2">
        <v>15890.922500000001</v>
      </c>
      <c r="D385" s="2">
        <v>16026.547999999999</v>
      </c>
      <c r="E385" s="2">
        <v>17073.234999999982</v>
      </c>
    </row>
    <row r="386" spans="1:5" x14ac:dyDescent="0.3">
      <c r="A386" s="3">
        <v>44762</v>
      </c>
      <c r="B386" s="2">
        <v>16520.849999999999</v>
      </c>
      <c r="C386" s="2">
        <v>15926.01</v>
      </c>
      <c r="D386" s="2">
        <v>16028.558000000001</v>
      </c>
      <c r="E386" s="2">
        <v>17066.381249999984</v>
      </c>
    </row>
    <row r="387" spans="1:5" x14ac:dyDescent="0.3">
      <c r="A387" s="3">
        <v>44763</v>
      </c>
      <c r="B387" s="2">
        <v>16605.25</v>
      </c>
      <c r="C387" s="2">
        <v>15981.387499999997</v>
      </c>
      <c r="D387" s="2">
        <v>16035.633</v>
      </c>
      <c r="E387" s="2">
        <v>17060.894749999981</v>
      </c>
    </row>
    <row r="388" spans="1:5" x14ac:dyDescent="0.3">
      <c r="A388" s="3">
        <v>44764</v>
      </c>
      <c r="B388" s="2">
        <v>16719.45</v>
      </c>
      <c r="C388" s="2">
        <v>16033.817499999999</v>
      </c>
      <c r="D388" s="2">
        <v>16051.578000000001</v>
      </c>
      <c r="E388" s="2">
        <v>17056.260749999983</v>
      </c>
    </row>
    <row r="389" spans="1:5" x14ac:dyDescent="0.3">
      <c r="A389" s="3">
        <v>44767</v>
      </c>
      <c r="B389" s="2">
        <v>16631</v>
      </c>
      <c r="C389" s="2">
        <v>16084.827499999999</v>
      </c>
      <c r="D389" s="2">
        <v>16070.324000000001</v>
      </c>
      <c r="E389" s="2">
        <v>17051.401749999983</v>
      </c>
    </row>
    <row r="390" spans="1:5" x14ac:dyDescent="0.3">
      <c r="A390" s="3">
        <v>44768</v>
      </c>
      <c r="B390" s="2">
        <v>16483.849999999999</v>
      </c>
      <c r="C390" s="2">
        <v>16124.775</v>
      </c>
      <c r="D390" s="2">
        <v>16086.098</v>
      </c>
      <c r="E390" s="2">
        <v>17045.445249999986</v>
      </c>
    </row>
    <row r="391" spans="1:5" x14ac:dyDescent="0.3">
      <c r="A391" s="3">
        <v>44769</v>
      </c>
      <c r="B391" s="2">
        <v>16641.8</v>
      </c>
      <c r="C391" s="2">
        <v>16156.457499999999</v>
      </c>
      <c r="D391" s="2">
        <v>16090.589</v>
      </c>
      <c r="E391" s="2">
        <v>17039.634499999986</v>
      </c>
    </row>
    <row r="392" spans="1:5" x14ac:dyDescent="0.3">
      <c r="A392" s="3">
        <v>44770</v>
      </c>
      <c r="B392" s="2">
        <v>16929.599999999999</v>
      </c>
      <c r="C392" s="2">
        <v>16198.592499999999</v>
      </c>
      <c r="D392" s="2">
        <v>16098.619000000001</v>
      </c>
      <c r="E392" s="2">
        <v>17033.891749999984</v>
      </c>
    </row>
    <row r="393" spans="1:5" x14ac:dyDescent="0.3">
      <c r="A393" s="3">
        <v>44771</v>
      </c>
      <c r="B393" s="2">
        <v>17158.25</v>
      </c>
      <c r="C393" s="2">
        <v>16256.059999999998</v>
      </c>
      <c r="D393" s="2">
        <v>16121.023000000001</v>
      </c>
      <c r="E393" s="2">
        <v>17029.063749999983</v>
      </c>
    </row>
    <row r="394" spans="1:5" x14ac:dyDescent="0.3">
      <c r="A394" s="3">
        <v>44774</v>
      </c>
      <c r="B394" s="2">
        <v>17340.05</v>
      </c>
      <c r="C394" s="2">
        <v>16326.369999999999</v>
      </c>
      <c r="D394" s="2">
        <v>16138.865</v>
      </c>
      <c r="E394" s="2">
        <v>17025.125249999983</v>
      </c>
    </row>
    <row r="395" spans="1:5" x14ac:dyDescent="0.3">
      <c r="A395" s="3">
        <v>44775</v>
      </c>
      <c r="B395" s="2">
        <v>17345.45</v>
      </c>
      <c r="C395" s="2">
        <v>16401.605</v>
      </c>
      <c r="D395" s="2">
        <v>16161.371999999999</v>
      </c>
      <c r="E395" s="2">
        <v>17021.865749999983</v>
      </c>
    </row>
    <row r="396" spans="1:5" x14ac:dyDescent="0.3">
      <c r="A396" s="3">
        <v>44776</v>
      </c>
      <c r="B396" s="2">
        <v>17388.150000000001</v>
      </c>
      <c r="C396" s="2">
        <v>16478.334999999999</v>
      </c>
      <c r="D396" s="2">
        <v>16185.777999999998</v>
      </c>
      <c r="E396" s="2">
        <v>17017.784249999982</v>
      </c>
    </row>
    <row r="397" spans="1:5" x14ac:dyDescent="0.3">
      <c r="A397" s="3">
        <v>44777</v>
      </c>
      <c r="B397" s="2">
        <v>17382</v>
      </c>
      <c r="C397" s="2">
        <v>16548.252500000002</v>
      </c>
      <c r="D397" s="2">
        <v>16213.025</v>
      </c>
      <c r="E397" s="2">
        <v>17013.032249999986</v>
      </c>
    </row>
    <row r="398" spans="1:5" x14ac:dyDescent="0.3">
      <c r="A398" s="3">
        <v>44778</v>
      </c>
      <c r="B398" s="2">
        <v>17397.5</v>
      </c>
      <c r="C398" s="2">
        <v>16610.7075</v>
      </c>
      <c r="D398" s="2">
        <v>16237.261999999999</v>
      </c>
      <c r="E398" s="2">
        <v>17007.556999999983</v>
      </c>
    </row>
    <row r="399" spans="1:5" x14ac:dyDescent="0.3">
      <c r="A399" s="3">
        <v>44781</v>
      </c>
      <c r="B399" s="2">
        <v>17525.099999999999</v>
      </c>
      <c r="C399" s="2">
        <v>16669.552500000002</v>
      </c>
      <c r="D399" s="2">
        <v>16258.162999999999</v>
      </c>
      <c r="E399" s="2">
        <v>17002.450749999985</v>
      </c>
    </row>
    <row r="400" spans="1:5" x14ac:dyDescent="0.3">
      <c r="A400" s="3">
        <v>44783</v>
      </c>
      <c r="B400" s="2">
        <v>17534.75</v>
      </c>
      <c r="C400" s="2">
        <v>16735.0075</v>
      </c>
      <c r="D400" s="2">
        <v>16275.436999999998</v>
      </c>
      <c r="E400" s="2">
        <v>16998.743249999985</v>
      </c>
    </row>
    <row r="401" spans="1:5" x14ac:dyDescent="0.3">
      <c r="A401" s="3">
        <v>44784</v>
      </c>
      <c r="B401" s="2">
        <v>17659</v>
      </c>
      <c r="C401" s="2">
        <v>16808.829999999998</v>
      </c>
      <c r="D401" s="2">
        <v>16294.440999999999</v>
      </c>
      <c r="E401" s="2">
        <v>16995.526499999985</v>
      </c>
    </row>
    <row r="402" spans="1:5" x14ac:dyDescent="0.3">
      <c r="A402" s="3">
        <v>44785</v>
      </c>
      <c r="B402" s="2">
        <v>17698.150000000001</v>
      </c>
      <c r="C402" s="2">
        <v>16893.447499999998</v>
      </c>
      <c r="D402" s="2">
        <v>16317.165999999999</v>
      </c>
      <c r="E402" s="2">
        <v>16993.246999999985</v>
      </c>
    </row>
    <row r="403" spans="1:5" x14ac:dyDescent="0.3">
      <c r="A403" s="3">
        <v>44789</v>
      </c>
      <c r="B403" s="2">
        <v>17825.25</v>
      </c>
      <c r="C403" s="2">
        <v>16981.422499999997</v>
      </c>
      <c r="D403" s="2">
        <v>16338.569</v>
      </c>
      <c r="E403" s="2">
        <v>16991.110749999985</v>
      </c>
    </row>
    <row r="404" spans="1:5" x14ac:dyDescent="0.3">
      <c r="A404" s="3">
        <v>44790</v>
      </c>
      <c r="B404" s="2">
        <v>17944.25</v>
      </c>
      <c r="C404" s="2">
        <v>17070.224999999999</v>
      </c>
      <c r="D404" s="2">
        <v>16363.387999999999</v>
      </c>
      <c r="E404" s="2">
        <v>16988.894999999986</v>
      </c>
    </row>
    <row r="405" spans="1:5" x14ac:dyDescent="0.3">
      <c r="A405" s="3">
        <v>44791</v>
      </c>
      <c r="B405" s="2">
        <v>17956.5</v>
      </c>
      <c r="C405" s="2">
        <v>17153.512500000001</v>
      </c>
      <c r="D405" s="2">
        <v>16390.881999999998</v>
      </c>
      <c r="E405" s="2">
        <v>16987.561499999985</v>
      </c>
    </row>
    <row r="406" spans="1:5" x14ac:dyDescent="0.3">
      <c r="A406" s="3">
        <v>44792</v>
      </c>
      <c r="B406" s="2">
        <v>17758.45</v>
      </c>
      <c r="C406" s="2">
        <v>17234.310000000001</v>
      </c>
      <c r="D406" s="2">
        <v>16421.684999999998</v>
      </c>
      <c r="E406" s="2">
        <v>16988.057749999985</v>
      </c>
    </row>
    <row r="407" spans="1:5" x14ac:dyDescent="0.3">
      <c r="A407" s="3">
        <v>44795</v>
      </c>
      <c r="B407" s="2">
        <v>17490.7</v>
      </c>
      <c r="C407" s="2">
        <v>17296.189999999999</v>
      </c>
      <c r="D407" s="2">
        <v>16449.728999999996</v>
      </c>
      <c r="E407" s="2">
        <v>16988.491749999986</v>
      </c>
    </row>
    <row r="408" spans="1:5" x14ac:dyDescent="0.3">
      <c r="A408" s="3">
        <v>44796</v>
      </c>
      <c r="B408" s="2">
        <v>17577.5</v>
      </c>
      <c r="C408" s="2">
        <v>17340.462500000001</v>
      </c>
      <c r="D408" s="2">
        <v>16469.981</v>
      </c>
      <c r="E408" s="2">
        <v>16986.296999999988</v>
      </c>
    </row>
    <row r="409" spans="1:5" x14ac:dyDescent="0.3">
      <c r="A409" s="3">
        <v>44797</v>
      </c>
      <c r="B409" s="2">
        <v>17604.95</v>
      </c>
      <c r="C409" s="2">
        <v>17383.365000000002</v>
      </c>
      <c r="D409" s="2">
        <v>16497.494999999999</v>
      </c>
      <c r="E409" s="2">
        <v>16984.73974999999</v>
      </c>
    </row>
    <row r="410" spans="1:5" x14ac:dyDescent="0.3">
      <c r="A410" s="3">
        <v>44798</v>
      </c>
      <c r="B410" s="2">
        <v>17522.45</v>
      </c>
      <c r="C410" s="2">
        <v>17432.062500000004</v>
      </c>
      <c r="D410" s="2">
        <v>16534.106</v>
      </c>
      <c r="E410" s="2">
        <v>16983.61849999999</v>
      </c>
    </row>
    <row r="411" spans="1:5" x14ac:dyDescent="0.3">
      <c r="A411" s="3">
        <v>44799</v>
      </c>
      <c r="B411" s="2">
        <v>17558.900000000001</v>
      </c>
      <c r="C411" s="2">
        <v>17483.9925</v>
      </c>
      <c r="D411" s="2">
        <v>16569.912999999997</v>
      </c>
      <c r="E411" s="2">
        <v>16981.646749999993</v>
      </c>
    </row>
    <row r="412" spans="1:5" x14ac:dyDescent="0.3">
      <c r="A412" s="3">
        <v>44802</v>
      </c>
      <c r="B412" s="2">
        <v>17312.900000000001</v>
      </c>
      <c r="C412" s="2">
        <v>17529.847500000003</v>
      </c>
      <c r="D412" s="2">
        <v>16607.247999999996</v>
      </c>
      <c r="E412" s="2">
        <v>16979.098499999993</v>
      </c>
    </row>
    <row r="413" spans="1:5" x14ac:dyDescent="0.3">
      <c r="A413" s="3">
        <v>44803</v>
      </c>
      <c r="B413" s="2">
        <v>17759.3</v>
      </c>
      <c r="C413" s="2">
        <v>17549.012500000004</v>
      </c>
      <c r="D413" s="2">
        <v>16646.293999999998</v>
      </c>
      <c r="E413" s="2">
        <v>16975.441749999991</v>
      </c>
    </row>
    <row r="414" spans="1:5" x14ac:dyDescent="0.3">
      <c r="A414" s="3">
        <v>44805</v>
      </c>
      <c r="B414" s="2">
        <v>17542.8</v>
      </c>
      <c r="C414" s="2">
        <v>17579.065000000006</v>
      </c>
      <c r="D414" s="2">
        <v>16695.609999999997</v>
      </c>
      <c r="E414" s="2">
        <v>16974.152249999988</v>
      </c>
    </row>
    <row r="415" spans="1:5" x14ac:dyDescent="0.3">
      <c r="A415" s="3">
        <v>44806</v>
      </c>
      <c r="B415" s="2">
        <v>17539.45</v>
      </c>
      <c r="C415" s="2">
        <v>17589.202500000003</v>
      </c>
      <c r="D415" s="2">
        <v>16739.463</v>
      </c>
      <c r="E415" s="2">
        <v>16972.49824999999</v>
      </c>
    </row>
    <row r="416" spans="1:5" x14ac:dyDescent="0.3">
      <c r="A416" s="3">
        <v>44809</v>
      </c>
      <c r="B416" s="2">
        <v>17665.8</v>
      </c>
      <c r="C416" s="2">
        <v>17598.902500000004</v>
      </c>
      <c r="D416" s="2">
        <v>16777.475999999995</v>
      </c>
      <c r="E416" s="2">
        <v>16969.681749999989</v>
      </c>
    </row>
    <row r="417" spans="1:5" x14ac:dyDescent="0.3">
      <c r="A417" s="3">
        <v>44810</v>
      </c>
      <c r="B417" s="2">
        <v>17655.599999999999</v>
      </c>
      <c r="C417" s="2">
        <v>17612.785000000003</v>
      </c>
      <c r="D417" s="2">
        <v>16822.525999999998</v>
      </c>
      <c r="E417" s="2">
        <v>16967.463499999991</v>
      </c>
    </row>
    <row r="418" spans="1:5" x14ac:dyDescent="0.3">
      <c r="A418" s="3">
        <v>44811</v>
      </c>
      <c r="B418" s="2">
        <v>17624.400000000001</v>
      </c>
      <c r="C418" s="2">
        <v>17626.465</v>
      </c>
      <c r="D418" s="2">
        <v>16864.504999999997</v>
      </c>
      <c r="E418" s="2">
        <v>16965.74549999999</v>
      </c>
    </row>
    <row r="419" spans="1:5" x14ac:dyDescent="0.3">
      <c r="A419" s="3">
        <v>44812</v>
      </c>
      <c r="B419" s="2">
        <v>17798.75</v>
      </c>
      <c r="C419" s="2">
        <v>17637.810000000001</v>
      </c>
      <c r="D419" s="2">
        <v>16903.007999999998</v>
      </c>
      <c r="E419" s="2">
        <v>16964.37424999999</v>
      </c>
    </row>
    <row r="420" spans="1:5" x14ac:dyDescent="0.3">
      <c r="A420" s="3">
        <v>44813</v>
      </c>
      <c r="B420" s="2">
        <v>17833.349999999999</v>
      </c>
      <c r="C420" s="2">
        <v>17651.4925</v>
      </c>
      <c r="D420" s="2">
        <v>16942.342000000001</v>
      </c>
      <c r="E420" s="2">
        <v>16964.543999999991</v>
      </c>
    </row>
    <row r="421" spans="1:5" x14ac:dyDescent="0.3">
      <c r="A421" s="3">
        <v>44816</v>
      </c>
      <c r="B421" s="2">
        <v>17936.349999999999</v>
      </c>
      <c r="C421" s="2">
        <v>17666.422499999997</v>
      </c>
      <c r="D421" s="2">
        <v>16982.004999999997</v>
      </c>
      <c r="E421" s="2">
        <v>16966.627999999993</v>
      </c>
    </row>
    <row r="422" spans="1:5" x14ac:dyDescent="0.3">
      <c r="A422" s="3">
        <v>44817</v>
      </c>
      <c r="B422" s="2">
        <v>18070.05</v>
      </c>
      <c r="C422" s="2">
        <v>17680.289999999997</v>
      </c>
      <c r="D422" s="2">
        <v>17024.749999999996</v>
      </c>
      <c r="E422" s="2">
        <v>16968.792999999991</v>
      </c>
    </row>
    <row r="423" spans="1:5" x14ac:dyDescent="0.3">
      <c r="A423" s="3">
        <v>44818</v>
      </c>
      <c r="B423" s="2">
        <v>18003.75</v>
      </c>
      <c r="C423" s="2">
        <v>17698.884999999995</v>
      </c>
      <c r="D423" s="2">
        <v>17070.545999999998</v>
      </c>
      <c r="E423" s="2">
        <v>16972.067999999988</v>
      </c>
    </row>
    <row r="424" spans="1:5" x14ac:dyDescent="0.3">
      <c r="A424" s="3">
        <v>44819</v>
      </c>
      <c r="B424" s="2">
        <v>17877.400000000001</v>
      </c>
      <c r="C424" s="2">
        <v>17707.809999999994</v>
      </c>
      <c r="D424" s="2">
        <v>17115.580000000002</v>
      </c>
      <c r="E424" s="2">
        <v>16974.40549999999</v>
      </c>
    </row>
    <row r="425" spans="1:5" x14ac:dyDescent="0.3">
      <c r="A425" s="3">
        <v>44820</v>
      </c>
      <c r="B425" s="2">
        <v>17530.849999999999</v>
      </c>
      <c r="C425" s="2">
        <v>17704.467499999995</v>
      </c>
      <c r="D425" s="2">
        <v>17156.421000000002</v>
      </c>
      <c r="E425" s="2">
        <v>16978.660249999994</v>
      </c>
    </row>
    <row r="426" spans="1:5" x14ac:dyDescent="0.3">
      <c r="A426" s="3">
        <v>44823</v>
      </c>
      <c r="B426" s="2">
        <v>17622.25</v>
      </c>
      <c r="C426" s="2">
        <v>17683.184999999998</v>
      </c>
      <c r="D426" s="2">
        <v>17190.821</v>
      </c>
      <c r="E426" s="2">
        <v>16981.04474999999</v>
      </c>
    </row>
    <row r="427" spans="1:5" x14ac:dyDescent="0.3">
      <c r="A427" s="3">
        <v>44824</v>
      </c>
      <c r="B427" s="2">
        <v>17816.25</v>
      </c>
      <c r="C427" s="2">
        <v>17676.375</v>
      </c>
      <c r="D427" s="2">
        <v>17223.47</v>
      </c>
      <c r="E427" s="2">
        <v>16984.239999999991</v>
      </c>
    </row>
    <row r="428" spans="1:5" x14ac:dyDescent="0.3">
      <c r="A428" s="3">
        <v>44825</v>
      </c>
      <c r="B428" s="2">
        <v>17718.349999999999</v>
      </c>
      <c r="C428" s="2">
        <v>17692.6525</v>
      </c>
      <c r="D428" s="2">
        <v>17257.137000000002</v>
      </c>
      <c r="E428" s="2">
        <v>16987.486749999993</v>
      </c>
    </row>
    <row r="429" spans="1:5" x14ac:dyDescent="0.3">
      <c r="A429" s="3">
        <v>44826</v>
      </c>
      <c r="B429" s="2">
        <v>17629.8</v>
      </c>
      <c r="C429" s="2">
        <v>17699.695</v>
      </c>
      <c r="D429" s="2">
        <v>17287.092000000001</v>
      </c>
      <c r="E429" s="2">
        <v>16989.070249999993</v>
      </c>
    </row>
    <row r="430" spans="1:5" x14ac:dyDescent="0.3">
      <c r="A430" s="3">
        <v>44827</v>
      </c>
      <c r="B430" s="2">
        <v>17327.349999999999</v>
      </c>
      <c r="C430" s="2">
        <v>17700.937499999996</v>
      </c>
      <c r="D430" s="2">
        <v>17315.368000000006</v>
      </c>
      <c r="E430" s="2">
        <v>16991.235749999993</v>
      </c>
    </row>
    <row r="431" spans="1:5" x14ac:dyDescent="0.3">
      <c r="A431" s="3">
        <v>44830</v>
      </c>
      <c r="B431" s="2">
        <v>17016.3</v>
      </c>
      <c r="C431" s="2">
        <v>17691.182499999995</v>
      </c>
      <c r="D431" s="2">
        <v>17340.749000000003</v>
      </c>
      <c r="E431" s="2">
        <v>16993.311249999992</v>
      </c>
    </row>
    <row r="432" spans="1:5" x14ac:dyDescent="0.3">
      <c r="A432" s="3">
        <v>44831</v>
      </c>
      <c r="B432" s="2">
        <v>17007.400000000001</v>
      </c>
      <c r="C432" s="2">
        <v>17664.052499999998</v>
      </c>
      <c r="D432" s="2">
        <v>17361.742000000006</v>
      </c>
      <c r="E432" s="2">
        <v>16992.509249999992</v>
      </c>
    </row>
    <row r="433" spans="1:5" x14ac:dyDescent="0.3">
      <c r="A433" s="3">
        <v>44832</v>
      </c>
      <c r="B433" s="2">
        <v>16858.599999999999</v>
      </c>
      <c r="C433" s="2">
        <v>17648.777499999997</v>
      </c>
      <c r="D433" s="2">
        <v>17383.117000000006</v>
      </c>
      <c r="E433" s="2">
        <v>16990.197499999995</v>
      </c>
    </row>
    <row r="434" spans="1:5" x14ac:dyDescent="0.3">
      <c r="A434" s="3">
        <v>44833</v>
      </c>
      <c r="B434" s="2">
        <v>16818.099999999999</v>
      </c>
      <c r="C434" s="2">
        <v>17603.742499999997</v>
      </c>
      <c r="D434" s="2">
        <v>17399.305000000004</v>
      </c>
      <c r="E434" s="2">
        <v>16986.906249999996</v>
      </c>
    </row>
    <row r="435" spans="1:5" x14ac:dyDescent="0.3">
      <c r="A435" s="3">
        <v>44834</v>
      </c>
      <c r="B435" s="2">
        <v>17094.349999999999</v>
      </c>
      <c r="C435" s="2">
        <v>17567.5075</v>
      </c>
      <c r="D435" s="2">
        <v>17410.097000000002</v>
      </c>
      <c r="E435" s="2">
        <v>16983.440249999996</v>
      </c>
    </row>
    <row r="436" spans="1:5" x14ac:dyDescent="0.3">
      <c r="A436" s="3">
        <v>44837</v>
      </c>
      <c r="B436" s="2">
        <v>16887.349999999999</v>
      </c>
      <c r="C436" s="2">
        <v>17545.252499999995</v>
      </c>
      <c r="D436" s="2">
        <v>17425.173000000003</v>
      </c>
      <c r="E436" s="2">
        <v>16982.070749999995</v>
      </c>
    </row>
    <row r="437" spans="1:5" x14ac:dyDescent="0.3">
      <c r="A437" s="3">
        <v>44838</v>
      </c>
      <c r="B437" s="2">
        <v>17274.3</v>
      </c>
      <c r="C437" s="2">
        <v>17506.329999999998</v>
      </c>
      <c r="D437" s="2">
        <v>17432.503000000001</v>
      </c>
      <c r="E437" s="2">
        <v>16979.882999999994</v>
      </c>
    </row>
    <row r="438" spans="1:5" x14ac:dyDescent="0.3">
      <c r="A438" s="3">
        <v>44840</v>
      </c>
      <c r="B438" s="2">
        <v>17331.8</v>
      </c>
      <c r="C438" s="2">
        <v>17487.264999999996</v>
      </c>
      <c r="D438" s="2">
        <v>17445.884000000002</v>
      </c>
      <c r="E438" s="2">
        <v>16980.147499999995</v>
      </c>
    </row>
    <row r="439" spans="1:5" x14ac:dyDescent="0.3">
      <c r="A439" s="3">
        <v>44841</v>
      </c>
      <c r="B439" s="2">
        <v>17314.650000000001</v>
      </c>
      <c r="C439" s="2">
        <v>17472.634999999995</v>
      </c>
      <c r="D439" s="2">
        <v>17458.131000000005</v>
      </c>
      <c r="E439" s="2">
        <v>16980.564499999993</v>
      </c>
    </row>
    <row r="440" spans="1:5" x14ac:dyDescent="0.3">
      <c r="A440" s="3">
        <v>44844</v>
      </c>
      <c r="B440" s="2">
        <v>17241</v>
      </c>
      <c r="C440" s="2">
        <v>17448.429999999997</v>
      </c>
      <c r="D440" s="2">
        <v>17471.804000000004</v>
      </c>
      <c r="E440" s="2">
        <v>16982.211749999995</v>
      </c>
    </row>
    <row r="441" spans="1:5" x14ac:dyDescent="0.3">
      <c r="A441" s="3">
        <v>44845</v>
      </c>
      <c r="B441" s="2">
        <v>16983.55</v>
      </c>
      <c r="C441" s="2">
        <v>17418.812499999996</v>
      </c>
      <c r="D441" s="2">
        <v>17486.947000000004</v>
      </c>
      <c r="E441" s="2">
        <v>16985.345749999993</v>
      </c>
    </row>
    <row r="442" spans="1:5" x14ac:dyDescent="0.3">
      <c r="A442" s="3">
        <v>44846</v>
      </c>
      <c r="B442" s="2">
        <v>17123.599999999999</v>
      </c>
      <c r="C442" s="2">
        <v>17371.172500000001</v>
      </c>
      <c r="D442" s="2">
        <v>17493.782000000003</v>
      </c>
      <c r="E442" s="2">
        <v>16986.409249999993</v>
      </c>
    </row>
    <row r="443" spans="1:5" x14ac:dyDescent="0.3">
      <c r="A443" s="3">
        <v>44847</v>
      </c>
      <c r="B443" s="2">
        <v>17014.349999999999</v>
      </c>
      <c r="C443" s="2">
        <v>17323.849999999999</v>
      </c>
      <c r="D443" s="2">
        <v>17497.662</v>
      </c>
      <c r="E443" s="2">
        <v>16987.249999999996</v>
      </c>
    </row>
    <row r="444" spans="1:5" x14ac:dyDescent="0.3">
      <c r="A444" s="3">
        <v>44848</v>
      </c>
      <c r="B444" s="2">
        <v>17185.7</v>
      </c>
      <c r="C444" s="2">
        <v>17274.379999999997</v>
      </c>
      <c r="D444" s="2">
        <v>17494.784000000003</v>
      </c>
      <c r="E444" s="2">
        <v>16986.958749999998</v>
      </c>
    </row>
    <row r="445" spans="1:5" x14ac:dyDescent="0.3">
      <c r="A445" s="3">
        <v>44851</v>
      </c>
      <c r="B445" s="2">
        <v>17311.8</v>
      </c>
      <c r="C445" s="2">
        <v>17239.794999999998</v>
      </c>
      <c r="D445" s="2">
        <v>17491.697</v>
      </c>
      <c r="E445" s="2">
        <v>16987.868499999997</v>
      </c>
    </row>
    <row r="446" spans="1:5" x14ac:dyDescent="0.3">
      <c r="A446" s="3">
        <v>44852</v>
      </c>
      <c r="B446" s="2">
        <v>17486.95</v>
      </c>
      <c r="C446" s="2">
        <v>17228.842499999999</v>
      </c>
      <c r="D446" s="2">
        <v>17491.024000000001</v>
      </c>
      <c r="E446" s="2">
        <v>16988.996249999997</v>
      </c>
    </row>
    <row r="447" spans="1:5" x14ac:dyDescent="0.3">
      <c r="A447" s="3">
        <v>44853</v>
      </c>
      <c r="B447" s="2">
        <v>17512.25</v>
      </c>
      <c r="C447" s="2">
        <v>17222.077499999999</v>
      </c>
      <c r="D447" s="2">
        <v>17493</v>
      </c>
      <c r="E447" s="2">
        <v>16990.264749999998</v>
      </c>
    </row>
    <row r="448" spans="1:5" x14ac:dyDescent="0.3">
      <c r="A448" s="3">
        <v>44854</v>
      </c>
      <c r="B448" s="2">
        <v>17563.95</v>
      </c>
      <c r="C448" s="2">
        <v>17206.877499999999</v>
      </c>
      <c r="D448" s="2">
        <v>17495.605</v>
      </c>
      <c r="E448" s="2">
        <v>16991.757999999998</v>
      </c>
    </row>
    <row r="449" spans="1:5" x14ac:dyDescent="0.3">
      <c r="A449" s="3">
        <v>44855</v>
      </c>
      <c r="B449" s="2">
        <v>17576.3</v>
      </c>
      <c r="C449" s="2">
        <v>17199.157500000001</v>
      </c>
      <c r="D449" s="2">
        <v>17498.933999999997</v>
      </c>
      <c r="E449" s="2">
        <v>16993.557999999997</v>
      </c>
    </row>
    <row r="450" spans="1:5" x14ac:dyDescent="0.3">
      <c r="A450" s="3">
        <v>44858</v>
      </c>
      <c r="B450" s="2">
        <v>17730.75</v>
      </c>
      <c r="C450" s="2">
        <v>17196.482500000002</v>
      </c>
      <c r="D450" s="2">
        <v>17499.957999999999</v>
      </c>
      <c r="E450" s="2">
        <v>16994.669249999999</v>
      </c>
    </row>
    <row r="451" spans="1:5" x14ac:dyDescent="0.3">
      <c r="A451" s="3">
        <v>44859</v>
      </c>
      <c r="B451" s="2">
        <v>17656.349999999999</v>
      </c>
      <c r="C451" s="2">
        <v>17216.6525</v>
      </c>
      <c r="D451" s="2">
        <v>17503.877999999997</v>
      </c>
      <c r="E451" s="2">
        <v>16995.194499999998</v>
      </c>
    </row>
    <row r="452" spans="1:5" x14ac:dyDescent="0.3">
      <c r="A452" s="3">
        <v>44861</v>
      </c>
      <c r="B452" s="2">
        <v>17736.95</v>
      </c>
      <c r="C452" s="2">
        <v>17248.654999999999</v>
      </c>
      <c r="D452" s="2">
        <v>17503.824999999997</v>
      </c>
      <c r="E452" s="2">
        <v>16994.45</v>
      </c>
    </row>
    <row r="453" spans="1:5" x14ac:dyDescent="0.3">
      <c r="A453" s="3">
        <v>44862</v>
      </c>
      <c r="B453" s="2">
        <v>17786.8</v>
      </c>
      <c r="C453" s="2">
        <v>17285.1325</v>
      </c>
      <c r="D453" s="2">
        <v>17504.600999999995</v>
      </c>
      <c r="E453" s="2">
        <v>16993.508500000004</v>
      </c>
    </row>
    <row r="454" spans="1:5" x14ac:dyDescent="0.3">
      <c r="A454" s="3">
        <v>44865</v>
      </c>
      <c r="B454" s="2">
        <v>18012.2</v>
      </c>
      <c r="C454" s="2">
        <v>17331.5425</v>
      </c>
      <c r="D454" s="2">
        <v>17503.831999999999</v>
      </c>
      <c r="E454" s="2">
        <v>16993.713</v>
      </c>
    </row>
    <row r="455" spans="1:5" x14ac:dyDescent="0.3">
      <c r="A455" s="3">
        <v>44866</v>
      </c>
      <c r="B455" s="2">
        <v>18145.400000000001</v>
      </c>
      <c r="C455" s="2">
        <v>17391.247500000001</v>
      </c>
      <c r="D455" s="2">
        <v>17505.190999999995</v>
      </c>
      <c r="E455" s="2">
        <v>16994.710500000001</v>
      </c>
    </row>
    <row r="456" spans="1:5" x14ac:dyDescent="0.3">
      <c r="A456" s="3">
        <v>44867</v>
      </c>
      <c r="B456" s="2">
        <v>18082.849999999999</v>
      </c>
      <c r="C456" s="2">
        <v>17443.800000000003</v>
      </c>
      <c r="D456" s="2">
        <v>17508.968999999997</v>
      </c>
      <c r="E456" s="2">
        <v>16995.421000000002</v>
      </c>
    </row>
    <row r="457" spans="1:5" x14ac:dyDescent="0.3">
      <c r="A457" s="3">
        <v>44868</v>
      </c>
      <c r="B457" s="2">
        <v>18052.7</v>
      </c>
      <c r="C457" s="2">
        <v>17503.575000000001</v>
      </c>
      <c r="D457" s="2">
        <v>17515.456999999999</v>
      </c>
      <c r="E457" s="2">
        <v>16995.556500000002</v>
      </c>
    </row>
    <row r="458" spans="1:5" x14ac:dyDescent="0.3">
      <c r="A458" s="3">
        <v>44869</v>
      </c>
      <c r="B458" s="2">
        <v>18117.150000000001</v>
      </c>
      <c r="C458" s="2">
        <v>17542.495000000003</v>
      </c>
      <c r="D458" s="2">
        <v>17526.696999999996</v>
      </c>
      <c r="E458" s="2">
        <v>16994.758250000003</v>
      </c>
    </row>
    <row r="459" spans="1:5" x14ac:dyDescent="0.3">
      <c r="A459" s="3">
        <v>44872</v>
      </c>
      <c r="B459" s="2">
        <v>18202.8</v>
      </c>
      <c r="C459" s="2">
        <v>17581.762500000004</v>
      </c>
      <c r="D459" s="2">
        <v>17537.489999999994</v>
      </c>
      <c r="E459" s="2">
        <v>16994.055000000004</v>
      </c>
    </row>
    <row r="460" spans="1:5" x14ac:dyDescent="0.3">
      <c r="A460" s="3">
        <v>44874</v>
      </c>
      <c r="B460" s="2">
        <v>18157</v>
      </c>
      <c r="C460" s="2">
        <v>17626.170000000002</v>
      </c>
      <c r="D460" s="2">
        <v>17549.446999999996</v>
      </c>
      <c r="E460" s="2">
        <v>16993.790250000005</v>
      </c>
    </row>
    <row r="461" spans="1:5" x14ac:dyDescent="0.3">
      <c r="A461" s="3">
        <v>44875</v>
      </c>
      <c r="B461" s="2">
        <v>18028.2</v>
      </c>
      <c r="C461" s="2">
        <v>17671.97</v>
      </c>
      <c r="D461" s="2">
        <v>17562.137999999992</v>
      </c>
      <c r="E461" s="2">
        <v>16993.034750000006</v>
      </c>
    </row>
    <row r="462" spans="1:5" x14ac:dyDescent="0.3">
      <c r="A462" s="3">
        <v>44876</v>
      </c>
      <c r="B462" s="2">
        <v>18349.7</v>
      </c>
      <c r="C462" s="2">
        <v>17724.202500000003</v>
      </c>
      <c r="D462" s="2">
        <v>17571.523999999994</v>
      </c>
      <c r="E462" s="2">
        <v>16992.610500000006</v>
      </c>
    </row>
    <row r="463" spans="1:5" x14ac:dyDescent="0.3">
      <c r="A463" s="3">
        <v>44879</v>
      </c>
      <c r="B463" s="2">
        <v>18329.150000000001</v>
      </c>
      <c r="C463" s="2">
        <v>17785.5075</v>
      </c>
      <c r="D463" s="2">
        <v>17592.259999999995</v>
      </c>
      <c r="E463" s="2">
        <v>16994.667000000005</v>
      </c>
    </row>
    <row r="464" spans="1:5" x14ac:dyDescent="0.3">
      <c r="A464" s="3">
        <v>44880</v>
      </c>
      <c r="B464" s="2">
        <v>18403.400000000001</v>
      </c>
      <c r="C464" s="2">
        <v>17851.247500000005</v>
      </c>
      <c r="D464" s="2">
        <v>17603.656999999992</v>
      </c>
      <c r="E464" s="2">
        <v>16997.527750000005</v>
      </c>
    </row>
    <row r="465" spans="1:5" x14ac:dyDescent="0.3">
      <c r="A465" s="3">
        <v>44881</v>
      </c>
      <c r="B465" s="2">
        <v>18409.650000000001</v>
      </c>
      <c r="C465" s="2">
        <v>17912.132500000003</v>
      </c>
      <c r="D465" s="2">
        <v>17620.868999999995</v>
      </c>
      <c r="E465" s="2">
        <v>17001.459000000003</v>
      </c>
    </row>
    <row r="466" spans="1:5" x14ac:dyDescent="0.3">
      <c r="A466" s="3">
        <v>44882</v>
      </c>
      <c r="B466" s="2">
        <v>18343.900000000001</v>
      </c>
      <c r="C466" s="2">
        <v>17967.025000000005</v>
      </c>
      <c r="D466" s="2">
        <v>17638.272999999997</v>
      </c>
      <c r="E466" s="2">
        <v>17007.761750000005</v>
      </c>
    </row>
    <row r="467" spans="1:5" x14ac:dyDescent="0.3">
      <c r="A467" s="3">
        <v>44883</v>
      </c>
      <c r="B467" s="2">
        <v>18307.650000000001</v>
      </c>
      <c r="C467" s="2">
        <v>18009.872500000005</v>
      </c>
      <c r="D467" s="2">
        <v>17651.834999999999</v>
      </c>
      <c r="E467" s="2">
        <v>17013.091500000002</v>
      </c>
    </row>
    <row r="468" spans="1:5" x14ac:dyDescent="0.3">
      <c r="A468" s="3">
        <v>44886</v>
      </c>
      <c r="B468" s="2">
        <v>18159.95</v>
      </c>
      <c r="C468" s="2">
        <v>18049.642500000009</v>
      </c>
      <c r="D468" s="2">
        <v>17664.876</v>
      </c>
      <c r="E468" s="2">
        <v>17019.079000000005</v>
      </c>
    </row>
    <row r="469" spans="1:5" x14ac:dyDescent="0.3">
      <c r="A469" s="3">
        <v>44887</v>
      </c>
      <c r="B469" s="2">
        <v>18244.2</v>
      </c>
      <c r="C469" s="2">
        <v>18079.442500000008</v>
      </c>
      <c r="D469" s="2">
        <v>17675.586999999996</v>
      </c>
      <c r="E469" s="2">
        <v>17024.369000000006</v>
      </c>
    </row>
    <row r="470" spans="1:5" x14ac:dyDescent="0.3">
      <c r="A470" s="3">
        <v>44888</v>
      </c>
      <c r="B470" s="2">
        <v>18267.25</v>
      </c>
      <c r="C470" s="2">
        <v>18112.837500000005</v>
      </c>
      <c r="D470" s="2">
        <v>17684.495999999996</v>
      </c>
      <c r="E470" s="2">
        <v>17028.890750000006</v>
      </c>
    </row>
    <row r="471" spans="1:5" x14ac:dyDescent="0.3">
      <c r="A471" s="3">
        <v>44889</v>
      </c>
      <c r="B471" s="2">
        <v>18484.099999999999</v>
      </c>
      <c r="C471" s="2">
        <v>18139.662500000006</v>
      </c>
      <c r="D471" s="2">
        <v>17693.173999999995</v>
      </c>
      <c r="E471" s="2">
        <v>17032.342750000007</v>
      </c>
    </row>
    <row r="472" spans="1:5" x14ac:dyDescent="0.3">
      <c r="A472" s="3">
        <v>44890</v>
      </c>
      <c r="B472" s="2">
        <v>18512.75</v>
      </c>
      <c r="C472" s="2">
        <v>18181.050000000003</v>
      </c>
      <c r="D472" s="2">
        <v>17704.128999999997</v>
      </c>
      <c r="E472" s="2">
        <v>17035.863250000006</v>
      </c>
    </row>
    <row r="473" spans="1:5" x14ac:dyDescent="0.3">
      <c r="A473" s="3">
        <v>44893</v>
      </c>
      <c r="B473" s="2">
        <v>18562.75</v>
      </c>
      <c r="C473" s="2">
        <v>18219.840000000004</v>
      </c>
      <c r="D473" s="2">
        <v>17712.982999999997</v>
      </c>
      <c r="E473" s="2">
        <v>17040.626000000004</v>
      </c>
    </row>
    <row r="474" spans="1:5" x14ac:dyDescent="0.3">
      <c r="A474" s="3">
        <v>44894</v>
      </c>
      <c r="B474" s="2">
        <v>18618.05</v>
      </c>
      <c r="C474" s="2">
        <v>18258.637500000001</v>
      </c>
      <c r="D474" s="2">
        <v>17724.162999999997</v>
      </c>
      <c r="E474" s="2">
        <v>17045.858250000005</v>
      </c>
    </row>
    <row r="475" spans="1:5" x14ac:dyDescent="0.3">
      <c r="A475" s="3">
        <v>44895</v>
      </c>
      <c r="B475" s="2">
        <v>18758.349999999999</v>
      </c>
      <c r="C475" s="2">
        <v>18288.93</v>
      </c>
      <c r="D475" s="2">
        <v>17738.975999999999</v>
      </c>
      <c r="E475" s="2">
        <v>17052.880500000007</v>
      </c>
    </row>
    <row r="476" spans="1:5" x14ac:dyDescent="0.3">
      <c r="A476" s="3">
        <v>44896</v>
      </c>
      <c r="B476" s="2">
        <v>18812.5</v>
      </c>
      <c r="C476" s="2">
        <v>18319.577499999996</v>
      </c>
      <c r="D476" s="2">
        <v>17763.525999999998</v>
      </c>
      <c r="E476" s="2">
        <v>17060.338500000005</v>
      </c>
    </row>
    <row r="477" spans="1:5" x14ac:dyDescent="0.3">
      <c r="A477" s="3">
        <v>44897</v>
      </c>
      <c r="B477" s="2">
        <v>18696.099999999999</v>
      </c>
      <c r="C477" s="2">
        <v>18356.059999999998</v>
      </c>
      <c r="D477" s="2">
        <v>17787.330999999998</v>
      </c>
      <c r="E477" s="2">
        <v>17067.082000000006</v>
      </c>
    </row>
    <row r="478" spans="1:5" x14ac:dyDescent="0.3">
      <c r="A478" s="3">
        <v>44900</v>
      </c>
      <c r="B478" s="2">
        <v>18701.05</v>
      </c>
      <c r="C478" s="2">
        <v>18388.229999999996</v>
      </c>
      <c r="D478" s="2">
        <v>17804.928</v>
      </c>
      <c r="E478" s="2">
        <v>17072.533250000008</v>
      </c>
    </row>
    <row r="479" spans="1:5" x14ac:dyDescent="0.3">
      <c r="A479" s="3">
        <v>44901</v>
      </c>
      <c r="B479" s="2">
        <v>18642.75</v>
      </c>
      <c r="C479" s="2">
        <v>18417.424999999996</v>
      </c>
      <c r="D479" s="2">
        <v>17824.581999999999</v>
      </c>
      <c r="E479" s="2">
        <v>17079.164750000007</v>
      </c>
    </row>
    <row r="480" spans="1:5" x14ac:dyDescent="0.3">
      <c r="A480" s="3">
        <v>44902</v>
      </c>
      <c r="B480" s="2">
        <v>18560.5</v>
      </c>
      <c r="C480" s="2">
        <v>18439.422499999997</v>
      </c>
      <c r="D480" s="2">
        <v>17844.841</v>
      </c>
      <c r="E480" s="2">
        <v>17088.164500000003</v>
      </c>
    </row>
    <row r="481" spans="1:5" x14ac:dyDescent="0.3">
      <c r="A481" s="3">
        <v>44903</v>
      </c>
      <c r="B481" s="2">
        <v>18609.349999999999</v>
      </c>
      <c r="C481" s="2">
        <v>18459.597499999996</v>
      </c>
      <c r="D481" s="2">
        <v>17869.504000000001</v>
      </c>
      <c r="E481" s="2">
        <v>17094.204750000004</v>
      </c>
    </row>
    <row r="482" spans="1:5" x14ac:dyDescent="0.3">
      <c r="A482" s="3">
        <v>44904</v>
      </c>
      <c r="B482" s="2">
        <v>18496.599999999999</v>
      </c>
      <c r="C482" s="2">
        <v>18488.654999999995</v>
      </c>
      <c r="D482" s="2">
        <v>17901.365000000002</v>
      </c>
      <c r="E482" s="2">
        <v>17100.640500000005</v>
      </c>
    </row>
    <row r="483" spans="1:5" x14ac:dyDescent="0.3">
      <c r="A483" s="3">
        <v>44907</v>
      </c>
      <c r="B483" s="2">
        <v>18497.150000000001</v>
      </c>
      <c r="C483" s="2">
        <v>18495.999999999996</v>
      </c>
      <c r="D483" s="2">
        <v>17931.148999999998</v>
      </c>
      <c r="E483" s="2">
        <v>17106.600500000004</v>
      </c>
    </row>
    <row r="484" spans="1:5" x14ac:dyDescent="0.3">
      <c r="A484" s="3">
        <v>44908</v>
      </c>
      <c r="B484" s="2">
        <v>18608</v>
      </c>
      <c r="C484" s="2">
        <v>18504.400000000001</v>
      </c>
      <c r="D484" s="2">
        <v>17963.919999999998</v>
      </c>
      <c r="E484" s="2">
        <v>17112.704750000004</v>
      </c>
    </row>
    <row r="485" spans="1:5" x14ac:dyDescent="0.3">
      <c r="A485" s="3">
        <v>44909</v>
      </c>
      <c r="B485" s="2">
        <v>18660.3</v>
      </c>
      <c r="C485" s="2">
        <v>18514.629999999997</v>
      </c>
      <c r="D485" s="2">
        <v>17999.718000000001</v>
      </c>
      <c r="E485" s="2">
        <v>17119.711500000005</v>
      </c>
    </row>
    <row r="486" spans="1:5" x14ac:dyDescent="0.3">
      <c r="A486" s="3">
        <v>44910</v>
      </c>
      <c r="B486" s="2">
        <v>18414.900000000001</v>
      </c>
      <c r="C486" s="2">
        <v>18527.162499999999</v>
      </c>
      <c r="D486" s="2">
        <v>18031.037</v>
      </c>
      <c r="E486" s="2">
        <v>17127.552000000003</v>
      </c>
    </row>
    <row r="487" spans="1:5" x14ac:dyDescent="0.3">
      <c r="A487" s="3">
        <v>44911</v>
      </c>
      <c r="B487" s="2">
        <v>18269</v>
      </c>
      <c r="C487" s="2">
        <v>18530.712500000001</v>
      </c>
      <c r="D487" s="2">
        <v>18061.588000000003</v>
      </c>
      <c r="E487" s="2">
        <v>17134.310250000002</v>
      </c>
    </row>
    <row r="488" spans="1:5" x14ac:dyDescent="0.3">
      <c r="A488" s="3">
        <v>44914</v>
      </c>
      <c r="B488" s="2">
        <v>18420.45</v>
      </c>
      <c r="C488" s="2">
        <v>18528.780000000002</v>
      </c>
      <c r="D488" s="2">
        <v>18081.482000000004</v>
      </c>
      <c r="E488" s="2">
        <v>17144.415500000003</v>
      </c>
    </row>
    <row r="489" spans="1:5" x14ac:dyDescent="0.3">
      <c r="A489" s="3">
        <v>44915</v>
      </c>
      <c r="B489" s="2">
        <v>18385.3</v>
      </c>
      <c r="C489" s="2">
        <v>18541.805</v>
      </c>
      <c r="D489" s="2">
        <v>18103.255000000001</v>
      </c>
      <c r="E489" s="2">
        <v>17153.225750000005</v>
      </c>
    </row>
    <row r="490" spans="1:5" x14ac:dyDescent="0.3">
      <c r="A490" s="3">
        <v>44916</v>
      </c>
      <c r="B490" s="2">
        <v>18199.099999999999</v>
      </c>
      <c r="C490" s="2">
        <v>18548.86</v>
      </c>
      <c r="D490" s="2">
        <v>18124.668000000005</v>
      </c>
      <c r="E490" s="2">
        <v>17161.182750000004</v>
      </c>
    </row>
    <row r="491" spans="1:5" x14ac:dyDescent="0.3">
      <c r="A491" s="3">
        <v>44917</v>
      </c>
      <c r="B491" s="2">
        <v>18127.349999999999</v>
      </c>
      <c r="C491" s="2">
        <v>18545.452499999999</v>
      </c>
      <c r="D491" s="2">
        <v>18143.830000000005</v>
      </c>
      <c r="E491" s="2">
        <v>17169.148500000003</v>
      </c>
    </row>
    <row r="492" spans="1:5" x14ac:dyDescent="0.3">
      <c r="A492" s="3">
        <v>44918</v>
      </c>
      <c r="B492" s="2">
        <v>17806.8</v>
      </c>
      <c r="C492" s="2">
        <v>18527.614999999998</v>
      </c>
      <c r="D492" s="2">
        <v>18166.706000000006</v>
      </c>
      <c r="E492" s="2">
        <v>17177.295000000006</v>
      </c>
    </row>
    <row r="493" spans="1:5" x14ac:dyDescent="0.3">
      <c r="A493" s="3">
        <v>44921</v>
      </c>
      <c r="B493" s="2">
        <v>18014.599999999999</v>
      </c>
      <c r="C493" s="2">
        <v>18492.317499999997</v>
      </c>
      <c r="D493" s="2">
        <v>18180.370000000006</v>
      </c>
      <c r="E493" s="2">
        <v>17185.102250000004</v>
      </c>
    </row>
    <row r="494" spans="1:5" x14ac:dyDescent="0.3">
      <c r="A494" s="3">
        <v>44922</v>
      </c>
      <c r="B494" s="2">
        <v>18132.3</v>
      </c>
      <c r="C494" s="2">
        <v>18464.909999999996</v>
      </c>
      <c r="D494" s="2">
        <v>18200.375000000004</v>
      </c>
      <c r="E494" s="2">
        <v>17195.859500000006</v>
      </c>
    </row>
    <row r="495" spans="1:5" x14ac:dyDescent="0.3">
      <c r="A495" s="3">
        <v>44923</v>
      </c>
      <c r="B495" s="2">
        <v>18122.5</v>
      </c>
      <c r="C495" s="2">
        <v>18440.622499999994</v>
      </c>
      <c r="D495" s="2">
        <v>18219.307000000004</v>
      </c>
      <c r="E495" s="2">
        <v>17206.453750000001</v>
      </c>
    </row>
    <row r="496" spans="1:5" x14ac:dyDescent="0.3">
      <c r="A496" s="3">
        <v>44924</v>
      </c>
      <c r="B496" s="2">
        <v>18191</v>
      </c>
      <c r="C496" s="2">
        <v>18408.829999999994</v>
      </c>
      <c r="D496" s="2">
        <v>18235.521000000004</v>
      </c>
      <c r="E496" s="2">
        <v>17215.339500000002</v>
      </c>
    </row>
    <row r="497" spans="1:5" x14ac:dyDescent="0.3">
      <c r="A497" s="3">
        <v>44925</v>
      </c>
      <c r="B497" s="2">
        <v>18105.3</v>
      </c>
      <c r="C497" s="2">
        <v>18377.754999999997</v>
      </c>
      <c r="D497" s="2">
        <v>18249.602000000003</v>
      </c>
      <c r="E497" s="2">
        <v>17223.320000000003</v>
      </c>
    </row>
    <row r="498" spans="1:5" x14ac:dyDescent="0.3">
      <c r="A498" s="3">
        <v>44928</v>
      </c>
      <c r="B498" s="2">
        <v>18197.45</v>
      </c>
      <c r="C498" s="2">
        <v>18348.214999999997</v>
      </c>
      <c r="D498" s="2">
        <v>18261.463000000003</v>
      </c>
      <c r="E498" s="2">
        <v>17230.694250000004</v>
      </c>
    </row>
    <row r="499" spans="1:5" x14ac:dyDescent="0.3">
      <c r="A499" s="3">
        <v>44929</v>
      </c>
      <c r="B499" s="2">
        <v>18232.55</v>
      </c>
      <c r="C499" s="2">
        <v>18323.035</v>
      </c>
      <c r="D499" s="2">
        <v>18274.133000000005</v>
      </c>
      <c r="E499" s="2">
        <v>17237.325000000001</v>
      </c>
    </row>
    <row r="500" spans="1:5" x14ac:dyDescent="0.3">
      <c r="A500" s="3">
        <v>44930</v>
      </c>
      <c r="B500" s="2">
        <v>18042.95</v>
      </c>
      <c r="C500" s="2">
        <v>18302.525000000001</v>
      </c>
      <c r="D500" s="2">
        <v>18287.258000000002</v>
      </c>
      <c r="E500" s="2">
        <v>17245.172750000005</v>
      </c>
    </row>
    <row r="501" spans="1:5" x14ac:dyDescent="0.3">
      <c r="A501" s="3">
        <v>44931</v>
      </c>
      <c r="B501" s="2">
        <v>17992.150000000001</v>
      </c>
      <c r="C501" s="2">
        <v>18276.647499999999</v>
      </c>
      <c r="D501" s="2">
        <v>18293.502</v>
      </c>
      <c r="E501" s="2">
        <v>17250.510750000001</v>
      </c>
    </row>
    <row r="502" spans="1:5" x14ac:dyDescent="0.3">
      <c r="A502" s="3">
        <v>44932</v>
      </c>
      <c r="B502" s="2">
        <v>17859.45</v>
      </c>
      <c r="C502" s="2">
        <v>18245.787499999999</v>
      </c>
      <c r="D502" s="2">
        <v>18300.218000000004</v>
      </c>
      <c r="E502" s="2">
        <v>17254.036250000001</v>
      </c>
    </row>
    <row r="503" spans="1:5" x14ac:dyDescent="0.3">
      <c r="A503" s="3">
        <v>44935</v>
      </c>
      <c r="B503" s="2">
        <v>18101.2</v>
      </c>
      <c r="C503" s="2">
        <v>18213.93</v>
      </c>
      <c r="D503" s="2">
        <v>18302.668000000001</v>
      </c>
      <c r="E503" s="2">
        <v>17257.745500000005</v>
      </c>
    </row>
    <row r="504" spans="1:5" x14ac:dyDescent="0.3">
      <c r="A504" s="3">
        <v>44936</v>
      </c>
      <c r="B504" s="2">
        <v>17914.150000000001</v>
      </c>
      <c r="C504" s="2">
        <v>18194.1325</v>
      </c>
      <c r="D504" s="2">
        <v>18308.955999999998</v>
      </c>
      <c r="E504" s="2">
        <v>17261.674000000003</v>
      </c>
    </row>
    <row r="505" spans="1:5" x14ac:dyDescent="0.3">
      <c r="A505" s="3">
        <v>44937</v>
      </c>
      <c r="B505" s="2">
        <v>17895.7</v>
      </c>
      <c r="C505" s="2">
        <v>18159.440000000002</v>
      </c>
      <c r="D505" s="2">
        <v>18306.994999999999</v>
      </c>
      <c r="E505" s="2">
        <v>17265.016500000005</v>
      </c>
    </row>
    <row r="506" spans="1:5" x14ac:dyDescent="0.3">
      <c r="A506" s="3">
        <v>44938</v>
      </c>
      <c r="B506" s="2">
        <v>17858.2</v>
      </c>
      <c r="C506" s="2">
        <v>18121.210000000003</v>
      </c>
      <c r="D506" s="2">
        <v>18302.000999999997</v>
      </c>
      <c r="E506" s="2">
        <v>17268.381250000006</v>
      </c>
    </row>
    <row r="507" spans="1:5" x14ac:dyDescent="0.3">
      <c r="A507" s="3">
        <v>44939</v>
      </c>
      <c r="B507" s="2">
        <v>17956.599999999999</v>
      </c>
      <c r="C507" s="2">
        <v>18093.375000000004</v>
      </c>
      <c r="D507" s="2">
        <v>18297.507999999994</v>
      </c>
      <c r="E507" s="2">
        <v>17271.907250000007</v>
      </c>
    </row>
    <row r="508" spans="1:5" x14ac:dyDescent="0.3">
      <c r="A508" s="3">
        <v>44942</v>
      </c>
      <c r="B508" s="2">
        <v>17894.849999999999</v>
      </c>
      <c r="C508" s="2">
        <v>18077.755000000001</v>
      </c>
      <c r="D508" s="2">
        <v>18295.585999999996</v>
      </c>
      <c r="E508" s="2">
        <v>17275.58025000001</v>
      </c>
    </row>
    <row r="509" spans="1:5" x14ac:dyDescent="0.3">
      <c r="A509" s="3">
        <v>44943</v>
      </c>
      <c r="B509" s="2">
        <v>18053.3</v>
      </c>
      <c r="C509" s="2">
        <v>18051.474999999999</v>
      </c>
      <c r="D509" s="2">
        <v>18291.139999999996</v>
      </c>
      <c r="E509" s="2">
        <v>17278.428000000007</v>
      </c>
    </row>
    <row r="510" spans="1:5" x14ac:dyDescent="0.3">
      <c r="A510" s="3">
        <v>44944</v>
      </c>
      <c r="B510" s="2">
        <v>18165.349999999999</v>
      </c>
      <c r="C510" s="2">
        <v>18034.875</v>
      </c>
      <c r="D510" s="2">
        <v>18288.149999999998</v>
      </c>
      <c r="E510" s="2">
        <v>17281.203250000006</v>
      </c>
    </row>
    <row r="511" spans="1:5" x14ac:dyDescent="0.3">
      <c r="A511" s="3">
        <v>44945</v>
      </c>
      <c r="B511" s="2">
        <v>18107.849999999999</v>
      </c>
      <c r="C511" s="2">
        <v>18033.187499999996</v>
      </c>
      <c r="D511" s="2">
        <v>18288.316999999995</v>
      </c>
      <c r="E511" s="2">
        <v>17284.706250000007</v>
      </c>
    </row>
    <row r="512" spans="1:5" x14ac:dyDescent="0.3">
      <c r="A512" s="3">
        <v>44946</v>
      </c>
      <c r="B512" s="2">
        <v>18027.650000000001</v>
      </c>
      <c r="C512" s="2">
        <v>18032.212499999998</v>
      </c>
      <c r="D512" s="2">
        <v>18289.909999999996</v>
      </c>
      <c r="E512" s="2">
        <v>17286.893250000008</v>
      </c>
    </row>
    <row r="513" spans="1:5" x14ac:dyDescent="0.3">
      <c r="A513" s="3">
        <v>44949</v>
      </c>
      <c r="B513" s="2">
        <v>18118.55</v>
      </c>
      <c r="C513" s="2">
        <v>18043.254999999997</v>
      </c>
      <c r="D513" s="2">
        <v>18283.468999999997</v>
      </c>
      <c r="E513" s="2">
        <v>17286.764500000005</v>
      </c>
    </row>
    <row r="514" spans="1:5" x14ac:dyDescent="0.3">
      <c r="A514" s="3">
        <v>44950</v>
      </c>
      <c r="B514" s="2">
        <v>18118.3</v>
      </c>
      <c r="C514" s="2">
        <v>18048.452499999999</v>
      </c>
      <c r="D514" s="2">
        <v>18279.256999999998</v>
      </c>
      <c r="E514" s="2">
        <v>17287.570250000008</v>
      </c>
    </row>
    <row r="515" spans="1:5" x14ac:dyDescent="0.3">
      <c r="A515" s="3">
        <v>44951</v>
      </c>
      <c r="B515" s="2">
        <v>17891.95</v>
      </c>
      <c r="C515" s="2">
        <v>18047.752499999999</v>
      </c>
      <c r="D515" s="2">
        <v>18273.554999999997</v>
      </c>
      <c r="E515" s="2">
        <v>17289.123500000009</v>
      </c>
    </row>
    <row r="516" spans="1:5" x14ac:dyDescent="0.3">
      <c r="A516" s="3">
        <v>44953</v>
      </c>
      <c r="B516" s="2">
        <v>17604.349999999999</v>
      </c>
      <c r="C516" s="2">
        <v>18036.224999999999</v>
      </c>
      <c r="D516" s="2">
        <v>18263.200999999997</v>
      </c>
      <c r="E516" s="2">
        <v>17290.385500000008</v>
      </c>
    </row>
    <row r="517" spans="1:5" x14ac:dyDescent="0.3">
      <c r="A517" s="3">
        <v>44956</v>
      </c>
      <c r="B517" s="2">
        <v>17648.95</v>
      </c>
      <c r="C517" s="2">
        <v>18006.892499999998</v>
      </c>
      <c r="D517" s="2">
        <v>18248.409999999996</v>
      </c>
      <c r="E517" s="2">
        <v>17289.48550000001</v>
      </c>
    </row>
    <row r="518" spans="1:5" x14ac:dyDescent="0.3">
      <c r="A518" s="3">
        <v>44957</v>
      </c>
      <c r="B518" s="2">
        <v>17662.150000000001</v>
      </c>
      <c r="C518" s="2">
        <v>17984.075000000001</v>
      </c>
      <c r="D518" s="2">
        <v>18235.235999999997</v>
      </c>
      <c r="E518" s="2">
        <v>17289.355500000009</v>
      </c>
    </row>
    <row r="519" spans="1:5" x14ac:dyDescent="0.3">
      <c r="A519" s="3">
        <v>44958</v>
      </c>
      <c r="B519" s="2">
        <v>17616.3</v>
      </c>
      <c r="C519" s="2">
        <v>17957.310000000001</v>
      </c>
      <c r="D519" s="2">
        <v>18225.279999999995</v>
      </c>
      <c r="E519" s="2">
        <v>17290.014750000009</v>
      </c>
    </row>
    <row r="520" spans="1:5" x14ac:dyDescent="0.3">
      <c r="A520" s="3">
        <v>44959</v>
      </c>
      <c r="B520" s="2">
        <v>17610.400000000001</v>
      </c>
      <c r="C520" s="2">
        <v>17926.497500000001</v>
      </c>
      <c r="D520" s="2">
        <v>18212.721999999994</v>
      </c>
      <c r="E520" s="2">
        <v>17290.718000000008</v>
      </c>
    </row>
    <row r="521" spans="1:5" x14ac:dyDescent="0.3">
      <c r="A521" s="3">
        <v>44960</v>
      </c>
      <c r="B521" s="2">
        <v>17854.05</v>
      </c>
      <c r="C521" s="2">
        <v>17904.870000000003</v>
      </c>
      <c r="D521" s="2">
        <v>18199.584999999995</v>
      </c>
      <c r="E521" s="2">
        <v>17292.901750000008</v>
      </c>
    </row>
    <row r="522" spans="1:5" x14ac:dyDescent="0.3">
      <c r="A522" s="3">
        <v>44963</v>
      </c>
      <c r="B522" s="2">
        <v>17764.599999999999</v>
      </c>
      <c r="C522" s="2">
        <v>17897.965</v>
      </c>
      <c r="D522" s="2">
        <v>18186.983999999997</v>
      </c>
      <c r="E522" s="2">
        <v>17297.378750000011</v>
      </c>
    </row>
    <row r="523" spans="1:5" x14ac:dyDescent="0.3">
      <c r="A523" s="3">
        <v>44964</v>
      </c>
      <c r="B523" s="2">
        <v>17721.5</v>
      </c>
      <c r="C523" s="2">
        <v>17893.2225</v>
      </c>
      <c r="D523" s="2">
        <v>18172.020999999997</v>
      </c>
      <c r="E523" s="2">
        <v>17300.519000000008</v>
      </c>
    </row>
    <row r="524" spans="1:5" x14ac:dyDescent="0.3">
      <c r="A524" s="3">
        <v>44965</v>
      </c>
      <c r="B524" s="2">
        <v>17871.7</v>
      </c>
      <c r="C524" s="2">
        <v>17874.237499999999</v>
      </c>
      <c r="D524" s="2">
        <v>18155.195999999996</v>
      </c>
      <c r="E524" s="2">
        <v>17302.16350000001</v>
      </c>
    </row>
    <row r="525" spans="1:5" x14ac:dyDescent="0.3">
      <c r="A525" s="3">
        <v>44966</v>
      </c>
      <c r="B525" s="2">
        <v>17893.45</v>
      </c>
      <c r="C525" s="2">
        <v>17872.114999999998</v>
      </c>
      <c r="D525" s="2">
        <v>18140.268999999997</v>
      </c>
      <c r="E525" s="2">
        <v>17305.662250000008</v>
      </c>
    </row>
    <row r="526" spans="1:5" x14ac:dyDescent="0.3">
      <c r="A526" s="3">
        <v>44967</v>
      </c>
      <c r="B526" s="2">
        <v>17856.5</v>
      </c>
      <c r="C526" s="2">
        <v>17872.002499999999</v>
      </c>
      <c r="D526" s="2">
        <v>18122.970999999998</v>
      </c>
      <c r="E526" s="2">
        <v>17310.359750000011</v>
      </c>
    </row>
    <row r="527" spans="1:5" x14ac:dyDescent="0.3">
      <c r="A527" s="3">
        <v>44970</v>
      </c>
      <c r="B527" s="2">
        <v>17770.900000000001</v>
      </c>
      <c r="C527" s="2">
        <v>17871.917500000003</v>
      </c>
      <c r="D527" s="2">
        <v>18103.850999999999</v>
      </c>
      <c r="E527" s="2">
        <v>17313.638250000007</v>
      </c>
    </row>
    <row r="528" spans="1:5" x14ac:dyDescent="0.3">
      <c r="A528" s="3">
        <v>44971</v>
      </c>
      <c r="B528" s="2">
        <v>17929.849999999999</v>
      </c>
      <c r="C528" s="2">
        <v>17862.6325</v>
      </c>
      <c r="D528" s="2">
        <v>18085.346999999998</v>
      </c>
      <c r="E528" s="2">
        <v>17317.300750000006</v>
      </c>
    </row>
    <row r="529" spans="1:5" x14ac:dyDescent="0.3">
      <c r="A529" s="3">
        <v>44972</v>
      </c>
      <c r="B529" s="2">
        <v>18015.849999999999</v>
      </c>
      <c r="C529" s="2">
        <v>17864.3825</v>
      </c>
      <c r="D529" s="2">
        <v>18069.923000000003</v>
      </c>
      <c r="E529" s="2">
        <v>17320.724750000005</v>
      </c>
    </row>
    <row r="530" spans="1:5" x14ac:dyDescent="0.3">
      <c r="A530" s="3">
        <v>44973</v>
      </c>
      <c r="B530" s="2">
        <v>18035.849999999999</v>
      </c>
      <c r="C530" s="2">
        <v>17862.509999999998</v>
      </c>
      <c r="D530" s="2">
        <v>18057.385000000002</v>
      </c>
      <c r="E530" s="2">
        <v>17325.291250000006</v>
      </c>
    </row>
    <row r="531" spans="1:5" x14ac:dyDescent="0.3">
      <c r="A531" s="3">
        <v>44974</v>
      </c>
      <c r="B531" s="2">
        <v>17944.2</v>
      </c>
      <c r="C531" s="2">
        <v>17856.034999999996</v>
      </c>
      <c r="D531" s="2">
        <v>18046.892</v>
      </c>
      <c r="E531" s="2">
        <v>17330.125000000007</v>
      </c>
    </row>
    <row r="532" spans="1:5" x14ac:dyDescent="0.3">
      <c r="A532" s="3">
        <v>44977</v>
      </c>
      <c r="B532" s="2">
        <v>17844.599999999999</v>
      </c>
      <c r="C532" s="2">
        <v>17847.852500000001</v>
      </c>
      <c r="D532" s="2">
        <v>18033.589</v>
      </c>
      <c r="E532" s="2">
        <v>17336.458000000006</v>
      </c>
    </row>
    <row r="533" spans="1:5" x14ac:dyDescent="0.3">
      <c r="A533" s="3">
        <v>44978</v>
      </c>
      <c r="B533" s="2">
        <v>17826.7</v>
      </c>
      <c r="C533" s="2">
        <v>17838.699999999997</v>
      </c>
      <c r="D533" s="2">
        <v>18020.548999999999</v>
      </c>
      <c r="E533" s="2">
        <v>17342.26775000001</v>
      </c>
    </row>
    <row r="534" spans="1:5" x14ac:dyDescent="0.3">
      <c r="A534" s="3">
        <v>44979</v>
      </c>
      <c r="B534" s="2">
        <v>17554.3</v>
      </c>
      <c r="C534" s="2">
        <v>17824.107499999998</v>
      </c>
      <c r="D534" s="2">
        <v>18007.139999999996</v>
      </c>
      <c r="E534" s="2">
        <v>17349.345000000008</v>
      </c>
    </row>
    <row r="535" spans="1:5" x14ac:dyDescent="0.3">
      <c r="A535" s="3">
        <v>44980</v>
      </c>
      <c r="B535" s="2">
        <v>17511.25</v>
      </c>
      <c r="C535" s="2">
        <v>17795.907499999998</v>
      </c>
      <c r="D535" s="2">
        <v>17986.065999999995</v>
      </c>
      <c r="E535" s="2">
        <v>17355.607250000008</v>
      </c>
    </row>
    <row r="536" spans="1:5" x14ac:dyDescent="0.3">
      <c r="A536" s="3">
        <v>44981</v>
      </c>
      <c r="B536" s="2">
        <v>17465.8</v>
      </c>
      <c r="C536" s="2">
        <v>17776.872500000001</v>
      </c>
      <c r="D536" s="2">
        <v>17963.084999999995</v>
      </c>
      <c r="E536" s="2">
        <v>17361.963250000008</v>
      </c>
    </row>
    <row r="537" spans="1:5" x14ac:dyDescent="0.3">
      <c r="A537" s="3">
        <v>44984</v>
      </c>
      <c r="B537" s="2">
        <v>17392.7</v>
      </c>
      <c r="C537" s="2">
        <v>17769.945</v>
      </c>
      <c r="D537" s="2">
        <v>17944.102999999999</v>
      </c>
      <c r="E537" s="2">
        <v>17368.456750000008</v>
      </c>
    </row>
    <row r="538" spans="1:5" x14ac:dyDescent="0.3">
      <c r="A538" s="3">
        <v>44985</v>
      </c>
      <c r="B538" s="2">
        <v>17303.95</v>
      </c>
      <c r="C538" s="2">
        <v>17757.1325</v>
      </c>
      <c r="D538" s="2">
        <v>17926.576999999997</v>
      </c>
      <c r="E538" s="2">
        <v>17376.380250000009</v>
      </c>
    </row>
    <row r="539" spans="1:5" x14ac:dyDescent="0.3">
      <c r="A539" s="3">
        <v>44986</v>
      </c>
      <c r="B539" s="2">
        <v>17450.900000000001</v>
      </c>
      <c r="C539" s="2">
        <v>17739.2225</v>
      </c>
      <c r="D539" s="2">
        <v>17904.246999999996</v>
      </c>
      <c r="E539" s="2">
        <v>17383.989250000006</v>
      </c>
    </row>
    <row r="540" spans="1:5" x14ac:dyDescent="0.3">
      <c r="A540" s="3">
        <v>44987</v>
      </c>
      <c r="B540" s="2">
        <v>17321.900000000001</v>
      </c>
      <c r="C540" s="2">
        <v>17730.952500000003</v>
      </c>
      <c r="D540" s="2">
        <v>17885.558999999997</v>
      </c>
      <c r="E540" s="2">
        <v>17392.032250000007</v>
      </c>
    </row>
    <row r="541" spans="1:5" x14ac:dyDescent="0.3">
      <c r="A541" s="3">
        <v>44988</v>
      </c>
      <c r="B541" s="2">
        <v>17594.349999999999</v>
      </c>
      <c r="C541" s="2">
        <v>17716.527500000004</v>
      </c>
      <c r="D541" s="2">
        <v>17868.014999999996</v>
      </c>
      <c r="E541" s="2">
        <v>17397.345250000006</v>
      </c>
    </row>
    <row r="542" spans="1:5" x14ac:dyDescent="0.3">
      <c r="A542" s="3">
        <v>44991</v>
      </c>
      <c r="B542" s="2">
        <v>17711.45</v>
      </c>
      <c r="C542" s="2">
        <v>17703.542500000003</v>
      </c>
      <c r="D542" s="2">
        <v>17857.354999999996</v>
      </c>
      <c r="E542" s="2">
        <v>17404.115500000007</v>
      </c>
    </row>
    <row r="543" spans="1:5" x14ac:dyDescent="0.3">
      <c r="A543" s="3">
        <v>44993</v>
      </c>
      <c r="B543" s="2">
        <v>17754.400000000001</v>
      </c>
      <c r="C543" s="2">
        <v>17700.885000000002</v>
      </c>
      <c r="D543" s="2">
        <v>17855.447999999993</v>
      </c>
      <c r="E543" s="2">
        <v>17413.62575000001</v>
      </c>
    </row>
    <row r="544" spans="1:5" x14ac:dyDescent="0.3">
      <c r="A544" s="3">
        <v>44994</v>
      </c>
      <c r="B544" s="2">
        <v>17589.599999999999</v>
      </c>
      <c r="C544" s="2">
        <v>17702.530000000006</v>
      </c>
      <c r="D544" s="2">
        <v>17850.243999999995</v>
      </c>
      <c r="E544" s="2">
        <v>17421.06700000001</v>
      </c>
    </row>
    <row r="545" spans="1:5" x14ac:dyDescent="0.3">
      <c r="A545" s="3">
        <v>44995</v>
      </c>
      <c r="B545" s="2">
        <v>17412.900000000001</v>
      </c>
      <c r="C545" s="2">
        <v>17688.424999999999</v>
      </c>
      <c r="D545" s="2">
        <v>17839.389999999996</v>
      </c>
      <c r="E545" s="2">
        <v>17427.941500000004</v>
      </c>
    </row>
    <row r="546" spans="1:5" x14ac:dyDescent="0.3">
      <c r="A546" s="3">
        <v>44998</v>
      </c>
      <c r="B546" s="2">
        <v>17154.3</v>
      </c>
      <c r="C546" s="2">
        <v>17664.397499999999</v>
      </c>
      <c r="D546" s="2">
        <v>17825.197999999997</v>
      </c>
      <c r="E546" s="2">
        <v>17434.380250000006</v>
      </c>
    </row>
    <row r="547" spans="1:5" x14ac:dyDescent="0.3">
      <c r="A547" s="3">
        <v>44999</v>
      </c>
      <c r="B547" s="2">
        <v>17043.3</v>
      </c>
      <c r="C547" s="2">
        <v>17629.287499999999</v>
      </c>
      <c r="D547" s="2">
        <v>17804.463999999996</v>
      </c>
      <c r="E547" s="2">
        <v>17440.022750000004</v>
      </c>
    </row>
    <row r="548" spans="1:5" x14ac:dyDescent="0.3">
      <c r="A548" s="3">
        <v>45000</v>
      </c>
      <c r="B548" s="2">
        <v>16972.150000000001</v>
      </c>
      <c r="C548" s="2">
        <v>17592.907500000001</v>
      </c>
      <c r="D548" s="2">
        <v>17783.223999999998</v>
      </c>
      <c r="E548" s="2">
        <v>17444.388500000005</v>
      </c>
    </row>
    <row r="549" spans="1:5" x14ac:dyDescent="0.3">
      <c r="A549" s="3">
        <v>45001</v>
      </c>
      <c r="B549" s="2">
        <v>16985.599999999999</v>
      </c>
      <c r="C549" s="2">
        <v>17545.022499999999</v>
      </c>
      <c r="D549" s="2">
        <v>17758.718000000001</v>
      </c>
      <c r="E549" s="2">
        <v>17447.487000000001</v>
      </c>
    </row>
    <row r="550" spans="1:5" x14ac:dyDescent="0.3">
      <c r="A550" s="3">
        <v>45002</v>
      </c>
      <c r="B550" s="2">
        <v>17100.05</v>
      </c>
      <c r="C550" s="2">
        <v>17493.510000000002</v>
      </c>
      <c r="D550" s="2">
        <v>17733.778999999999</v>
      </c>
      <c r="E550" s="2">
        <v>17449.108000000004</v>
      </c>
    </row>
    <row r="551" spans="1:5" x14ac:dyDescent="0.3">
      <c r="A551" s="3">
        <v>45005</v>
      </c>
      <c r="B551" s="2">
        <v>16988.400000000001</v>
      </c>
      <c r="C551" s="2">
        <v>17446.719999999998</v>
      </c>
      <c r="D551" s="2">
        <v>17714.921000000002</v>
      </c>
      <c r="E551" s="2">
        <v>17451.685500000003</v>
      </c>
    </row>
    <row r="552" spans="1:5" x14ac:dyDescent="0.3">
      <c r="A552" s="3">
        <v>45006</v>
      </c>
      <c r="B552" s="2">
        <v>17107.5</v>
      </c>
      <c r="C552" s="2">
        <v>17398.93</v>
      </c>
      <c r="D552" s="2">
        <v>17694.846000000001</v>
      </c>
      <c r="E552" s="2">
        <v>17454.013750000002</v>
      </c>
    </row>
    <row r="553" spans="1:5" x14ac:dyDescent="0.3">
      <c r="A553" s="3">
        <v>45007</v>
      </c>
      <c r="B553" s="2">
        <v>17151.900000000001</v>
      </c>
      <c r="C553" s="2">
        <v>17362.075000000001</v>
      </c>
      <c r="D553" s="2">
        <v>17679.807000000001</v>
      </c>
      <c r="E553" s="2">
        <v>17456.411250000001</v>
      </c>
    </row>
    <row r="554" spans="1:5" x14ac:dyDescent="0.3">
      <c r="A554" s="3">
        <v>45008</v>
      </c>
      <c r="B554" s="2">
        <v>17076.900000000001</v>
      </c>
      <c r="C554" s="2">
        <v>17328.334999999999</v>
      </c>
      <c r="D554" s="2">
        <v>17660.821000000004</v>
      </c>
      <c r="E554" s="2">
        <v>17459.249250000004</v>
      </c>
    </row>
    <row r="555" spans="1:5" x14ac:dyDescent="0.3">
      <c r="A555" s="3">
        <v>45009</v>
      </c>
      <c r="B555" s="2">
        <v>16945.05</v>
      </c>
      <c r="C555" s="2">
        <v>17304.465000000004</v>
      </c>
      <c r="D555" s="2">
        <v>17644.076000000005</v>
      </c>
      <c r="E555" s="2">
        <v>17461.786000000004</v>
      </c>
    </row>
    <row r="556" spans="1:5" x14ac:dyDescent="0.3">
      <c r="A556" s="3">
        <v>45012</v>
      </c>
      <c r="B556" s="2">
        <v>16985.7</v>
      </c>
      <c r="C556" s="2">
        <v>17276.155000000002</v>
      </c>
      <c r="D556" s="2">
        <v>17625.063000000002</v>
      </c>
      <c r="E556" s="2">
        <v>17464.429499999998</v>
      </c>
    </row>
    <row r="557" spans="1:5" x14ac:dyDescent="0.3">
      <c r="A557" s="3">
        <v>45013</v>
      </c>
      <c r="B557" s="2">
        <v>16951.7</v>
      </c>
      <c r="C557" s="2">
        <v>17252.150000000001</v>
      </c>
      <c r="D557" s="2">
        <v>17607.613000000001</v>
      </c>
      <c r="E557" s="2">
        <v>17467.576750000004</v>
      </c>
    </row>
    <row r="558" spans="1:5" x14ac:dyDescent="0.3">
      <c r="A558" s="3">
        <v>45014</v>
      </c>
      <c r="B558" s="2">
        <v>17080.7</v>
      </c>
      <c r="C558" s="2">
        <v>17230.099999999999</v>
      </c>
      <c r="D558" s="2">
        <v>17587.514999999999</v>
      </c>
      <c r="E558" s="2">
        <v>17469.944750000006</v>
      </c>
    </row>
    <row r="559" spans="1:5" x14ac:dyDescent="0.3">
      <c r="A559" s="3">
        <v>45016</v>
      </c>
      <c r="B559" s="2">
        <v>17359.75</v>
      </c>
      <c r="C559" s="2">
        <v>17218.9375</v>
      </c>
      <c r="D559" s="2">
        <v>17571.232000000004</v>
      </c>
      <c r="E559" s="2">
        <v>17474.339250000005</v>
      </c>
    </row>
    <row r="560" spans="1:5" x14ac:dyDescent="0.3">
      <c r="A560" s="3">
        <v>45019</v>
      </c>
      <c r="B560" s="2">
        <v>17398.05</v>
      </c>
      <c r="C560" s="2">
        <v>17214.38</v>
      </c>
      <c r="D560" s="2">
        <v>17557.361000000001</v>
      </c>
      <c r="E560" s="2">
        <v>17482.266000000003</v>
      </c>
    </row>
    <row r="561" spans="1:5" x14ac:dyDescent="0.3">
      <c r="A561" s="3">
        <v>45021</v>
      </c>
      <c r="B561" s="2">
        <v>17557.05</v>
      </c>
      <c r="C561" s="2">
        <v>17218.1875</v>
      </c>
      <c r="D561" s="2">
        <v>17542.015000000003</v>
      </c>
      <c r="E561" s="2">
        <v>17490.59575</v>
      </c>
    </row>
    <row r="562" spans="1:5" x14ac:dyDescent="0.3">
      <c r="A562" s="3">
        <v>45022</v>
      </c>
      <c r="B562" s="2">
        <v>17599.150000000001</v>
      </c>
      <c r="C562" s="2">
        <v>17216.322499999998</v>
      </c>
      <c r="D562" s="2">
        <v>17530.999000000003</v>
      </c>
      <c r="E562" s="2">
        <v>17499.920250000003</v>
      </c>
    </row>
    <row r="563" spans="1:5" x14ac:dyDescent="0.3">
      <c r="A563" s="3">
        <v>45026</v>
      </c>
      <c r="B563" s="2">
        <v>17624.05</v>
      </c>
      <c r="C563" s="2">
        <v>17210.707499999997</v>
      </c>
      <c r="D563" s="2">
        <v>17522.429000000004</v>
      </c>
      <c r="E563" s="2">
        <v>17511.113000000001</v>
      </c>
    </row>
    <row r="564" spans="1:5" x14ac:dyDescent="0.3">
      <c r="A564" s="3">
        <v>45027</v>
      </c>
      <c r="B564" s="2">
        <v>17722.3</v>
      </c>
      <c r="C564" s="2">
        <v>17204.189999999999</v>
      </c>
      <c r="D564" s="2">
        <v>17512.539000000004</v>
      </c>
      <c r="E564" s="2">
        <v>17522.765750000002</v>
      </c>
    </row>
    <row r="565" spans="1:5" x14ac:dyDescent="0.3">
      <c r="A565" s="3">
        <v>45028</v>
      </c>
      <c r="B565" s="2">
        <v>17812.400000000001</v>
      </c>
      <c r="C565" s="2">
        <v>17210.825000000001</v>
      </c>
      <c r="D565" s="2">
        <v>17504.61900000001</v>
      </c>
      <c r="E565" s="2">
        <v>17534.626500000002</v>
      </c>
    </row>
    <row r="566" spans="1:5" x14ac:dyDescent="0.3">
      <c r="A566" s="3">
        <v>45029</v>
      </c>
      <c r="B566" s="2">
        <v>17828</v>
      </c>
      <c r="C566" s="2">
        <v>17230.800000000003</v>
      </c>
      <c r="D566" s="2">
        <v>17503.028000000006</v>
      </c>
      <c r="E566" s="2">
        <v>17545.494500000001</v>
      </c>
    </row>
    <row r="567" spans="1:5" x14ac:dyDescent="0.3">
      <c r="A567" s="3">
        <v>45033</v>
      </c>
      <c r="B567" s="2">
        <v>17706.849999999999</v>
      </c>
      <c r="C567" s="2">
        <v>17264.485000000001</v>
      </c>
      <c r="D567" s="2">
        <v>17507.501000000007</v>
      </c>
      <c r="E567" s="2">
        <v>17557.567999999999</v>
      </c>
    </row>
    <row r="568" spans="1:5" x14ac:dyDescent="0.3">
      <c r="A568" s="3">
        <v>45034</v>
      </c>
      <c r="B568" s="2">
        <v>17660.150000000001</v>
      </c>
      <c r="C568" s="2">
        <v>17297.662499999999</v>
      </c>
      <c r="D568" s="2">
        <v>17508.659000000007</v>
      </c>
      <c r="E568" s="2">
        <v>17568.319</v>
      </c>
    </row>
    <row r="569" spans="1:5" x14ac:dyDescent="0.3">
      <c r="A569" s="3">
        <v>45035</v>
      </c>
      <c r="B569" s="2">
        <v>17618.75</v>
      </c>
      <c r="C569" s="2">
        <v>17332.0625</v>
      </c>
      <c r="D569" s="2">
        <v>17508.619000000006</v>
      </c>
      <c r="E569" s="2">
        <v>17578.123499999998</v>
      </c>
    </row>
    <row r="570" spans="1:5" x14ac:dyDescent="0.3">
      <c r="A570" s="3">
        <v>45036</v>
      </c>
      <c r="B570" s="2">
        <v>17624.45</v>
      </c>
      <c r="C570" s="2">
        <v>17363.719999999998</v>
      </c>
      <c r="D570" s="2">
        <v>17508.668000000009</v>
      </c>
      <c r="E570" s="2">
        <v>17587.057000000001</v>
      </c>
    </row>
    <row r="571" spans="1:5" x14ac:dyDescent="0.3">
      <c r="A571" s="3">
        <v>45037</v>
      </c>
      <c r="B571" s="2">
        <v>17624.05</v>
      </c>
      <c r="C571" s="2">
        <v>17389.939999999999</v>
      </c>
      <c r="D571" s="2">
        <v>17508.949000000008</v>
      </c>
      <c r="E571" s="2">
        <v>17595.928250000001</v>
      </c>
    </row>
    <row r="572" spans="1:5" x14ac:dyDescent="0.3">
      <c r="A572" s="3">
        <v>45040</v>
      </c>
      <c r="B572" s="2">
        <v>17743.400000000001</v>
      </c>
      <c r="C572" s="2">
        <v>17421.722499999996</v>
      </c>
      <c r="D572" s="2">
        <v>17504.349000000006</v>
      </c>
      <c r="E572" s="2">
        <v>17605.053</v>
      </c>
    </row>
    <row r="573" spans="1:5" x14ac:dyDescent="0.3">
      <c r="A573" s="3">
        <v>45041</v>
      </c>
      <c r="B573" s="2">
        <v>17769.25</v>
      </c>
      <c r="C573" s="2">
        <v>17453.517499999998</v>
      </c>
      <c r="D573" s="2">
        <v>17503.925000000007</v>
      </c>
      <c r="E573" s="2">
        <v>17614.868750000001</v>
      </c>
    </row>
    <row r="574" spans="1:5" x14ac:dyDescent="0.3">
      <c r="A574" s="3">
        <v>45042</v>
      </c>
      <c r="B574" s="2">
        <v>17813.599999999999</v>
      </c>
      <c r="C574" s="2">
        <v>17484.384999999998</v>
      </c>
      <c r="D574" s="2">
        <v>17504.880000000005</v>
      </c>
      <c r="E574" s="2">
        <v>17624.954749999997</v>
      </c>
    </row>
    <row r="575" spans="1:5" x14ac:dyDescent="0.3">
      <c r="A575" s="3">
        <v>45043</v>
      </c>
      <c r="B575" s="2">
        <v>17915.05</v>
      </c>
      <c r="C575" s="2">
        <v>17521.219999999998</v>
      </c>
      <c r="D575" s="2">
        <v>17503.718000000004</v>
      </c>
      <c r="E575" s="2">
        <v>17634.846000000001</v>
      </c>
    </row>
    <row r="576" spans="1:5" x14ac:dyDescent="0.3">
      <c r="A576" s="3">
        <v>45044</v>
      </c>
      <c r="B576" s="2">
        <v>18065</v>
      </c>
      <c r="C576" s="2">
        <v>17569.719999999998</v>
      </c>
      <c r="D576" s="2">
        <v>17504.150000000005</v>
      </c>
      <c r="E576" s="2">
        <v>17645.366999999998</v>
      </c>
    </row>
    <row r="577" spans="1:5" x14ac:dyDescent="0.3">
      <c r="A577" s="3">
        <v>45048</v>
      </c>
      <c r="B577" s="2">
        <v>18147.650000000001</v>
      </c>
      <c r="C577" s="2">
        <v>17623.685000000001</v>
      </c>
      <c r="D577" s="2">
        <v>17508.320000000003</v>
      </c>
      <c r="E577" s="2">
        <v>17655.743000000002</v>
      </c>
    </row>
    <row r="578" spans="1:5" x14ac:dyDescent="0.3">
      <c r="A578" s="3">
        <v>45049</v>
      </c>
      <c r="B578" s="2">
        <v>18089.849999999999</v>
      </c>
      <c r="C578" s="2">
        <v>17683.482500000002</v>
      </c>
      <c r="D578" s="2">
        <v>17515.855000000007</v>
      </c>
      <c r="E578" s="2">
        <v>17665.816749999998</v>
      </c>
    </row>
    <row r="579" spans="1:5" x14ac:dyDescent="0.3">
      <c r="A579" s="3">
        <v>45050</v>
      </c>
      <c r="B579" s="2">
        <v>18255.8</v>
      </c>
      <c r="C579" s="2">
        <v>17733.939999999999</v>
      </c>
      <c r="D579" s="2">
        <v>17519.055000000008</v>
      </c>
      <c r="E579" s="2">
        <v>17675.163</v>
      </c>
    </row>
    <row r="580" spans="1:5" x14ac:dyDescent="0.3">
      <c r="A580" s="3">
        <v>45051</v>
      </c>
      <c r="B580" s="2">
        <v>18069</v>
      </c>
      <c r="C580" s="2">
        <v>17778.7425</v>
      </c>
      <c r="D580" s="2">
        <v>17523.854000000007</v>
      </c>
      <c r="E580" s="2">
        <v>17685.362000000001</v>
      </c>
    </row>
    <row r="581" spans="1:5" x14ac:dyDescent="0.3">
      <c r="A581" s="3">
        <v>45054</v>
      </c>
      <c r="B581" s="2">
        <v>18264.400000000001</v>
      </c>
      <c r="C581" s="2">
        <v>17812.29</v>
      </c>
      <c r="D581" s="2">
        <v>17524.517000000007</v>
      </c>
      <c r="E581" s="2">
        <v>17695.415499999999</v>
      </c>
    </row>
    <row r="582" spans="1:5" x14ac:dyDescent="0.3">
      <c r="A582" s="3">
        <v>45055</v>
      </c>
      <c r="B582" s="2">
        <v>18265.95</v>
      </c>
      <c r="C582" s="2">
        <v>17847.657499999998</v>
      </c>
      <c r="D582" s="2">
        <v>17530.921000000006</v>
      </c>
      <c r="E582" s="2">
        <v>17706.90425</v>
      </c>
    </row>
    <row r="583" spans="1:5" x14ac:dyDescent="0.3">
      <c r="A583" s="3">
        <v>45056</v>
      </c>
      <c r="B583" s="2">
        <v>18315.099999999999</v>
      </c>
      <c r="C583" s="2">
        <v>17880.997500000001</v>
      </c>
      <c r="D583" s="2">
        <v>17539.348000000005</v>
      </c>
      <c r="E583" s="2">
        <v>17718.54075</v>
      </c>
    </row>
    <row r="584" spans="1:5" x14ac:dyDescent="0.3">
      <c r="A584" s="3">
        <v>45057</v>
      </c>
      <c r="B584" s="2">
        <v>18297</v>
      </c>
      <c r="C584" s="2">
        <v>17915.549999999996</v>
      </c>
      <c r="D584" s="2">
        <v>17549.116000000002</v>
      </c>
      <c r="E584" s="2">
        <v>17729.87025</v>
      </c>
    </row>
    <row r="585" spans="1:5" x14ac:dyDescent="0.3">
      <c r="A585" s="3">
        <v>45058</v>
      </c>
      <c r="B585" s="2">
        <v>18314.8</v>
      </c>
      <c r="C585" s="2">
        <v>17944.285</v>
      </c>
      <c r="D585" s="2">
        <v>17563.97</v>
      </c>
      <c r="E585" s="2">
        <v>17739.962749999999</v>
      </c>
    </row>
    <row r="586" spans="1:5" x14ac:dyDescent="0.3">
      <c r="A586" s="3">
        <v>45061</v>
      </c>
      <c r="B586" s="2">
        <v>18398.849999999999</v>
      </c>
      <c r="C586" s="2">
        <v>17969.404999999999</v>
      </c>
      <c r="D586" s="2">
        <v>17580.041000000005</v>
      </c>
      <c r="E586" s="2">
        <v>17749.833999999995</v>
      </c>
    </row>
    <row r="587" spans="1:5" x14ac:dyDescent="0.3">
      <c r="A587" s="3">
        <v>45062</v>
      </c>
      <c r="B587" s="2">
        <v>18286.5</v>
      </c>
      <c r="C587" s="2">
        <v>17997.947499999998</v>
      </c>
      <c r="D587" s="2">
        <v>17598.702000000001</v>
      </c>
      <c r="E587" s="2">
        <v>17759.223999999998</v>
      </c>
    </row>
    <row r="588" spans="1:5" x14ac:dyDescent="0.3">
      <c r="A588" s="3">
        <v>45063</v>
      </c>
      <c r="B588" s="2">
        <v>18181.75</v>
      </c>
      <c r="C588" s="2">
        <v>18026.929999999997</v>
      </c>
      <c r="D588" s="2">
        <v>17616.578000000001</v>
      </c>
      <c r="E588" s="2">
        <v>17767.630249999998</v>
      </c>
    </row>
    <row r="589" spans="1:5" x14ac:dyDescent="0.3">
      <c r="A589" s="3">
        <v>45064</v>
      </c>
      <c r="B589" s="2">
        <v>18129.95</v>
      </c>
      <c r="C589" s="2">
        <v>18053.009999999998</v>
      </c>
      <c r="D589" s="2">
        <v>17634.134000000002</v>
      </c>
      <c r="E589" s="2">
        <v>17774.941749999994</v>
      </c>
    </row>
    <row r="590" spans="1:5" x14ac:dyDescent="0.3">
      <c r="A590" s="3">
        <v>45065</v>
      </c>
      <c r="B590" s="2">
        <v>18203.400000000001</v>
      </c>
      <c r="C590" s="2">
        <v>18078.57</v>
      </c>
      <c r="D590" s="2">
        <v>17647.715000000004</v>
      </c>
      <c r="E590" s="2">
        <v>17782.436499999996</v>
      </c>
    </row>
    <row r="591" spans="1:5" x14ac:dyDescent="0.3">
      <c r="A591" s="3">
        <v>45068</v>
      </c>
      <c r="B591" s="2">
        <v>18314.400000000001</v>
      </c>
      <c r="C591" s="2">
        <v>18107.517500000002</v>
      </c>
      <c r="D591" s="2">
        <v>17665.345000000001</v>
      </c>
      <c r="E591" s="2">
        <v>17791.034249999993</v>
      </c>
    </row>
    <row r="592" spans="1:5" x14ac:dyDescent="0.3">
      <c r="A592" s="3">
        <v>45069</v>
      </c>
      <c r="B592" s="2">
        <v>18348</v>
      </c>
      <c r="C592" s="2">
        <v>18142.035000000003</v>
      </c>
      <c r="D592" s="2">
        <v>17679.745999999999</v>
      </c>
      <c r="E592" s="2">
        <v>17799.397249999995</v>
      </c>
    </row>
    <row r="593" spans="1:5" x14ac:dyDescent="0.3">
      <c r="A593" s="3">
        <v>45070</v>
      </c>
      <c r="B593" s="2">
        <v>18285.400000000001</v>
      </c>
      <c r="C593" s="2">
        <v>18172.265000000007</v>
      </c>
      <c r="D593" s="2">
        <v>17692.477000000003</v>
      </c>
      <c r="E593" s="2">
        <v>17806.489249999995</v>
      </c>
    </row>
    <row r="594" spans="1:5" x14ac:dyDescent="0.3">
      <c r="A594" s="3">
        <v>45071</v>
      </c>
      <c r="B594" s="2">
        <v>18321.150000000001</v>
      </c>
      <c r="C594" s="2">
        <v>18198.072500000006</v>
      </c>
      <c r="D594" s="2">
        <v>17703.097000000002</v>
      </c>
      <c r="E594" s="2">
        <v>17812.124999999993</v>
      </c>
    </row>
    <row r="595" spans="1:5" x14ac:dyDescent="0.3">
      <c r="A595" s="3">
        <v>45072</v>
      </c>
      <c r="B595" s="2">
        <v>18499.349999999999</v>
      </c>
      <c r="C595" s="2">
        <v>18223.450000000004</v>
      </c>
      <c r="D595" s="2">
        <v>17717.728000000003</v>
      </c>
      <c r="E595" s="2">
        <v>17817.030499999993</v>
      </c>
    </row>
    <row r="596" spans="1:5" x14ac:dyDescent="0.3">
      <c r="A596" s="3">
        <v>45075</v>
      </c>
      <c r="B596" s="2">
        <v>18598.650000000001</v>
      </c>
      <c r="C596" s="2">
        <v>18252.665000000001</v>
      </c>
      <c r="D596" s="2">
        <v>17739.457000000002</v>
      </c>
      <c r="E596" s="2">
        <v>17822.799999999996</v>
      </c>
    </row>
    <row r="597" spans="1:5" x14ac:dyDescent="0.3">
      <c r="A597" s="3">
        <v>45076</v>
      </c>
      <c r="B597" s="2">
        <v>18633.849999999999</v>
      </c>
      <c r="C597" s="2">
        <v>18279.347500000003</v>
      </c>
      <c r="D597" s="2">
        <v>17768.344000000001</v>
      </c>
      <c r="E597" s="2">
        <v>17828.852499999994</v>
      </c>
    </row>
    <row r="598" spans="1:5" x14ac:dyDescent="0.3">
      <c r="A598" s="3">
        <v>45077</v>
      </c>
      <c r="B598" s="2">
        <v>18534.400000000001</v>
      </c>
      <c r="C598" s="2">
        <v>18303.657500000001</v>
      </c>
      <c r="D598" s="2">
        <v>17800.155000000002</v>
      </c>
      <c r="E598" s="2">
        <v>17835.111749999996</v>
      </c>
    </row>
    <row r="599" spans="1:5" x14ac:dyDescent="0.3">
      <c r="A599" s="3">
        <v>45078</v>
      </c>
      <c r="B599" s="2">
        <v>18487.75</v>
      </c>
      <c r="C599" s="2">
        <v>18325.885000000002</v>
      </c>
      <c r="D599" s="2">
        <v>17831.400000000001</v>
      </c>
      <c r="E599" s="2">
        <v>17840.796249999996</v>
      </c>
    </row>
    <row r="600" spans="1:5" x14ac:dyDescent="0.3">
      <c r="A600" s="3">
        <v>45079</v>
      </c>
      <c r="B600" s="2">
        <v>18534.099999999999</v>
      </c>
      <c r="C600" s="2">
        <v>18337.482500000002</v>
      </c>
      <c r="D600" s="2">
        <v>17861.442999999999</v>
      </c>
      <c r="E600" s="2">
        <v>17845.609499999995</v>
      </c>
    </row>
    <row r="601" spans="1:5" x14ac:dyDescent="0.3">
      <c r="A601" s="3">
        <v>45082</v>
      </c>
      <c r="B601" s="2">
        <v>18593.849999999999</v>
      </c>
      <c r="C601" s="2">
        <v>18360.737499999999</v>
      </c>
      <c r="D601" s="2">
        <v>17890.124</v>
      </c>
      <c r="E601" s="2">
        <v>17850.606249999997</v>
      </c>
    </row>
    <row r="602" spans="1:5" x14ac:dyDescent="0.3">
      <c r="A602" s="3">
        <v>45083</v>
      </c>
      <c r="B602" s="2">
        <v>18599</v>
      </c>
      <c r="C602" s="2">
        <v>18377.21</v>
      </c>
      <c r="D602" s="2">
        <v>17922.232999999997</v>
      </c>
      <c r="E602" s="2">
        <v>17855.280499999997</v>
      </c>
    </row>
    <row r="603" spans="1:5" x14ac:dyDescent="0.3">
      <c r="A603" s="3">
        <v>45084</v>
      </c>
      <c r="B603" s="2">
        <v>18726.400000000001</v>
      </c>
      <c r="C603" s="2">
        <v>18393.862499999996</v>
      </c>
      <c r="D603" s="2">
        <v>17952.062999999998</v>
      </c>
      <c r="E603" s="2">
        <v>17859.784749999995</v>
      </c>
    </row>
    <row r="604" spans="1:5" x14ac:dyDescent="0.3">
      <c r="A604" s="3">
        <v>45085</v>
      </c>
      <c r="B604" s="2">
        <v>18634.55</v>
      </c>
      <c r="C604" s="2">
        <v>18414.427499999998</v>
      </c>
      <c r="D604" s="2">
        <v>17983.553</v>
      </c>
      <c r="E604" s="2">
        <v>17864.290499999996</v>
      </c>
    </row>
    <row r="605" spans="1:5" x14ac:dyDescent="0.3">
      <c r="A605" s="3">
        <v>45086</v>
      </c>
      <c r="B605" s="2">
        <v>18563.400000000001</v>
      </c>
      <c r="C605" s="2">
        <v>18431.304999999997</v>
      </c>
      <c r="D605" s="2">
        <v>18014.706000000002</v>
      </c>
      <c r="E605" s="2">
        <v>17867.741999999995</v>
      </c>
    </row>
    <row r="606" spans="1:5" x14ac:dyDescent="0.3">
      <c r="A606" s="3">
        <v>45089</v>
      </c>
      <c r="B606" s="2">
        <v>18601.5</v>
      </c>
      <c r="C606" s="2">
        <v>18443.735000000001</v>
      </c>
      <c r="D606" s="2">
        <v>18047.073</v>
      </c>
      <c r="E606" s="2">
        <v>17870.776499999996</v>
      </c>
    </row>
    <row r="607" spans="1:5" x14ac:dyDescent="0.3">
      <c r="A607" s="3">
        <v>45090</v>
      </c>
      <c r="B607" s="2">
        <v>18716.150000000001</v>
      </c>
      <c r="C607" s="2">
        <v>18453.8675</v>
      </c>
      <c r="D607" s="2">
        <v>18079.389000000003</v>
      </c>
      <c r="E607" s="2">
        <v>17874.991749999997</v>
      </c>
    </row>
    <row r="608" spans="1:5" x14ac:dyDescent="0.3">
      <c r="A608" s="3">
        <v>45091</v>
      </c>
      <c r="B608" s="2">
        <v>18755.900000000001</v>
      </c>
      <c r="C608" s="2">
        <v>18475.350000000002</v>
      </c>
      <c r="D608" s="2">
        <v>18114.678</v>
      </c>
      <c r="E608" s="2">
        <v>17881.118999999995</v>
      </c>
    </row>
    <row r="609" spans="1:5" x14ac:dyDescent="0.3">
      <c r="A609" s="3">
        <v>45092</v>
      </c>
      <c r="B609" s="2">
        <v>18688.099999999999</v>
      </c>
      <c r="C609" s="2">
        <v>18504.057500000003</v>
      </c>
      <c r="D609" s="2">
        <v>18148.182000000001</v>
      </c>
      <c r="E609" s="2">
        <v>17887.010999999995</v>
      </c>
    </row>
    <row r="610" spans="1:5" x14ac:dyDescent="0.3">
      <c r="A610" s="3">
        <v>45093</v>
      </c>
      <c r="B610" s="2">
        <v>18826</v>
      </c>
      <c r="C610" s="2">
        <v>18531.965000000004</v>
      </c>
      <c r="D610" s="2">
        <v>18174.749</v>
      </c>
      <c r="E610" s="2">
        <v>17892.426749999995</v>
      </c>
    </row>
    <row r="611" spans="1:5" x14ac:dyDescent="0.3">
      <c r="A611" s="3">
        <v>45096</v>
      </c>
      <c r="B611" s="2">
        <v>18755.45</v>
      </c>
      <c r="C611" s="2">
        <v>18563.095000000001</v>
      </c>
      <c r="D611" s="2">
        <v>18203.308000000005</v>
      </c>
      <c r="E611" s="2">
        <v>17898.944499999994</v>
      </c>
    </row>
    <row r="612" spans="1:5" x14ac:dyDescent="0.3">
      <c r="A612" s="3">
        <v>45097</v>
      </c>
      <c r="B612" s="2">
        <v>18816.7</v>
      </c>
      <c r="C612" s="2">
        <v>18585.147499999999</v>
      </c>
      <c r="D612" s="2">
        <v>18227.276000000002</v>
      </c>
      <c r="E612" s="2">
        <v>17904.927249999993</v>
      </c>
    </row>
    <row r="613" spans="1:5" x14ac:dyDescent="0.3">
      <c r="A613" s="3">
        <v>45098</v>
      </c>
      <c r="B613" s="2">
        <v>18856.849999999999</v>
      </c>
      <c r="C613" s="2">
        <v>18608.5825</v>
      </c>
      <c r="D613" s="2">
        <v>18251.627</v>
      </c>
      <c r="E613" s="2">
        <v>17912.446249999994</v>
      </c>
    </row>
    <row r="614" spans="1:5" x14ac:dyDescent="0.3">
      <c r="A614" s="3">
        <v>45099</v>
      </c>
      <c r="B614" s="2">
        <v>18771.25</v>
      </c>
      <c r="C614" s="2">
        <v>18637.154999999999</v>
      </c>
      <c r="D614" s="2">
        <v>18276.282999999999</v>
      </c>
      <c r="E614" s="2">
        <v>17917.933999999997</v>
      </c>
    </row>
    <row r="615" spans="1:5" x14ac:dyDescent="0.3">
      <c r="A615" s="3">
        <v>45100</v>
      </c>
      <c r="B615" s="2">
        <v>18665.5</v>
      </c>
      <c r="C615" s="2">
        <v>18659.659999999996</v>
      </c>
      <c r="D615" s="2">
        <v>18297.261999999999</v>
      </c>
      <c r="E615" s="2">
        <v>17924.076249999995</v>
      </c>
    </row>
    <row r="616" spans="1:5" x14ac:dyDescent="0.3">
      <c r="A616" s="3">
        <v>45103</v>
      </c>
      <c r="B616" s="2">
        <v>18691.2</v>
      </c>
      <c r="C616" s="2">
        <v>18667.967499999999</v>
      </c>
      <c r="D616" s="2">
        <v>18314.324000000001</v>
      </c>
      <c r="E616" s="2">
        <v>17929.706499999993</v>
      </c>
    </row>
    <row r="617" spans="1:5" x14ac:dyDescent="0.3">
      <c r="A617" s="3">
        <v>45104</v>
      </c>
      <c r="B617" s="2">
        <v>18817.400000000001</v>
      </c>
      <c r="C617" s="2">
        <v>18672.594999999998</v>
      </c>
      <c r="D617" s="2">
        <v>18331.588</v>
      </c>
      <c r="E617" s="2">
        <v>17934.833499999997</v>
      </c>
    </row>
    <row r="618" spans="1:5" x14ac:dyDescent="0.3">
      <c r="A618" s="3">
        <v>45105</v>
      </c>
      <c r="B618" s="2">
        <v>18972.099999999999</v>
      </c>
      <c r="C618" s="2">
        <v>18681.772499999999</v>
      </c>
      <c r="D618" s="2">
        <v>18353.798999999999</v>
      </c>
      <c r="E618" s="2">
        <v>17940.642499999994</v>
      </c>
    </row>
    <row r="619" spans="1:5" x14ac:dyDescent="0.3">
      <c r="A619" s="3">
        <v>45107</v>
      </c>
      <c r="B619" s="2">
        <v>19189.05</v>
      </c>
      <c r="C619" s="2">
        <v>18703.657500000001</v>
      </c>
      <c r="D619" s="2">
        <v>18380.038</v>
      </c>
      <c r="E619" s="2">
        <v>17947.380999999998</v>
      </c>
    </row>
    <row r="620" spans="1:5" x14ac:dyDescent="0.3">
      <c r="A620" s="3">
        <v>45110</v>
      </c>
      <c r="B620" s="2">
        <v>19322.55</v>
      </c>
      <c r="C620" s="2">
        <v>18738.722500000003</v>
      </c>
      <c r="D620" s="2">
        <v>18411.444000000003</v>
      </c>
      <c r="E620" s="2">
        <v>17954.332499999997</v>
      </c>
    </row>
    <row r="621" spans="1:5" x14ac:dyDescent="0.3">
      <c r="A621" s="3">
        <v>45111</v>
      </c>
      <c r="B621" s="2">
        <v>19389</v>
      </c>
      <c r="C621" s="2">
        <v>18778.145</v>
      </c>
      <c r="D621" s="2">
        <v>18445.406000000003</v>
      </c>
      <c r="E621" s="2">
        <v>17961.778499999993</v>
      </c>
    </row>
    <row r="622" spans="1:5" x14ac:dyDescent="0.3">
      <c r="A622" s="3">
        <v>45112</v>
      </c>
      <c r="B622" s="2">
        <v>19398.5</v>
      </c>
      <c r="C622" s="2">
        <v>18817.9025</v>
      </c>
      <c r="D622" s="2">
        <v>18480.705000000002</v>
      </c>
      <c r="E622" s="2">
        <v>17969.041749999993</v>
      </c>
    </row>
    <row r="623" spans="1:5" x14ac:dyDescent="0.3">
      <c r="A623" s="3">
        <v>45113</v>
      </c>
      <c r="B623" s="2">
        <v>19497.3</v>
      </c>
      <c r="C623" s="2">
        <v>18857.877499999999</v>
      </c>
      <c r="D623" s="2">
        <v>18513.807000000004</v>
      </c>
      <c r="E623" s="2">
        <v>17975.683999999994</v>
      </c>
    </row>
    <row r="624" spans="1:5" x14ac:dyDescent="0.3">
      <c r="A624" s="3">
        <v>45114</v>
      </c>
      <c r="B624" s="2">
        <v>19331.8</v>
      </c>
      <c r="C624" s="2">
        <v>18896.422500000001</v>
      </c>
      <c r="D624" s="2">
        <v>18548.368000000002</v>
      </c>
      <c r="E624" s="2">
        <v>17983.15174999999</v>
      </c>
    </row>
    <row r="625" spans="1:5" x14ac:dyDescent="0.3">
      <c r="A625" s="3">
        <v>45117</v>
      </c>
      <c r="B625" s="2">
        <v>19355.900000000001</v>
      </c>
      <c r="C625" s="2">
        <v>18931.284999999996</v>
      </c>
      <c r="D625" s="2">
        <v>18578.732000000004</v>
      </c>
      <c r="E625" s="2">
        <v>17990.423749999991</v>
      </c>
    </row>
    <row r="626" spans="1:5" x14ac:dyDescent="0.3">
      <c r="A626" s="3">
        <v>45118</v>
      </c>
      <c r="B626" s="2">
        <v>19439.400000000001</v>
      </c>
      <c r="C626" s="2">
        <v>18970.91</v>
      </c>
      <c r="D626" s="2">
        <v>18607.549000000003</v>
      </c>
      <c r="E626" s="2">
        <v>17999.548999999988</v>
      </c>
    </row>
    <row r="627" spans="1:5" x14ac:dyDescent="0.3">
      <c r="A627" s="3">
        <v>45119</v>
      </c>
      <c r="B627" s="2">
        <v>19384.3</v>
      </c>
      <c r="C627" s="2">
        <v>19012.805</v>
      </c>
      <c r="D627" s="2">
        <v>18635.037</v>
      </c>
      <c r="E627" s="2">
        <v>18008.634749999987</v>
      </c>
    </row>
    <row r="628" spans="1:5" x14ac:dyDescent="0.3">
      <c r="A628" s="3">
        <v>45120</v>
      </c>
      <c r="B628" s="2">
        <v>19413.75</v>
      </c>
      <c r="C628" s="2">
        <v>19046.212500000001</v>
      </c>
      <c r="D628" s="2">
        <v>18659.770000000004</v>
      </c>
      <c r="E628" s="2">
        <v>18016.474999999988</v>
      </c>
    </row>
    <row r="629" spans="1:5" x14ac:dyDescent="0.3">
      <c r="A629" s="3">
        <v>45121</v>
      </c>
      <c r="B629" s="2">
        <v>19564.5</v>
      </c>
      <c r="C629" s="2">
        <v>19079.105000000003</v>
      </c>
      <c r="D629" s="2">
        <v>18686.248000000003</v>
      </c>
      <c r="E629" s="2">
        <v>18024.951999999987</v>
      </c>
    </row>
    <row r="630" spans="1:5" x14ac:dyDescent="0.3">
      <c r="A630" s="3">
        <v>45124</v>
      </c>
      <c r="B630" s="2">
        <v>19711.45</v>
      </c>
      <c r="C630" s="2">
        <v>19122.924999999999</v>
      </c>
      <c r="D630" s="2">
        <v>18712.422000000002</v>
      </c>
      <c r="E630" s="2">
        <v>18034.625499999991</v>
      </c>
    </row>
    <row r="631" spans="1:5" x14ac:dyDescent="0.3">
      <c r="A631" s="3">
        <v>45125</v>
      </c>
      <c r="B631" s="2">
        <v>19749.25</v>
      </c>
      <c r="C631" s="2">
        <v>19167.197500000002</v>
      </c>
      <c r="D631" s="2">
        <v>18745.271000000004</v>
      </c>
      <c r="E631" s="2">
        <v>18046.545999999991</v>
      </c>
    </row>
    <row r="632" spans="1:5" x14ac:dyDescent="0.3">
      <c r="A632" s="3">
        <v>45126</v>
      </c>
      <c r="B632" s="2">
        <v>19833.150000000001</v>
      </c>
      <c r="C632" s="2">
        <v>19216.887500000001</v>
      </c>
      <c r="D632" s="2">
        <v>18774.968000000001</v>
      </c>
      <c r="E632" s="2">
        <v>18060.210749999991</v>
      </c>
    </row>
    <row r="633" spans="1:5" x14ac:dyDescent="0.3">
      <c r="A633" s="3">
        <v>45127</v>
      </c>
      <c r="B633" s="2">
        <v>19979.150000000001</v>
      </c>
      <c r="C633" s="2">
        <v>19267.71</v>
      </c>
      <c r="D633" s="2">
        <v>18806.312000000002</v>
      </c>
      <c r="E633" s="2">
        <v>18074.339499999991</v>
      </c>
    </row>
    <row r="634" spans="1:5" x14ac:dyDescent="0.3">
      <c r="A634" s="3">
        <v>45128</v>
      </c>
      <c r="B634" s="2">
        <v>19745</v>
      </c>
      <c r="C634" s="2">
        <v>19323.825000000004</v>
      </c>
      <c r="D634" s="2">
        <v>18839.593000000004</v>
      </c>
      <c r="E634" s="2">
        <v>18089.942249999993</v>
      </c>
    </row>
    <row r="635" spans="1:5" x14ac:dyDescent="0.3">
      <c r="A635" s="3">
        <v>45131</v>
      </c>
      <c r="B635" s="2">
        <v>19672.349999999999</v>
      </c>
      <c r="C635" s="2">
        <v>19372.512500000001</v>
      </c>
      <c r="D635" s="2">
        <v>18868.553000000004</v>
      </c>
      <c r="E635" s="2">
        <v>18104.576749999993</v>
      </c>
    </row>
    <row r="636" spans="1:5" x14ac:dyDescent="0.3">
      <c r="A636" s="3">
        <v>45132</v>
      </c>
      <c r="B636" s="2">
        <v>19680.599999999999</v>
      </c>
      <c r="C636" s="2">
        <v>19422.855</v>
      </c>
      <c r="D636" s="2">
        <v>18895.704000000005</v>
      </c>
      <c r="E636" s="2">
        <v>18117.466749999992</v>
      </c>
    </row>
    <row r="637" spans="1:5" x14ac:dyDescent="0.3">
      <c r="A637" s="3">
        <v>45133</v>
      </c>
      <c r="B637" s="2">
        <v>19778.3</v>
      </c>
      <c r="C637" s="2">
        <v>19472.324999999997</v>
      </c>
      <c r="D637" s="2">
        <v>18921.339000000004</v>
      </c>
      <c r="E637" s="2">
        <v>18131.432999999994</v>
      </c>
    </row>
    <row r="638" spans="1:5" x14ac:dyDescent="0.3">
      <c r="A638" s="3">
        <v>45134</v>
      </c>
      <c r="B638" s="2">
        <v>19659.900000000001</v>
      </c>
      <c r="C638" s="2">
        <v>19520.37</v>
      </c>
      <c r="D638" s="2">
        <v>18951.175000000007</v>
      </c>
      <c r="E638" s="2">
        <v>18143.95299999999</v>
      </c>
    </row>
    <row r="639" spans="1:5" x14ac:dyDescent="0.3">
      <c r="A639" s="3">
        <v>45135</v>
      </c>
      <c r="B639" s="2">
        <v>19646.05</v>
      </c>
      <c r="C639" s="2">
        <v>19554.760000000002</v>
      </c>
      <c r="D639" s="2">
        <v>18980.738000000008</v>
      </c>
      <c r="E639" s="2">
        <v>18155.593499999992</v>
      </c>
    </row>
    <row r="640" spans="1:5" x14ac:dyDescent="0.3">
      <c r="A640" s="3">
        <v>45138</v>
      </c>
      <c r="B640" s="2">
        <v>19753.8</v>
      </c>
      <c r="C640" s="2">
        <v>19577.609999999997</v>
      </c>
      <c r="D640" s="2">
        <v>19011.060000000009</v>
      </c>
      <c r="E640" s="2">
        <v>18167.250499999987</v>
      </c>
    </row>
    <row r="641" spans="1:5" x14ac:dyDescent="0.3">
      <c r="A641" s="3">
        <v>45139</v>
      </c>
      <c r="B641" s="2">
        <v>19733.55</v>
      </c>
      <c r="C641" s="2">
        <v>19599.172499999993</v>
      </c>
      <c r="D641" s="2">
        <v>19042.068000000007</v>
      </c>
      <c r="E641" s="2">
        <v>18179.814499999989</v>
      </c>
    </row>
    <row r="642" spans="1:5" x14ac:dyDescent="0.3">
      <c r="A642" s="3">
        <v>45140</v>
      </c>
      <c r="B642" s="2">
        <v>19526.55</v>
      </c>
      <c r="C642" s="2">
        <v>19616.399999999998</v>
      </c>
      <c r="D642" s="2">
        <v>19070.451000000008</v>
      </c>
      <c r="E642" s="2">
        <v>18193.564499999986</v>
      </c>
    </row>
    <row r="643" spans="1:5" x14ac:dyDescent="0.3">
      <c r="A643" s="3">
        <v>45141</v>
      </c>
      <c r="B643" s="2">
        <v>19381.650000000001</v>
      </c>
      <c r="C643" s="2">
        <v>19622.802499999998</v>
      </c>
      <c r="D643" s="2">
        <v>19094.022000000008</v>
      </c>
      <c r="E643" s="2">
        <v>18205.579249999988</v>
      </c>
    </row>
    <row r="644" spans="1:5" x14ac:dyDescent="0.3">
      <c r="A644" s="3">
        <v>45142</v>
      </c>
      <c r="B644" s="2">
        <v>19517</v>
      </c>
      <c r="C644" s="2">
        <v>19617.02</v>
      </c>
      <c r="D644" s="2">
        <v>19115.947000000007</v>
      </c>
      <c r="E644" s="2">
        <v>18217.415749999986</v>
      </c>
    </row>
    <row r="645" spans="1:5" x14ac:dyDescent="0.3">
      <c r="A645" s="3">
        <v>45145</v>
      </c>
      <c r="B645" s="2">
        <v>19597.3</v>
      </c>
      <c r="C645" s="2">
        <v>19626.28</v>
      </c>
      <c r="D645" s="2">
        <v>19139.864000000009</v>
      </c>
      <c r="E645" s="2">
        <v>18229.072249999987</v>
      </c>
    </row>
    <row r="646" spans="1:5" x14ac:dyDescent="0.3">
      <c r="A646" s="3">
        <v>45146</v>
      </c>
      <c r="B646" s="2">
        <v>19570.849999999999</v>
      </c>
      <c r="C646" s="2">
        <v>19638.349999999999</v>
      </c>
      <c r="D646" s="2">
        <v>19161.823000000008</v>
      </c>
      <c r="E646" s="2">
        <v>18240.499749999988</v>
      </c>
    </row>
    <row r="647" spans="1:5" x14ac:dyDescent="0.3">
      <c r="A647" s="3">
        <v>45147</v>
      </c>
      <c r="B647" s="2">
        <v>19632.55</v>
      </c>
      <c r="C647" s="2">
        <v>19644.922499999997</v>
      </c>
      <c r="D647" s="2">
        <v>19181.267000000007</v>
      </c>
      <c r="E647" s="2">
        <v>18250.919249999988</v>
      </c>
    </row>
    <row r="648" spans="1:5" x14ac:dyDescent="0.3">
      <c r="A648" s="3">
        <v>45148</v>
      </c>
      <c r="B648" s="2">
        <v>19543.099999999999</v>
      </c>
      <c r="C648" s="2">
        <v>19657.334999999999</v>
      </c>
      <c r="D648" s="2">
        <v>19201.241000000005</v>
      </c>
      <c r="E648" s="2">
        <v>18261.520749999989</v>
      </c>
    </row>
    <row r="649" spans="1:5" x14ac:dyDescent="0.3">
      <c r="A649" s="3">
        <v>45149</v>
      </c>
      <c r="B649" s="2">
        <v>19428.3</v>
      </c>
      <c r="C649" s="2">
        <v>19663.802499999998</v>
      </c>
      <c r="D649" s="2">
        <v>19221.415000000008</v>
      </c>
      <c r="E649" s="2">
        <v>18271.416499999988</v>
      </c>
    </row>
    <row r="650" spans="1:5" x14ac:dyDescent="0.3">
      <c r="A650" s="3">
        <v>45152</v>
      </c>
      <c r="B650" s="2">
        <v>19434.55</v>
      </c>
      <c r="C650" s="2">
        <v>19656.992499999993</v>
      </c>
      <c r="D650" s="2">
        <v>19240.22600000001</v>
      </c>
      <c r="E650" s="2">
        <v>18280.676499999987</v>
      </c>
    </row>
    <row r="651" spans="1:5" x14ac:dyDescent="0.3">
      <c r="A651" s="3">
        <v>45154</v>
      </c>
      <c r="B651" s="2">
        <v>19465</v>
      </c>
      <c r="C651" s="2">
        <v>19643.147499999992</v>
      </c>
      <c r="D651" s="2">
        <v>19258.235000000008</v>
      </c>
      <c r="E651" s="2">
        <v>18289.195499999987</v>
      </c>
    </row>
    <row r="652" spans="1:5" x14ac:dyDescent="0.3">
      <c r="A652" s="3">
        <v>45155</v>
      </c>
      <c r="B652" s="2">
        <v>19365.25</v>
      </c>
      <c r="C652" s="2">
        <v>19628.934999999994</v>
      </c>
      <c r="D652" s="2">
        <v>19275.658000000007</v>
      </c>
      <c r="E652" s="2">
        <v>18298.238749999982</v>
      </c>
    </row>
    <row r="653" spans="1:5" x14ac:dyDescent="0.3">
      <c r="A653" s="3">
        <v>45156</v>
      </c>
      <c r="B653" s="2">
        <v>19310.150000000001</v>
      </c>
      <c r="C653" s="2">
        <v>19605.539999999994</v>
      </c>
      <c r="D653" s="2">
        <v>19290.983000000007</v>
      </c>
      <c r="E653" s="2">
        <v>18306.380249999984</v>
      </c>
    </row>
    <row r="654" spans="1:5" x14ac:dyDescent="0.3">
      <c r="A654" s="3">
        <v>45159</v>
      </c>
      <c r="B654" s="2">
        <v>19393.599999999999</v>
      </c>
      <c r="C654" s="2">
        <v>19572.089999999997</v>
      </c>
      <c r="D654" s="2">
        <v>19302.65800000001</v>
      </c>
      <c r="E654" s="2">
        <v>18313.996999999985</v>
      </c>
    </row>
    <row r="655" spans="1:5" x14ac:dyDescent="0.3">
      <c r="A655" s="3">
        <v>45160</v>
      </c>
      <c r="B655" s="2">
        <v>19396.45</v>
      </c>
      <c r="C655" s="2">
        <v>19554.519999999997</v>
      </c>
      <c r="D655" s="2">
        <v>19317.839000000007</v>
      </c>
      <c r="E655" s="2">
        <v>18320.903999999984</v>
      </c>
    </row>
    <row r="656" spans="1:5" x14ac:dyDescent="0.3">
      <c r="A656" s="3">
        <v>45161</v>
      </c>
      <c r="B656" s="2">
        <v>19444</v>
      </c>
      <c r="C656" s="2">
        <v>19540.724999999999</v>
      </c>
      <c r="D656" s="2">
        <v>19334.500000000007</v>
      </c>
      <c r="E656" s="2">
        <v>18327.159249999982</v>
      </c>
    </row>
    <row r="657" spans="1:5" x14ac:dyDescent="0.3">
      <c r="A657" s="3">
        <v>45162</v>
      </c>
      <c r="B657" s="2">
        <v>19386.7</v>
      </c>
      <c r="C657" s="2">
        <v>19528.895</v>
      </c>
      <c r="D657" s="2">
        <v>19351.350000000009</v>
      </c>
      <c r="E657" s="2">
        <v>18333.964999999982</v>
      </c>
    </row>
    <row r="658" spans="1:5" x14ac:dyDescent="0.3">
      <c r="A658" s="3">
        <v>45163</v>
      </c>
      <c r="B658" s="2">
        <v>19265.8</v>
      </c>
      <c r="C658" s="2">
        <v>19509.314999999999</v>
      </c>
      <c r="D658" s="2">
        <v>19364.76100000001</v>
      </c>
      <c r="E658" s="2">
        <v>18340.634999999987</v>
      </c>
    </row>
    <row r="659" spans="1:5" x14ac:dyDescent="0.3">
      <c r="A659" s="3">
        <v>45166</v>
      </c>
      <c r="B659" s="2">
        <v>19306.05</v>
      </c>
      <c r="C659" s="2">
        <v>19489.61</v>
      </c>
      <c r="D659" s="2">
        <v>19374.95900000001</v>
      </c>
      <c r="E659" s="2">
        <v>18346.378249999987</v>
      </c>
    </row>
    <row r="660" spans="1:5" x14ac:dyDescent="0.3">
      <c r="A660" s="3">
        <v>45167</v>
      </c>
      <c r="B660" s="2">
        <v>19342.650000000001</v>
      </c>
      <c r="C660" s="2">
        <v>19472.609999999997</v>
      </c>
      <c r="D660" s="2">
        <v>19387.318000000007</v>
      </c>
      <c r="E660" s="2">
        <v>18351.894499999984</v>
      </c>
    </row>
    <row r="661" spans="1:5" x14ac:dyDescent="0.3">
      <c r="A661" s="3">
        <v>45168</v>
      </c>
      <c r="B661" s="2">
        <v>19347.45</v>
      </c>
      <c r="C661" s="2">
        <v>19452.052499999998</v>
      </c>
      <c r="D661" s="2">
        <v>19397.651000000009</v>
      </c>
      <c r="E661" s="2">
        <v>18357.822749999985</v>
      </c>
    </row>
    <row r="662" spans="1:5" x14ac:dyDescent="0.3">
      <c r="A662" s="3">
        <v>45169</v>
      </c>
      <c r="B662" s="2">
        <v>19253.8</v>
      </c>
      <c r="C662" s="2">
        <v>19432.747500000001</v>
      </c>
      <c r="D662" s="2">
        <v>19409.491000000005</v>
      </c>
      <c r="E662" s="2">
        <v>18364.418999999983</v>
      </c>
    </row>
    <row r="663" spans="1:5" x14ac:dyDescent="0.3">
      <c r="A663" s="3">
        <v>45170</v>
      </c>
      <c r="B663" s="2">
        <v>19435.3</v>
      </c>
      <c r="C663" s="2">
        <v>19419.11</v>
      </c>
      <c r="D663" s="2">
        <v>19418.233000000004</v>
      </c>
      <c r="E663" s="2">
        <v>18368.939499999989</v>
      </c>
    </row>
    <row r="664" spans="1:5" x14ac:dyDescent="0.3">
      <c r="A664" s="3">
        <v>45173</v>
      </c>
      <c r="B664" s="2">
        <v>19528.8</v>
      </c>
      <c r="C664" s="2">
        <v>19421.7925</v>
      </c>
      <c r="D664" s="2">
        <v>19429.802000000007</v>
      </c>
      <c r="E664" s="2">
        <v>18374.470249999984</v>
      </c>
    </row>
    <row r="665" spans="1:5" x14ac:dyDescent="0.3">
      <c r="A665" s="3">
        <v>45174</v>
      </c>
      <c r="B665" s="2">
        <v>19574.900000000001</v>
      </c>
      <c r="C665" s="2">
        <v>19422.3825</v>
      </c>
      <c r="D665" s="2">
        <v>19444.953000000005</v>
      </c>
      <c r="E665" s="2">
        <v>18380.097249999984</v>
      </c>
    </row>
    <row r="666" spans="1:5" x14ac:dyDescent="0.3">
      <c r="A666" s="3">
        <v>45175</v>
      </c>
      <c r="B666" s="2">
        <v>19611.05</v>
      </c>
      <c r="C666" s="2">
        <v>19421.262500000001</v>
      </c>
      <c r="D666" s="2">
        <v>19463.141000000007</v>
      </c>
      <c r="E666" s="2">
        <v>18385.923499999983</v>
      </c>
    </row>
    <row r="667" spans="1:5" x14ac:dyDescent="0.3">
      <c r="A667" s="3">
        <v>45176</v>
      </c>
      <c r="B667" s="2">
        <v>19727.05</v>
      </c>
      <c r="C667" s="2">
        <v>19423.272499999999</v>
      </c>
      <c r="D667" s="2">
        <v>19481.538000000004</v>
      </c>
      <c r="E667" s="2">
        <v>18392.259249999981</v>
      </c>
    </row>
    <row r="668" spans="1:5" x14ac:dyDescent="0.3">
      <c r="A668" s="3">
        <v>45177</v>
      </c>
      <c r="B668" s="2">
        <v>19819.95</v>
      </c>
      <c r="C668" s="2">
        <v>19427.997499999998</v>
      </c>
      <c r="D668" s="2">
        <v>19499.731000000007</v>
      </c>
      <c r="E668" s="2">
        <v>18399.356249999983</v>
      </c>
    </row>
    <row r="669" spans="1:5" x14ac:dyDescent="0.3">
      <c r="A669" s="3">
        <v>45180</v>
      </c>
      <c r="B669" s="2">
        <v>19996.349999999999</v>
      </c>
      <c r="C669" s="2">
        <v>19441.84</v>
      </c>
      <c r="D669" s="2">
        <v>19516.688000000006</v>
      </c>
      <c r="E669" s="2">
        <v>18407.656249999982</v>
      </c>
    </row>
    <row r="670" spans="1:5" x14ac:dyDescent="0.3">
      <c r="A670" s="3">
        <v>45181</v>
      </c>
      <c r="B670" s="2">
        <v>19993.2</v>
      </c>
      <c r="C670" s="2">
        <v>19470.2425</v>
      </c>
      <c r="D670" s="2">
        <v>19532.834000000003</v>
      </c>
      <c r="E670" s="2">
        <v>18416.416999999983</v>
      </c>
    </row>
    <row r="671" spans="1:5" x14ac:dyDescent="0.3">
      <c r="A671" s="3">
        <v>45182</v>
      </c>
      <c r="B671" s="2">
        <v>20070</v>
      </c>
      <c r="C671" s="2">
        <v>19498.174999999996</v>
      </c>
      <c r="D671" s="2">
        <v>19546.247000000003</v>
      </c>
      <c r="E671" s="2">
        <v>18425.046749999983</v>
      </c>
    </row>
    <row r="672" spans="1:5" x14ac:dyDescent="0.3">
      <c r="A672" s="3">
        <v>45183</v>
      </c>
      <c r="B672" s="2">
        <v>20103.099999999999</v>
      </c>
      <c r="C672" s="2">
        <v>19528.424999999996</v>
      </c>
      <c r="D672" s="2">
        <v>19559.867000000002</v>
      </c>
      <c r="E672" s="2">
        <v>18432.976249999985</v>
      </c>
    </row>
    <row r="673" spans="1:5" x14ac:dyDescent="0.3">
      <c r="A673" s="3">
        <v>45184</v>
      </c>
      <c r="B673" s="2">
        <v>20192.349999999999</v>
      </c>
      <c r="C673" s="2">
        <v>19565.317499999997</v>
      </c>
      <c r="D673" s="2">
        <v>19573.959000000003</v>
      </c>
      <c r="E673" s="2">
        <v>18440.927999999982</v>
      </c>
    </row>
    <row r="674" spans="1:5" x14ac:dyDescent="0.3">
      <c r="A674" s="3">
        <v>45187</v>
      </c>
      <c r="B674" s="2">
        <v>20133.3</v>
      </c>
      <c r="C674" s="2">
        <v>19609.427499999998</v>
      </c>
      <c r="D674" s="2">
        <v>19587.86</v>
      </c>
      <c r="E674" s="2">
        <v>18449.075999999983</v>
      </c>
    </row>
    <row r="675" spans="1:5" x14ac:dyDescent="0.3">
      <c r="A675" s="3">
        <v>45189</v>
      </c>
      <c r="B675" s="2">
        <v>19901.400000000001</v>
      </c>
      <c r="C675" s="2">
        <v>19646.412499999995</v>
      </c>
      <c r="D675" s="2">
        <v>19603.89</v>
      </c>
      <c r="E675" s="2">
        <v>18456.652249999981</v>
      </c>
    </row>
    <row r="676" spans="1:5" x14ac:dyDescent="0.3">
      <c r="A676" s="3">
        <v>45190</v>
      </c>
      <c r="B676" s="2">
        <v>19742.349999999999</v>
      </c>
      <c r="C676" s="2">
        <v>19671.659999999996</v>
      </c>
      <c r="D676" s="2">
        <v>19614.8</v>
      </c>
      <c r="E676" s="2">
        <v>18462.367499999982</v>
      </c>
    </row>
    <row r="677" spans="1:5" x14ac:dyDescent="0.3">
      <c r="A677" s="3">
        <v>45191</v>
      </c>
      <c r="B677" s="2">
        <v>19674.25</v>
      </c>
      <c r="C677" s="2">
        <v>19686.577499999996</v>
      </c>
      <c r="D677" s="2">
        <v>19620.859</v>
      </c>
      <c r="E677" s="2">
        <v>18467.016749999981</v>
      </c>
    </row>
    <row r="678" spans="1:5" x14ac:dyDescent="0.3">
      <c r="A678" s="3">
        <v>45194</v>
      </c>
      <c r="B678" s="2">
        <v>19674.55</v>
      </c>
      <c r="C678" s="2">
        <v>19700.954999999994</v>
      </c>
      <c r="D678" s="2">
        <v>19626.657999999999</v>
      </c>
      <c r="E678" s="2">
        <v>18471.907499999983</v>
      </c>
    </row>
    <row r="679" spans="1:5" x14ac:dyDescent="0.3">
      <c r="A679" s="3">
        <v>45195</v>
      </c>
      <c r="B679" s="2">
        <v>19664.7</v>
      </c>
      <c r="C679" s="2">
        <v>19721.392499999998</v>
      </c>
      <c r="D679" s="2">
        <v>19631.874</v>
      </c>
      <c r="E679" s="2">
        <v>18476.774999999983</v>
      </c>
    </row>
    <row r="680" spans="1:5" x14ac:dyDescent="0.3">
      <c r="A680" s="3">
        <v>45196</v>
      </c>
      <c r="B680" s="2">
        <v>19716.45</v>
      </c>
      <c r="C680" s="2">
        <v>19739.325000000001</v>
      </c>
      <c r="D680" s="2">
        <v>19633.878000000001</v>
      </c>
      <c r="E680" s="2">
        <v>18481.884749999983</v>
      </c>
    </row>
    <row r="681" spans="1:5" x14ac:dyDescent="0.3">
      <c r="A681" s="3">
        <v>45197</v>
      </c>
      <c r="B681" s="2">
        <v>19523.55</v>
      </c>
      <c r="C681" s="2">
        <v>19758.015000000003</v>
      </c>
      <c r="D681" s="2">
        <v>19633.977999999999</v>
      </c>
      <c r="E681" s="2">
        <v>18487.664499999984</v>
      </c>
    </row>
    <row r="682" spans="1:5" x14ac:dyDescent="0.3">
      <c r="A682" s="3">
        <v>45198</v>
      </c>
      <c r="B682" s="2">
        <v>19638.3</v>
      </c>
      <c r="C682" s="2">
        <v>19766.82</v>
      </c>
      <c r="D682" s="2">
        <v>19629.464</v>
      </c>
      <c r="E682" s="2">
        <v>18492.235499999981</v>
      </c>
    </row>
    <row r="683" spans="1:5" x14ac:dyDescent="0.3">
      <c r="A683" s="3">
        <v>45202</v>
      </c>
      <c r="B683" s="2">
        <v>19528.75</v>
      </c>
      <c r="C683" s="2">
        <v>19786.044999999998</v>
      </c>
      <c r="D683" s="2">
        <v>19625.567000000003</v>
      </c>
      <c r="E683" s="2">
        <v>18497.943999999981</v>
      </c>
    </row>
    <row r="684" spans="1:5" x14ac:dyDescent="0.3">
      <c r="A684" s="3">
        <v>45203</v>
      </c>
      <c r="B684" s="2">
        <v>19436.099999999999</v>
      </c>
      <c r="C684" s="2">
        <v>19790.717500000002</v>
      </c>
      <c r="D684" s="2">
        <v>19616.559000000001</v>
      </c>
      <c r="E684" s="2">
        <v>18503.101999999981</v>
      </c>
    </row>
    <row r="685" spans="1:5" x14ac:dyDescent="0.3">
      <c r="A685" s="3">
        <v>45204</v>
      </c>
      <c r="B685" s="2">
        <v>19545.75</v>
      </c>
      <c r="C685" s="2">
        <v>19786.082499999997</v>
      </c>
      <c r="D685" s="2">
        <v>19610.381000000001</v>
      </c>
      <c r="E685" s="2">
        <v>18507.242499999982</v>
      </c>
    </row>
    <row r="686" spans="1:5" x14ac:dyDescent="0.3">
      <c r="A686" s="3">
        <v>45205</v>
      </c>
      <c r="B686" s="2">
        <v>19653.5</v>
      </c>
      <c r="C686" s="2">
        <v>19784.624999999996</v>
      </c>
      <c r="D686" s="2">
        <v>19607.849000000002</v>
      </c>
      <c r="E686" s="2">
        <v>18511.669749999983</v>
      </c>
    </row>
    <row r="687" spans="1:5" x14ac:dyDescent="0.3">
      <c r="A687" s="3">
        <v>45208</v>
      </c>
      <c r="B687" s="2">
        <v>19512.349999999999</v>
      </c>
      <c r="C687" s="2">
        <v>19786.747499999998</v>
      </c>
      <c r="D687" s="2">
        <v>19607.307000000001</v>
      </c>
      <c r="E687" s="2">
        <v>18517.862749999982</v>
      </c>
    </row>
    <row r="688" spans="1:5" x14ac:dyDescent="0.3">
      <c r="A688" s="3">
        <v>45209</v>
      </c>
      <c r="B688" s="2">
        <v>19689.849999999999</v>
      </c>
      <c r="C688" s="2">
        <v>19776.012499999997</v>
      </c>
      <c r="D688" s="2">
        <v>19601.988000000001</v>
      </c>
      <c r="E688" s="2">
        <v>18524.079499999985</v>
      </c>
    </row>
    <row r="689" spans="1:5" x14ac:dyDescent="0.3">
      <c r="A689" s="3">
        <v>45210</v>
      </c>
      <c r="B689" s="2">
        <v>19811.349999999999</v>
      </c>
      <c r="C689" s="2">
        <v>19769.5075</v>
      </c>
      <c r="D689" s="2">
        <v>19602.587</v>
      </c>
      <c r="E689" s="2">
        <v>18530.426499999987</v>
      </c>
    </row>
    <row r="690" spans="1:5" x14ac:dyDescent="0.3">
      <c r="A690" s="3">
        <v>45211</v>
      </c>
      <c r="B690" s="2">
        <v>19794</v>
      </c>
      <c r="C690" s="2">
        <v>19760.257499999996</v>
      </c>
      <c r="D690" s="2">
        <v>19605.892999999996</v>
      </c>
      <c r="E690" s="2">
        <v>18537.556749999985</v>
      </c>
    </row>
    <row r="691" spans="1:5" x14ac:dyDescent="0.3">
      <c r="A691" s="3">
        <v>45212</v>
      </c>
      <c r="B691" s="2">
        <v>19751.05</v>
      </c>
      <c r="C691" s="2">
        <v>19750.297499999993</v>
      </c>
      <c r="D691" s="2">
        <v>19606.696999999996</v>
      </c>
      <c r="E691" s="2">
        <v>18545.531249999985</v>
      </c>
    </row>
    <row r="692" spans="1:5" x14ac:dyDescent="0.3">
      <c r="A692" s="3">
        <v>45215</v>
      </c>
      <c r="B692" s="2">
        <v>19731.75</v>
      </c>
      <c r="C692" s="2">
        <v>19734.349999999999</v>
      </c>
      <c r="D692" s="2">
        <v>19607.046999999999</v>
      </c>
      <c r="E692" s="2">
        <v>18553.649749999982</v>
      </c>
    </row>
    <row r="693" spans="1:5" x14ac:dyDescent="0.3">
      <c r="A693" s="3">
        <v>45216</v>
      </c>
      <c r="B693" s="2">
        <v>19811.5</v>
      </c>
      <c r="C693" s="2">
        <v>19715.782499999994</v>
      </c>
      <c r="D693" s="2">
        <v>19611.150999999998</v>
      </c>
      <c r="E693" s="2">
        <v>18563.274499999985</v>
      </c>
    </row>
    <row r="694" spans="1:5" x14ac:dyDescent="0.3">
      <c r="A694" s="3">
        <v>45217</v>
      </c>
      <c r="B694" s="2">
        <v>19671.099999999999</v>
      </c>
      <c r="C694" s="2">
        <v>19696.739999999998</v>
      </c>
      <c r="D694" s="2">
        <v>19619.748</v>
      </c>
      <c r="E694" s="2">
        <v>18572.258999999984</v>
      </c>
    </row>
    <row r="695" spans="1:5" x14ac:dyDescent="0.3">
      <c r="A695" s="3">
        <v>45218</v>
      </c>
      <c r="B695" s="2">
        <v>19624.7</v>
      </c>
      <c r="C695" s="2">
        <v>19673.629999999997</v>
      </c>
      <c r="D695" s="2">
        <v>19622.830000000002</v>
      </c>
      <c r="E695" s="2">
        <v>18579.952999999983</v>
      </c>
    </row>
    <row r="696" spans="1:5" x14ac:dyDescent="0.3">
      <c r="A696" s="3">
        <v>45219</v>
      </c>
      <c r="B696" s="2">
        <v>19542.650000000001</v>
      </c>
      <c r="C696" s="2">
        <v>19659.794999999998</v>
      </c>
      <c r="D696" s="2">
        <v>19623.377999999997</v>
      </c>
      <c r="E696" s="2">
        <v>18587.463999999985</v>
      </c>
    </row>
    <row r="697" spans="1:5" x14ac:dyDescent="0.3">
      <c r="A697" s="3">
        <v>45222</v>
      </c>
      <c r="B697" s="2">
        <v>19281.75</v>
      </c>
      <c r="C697" s="2">
        <v>19649.810000000001</v>
      </c>
      <c r="D697" s="2">
        <v>19622.813999999998</v>
      </c>
      <c r="E697" s="2">
        <v>18594.222249999984</v>
      </c>
    </row>
    <row r="698" spans="1:5" x14ac:dyDescent="0.3">
      <c r="A698" s="3">
        <v>45224</v>
      </c>
      <c r="B698" s="2">
        <v>19122.150000000001</v>
      </c>
      <c r="C698" s="2">
        <v>19630.185000000001</v>
      </c>
      <c r="D698" s="2">
        <v>19615.797999999999</v>
      </c>
      <c r="E698" s="2">
        <v>18600.104499999987</v>
      </c>
    </row>
    <row r="699" spans="1:5" x14ac:dyDescent="0.3">
      <c r="A699" s="3">
        <v>45225</v>
      </c>
      <c r="B699" s="2">
        <v>18857.25</v>
      </c>
      <c r="C699" s="2">
        <v>19602.565000000002</v>
      </c>
      <c r="D699" s="2">
        <v>19607.378999999997</v>
      </c>
      <c r="E699" s="2">
        <v>18604.727999999985</v>
      </c>
    </row>
    <row r="700" spans="1:5" x14ac:dyDescent="0.3">
      <c r="A700" s="3">
        <v>45226</v>
      </c>
      <c r="B700" s="2">
        <v>19047.25</v>
      </c>
      <c r="C700" s="2">
        <v>19562.192500000001</v>
      </c>
      <c r="D700" s="2">
        <v>19595.957999999999</v>
      </c>
      <c r="E700" s="2">
        <v>18607.851499999986</v>
      </c>
    </row>
    <row r="701" spans="1:5" x14ac:dyDescent="0.3">
      <c r="A701" s="3">
        <v>45229</v>
      </c>
      <c r="B701" s="2">
        <v>19140.900000000001</v>
      </c>
      <c r="C701" s="2">
        <v>19528.732500000002</v>
      </c>
      <c r="D701" s="2">
        <v>19588.211999999996</v>
      </c>
      <c r="E701" s="2">
        <v>18612.872999999985</v>
      </c>
    </row>
    <row r="702" spans="1:5" x14ac:dyDescent="0.3">
      <c r="A702" s="3">
        <v>45230</v>
      </c>
      <c r="B702" s="2">
        <v>19079.599999999999</v>
      </c>
      <c r="C702" s="2">
        <v>19509.600000000002</v>
      </c>
      <c r="D702" s="2">
        <v>19581.729999999996</v>
      </c>
      <c r="E702" s="2">
        <v>18618.616749999983</v>
      </c>
    </row>
    <row r="703" spans="1:5" x14ac:dyDescent="0.3">
      <c r="A703" s="3">
        <v>45231</v>
      </c>
      <c r="B703" s="2">
        <v>18989.150000000001</v>
      </c>
      <c r="C703" s="2">
        <v>19481.665000000001</v>
      </c>
      <c r="D703" s="2">
        <v>19576.016999999996</v>
      </c>
      <c r="E703" s="2">
        <v>18624.717499999984</v>
      </c>
    </row>
    <row r="704" spans="1:5" x14ac:dyDescent="0.3">
      <c r="A704" s="3">
        <v>45232</v>
      </c>
      <c r="B704" s="2">
        <v>19133.25</v>
      </c>
      <c r="C704" s="2">
        <v>19454.685000000005</v>
      </c>
      <c r="D704" s="2">
        <v>19569.596999999998</v>
      </c>
      <c r="E704" s="2">
        <v>18629.157249999986</v>
      </c>
    </row>
    <row r="705" spans="1:5" x14ac:dyDescent="0.3">
      <c r="A705" s="3">
        <v>45233</v>
      </c>
      <c r="B705" s="2">
        <v>19230.599999999999</v>
      </c>
      <c r="C705" s="2">
        <v>19439.542500000003</v>
      </c>
      <c r="D705" s="2">
        <v>19564.39</v>
      </c>
      <c r="E705" s="2">
        <v>18635.252749999989</v>
      </c>
    </row>
    <row r="706" spans="1:5" x14ac:dyDescent="0.3">
      <c r="A706" s="3">
        <v>45236</v>
      </c>
      <c r="B706" s="2">
        <v>19411.75</v>
      </c>
      <c r="C706" s="2">
        <v>19423.784999999996</v>
      </c>
      <c r="D706" s="2">
        <v>19561.072999999997</v>
      </c>
      <c r="E706" s="2">
        <v>18641.927249999986</v>
      </c>
    </row>
    <row r="707" spans="1:5" x14ac:dyDescent="0.3">
      <c r="A707" s="3">
        <v>45237</v>
      </c>
      <c r="B707" s="2">
        <v>19406.7</v>
      </c>
      <c r="C707" s="2">
        <v>19411.697499999998</v>
      </c>
      <c r="D707" s="2">
        <v>19560.427999999996</v>
      </c>
      <c r="E707" s="2">
        <v>18649.694999999989</v>
      </c>
    </row>
    <row r="708" spans="1:5" x14ac:dyDescent="0.3">
      <c r="A708" s="3">
        <v>45238</v>
      </c>
      <c r="B708" s="2">
        <v>19443.5</v>
      </c>
      <c r="C708" s="2">
        <v>19406.415000000001</v>
      </c>
      <c r="D708" s="2">
        <v>19560.827999999994</v>
      </c>
      <c r="E708" s="2">
        <v>18656.945499999987</v>
      </c>
    </row>
    <row r="709" spans="1:5" x14ac:dyDescent="0.3">
      <c r="A709" s="3">
        <v>45239</v>
      </c>
      <c r="B709" s="2">
        <v>19395.3</v>
      </c>
      <c r="C709" s="2">
        <v>19394.0975</v>
      </c>
      <c r="D709" s="2">
        <v>19564.381999999998</v>
      </c>
      <c r="E709" s="2">
        <v>18664.68874999999</v>
      </c>
    </row>
    <row r="710" spans="1:5" x14ac:dyDescent="0.3">
      <c r="A710" s="3">
        <v>45240</v>
      </c>
      <c r="B710" s="2">
        <v>19425.349999999999</v>
      </c>
      <c r="C710" s="2">
        <v>19373.294999999998</v>
      </c>
      <c r="D710" s="2">
        <v>19566.166999999998</v>
      </c>
      <c r="E710" s="2">
        <v>18671.398749999989</v>
      </c>
    </row>
    <row r="711" spans="1:5" x14ac:dyDescent="0.3">
      <c r="A711" s="3">
        <v>45242</v>
      </c>
      <c r="B711" s="2">
        <v>19525.55</v>
      </c>
      <c r="C711" s="2">
        <v>19354.862499999996</v>
      </c>
      <c r="D711" s="2">
        <v>19567.821</v>
      </c>
      <c r="E711" s="2">
        <v>18677.698749999992</v>
      </c>
    </row>
    <row r="712" spans="1:5" x14ac:dyDescent="0.3">
      <c r="A712" s="3">
        <v>45243</v>
      </c>
      <c r="B712" s="2">
        <v>19443.55</v>
      </c>
      <c r="C712" s="2">
        <v>19343.587499999998</v>
      </c>
      <c r="D712" s="2">
        <v>19571.383000000002</v>
      </c>
      <c r="E712" s="2">
        <v>18684.78724999999</v>
      </c>
    </row>
    <row r="713" spans="1:5" x14ac:dyDescent="0.3">
      <c r="A713" s="3">
        <v>45245</v>
      </c>
      <c r="B713" s="2">
        <v>19675.45</v>
      </c>
      <c r="C713" s="2">
        <v>19329.177499999998</v>
      </c>
      <c r="D713" s="2">
        <v>19575.178</v>
      </c>
      <c r="E713" s="2">
        <v>18691.86674999999</v>
      </c>
    </row>
    <row r="714" spans="1:5" x14ac:dyDescent="0.3">
      <c r="A714" s="3">
        <v>45246</v>
      </c>
      <c r="B714" s="2">
        <v>19765.2</v>
      </c>
      <c r="C714" s="2">
        <v>19322.374999999996</v>
      </c>
      <c r="D714" s="2">
        <v>19579.981</v>
      </c>
      <c r="E714" s="2">
        <v>18699.651249999992</v>
      </c>
    </row>
    <row r="715" spans="1:5" x14ac:dyDescent="0.3">
      <c r="A715" s="3">
        <v>45247</v>
      </c>
      <c r="B715" s="2">
        <v>19731.8</v>
      </c>
      <c r="C715" s="2">
        <v>19327.079999999998</v>
      </c>
      <c r="D715" s="2">
        <v>19584.708999999995</v>
      </c>
      <c r="E715" s="2">
        <v>18707.885749999994</v>
      </c>
    </row>
    <row r="716" spans="1:5" x14ac:dyDescent="0.3">
      <c r="A716" s="3">
        <v>45250</v>
      </c>
      <c r="B716" s="2">
        <v>19694</v>
      </c>
      <c r="C716" s="2">
        <v>19332.435000000001</v>
      </c>
      <c r="D716" s="2">
        <v>19587.846999999998</v>
      </c>
      <c r="E716" s="2">
        <v>18717.084999999988</v>
      </c>
    </row>
    <row r="717" spans="1:5" x14ac:dyDescent="0.3">
      <c r="A717" s="3">
        <v>45251</v>
      </c>
      <c r="B717" s="2">
        <v>19783.400000000001</v>
      </c>
      <c r="C717" s="2">
        <v>19340.002499999999</v>
      </c>
      <c r="D717" s="2">
        <v>19589.505999999998</v>
      </c>
      <c r="E717" s="2">
        <v>18727.533249999989</v>
      </c>
    </row>
    <row r="718" spans="1:5" x14ac:dyDescent="0.3">
      <c r="A718" s="3">
        <v>45252</v>
      </c>
      <c r="B718" s="2">
        <v>19811.849999999999</v>
      </c>
      <c r="C718" s="2">
        <v>19365.084999999999</v>
      </c>
      <c r="D718" s="2">
        <v>19590.632999999998</v>
      </c>
      <c r="E718" s="2">
        <v>18738.205499999989</v>
      </c>
    </row>
    <row r="719" spans="1:5" x14ac:dyDescent="0.3">
      <c r="A719" s="3">
        <v>45253</v>
      </c>
      <c r="B719" s="2">
        <v>19802</v>
      </c>
      <c r="C719" s="2">
        <v>19399.57</v>
      </c>
      <c r="D719" s="2">
        <v>19590.470999999998</v>
      </c>
      <c r="E719" s="2">
        <v>18748.953999999991</v>
      </c>
    </row>
    <row r="720" spans="1:5" x14ac:dyDescent="0.3">
      <c r="A720" s="3">
        <v>45254</v>
      </c>
      <c r="B720" s="2">
        <v>19794.7</v>
      </c>
      <c r="C720" s="2">
        <v>19446.807499999999</v>
      </c>
      <c r="D720" s="2">
        <v>19586.583999999999</v>
      </c>
      <c r="E720" s="2">
        <v>18759.882499999989</v>
      </c>
    </row>
    <row r="721" spans="1:5" x14ac:dyDescent="0.3">
      <c r="A721" s="3">
        <v>45258</v>
      </c>
      <c r="B721" s="2">
        <v>19889.7</v>
      </c>
      <c r="C721" s="2">
        <v>19484.18</v>
      </c>
      <c r="D721" s="2">
        <v>19582.613999999998</v>
      </c>
      <c r="E721" s="2">
        <v>18770.803999999989</v>
      </c>
    </row>
    <row r="722" spans="1:5" x14ac:dyDescent="0.3">
      <c r="A722" s="3">
        <v>45259</v>
      </c>
      <c r="B722" s="2">
        <v>20096.599999999999</v>
      </c>
      <c r="C722" s="2">
        <v>19521.620000000003</v>
      </c>
      <c r="D722" s="2">
        <v>19579.007999999998</v>
      </c>
      <c r="E722" s="2">
        <v>18780.98224999999</v>
      </c>
    </row>
    <row r="723" spans="1:5" x14ac:dyDescent="0.3">
      <c r="A723" s="3">
        <v>45260</v>
      </c>
      <c r="B723" s="2">
        <v>20133.150000000001</v>
      </c>
      <c r="C723" s="2">
        <v>19572.47</v>
      </c>
      <c r="D723" s="2">
        <v>19578.877999999997</v>
      </c>
      <c r="E723" s="2">
        <v>18792.642249999994</v>
      </c>
    </row>
    <row r="724" spans="1:5" x14ac:dyDescent="0.3">
      <c r="A724" s="3">
        <v>45261</v>
      </c>
      <c r="B724" s="2">
        <v>20267.900000000001</v>
      </c>
      <c r="C724" s="2">
        <v>19629.670000000002</v>
      </c>
      <c r="D724" s="2">
        <v>19577.693999999996</v>
      </c>
      <c r="E724" s="2">
        <v>18804.700499999992</v>
      </c>
    </row>
    <row r="725" spans="1:5" x14ac:dyDescent="0.3">
      <c r="A725" s="3">
        <v>45264</v>
      </c>
      <c r="B725" s="2">
        <v>20686.8</v>
      </c>
      <c r="C725" s="2">
        <v>19686.402500000004</v>
      </c>
      <c r="D725" s="2">
        <v>19580.385999999999</v>
      </c>
      <c r="E725" s="2">
        <v>18816.681499999992</v>
      </c>
    </row>
    <row r="726" spans="1:5" x14ac:dyDescent="0.3">
      <c r="A726" s="3">
        <v>45265</v>
      </c>
      <c r="B726" s="2">
        <v>20855.099999999999</v>
      </c>
      <c r="C726" s="2">
        <v>19759.212500000001</v>
      </c>
      <c r="D726" s="2">
        <v>19596.094000000001</v>
      </c>
      <c r="E726" s="2">
        <v>18830.648249999991</v>
      </c>
    </row>
    <row r="727" spans="1:5" x14ac:dyDescent="0.3">
      <c r="A727" s="3">
        <v>45266</v>
      </c>
      <c r="B727" s="2">
        <v>20937.7</v>
      </c>
      <c r="C727" s="2">
        <v>19831.38</v>
      </c>
      <c r="D727" s="2">
        <v>19618.348999999998</v>
      </c>
      <c r="E727" s="2">
        <v>18845.641249999993</v>
      </c>
    </row>
    <row r="728" spans="1:5" x14ac:dyDescent="0.3">
      <c r="A728" s="3">
        <v>45267</v>
      </c>
      <c r="B728" s="2">
        <v>20901.150000000001</v>
      </c>
      <c r="C728" s="2">
        <v>19907.93</v>
      </c>
      <c r="D728" s="2">
        <v>19643.617999999999</v>
      </c>
      <c r="E728" s="2">
        <v>18861.475249999996</v>
      </c>
    </row>
    <row r="729" spans="1:5" x14ac:dyDescent="0.3">
      <c r="A729" s="3">
        <v>45268</v>
      </c>
      <c r="B729" s="2">
        <v>20969.400000000001</v>
      </c>
      <c r="C729" s="2">
        <v>19980.812500000004</v>
      </c>
      <c r="D729" s="2">
        <v>19668.150000000001</v>
      </c>
      <c r="E729" s="2">
        <v>18876.331749999998</v>
      </c>
    </row>
    <row r="730" spans="1:5" x14ac:dyDescent="0.3">
      <c r="A730" s="3">
        <v>45271</v>
      </c>
      <c r="B730" s="2">
        <v>20997.1</v>
      </c>
      <c r="C730" s="2">
        <v>20059.517500000005</v>
      </c>
      <c r="D730" s="2">
        <v>19694.244000000002</v>
      </c>
      <c r="E730" s="2">
        <v>18891.099499999997</v>
      </c>
    </row>
    <row r="731" spans="1:5" x14ac:dyDescent="0.3">
      <c r="A731" s="3">
        <v>45272</v>
      </c>
      <c r="B731" s="2">
        <v>20906.400000000001</v>
      </c>
      <c r="C731" s="2">
        <v>20138.105000000003</v>
      </c>
      <c r="D731" s="2">
        <v>19719.857</v>
      </c>
      <c r="E731" s="2">
        <v>18905.905749999998</v>
      </c>
    </row>
    <row r="732" spans="1:5" x14ac:dyDescent="0.3">
      <c r="A732" s="3">
        <v>45273</v>
      </c>
      <c r="B732" s="2">
        <v>20926.349999999999</v>
      </c>
      <c r="C732" s="2">
        <v>20207.147500000003</v>
      </c>
      <c r="D732" s="2">
        <v>19747.514000000003</v>
      </c>
      <c r="E732" s="2">
        <v>18920.716749999996</v>
      </c>
    </row>
    <row r="733" spans="1:5" x14ac:dyDescent="0.3">
      <c r="A733" s="3">
        <v>45274</v>
      </c>
      <c r="B733" s="2">
        <v>21182.7</v>
      </c>
      <c r="C733" s="2">
        <v>20281.287500000002</v>
      </c>
      <c r="D733" s="2">
        <v>19773.275000000001</v>
      </c>
      <c r="E733" s="2">
        <v>18936.125499999998</v>
      </c>
    </row>
    <row r="734" spans="1:5" x14ac:dyDescent="0.3">
      <c r="A734" s="3">
        <v>45275</v>
      </c>
      <c r="B734" s="2">
        <v>21456.65</v>
      </c>
      <c r="C734" s="2">
        <v>20356.650000000001</v>
      </c>
      <c r="D734" s="2">
        <v>19806.353999999999</v>
      </c>
      <c r="E734" s="2">
        <v>18952.905499999997</v>
      </c>
    </row>
    <row r="735" spans="1:5" x14ac:dyDescent="0.3">
      <c r="A735" s="3">
        <v>45278</v>
      </c>
      <c r="B735" s="2">
        <v>21418.65</v>
      </c>
      <c r="C735" s="2">
        <v>20441.222500000003</v>
      </c>
      <c r="D735" s="2">
        <v>19846.764999999999</v>
      </c>
      <c r="E735" s="2">
        <v>18972.417250000002</v>
      </c>
    </row>
    <row r="736" spans="1:5" x14ac:dyDescent="0.3">
      <c r="A736" s="3">
        <v>45279</v>
      </c>
      <c r="B736" s="2">
        <v>21453.1</v>
      </c>
      <c r="C736" s="2">
        <v>20525.565000000002</v>
      </c>
      <c r="D736" s="2">
        <v>19884.222999999994</v>
      </c>
      <c r="E736" s="2">
        <v>18991.954249999999</v>
      </c>
    </row>
    <row r="737" spans="1:5" x14ac:dyDescent="0.3">
      <c r="A737" s="3">
        <v>45280</v>
      </c>
      <c r="B737" s="2">
        <v>21150.15</v>
      </c>
      <c r="C737" s="2">
        <v>20613.52</v>
      </c>
      <c r="D737" s="2">
        <v>19920.214999999997</v>
      </c>
      <c r="E737" s="2">
        <v>19011.890750000002</v>
      </c>
    </row>
    <row r="738" spans="1:5" x14ac:dyDescent="0.3">
      <c r="A738" s="3">
        <v>45281</v>
      </c>
      <c r="B738" s="2">
        <v>21255.05</v>
      </c>
      <c r="C738" s="2">
        <v>20681.857500000002</v>
      </c>
      <c r="D738" s="2">
        <v>19952.970999999998</v>
      </c>
      <c r="E738" s="2">
        <v>19030.678</v>
      </c>
    </row>
    <row r="739" spans="1:5" x14ac:dyDescent="0.3">
      <c r="A739" s="3">
        <v>45282</v>
      </c>
      <c r="B739" s="2">
        <v>21349.4</v>
      </c>
      <c r="C739" s="2">
        <v>20754.017500000002</v>
      </c>
      <c r="D739" s="2">
        <v>19984.275000000001</v>
      </c>
      <c r="E739" s="2">
        <v>19050.433499999999</v>
      </c>
    </row>
    <row r="740" spans="1:5" x14ac:dyDescent="0.3">
      <c r="A740" s="3">
        <v>45286</v>
      </c>
      <c r="B740" s="2">
        <v>21441.35</v>
      </c>
      <c r="C740" s="2">
        <v>20831.387500000004</v>
      </c>
      <c r="D740" s="2">
        <v>20015.036</v>
      </c>
      <c r="E740" s="2">
        <v>19069.925999999999</v>
      </c>
    </row>
    <row r="741" spans="1:5" x14ac:dyDescent="0.3">
      <c r="A741" s="3">
        <v>45287</v>
      </c>
      <c r="B741" s="2">
        <v>21654.75</v>
      </c>
      <c r="C741" s="2">
        <v>20913.72</v>
      </c>
      <c r="D741" s="2">
        <v>20047.982999999997</v>
      </c>
      <c r="E741" s="2">
        <v>19090.523249999998</v>
      </c>
    </row>
    <row r="742" spans="1:5" x14ac:dyDescent="0.3">
      <c r="A742" s="3">
        <v>45288</v>
      </c>
      <c r="B742" s="2">
        <v>21778.7</v>
      </c>
      <c r="C742" s="2">
        <v>21001.9725</v>
      </c>
      <c r="D742" s="2">
        <v>20086.057000000001</v>
      </c>
      <c r="E742" s="2">
        <v>19110.825249999998</v>
      </c>
    </row>
    <row r="743" spans="1:5" x14ac:dyDescent="0.3">
      <c r="A743" s="3">
        <v>45289</v>
      </c>
      <c r="B743" s="2">
        <v>21731.4</v>
      </c>
      <c r="C743" s="2">
        <v>21086.077500000003</v>
      </c>
      <c r="D743" s="2">
        <v>20126.995999999999</v>
      </c>
      <c r="E743" s="2">
        <v>19131.161499999998</v>
      </c>
    </row>
    <row r="744" spans="1:5" x14ac:dyDescent="0.3">
      <c r="A744" s="3">
        <v>45292</v>
      </c>
      <c r="B744" s="2">
        <v>21741.9</v>
      </c>
      <c r="C744" s="2">
        <v>21165.99</v>
      </c>
      <c r="D744" s="2">
        <v>20165.394</v>
      </c>
      <c r="E744" s="2">
        <v>19151.0465</v>
      </c>
    </row>
    <row r="745" spans="1:5" x14ac:dyDescent="0.3">
      <c r="A745" s="3">
        <v>45293</v>
      </c>
      <c r="B745" s="2">
        <v>21665.8</v>
      </c>
      <c r="C745" s="2">
        <v>21239.690000000002</v>
      </c>
      <c r="D745" s="2">
        <v>20206.810000000001</v>
      </c>
      <c r="E745" s="2">
        <v>19171.807999999997</v>
      </c>
    </row>
    <row r="746" spans="1:5" x14ac:dyDescent="0.3">
      <c r="A746" s="3">
        <v>45294</v>
      </c>
      <c r="B746" s="2">
        <v>21517.35</v>
      </c>
      <c r="C746" s="2">
        <v>21288.640000000003</v>
      </c>
      <c r="D746" s="2">
        <v>20247.632000000005</v>
      </c>
      <c r="E746" s="2">
        <v>19193.072499999998</v>
      </c>
    </row>
    <row r="747" spans="1:5" x14ac:dyDescent="0.3">
      <c r="A747" s="3">
        <v>45295</v>
      </c>
      <c r="B747" s="2">
        <v>21658.6</v>
      </c>
      <c r="C747" s="2">
        <v>21321.752499999999</v>
      </c>
      <c r="D747" s="2">
        <v>20287.126</v>
      </c>
      <c r="E747" s="2">
        <v>19214.887749999998</v>
      </c>
    </row>
    <row r="748" spans="1:5" x14ac:dyDescent="0.3">
      <c r="A748" s="3">
        <v>45296</v>
      </c>
      <c r="B748" s="2">
        <v>21710.799999999999</v>
      </c>
      <c r="C748" s="2">
        <v>21357.797499999997</v>
      </c>
      <c r="D748" s="2">
        <v>20334.663</v>
      </c>
      <c r="E748" s="2">
        <v>19237.964250000001</v>
      </c>
    </row>
    <row r="749" spans="1:5" x14ac:dyDescent="0.3">
      <c r="A749" s="3">
        <v>45299</v>
      </c>
      <c r="B749" s="2">
        <v>21513</v>
      </c>
      <c r="C749" s="2">
        <v>21398.28</v>
      </c>
      <c r="D749" s="2">
        <v>20386.436000000002</v>
      </c>
      <c r="E749" s="2">
        <v>19261.657500000001</v>
      </c>
    </row>
    <row r="750" spans="1:5" x14ac:dyDescent="0.3">
      <c r="A750" s="3">
        <v>45300</v>
      </c>
      <c r="B750" s="2">
        <v>21544.85</v>
      </c>
      <c r="C750" s="2">
        <v>21425.46</v>
      </c>
      <c r="D750" s="2">
        <v>20439.550999999999</v>
      </c>
      <c r="E750" s="2">
        <v>19284.2945</v>
      </c>
    </row>
    <row r="751" spans="1:5" x14ac:dyDescent="0.3">
      <c r="A751" s="3">
        <v>45301</v>
      </c>
      <c r="B751" s="2">
        <v>21618.7</v>
      </c>
      <c r="C751" s="2">
        <v>21452.847499999996</v>
      </c>
      <c r="D751" s="2">
        <v>20489.503000000001</v>
      </c>
      <c r="E751" s="2">
        <v>19306.518500000002</v>
      </c>
    </row>
    <row r="752" spans="1:5" x14ac:dyDescent="0.3">
      <c r="A752" s="3">
        <v>45302</v>
      </c>
      <c r="B752" s="2">
        <v>21647.200000000001</v>
      </c>
      <c r="C752" s="2">
        <v>21488.462499999998</v>
      </c>
      <c r="D752" s="2">
        <v>20539.059000000001</v>
      </c>
      <c r="E752" s="2">
        <v>19329.670000000002</v>
      </c>
    </row>
    <row r="753" spans="1:5" x14ac:dyDescent="0.3">
      <c r="A753" s="3">
        <v>45303</v>
      </c>
      <c r="B753" s="2">
        <v>21894.55</v>
      </c>
      <c r="C753" s="2">
        <v>21524.504999999997</v>
      </c>
      <c r="D753" s="2">
        <v>20590.411</v>
      </c>
      <c r="E753" s="2">
        <v>19352.368500000004</v>
      </c>
    </row>
    <row r="754" spans="1:5" x14ac:dyDescent="0.3">
      <c r="A754" s="3">
        <v>45306</v>
      </c>
      <c r="B754" s="2">
        <v>22097.45</v>
      </c>
      <c r="C754" s="2">
        <v>21560.097499999996</v>
      </c>
      <c r="D754" s="2">
        <v>20648.519</v>
      </c>
      <c r="E754" s="2">
        <v>19376.081750000005</v>
      </c>
    </row>
    <row r="755" spans="1:5" x14ac:dyDescent="0.3">
      <c r="A755" s="3">
        <v>45307</v>
      </c>
      <c r="B755" s="2">
        <v>22032.3</v>
      </c>
      <c r="C755" s="2">
        <v>21592.137500000001</v>
      </c>
      <c r="D755" s="2">
        <v>20707.803</v>
      </c>
      <c r="E755" s="2">
        <v>19401.184500000003</v>
      </c>
    </row>
    <row r="756" spans="1:5" x14ac:dyDescent="0.3">
      <c r="A756" s="3">
        <v>45308</v>
      </c>
      <c r="B756" s="2">
        <v>21571.95</v>
      </c>
      <c r="C756" s="2">
        <v>21622.82</v>
      </c>
      <c r="D756" s="2">
        <v>20763.837000000003</v>
      </c>
      <c r="E756" s="2">
        <v>19426.620750000006</v>
      </c>
    </row>
    <row r="757" spans="1:5" x14ac:dyDescent="0.3">
      <c r="A757" s="3">
        <v>45309</v>
      </c>
      <c r="B757" s="2">
        <v>21462.25</v>
      </c>
      <c r="C757" s="2">
        <v>21628.762500000001</v>
      </c>
      <c r="D757" s="2">
        <v>20807.041000000001</v>
      </c>
      <c r="E757" s="2">
        <v>19449.552000000007</v>
      </c>
    </row>
    <row r="758" spans="1:5" x14ac:dyDescent="0.3">
      <c r="A758" s="3">
        <v>45310</v>
      </c>
      <c r="B758" s="2">
        <v>21622.400000000001</v>
      </c>
      <c r="C758" s="2">
        <v>21644.3675</v>
      </c>
      <c r="D758" s="2">
        <v>20848.151999999998</v>
      </c>
      <c r="E758" s="2">
        <v>19472.104750000002</v>
      </c>
    </row>
    <row r="759" spans="1:5" x14ac:dyDescent="0.3">
      <c r="A759" s="3">
        <v>45311</v>
      </c>
      <c r="B759" s="2">
        <v>21571.8</v>
      </c>
      <c r="C759" s="2">
        <v>21662.735000000001</v>
      </c>
      <c r="D759" s="2">
        <v>20891.730000000003</v>
      </c>
      <c r="E759" s="2">
        <v>19494.813250000003</v>
      </c>
    </row>
    <row r="760" spans="1:5" x14ac:dyDescent="0.3">
      <c r="A760" s="3">
        <v>45314</v>
      </c>
      <c r="B760" s="2">
        <v>21238.799999999999</v>
      </c>
      <c r="C760" s="2">
        <v>21673.855000000003</v>
      </c>
      <c r="D760" s="2">
        <v>20935.260000000002</v>
      </c>
      <c r="E760" s="2">
        <v>19515.873500000002</v>
      </c>
    </row>
    <row r="761" spans="1:5" x14ac:dyDescent="0.3">
      <c r="A761" s="3">
        <v>45315</v>
      </c>
      <c r="B761" s="2">
        <v>21453.95</v>
      </c>
      <c r="C761" s="2">
        <v>21663.727500000001</v>
      </c>
      <c r="D761" s="2">
        <v>20971.529000000002</v>
      </c>
      <c r="E761" s="2">
        <v>19535.077250000002</v>
      </c>
    </row>
    <row r="762" spans="1:5" x14ac:dyDescent="0.3">
      <c r="A762" s="3">
        <v>45316</v>
      </c>
      <c r="B762" s="2">
        <v>21352.6</v>
      </c>
      <c r="C762" s="2">
        <v>21653.6875</v>
      </c>
      <c r="D762" s="2">
        <v>21010.097000000002</v>
      </c>
      <c r="E762" s="2">
        <v>19554.561750000001</v>
      </c>
    </row>
    <row r="763" spans="1:5" x14ac:dyDescent="0.3">
      <c r="A763" s="3">
        <v>45320</v>
      </c>
      <c r="B763" s="2">
        <v>21737.599999999999</v>
      </c>
      <c r="C763" s="2">
        <v>21632.382500000003</v>
      </c>
      <c r="D763" s="2">
        <v>21048.278000000002</v>
      </c>
      <c r="E763" s="2">
        <v>19573.329000000002</v>
      </c>
    </row>
    <row r="764" spans="1:5" x14ac:dyDescent="0.3">
      <c r="A764" s="3">
        <v>45321</v>
      </c>
      <c r="B764" s="2">
        <v>21522.1</v>
      </c>
      <c r="C764" s="2">
        <v>21632.692499999997</v>
      </c>
      <c r="D764" s="2">
        <v>21089.521000000001</v>
      </c>
      <c r="E764" s="2">
        <v>19593.896750000004</v>
      </c>
    </row>
    <row r="765" spans="1:5" x14ac:dyDescent="0.3">
      <c r="A765" s="3">
        <v>45322</v>
      </c>
      <c r="B765" s="2">
        <v>21725.7</v>
      </c>
      <c r="C765" s="2">
        <v>21621.702499999999</v>
      </c>
      <c r="D765" s="2">
        <v>21124.659000000003</v>
      </c>
      <c r="E765" s="2">
        <v>19612.895750000003</v>
      </c>
    </row>
    <row r="766" spans="1:5" x14ac:dyDescent="0.3">
      <c r="A766" s="3">
        <v>45323</v>
      </c>
      <c r="B766" s="2">
        <v>21697.45</v>
      </c>
      <c r="C766" s="2">
        <v>21624.697499999998</v>
      </c>
      <c r="D766" s="2">
        <v>21164.537</v>
      </c>
      <c r="E766" s="2">
        <v>19632.462250000004</v>
      </c>
    </row>
    <row r="767" spans="1:5" x14ac:dyDescent="0.3">
      <c r="A767" s="3">
        <v>45324</v>
      </c>
      <c r="B767" s="2">
        <v>21853.8</v>
      </c>
      <c r="C767" s="2">
        <v>21633.702499999996</v>
      </c>
      <c r="D767" s="2">
        <v>21204.606</v>
      </c>
      <c r="E767" s="2">
        <v>19651.809500000007</v>
      </c>
    </row>
    <row r="768" spans="1:5" x14ac:dyDescent="0.3">
      <c r="A768" s="3">
        <v>45327</v>
      </c>
      <c r="B768" s="2">
        <v>21771.7</v>
      </c>
      <c r="C768" s="2">
        <v>21643.462499999998</v>
      </c>
      <c r="D768" s="2">
        <v>21246.013999999999</v>
      </c>
      <c r="E768" s="2">
        <v>19672.544250000006</v>
      </c>
    </row>
    <row r="769" spans="1:5" x14ac:dyDescent="0.3">
      <c r="A769" s="3">
        <v>45328</v>
      </c>
      <c r="B769" s="2">
        <v>21929.4</v>
      </c>
      <c r="C769" s="2">
        <v>21646.507499999996</v>
      </c>
      <c r="D769" s="2">
        <v>21285.210999999999</v>
      </c>
      <c r="E769" s="2">
        <v>19693.10200000001</v>
      </c>
    </row>
    <row r="770" spans="1:5" x14ac:dyDescent="0.3">
      <c r="A770" s="3">
        <v>45329</v>
      </c>
      <c r="B770" s="2">
        <v>21930.5</v>
      </c>
      <c r="C770" s="2">
        <v>21667.327499999999</v>
      </c>
      <c r="D770" s="2">
        <v>21327.758999999998</v>
      </c>
      <c r="E770" s="2">
        <v>19714.655250000007</v>
      </c>
    </row>
    <row r="771" spans="1:5" x14ac:dyDescent="0.3">
      <c r="A771" s="3">
        <v>45330</v>
      </c>
      <c r="B771" s="2">
        <v>21717.95</v>
      </c>
      <c r="C771" s="2">
        <v>21686.61</v>
      </c>
      <c r="D771" s="2">
        <v>21370.474999999999</v>
      </c>
      <c r="E771" s="2">
        <v>19736.185500000007</v>
      </c>
    </row>
    <row r="772" spans="1:5" x14ac:dyDescent="0.3">
      <c r="A772" s="3">
        <v>45331</v>
      </c>
      <c r="B772" s="2">
        <v>21782.5</v>
      </c>
      <c r="C772" s="2">
        <v>21691.572500000002</v>
      </c>
      <c r="D772" s="2">
        <v>21407.039999999994</v>
      </c>
      <c r="E772" s="2">
        <v>19756.655000000006</v>
      </c>
    </row>
    <row r="773" spans="1:5" x14ac:dyDescent="0.3">
      <c r="A773" s="3">
        <v>45334</v>
      </c>
      <c r="B773" s="2">
        <v>21616.05</v>
      </c>
      <c r="C773" s="2">
        <v>21698.337500000001</v>
      </c>
      <c r="D773" s="2">
        <v>21440.757999999998</v>
      </c>
      <c r="E773" s="2">
        <v>19776.850500000011</v>
      </c>
    </row>
    <row r="774" spans="1:5" x14ac:dyDescent="0.3">
      <c r="A774" s="3">
        <v>45335</v>
      </c>
      <c r="B774" s="2">
        <v>21743.25</v>
      </c>
      <c r="C774" s="2">
        <v>21684.412500000002</v>
      </c>
      <c r="D774" s="2">
        <v>21470.415999999997</v>
      </c>
      <c r="E774" s="2">
        <v>19796.084500000008</v>
      </c>
    </row>
    <row r="775" spans="1:5" x14ac:dyDescent="0.3">
      <c r="A775" s="3">
        <v>45336</v>
      </c>
      <c r="B775" s="2">
        <v>21840.05</v>
      </c>
      <c r="C775" s="2">
        <v>21666.702500000007</v>
      </c>
      <c r="D775" s="2">
        <v>21499.922999999995</v>
      </c>
      <c r="E775" s="2">
        <v>19815.73275000001</v>
      </c>
    </row>
    <row r="776" spans="1:5" x14ac:dyDescent="0.3">
      <c r="A776" s="3">
        <v>45337</v>
      </c>
      <c r="B776" s="2">
        <v>21910.75</v>
      </c>
      <c r="C776" s="2">
        <v>21657.090000000004</v>
      </c>
      <c r="D776" s="2">
        <v>21522.987999999998</v>
      </c>
      <c r="E776" s="2">
        <v>19835.35775000001</v>
      </c>
    </row>
    <row r="777" spans="1:5" x14ac:dyDescent="0.3">
      <c r="A777" s="3">
        <v>45338</v>
      </c>
      <c r="B777" s="2">
        <v>22040.7</v>
      </c>
      <c r="C777" s="2">
        <v>21674.030000000002</v>
      </c>
      <c r="D777" s="2">
        <v>21544.100999999995</v>
      </c>
      <c r="E777" s="2">
        <v>19854.586500000009</v>
      </c>
    </row>
    <row r="778" spans="1:5" x14ac:dyDescent="0.3">
      <c r="A778" s="3">
        <v>45341</v>
      </c>
      <c r="B778" s="2">
        <v>22122.25</v>
      </c>
      <c r="C778" s="2">
        <v>21702.952500000003</v>
      </c>
      <c r="D778" s="2">
        <v>21566.160999999996</v>
      </c>
      <c r="E778" s="2">
        <v>19874.05175000001</v>
      </c>
    </row>
    <row r="779" spans="1:5" x14ac:dyDescent="0.3">
      <c r="A779" s="3">
        <v>45342</v>
      </c>
      <c r="B779" s="2">
        <v>22196.95</v>
      </c>
      <c r="C779" s="2">
        <v>21727.945</v>
      </c>
      <c r="D779" s="2">
        <v>21590.582999999999</v>
      </c>
      <c r="E779" s="2">
        <v>19894.21375000001</v>
      </c>
    </row>
    <row r="780" spans="1:5" x14ac:dyDescent="0.3">
      <c r="A780" s="3">
        <v>45343</v>
      </c>
      <c r="B780" s="2">
        <v>22055.05</v>
      </c>
      <c r="C780" s="2">
        <v>21759.202499999999</v>
      </c>
      <c r="D780" s="2">
        <v>21615.133999999998</v>
      </c>
      <c r="E780" s="2">
        <v>19913.919500000007</v>
      </c>
    </row>
    <row r="781" spans="1:5" x14ac:dyDescent="0.3">
      <c r="A781" s="3">
        <v>45344</v>
      </c>
      <c r="B781" s="2">
        <v>22217.45</v>
      </c>
      <c r="C781" s="2">
        <v>21800.014999999999</v>
      </c>
      <c r="D781" s="2">
        <v>21636.292999999998</v>
      </c>
      <c r="E781" s="2">
        <v>19933.849750000008</v>
      </c>
    </row>
    <row r="782" spans="1:5" x14ac:dyDescent="0.3">
      <c r="A782" s="3">
        <v>45345</v>
      </c>
      <c r="B782" s="2">
        <v>22212.7</v>
      </c>
      <c r="C782" s="2">
        <v>21838.19</v>
      </c>
      <c r="D782" s="2">
        <v>21662.513999999996</v>
      </c>
      <c r="E782" s="2">
        <v>19953.615000000009</v>
      </c>
    </row>
    <row r="783" spans="1:5" x14ac:dyDescent="0.3">
      <c r="A783" s="3">
        <v>45348</v>
      </c>
      <c r="B783" s="2">
        <v>22122.05</v>
      </c>
      <c r="C783" s="2">
        <v>21881.195</v>
      </c>
      <c r="D783" s="2">
        <v>21688.240999999995</v>
      </c>
      <c r="E783" s="2">
        <v>19973.348750000012</v>
      </c>
    </row>
    <row r="784" spans="1:5" x14ac:dyDescent="0.3">
      <c r="A784" s="3">
        <v>45349</v>
      </c>
      <c r="B784" s="2">
        <v>22198.35</v>
      </c>
      <c r="C784" s="2">
        <v>21900.4175</v>
      </c>
      <c r="D784" s="2">
        <v>21707.027999999998</v>
      </c>
      <c r="E784" s="2">
        <v>19992.383500000011</v>
      </c>
    </row>
    <row r="785" spans="1:5" x14ac:dyDescent="0.3">
      <c r="A785" s="3">
        <v>45350</v>
      </c>
      <c r="B785" s="2">
        <v>21951.15</v>
      </c>
      <c r="C785" s="2">
        <v>21934.23</v>
      </c>
      <c r="D785" s="2">
        <v>21721.861999999997</v>
      </c>
      <c r="E785" s="2">
        <v>20011.890250000011</v>
      </c>
    </row>
    <row r="786" spans="1:5" x14ac:dyDescent="0.3">
      <c r="A786" s="3">
        <v>45351</v>
      </c>
      <c r="B786" s="2">
        <v>21982.799999999999</v>
      </c>
      <c r="C786" s="2">
        <v>21945.502499999999</v>
      </c>
      <c r="D786" s="2">
        <v>21732.511999999999</v>
      </c>
      <c r="E786" s="2">
        <v>20030.072000000011</v>
      </c>
    </row>
    <row r="787" spans="1:5" x14ac:dyDescent="0.3">
      <c r="A787" s="3">
        <v>45352</v>
      </c>
      <c r="B787" s="2">
        <v>22338.75</v>
      </c>
      <c r="C787" s="2">
        <v>21959.77</v>
      </c>
      <c r="D787" s="2">
        <v>21743.105999999996</v>
      </c>
      <c r="E787" s="2">
        <v>20047.991750000008</v>
      </c>
    </row>
    <row r="788" spans="1:5" x14ac:dyDescent="0.3">
      <c r="A788" s="3">
        <v>45355</v>
      </c>
      <c r="B788" s="2">
        <v>22405.599999999999</v>
      </c>
      <c r="C788" s="2">
        <v>21984.017499999998</v>
      </c>
      <c r="D788" s="2">
        <v>21766.877999999997</v>
      </c>
      <c r="E788" s="2">
        <v>20068.253000000012</v>
      </c>
    </row>
    <row r="789" spans="1:5" x14ac:dyDescent="0.3">
      <c r="A789" s="3">
        <v>45356</v>
      </c>
      <c r="B789" s="2">
        <v>22356.3</v>
      </c>
      <c r="C789" s="2">
        <v>22015.712500000001</v>
      </c>
      <c r="D789" s="2">
        <v>21789.888999999999</v>
      </c>
      <c r="E789" s="2">
        <v>20089.372250000011</v>
      </c>
    </row>
    <row r="790" spans="1:5" x14ac:dyDescent="0.3">
      <c r="A790" s="3">
        <v>45357</v>
      </c>
      <c r="B790" s="2">
        <v>22474.05</v>
      </c>
      <c r="C790" s="2">
        <v>22037.057499999999</v>
      </c>
      <c r="D790" s="2">
        <v>21810.027000000002</v>
      </c>
      <c r="E790" s="2">
        <v>20110.504000000012</v>
      </c>
    </row>
    <row r="791" spans="1:5" x14ac:dyDescent="0.3">
      <c r="A791" s="3">
        <v>45358</v>
      </c>
      <c r="B791" s="2">
        <v>22493.55</v>
      </c>
      <c r="C791" s="2">
        <v>22064.234999999997</v>
      </c>
      <c r="D791" s="2">
        <v>21830.681</v>
      </c>
      <c r="E791" s="2">
        <v>20131.857250000008</v>
      </c>
    </row>
    <row r="792" spans="1:5" x14ac:dyDescent="0.3">
      <c r="A792" s="3">
        <v>45362</v>
      </c>
      <c r="B792" s="2">
        <v>22332.65</v>
      </c>
      <c r="C792" s="2">
        <v>22103.014999999996</v>
      </c>
      <c r="D792" s="2">
        <v>21847.457000000002</v>
      </c>
      <c r="E792" s="2">
        <v>20152.753000000008</v>
      </c>
    </row>
    <row r="793" spans="1:5" x14ac:dyDescent="0.3">
      <c r="A793" s="3">
        <v>45363</v>
      </c>
      <c r="B793" s="2">
        <v>22335.7</v>
      </c>
      <c r="C793" s="2">
        <v>22130.522499999999</v>
      </c>
      <c r="D793" s="2">
        <v>21858.536</v>
      </c>
      <c r="E793" s="2">
        <v>20172.676250000008</v>
      </c>
    </row>
    <row r="794" spans="1:5" x14ac:dyDescent="0.3">
      <c r="A794" s="3">
        <v>45364</v>
      </c>
      <c r="B794" s="2">
        <v>21997.7</v>
      </c>
      <c r="C794" s="2">
        <v>22166.504999999997</v>
      </c>
      <c r="D794" s="2">
        <v>21870.621999999996</v>
      </c>
      <c r="E794" s="2">
        <v>20192.927750000006</v>
      </c>
    </row>
    <row r="795" spans="1:5" x14ac:dyDescent="0.3">
      <c r="A795" s="3">
        <v>45365</v>
      </c>
      <c r="B795" s="2">
        <v>22146.65</v>
      </c>
      <c r="C795" s="2">
        <v>22179.227500000001</v>
      </c>
      <c r="D795" s="2">
        <v>21875.737999999998</v>
      </c>
      <c r="E795" s="2">
        <v>20211.310500000007</v>
      </c>
    </row>
    <row r="796" spans="1:5" x14ac:dyDescent="0.3">
      <c r="A796" s="3">
        <v>45366</v>
      </c>
      <c r="B796" s="2">
        <v>22023.35</v>
      </c>
      <c r="C796" s="2">
        <v>22194.557499999999</v>
      </c>
      <c r="D796" s="2">
        <v>21885.355</v>
      </c>
      <c r="E796" s="2">
        <v>20229.547000000006</v>
      </c>
    </row>
    <row r="797" spans="1:5" x14ac:dyDescent="0.3">
      <c r="A797" s="3">
        <v>45369</v>
      </c>
      <c r="B797" s="2">
        <v>22055.7</v>
      </c>
      <c r="C797" s="2">
        <v>22200.1875</v>
      </c>
      <c r="D797" s="2">
        <v>21895.474999999999</v>
      </c>
      <c r="E797" s="2">
        <v>20246.670500000007</v>
      </c>
    </row>
    <row r="798" spans="1:5" x14ac:dyDescent="0.3">
      <c r="A798" s="3">
        <v>45370</v>
      </c>
      <c r="B798" s="2">
        <v>21817.45</v>
      </c>
      <c r="C798" s="2">
        <v>22200.9375</v>
      </c>
      <c r="D798" s="2">
        <v>21903.417000000001</v>
      </c>
      <c r="E798" s="2">
        <v>20263.779750000009</v>
      </c>
    </row>
    <row r="799" spans="1:5" x14ac:dyDescent="0.3">
      <c r="A799" s="3">
        <v>45371</v>
      </c>
      <c r="B799" s="2">
        <v>21839.1</v>
      </c>
      <c r="C799" s="2">
        <v>22185.697500000002</v>
      </c>
      <c r="D799" s="2">
        <v>21905.55</v>
      </c>
      <c r="E799" s="2">
        <v>20280.195000000011</v>
      </c>
    </row>
    <row r="800" spans="1:5" x14ac:dyDescent="0.3">
      <c r="A800" s="3">
        <v>45372</v>
      </c>
      <c r="B800" s="2">
        <v>22011.95</v>
      </c>
      <c r="C800" s="2">
        <v>22167.805</v>
      </c>
      <c r="D800" s="2">
        <v>21912.072</v>
      </c>
      <c r="E800" s="2">
        <v>20296.951750000011</v>
      </c>
    </row>
    <row r="801" spans="1:5" x14ac:dyDescent="0.3">
      <c r="A801" s="3">
        <v>45373</v>
      </c>
      <c r="B801" s="2">
        <v>22096.75</v>
      </c>
      <c r="C801" s="2">
        <v>22165.65</v>
      </c>
      <c r="D801" s="2">
        <v>21921.414000000001</v>
      </c>
      <c r="E801" s="2">
        <v>20314.341000000011</v>
      </c>
    </row>
    <row r="802" spans="1:5" x14ac:dyDescent="0.3">
      <c r="A802" s="3">
        <v>45377</v>
      </c>
      <c r="B802" s="2">
        <v>22004.7</v>
      </c>
      <c r="C802" s="2">
        <v>22159.614999999998</v>
      </c>
      <c r="D802" s="2">
        <v>21930.974999999999</v>
      </c>
      <c r="E802" s="2">
        <v>20331.855500000009</v>
      </c>
    </row>
    <row r="803" spans="1:5" x14ac:dyDescent="0.3">
      <c r="A803" s="3">
        <v>45378</v>
      </c>
      <c r="B803" s="2">
        <v>22123.65</v>
      </c>
      <c r="C803" s="2">
        <v>22149.215</v>
      </c>
      <c r="D803" s="2">
        <v>21938.125</v>
      </c>
      <c r="E803" s="2">
        <v>20348.884000000009</v>
      </c>
    </row>
    <row r="804" spans="1:5" x14ac:dyDescent="0.3">
      <c r="A804" s="3">
        <v>45379</v>
      </c>
      <c r="B804" s="2">
        <v>22326.9</v>
      </c>
      <c r="C804" s="2">
        <v>22149.295000000002</v>
      </c>
      <c r="D804" s="2">
        <v>21942.706999999999</v>
      </c>
      <c r="E804" s="2">
        <v>20365.870250000011</v>
      </c>
    </row>
    <row r="805" spans="1:5" x14ac:dyDescent="0.3">
      <c r="A805" s="3">
        <v>45383</v>
      </c>
      <c r="B805" s="2">
        <v>22462</v>
      </c>
      <c r="C805" s="2">
        <v>22155.722500000003</v>
      </c>
      <c r="D805" s="2">
        <v>21947.295999999995</v>
      </c>
      <c r="E805" s="2">
        <v>20384.332000000009</v>
      </c>
    </row>
    <row r="806" spans="1:5" x14ac:dyDescent="0.3">
      <c r="A806" s="3">
        <v>45384</v>
      </c>
      <c r="B806" s="2">
        <v>22453.3</v>
      </c>
      <c r="C806" s="2">
        <v>22181.265000000003</v>
      </c>
      <c r="D806" s="2">
        <v>21955.889999999996</v>
      </c>
      <c r="E806" s="2">
        <v>20403.825000000012</v>
      </c>
    </row>
    <row r="807" spans="1:5" x14ac:dyDescent="0.3">
      <c r="A807" s="3">
        <v>45385</v>
      </c>
      <c r="B807" s="2">
        <v>22434.65</v>
      </c>
      <c r="C807" s="2">
        <v>22204.79</v>
      </c>
      <c r="D807" s="2">
        <v>21973.516999999996</v>
      </c>
      <c r="E807" s="2">
        <v>20423.08400000001</v>
      </c>
    </row>
    <row r="808" spans="1:5" x14ac:dyDescent="0.3">
      <c r="A808" s="3">
        <v>45386</v>
      </c>
      <c r="B808" s="2">
        <v>22514.65</v>
      </c>
      <c r="C808" s="2">
        <v>22209.585000000006</v>
      </c>
      <c r="D808" s="2">
        <v>21992.965</v>
      </c>
      <c r="E808" s="2">
        <v>20441.676500000012</v>
      </c>
    </row>
    <row r="809" spans="1:5" x14ac:dyDescent="0.3">
      <c r="A809" s="3">
        <v>45387</v>
      </c>
      <c r="B809" s="2">
        <v>22513.7</v>
      </c>
      <c r="C809" s="2">
        <v>22215.037500000006</v>
      </c>
      <c r="D809" s="2">
        <v>22010.809999999994</v>
      </c>
      <c r="E809" s="2">
        <v>20460.470250000009</v>
      </c>
    </row>
    <row r="810" spans="1:5" x14ac:dyDescent="0.3">
      <c r="A810" s="3">
        <v>45390</v>
      </c>
      <c r="B810" s="2">
        <v>22666.3</v>
      </c>
      <c r="C810" s="2">
        <v>22222.907500000008</v>
      </c>
      <c r="D810" s="2">
        <v>22029.647999999997</v>
      </c>
      <c r="E810" s="2">
        <v>20479.59825000001</v>
      </c>
    </row>
    <row r="811" spans="1:5" x14ac:dyDescent="0.3">
      <c r="A811" s="3">
        <v>45391</v>
      </c>
      <c r="B811" s="2">
        <v>22642.75</v>
      </c>
      <c r="C811" s="2">
        <v>22232.520000000008</v>
      </c>
      <c r="D811" s="2">
        <v>22058.197999999997</v>
      </c>
      <c r="E811" s="2">
        <v>20498.799750000009</v>
      </c>
    </row>
    <row r="812" spans="1:5" x14ac:dyDescent="0.3">
      <c r="A812" s="3">
        <v>45392</v>
      </c>
      <c r="B812" s="2">
        <v>22753.8</v>
      </c>
      <c r="C812" s="2">
        <v>22239.980000000007</v>
      </c>
      <c r="D812" s="2">
        <v>22081.973999999998</v>
      </c>
      <c r="E812" s="2">
        <v>20518.236250000009</v>
      </c>
    </row>
    <row r="813" spans="1:5" x14ac:dyDescent="0.3">
      <c r="A813" s="3">
        <v>45394</v>
      </c>
      <c r="B813" s="2">
        <v>22519.4</v>
      </c>
      <c r="C813" s="2">
        <v>22261.037500000002</v>
      </c>
      <c r="D813" s="2">
        <v>22109.998</v>
      </c>
      <c r="E813" s="2">
        <v>20537.921750000009</v>
      </c>
    </row>
    <row r="814" spans="1:5" x14ac:dyDescent="0.3">
      <c r="A814" s="3">
        <v>45397</v>
      </c>
      <c r="B814" s="2">
        <v>22272.5</v>
      </c>
      <c r="C814" s="2">
        <v>22270.222500000003</v>
      </c>
      <c r="D814" s="2">
        <v>22125.633999999998</v>
      </c>
      <c r="E814" s="2">
        <v>20556.234500000006</v>
      </c>
    </row>
    <row r="815" spans="1:5" x14ac:dyDescent="0.3">
      <c r="A815" s="3">
        <v>45398</v>
      </c>
      <c r="B815" s="2">
        <v>22147.9</v>
      </c>
      <c r="C815" s="2">
        <v>22283.962500000001</v>
      </c>
      <c r="D815" s="2">
        <v>22140.641999999996</v>
      </c>
      <c r="E815" s="2">
        <v>20573.740750000004</v>
      </c>
    </row>
    <row r="816" spans="1:5" x14ac:dyDescent="0.3">
      <c r="A816" s="3">
        <v>45400</v>
      </c>
      <c r="B816" s="2">
        <v>21995.85</v>
      </c>
      <c r="C816" s="2">
        <v>22284.025000000001</v>
      </c>
      <c r="D816" s="2">
        <v>22149.085999999996</v>
      </c>
      <c r="E816" s="2">
        <v>20591.152750000005</v>
      </c>
    </row>
    <row r="817" spans="1:5" x14ac:dyDescent="0.3">
      <c r="A817" s="3">
        <v>45401</v>
      </c>
      <c r="B817" s="2">
        <v>22147</v>
      </c>
      <c r="C817" s="2">
        <v>22282.65</v>
      </c>
      <c r="D817" s="2">
        <v>22155.054</v>
      </c>
      <c r="E817" s="2">
        <v>20607.676000000007</v>
      </c>
    </row>
    <row r="818" spans="1:5" x14ac:dyDescent="0.3">
      <c r="A818" s="3">
        <v>45404</v>
      </c>
      <c r="B818" s="2">
        <v>22336.400000000001</v>
      </c>
      <c r="C818" s="2">
        <v>22287.215</v>
      </c>
      <c r="D818" s="2">
        <v>22160.917999999998</v>
      </c>
      <c r="E818" s="2">
        <v>20624.324000000008</v>
      </c>
    </row>
    <row r="819" spans="1:5" x14ac:dyDescent="0.3">
      <c r="A819" s="3">
        <v>45405</v>
      </c>
      <c r="B819" s="2">
        <v>22368</v>
      </c>
      <c r="C819" s="2">
        <v>22313.162499999999</v>
      </c>
      <c r="D819" s="2">
        <v>22172.211999999996</v>
      </c>
      <c r="E819" s="2">
        <v>20641.145500000006</v>
      </c>
    </row>
    <row r="820" spans="1:5" x14ac:dyDescent="0.3">
      <c r="A820" s="3">
        <v>45406</v>
      </c>
      <c r="B820" s="2">
        <v>22402.400000000001</v>
      </c>
      <c r="C820" s="2">
        <v>22339.607499999998</v>
      </c>
      <c r="D820" s="2">
        <v>22180.983999999993</v>
      </c>
      <c r="E820" s="2">
        <v>20657.040250000005</v>
      </c>
    </row>
    <row r="821" spans="1:5" x14ac:dyDescent="0.3">
      <c r="A821" s="3">
        <v>45407</v>
      </c>
      <c r="B821" s="2">
        <v>22570.35</v>
      </c>
      <c r="C821" s="2">
        <v>22359.13</v>
      </c>
      <c r="D821" s="2">
        <v>22190.421999999999</v>
      </c>
      <c r="E821" s="2">
        <v>20672.4395</v>
      </c>
    </row>
    <row r="822" spans="1:5" x14ac:dyDescent="0.3">
      <c r="A822" s="3">
        <v>45408</v>
      </c>
      <c r="B822" s="2">
        <v>22419.95</v>
      </c>
      <c r="C822" s="2">
        <v>22382.81</v>
      </c>
      <c r="D822" s="2">
        <v>22207.47</v>
      </c>
      <c r="E822" s="2">
        <v>20688.346250000002</v>
      </c>
    </row>
    <row r="823" spans="1:5" x14ac:dyDescent="0.3">
      <c r="A823" s="3">
        <v>45411</v>
      </c>
      <c r="B823" s="2">
        <v>22643.4</v>
      </c>
      <c r="C823" s="2">
        <v>22403.572500000002</v>
      </c>
      <c r="D823" s="2">
        <v>22220.218999999997</v>
      </c>
      <c r="E823" s="2">
        <v>20703.453500000003</v>
      </c>
    </row>
    <row r="824" spans="1:5" x14ac:dyDescent="0.3">
      <c r="A824" s="3">
        <v>45412</v>
      </c>
      <c r="B824" s="2">
        <v>22604.85</v>
      </c>
      <c r="C824" s="2">
        <v>22429.56</v>
      </c>
      <c r="D824" s="2">
        <v>22240.766</v>
      </c>
      <c r="E824" s="2">
        <v>20719.184000000001</v>
      </c>
    </row>
    <row r="825" spans="1:5" x14ac:dyDescent="0.3">
      <c r="A825" s="3">
        <v>45414</v>
      </c>
      <c r="B825" s="2">
        <v>22648.2</v>
      </c>
      <c r="C825" s="2">
        <v>22443.4575</v>
      </c>
      <c r="D825" s="2">
        <v>22257.998000000003</v>
      </c>
      <c r="E825" s="2">
        <v>20735.549250000004</v>
      </c>
    </row>
    <row r="826" spans="1:5" x14ac:dyDescent="0.3">
      <c r="A826" s="3">
        <v>45415</v>
      </c>
      <c r="B826" s="2">
        <v>22475.85</v>
      </c>
      <c r="C826" s="2">
        <v>22452.767500000002</v>
      </c>
      <c r="D826" s="2">
        <v>22274.161</v>
      </c>
      <c r="E826" s="2">
        <v>20752.010750000005</v>
      </c>
    </row>
    <row r="827" spans="1:5" x14ac:dyDescent="0.3">
      <c r="A827" s="3">
        <v>45418</v>
      </c>
      <c r="B827" s="2">
        <v>22442.7</v>
      </c>
      <c r="C827" s="2">
        <v>22453.895</v>
      </c>
      <c r="D827" s="2">
        <v>22285.463000000003</v>
      </c>
      <c r="E827" s="2">
        <v>20767.193000000003</v>
      </c>
    </row>
    <row r="828" spans="1:5" x14ac:dyDescent="0.3">
      <c r="A828" s="3">
        <v>45419</v>
      </c>
      <c r="B828" s="2">
        <v>22302.5</v>
      </c>
      <c r="C828" s="2">
        <v>22454.297500000001</v>
      </c>
      <c r="D828" s="2">
        <v>22293.503000000004</v>
      </c>
      <c r="E828" s="2">
        <v>20782.485000000004</v>
      </c>
    </row>
    <row r="829" spans="1:5" x14ac:dyDescent="0.3">
      <c r="A829" s="3">
        <v>45420</v>
      </c>
      <c r="B829" s="2">
        <v>22302.5</v>
      </c>
      <c r="C829" s="2">
        <v>22443.69</v>
      </c>
      <c r="D829" s="2">
        <v>22297.108000000004</v>
      </c>
      <c r="E829" s="2">
        <v>20796.928750000006</v>
      </c>
    </row>
    <row r="830" spans="1:5" x14ac:dyDescent="0.3">
      <c r="A830" s="3">
        <v>45421</v>
      </c>
      <c r="B830" s="2">
        <v>21957.5</v>
      </c>
      <c r="C830" s="2">
        <v>22433.129999999997</v>
      </c>
      <c r="D830" s="2">
        <v>22299.219000000005</v>
      </c>
      <c r="E830" s="2">
        <v>20810.618750000005</v>
      </c>
    </row>
    <row r="831" spans="1:5" x14ac:dyDescent="0.3">
      <c r="A831" s="3">
        <v>45422</v>
      </c>
      <c r="B831" s="2">
        <v>22055.200000000001</v>
      </c>
      <c r="C831" s="2">
        <v>22397.69</v>
      </c>
      <c r="D831" s="2">
        <v>22297.267999999996</v>
      </c>
      <c r="E831" s="2">
        <v>20821.849000000002</v>
      </c>
    </row>
    <row r="832" spans="1:5" x14ac:dyDescent="0.3">
      <c r="A832" s="3">
        <v>45425</v>
      </c>
      <c r="B832" s="2">
        <v>22104.05</v>
      </c>
      <c r="C832" s="2">
        <v>22368.3125</v>
      </c>
      <c r="D832" s="2">
        <v>22294.023000000001</v>
      </c>
      <c r="E832" s="2">
        <v>20833.378750000003</v>
      </c>
    </row>
    <row r="833" spans="1:5" x14ac:dyDescent="0.3">
      <c r="A833" s="3">
        <v>45426</v>
      </c>
      <c r="B833" s="2">
        <v>22217.85</v>
      </c>
      <c r="C833" s="2">
        <v>22335.825000000001</v>
      </c>
      <c r="D833" s="2">
        <v>22291.85</v>
      </c>
      <c r="E833" s="2">
        <v>20844.733250000005</v>
      </c>
    </row>
    <row r="834" spans="1:5" x14ac:dyDescent="0.3">
      <c r="A834" s="3">
        <v>45427</v>
      </c>
      <c r="B834" s="2">
        <v>22200.55</v>
      </c>
      <c r="C834" s="2">
        <v>22320.747499999998</v>
      </c>
      <c r="D834" s="2">
        <v>22293.766</v>
      </c>
      <c r="E834" s="2">
        <v>20855.926750000006</v>
      </c>
    </row>
    <row r="835" spans="1:5" x14ac:dyDescent="0.3">
      <c r="A835" s="3">
        <v>45428</v>
      </c>
      <c r="B835" s="2">
        <v>22403.85</v>
      </c>
      <c r="C835" s="2">
        <v>22317.15</v>
      </c>
      <c r="D835" s="2">
        <v>22293.81</v>
      </c>
      <c r="E835" s="2">
        <v>20868.204500000003</v>
      </c>
    </row>
    <row r="836" spans="1:5" x14ac:dyDescent="0.3">
      <c r="A836" s="3">
        <v>45429</v>
      </c>
      <c r="B836" s="2">
        <v>22466.1</v>
      </c>
      <c r="C836" s="2">
        <v>22329.947499999998</v>
      </c>
      <c r="D836" s="2">
        <v>22302.864000000005</v>
      </c>
      <c r="E836" s="2">
        <v>20881.862000000005</v>
      </c>
    </row>
    <row r="837" spans="1:5" x14ac:dyDescent="0.3">
      <c r="A837" s="3">
        <v>45430</v>
      </c>
      <c r="B837" s="2">
        <v>22502</v>
      </c>
      <c r="C837" s="2">
        <v>22353.46</v>
      </c>
      <c r="D837" s="2">
        <v>22312.530000000006</v>
      </c>
      <c r="E837" s="2">
        <v>20895.789500000003</v>
      </c>
    </row>
    <row r="838" spans="1:5" x14ac:dyDescent="0.3">
      <c r="A838" s="3">
        <v>45433</v>
      </c>
      <c r="B838" s="2">
        <v>22529.05</v>
      </c>
      <c r="C838" s="2">
        <v>22371.21</v>
      </c>
      <c r="D838" s="2">
        <v>22315.795000000006</v>
      </c>
      <c r="E838" s="2">
        <v>20909.408000000003</v>
      </c>
    </row>
    <row r="839" spans="1:5" x14ac:dyDescent="0.3">
      <c r="A839" s="3">
        <v>45434</v>
      </c>
      <c r="B839" s="2">
        <v>22597.8</v>
      </c>
      <c r="C839" s="2">
        <v>22380.842499999999</v>
      </c>
      <c r="D839" s="2">
        <v>22318.264000000003</v>
      </c>
      <c r="E839" s="2">
        <v>20923.753750000003</v>
      </c>
    </row>
    <row r="840" spans="1:5" x14ac:dyDescent="0.3">
      <c r="A840" s="3">
        <v>45435</v>
      </c>
      <c r="B840" s="2">
        <v>22967.65</v>
      </c>
      <c r="C840" s="2">
        <v>22392.332499999997</v>
      </c>
      <c r="D840" s="2">
        <v>22323.094000000005</v>
      </c>
      <c r="E840" s="2">
        <v>20938.512500000001</v>
      </c>
    </row>
    <row r="841" spans="1:5" x14ac:dyDescent="0.3">
      <c r="A841" s="3">
        <v>45436</v>
      </c>
      <c r="B841" s="2">
        <v>22957.1</v>
      </c>
      <c r="C841" s="2">
        <v>22420.594999999998</v>
      </c>
      <c r="D841" s="2">
        <v>22332.965999999997</v>
      </c>
      <c r="E841" s="2">
        <v>20954.581750000001</v>
      </c>
    </row>
    <row r="842" spans="1:5" x14ac:dyDescent="0.3">
      <c r="A842" s="3">
        <v>45439</v>
      </c>
      <c r="B842" s="2">
        <v>22932.45</v>
      </c>
      <c r="C842" s="2">
        <v>22439.932499999995</v>
      </c>
      <c r="D842" s="2">
        <v>22342.237000000001</v>
      </c>
      <c r="E842" s="2">
        <v>20970.699499999999</v>
      </c>
    </row>
    <row r="843" spans="1:5" x14ac:dyDescent="0.3">
      <c r="A843" s="3">
        <v>45440</v>
      </c>
      <c r="B843" s="2">
        <v>22888.15</v>
      </c>
      <c r="C843" s="2">
        <v>22465.557499999999</v>
      </c>
      <c r="D843" s="2">
        <v>22354.232999999997</v>
      </c>
      <c r="E843" s="2">
        <v>20987.728999999999</v>
      </c>
    </row>
    <row r="844" spans="1:5" x14ac:dyDescent="0.3">
      <c r="A844" s="3">
        <v>45441</v>
      </c>
      <c r="B844" s="2">
        <v>22704.7</v>
      </c>
      <c r="C844" s="2">
        <v>22477.794999999998</v>
      </c>
      <c r="D844" s="2">
        <v>22365.281999999996</v>
      </c>
      <c r="E844" s="2">
        <v>21005.261500000004</v>
      </c>
    </row>
    <row r="845" spans="1:5" x14ac:dyDescent="0.3">
      <c r="A845" s="3">
        <v>45442</v>
      </c>
      <c r="B845" s="2">
        <v>22488.65</v>
      </c>
      <c r="C845" s="2">
        <v>22482.787499999999</v>
      </c>
      <c r="D845" s="2">
        <v>22379.421999999999</v>
      </c>
      <c r="E845" s="2">
        <v>21021.200000000004</v>
      </c>
    </row>
    <row r="846" spans="1:5" x14ac:dyDescent="0.3">
      <c r="A846" s="3">
        <v>45443</v>
      </c>
      <c r="B846" s="2">
        <v>22530.7</v>
      </c>
      <c r="C846" s="2">
        <v>22474.810000000005</v>
      </c>
      <c r="D846" s="2">
        <v>22386.261999999992</v>
      </c>
      <c r="E846" s="2">
        <v>21035.656750000002</v>
      </c>
    </row>
    <row r="847" spans="1:5" x14ac:dyDescent="0.3">
      <c r="A847" s="3">
        <v>45446</v>
      </c>
      <c r="B847" s="2">
        <v>23263.9</v>
      </c>
      <c r="C847" s="2">
        <v>22477.552500000002</v>
      </c>
      <c r="D847" s="2">
        <v>22396.408999999996</v>
      </c>
      <c r="E847" s="2">
        <v>21050.456000000006</v>
      </c>
    </row>
    <row r="848" spans="1:5" x14ac:dyDescent="0.3">
      <c r="A848" s="3">
        <v>45447</v>
      </c>
      <c r="B848" s="2">
        <v>21884.5</v>
      </c>
      <c r="C848" s="2">
        <v>22518.612500000007</v>
      </c>
      <c r="D848" s="2">
        <v>22420.572999999993</v>
      </c>
      <c r="E848" s="2">
        <v>21068.612750000004</v>
      </c>
    </row>
    <row r="849" spans="1:5" x14ac:dyDescent="0.3">
      <c r="A849" s="3">
        <v>45448</v>
      </c>
      <c r="B849" s="2">
        <v>22620.35</v>
      </c>
      <c r="C849" s="2">
        <v>22497.712500000001</v>
      </c>
      <c r="D849" s="2">
        <v>22421.913999999993</v>
      </c>
      <c r="E849" s="2">
        <v>21080.319750000006</v>
      </c>
    </row>
    <row r="850" spans="1:5" x14ac:dyDescent="0.3">
      <c r="A850" s="3">
        <v>45449</v>
      </c>
      <c r="B850" s="2">
        <v>22821.4</v>
      </c>
      <c r="C850" s="2">
        <v>22513.605000000003</v>
      </c>
      <c r="D850" s="2">
        <v>22437.539000000001</v>
      </c>
      <c r="E850" s="2">
        <v>21096.28</v>
      </c>
    </row>
    <row r="851" spans="1:5" x14ac:dyDescent="0.3">
      <c r="A851" s="3">
        <v>45450</v>
      </c>
      <c r="B851" s="2">
        <v>23290.15</v>
      </c>
      <c r="C851" s="2">
        <v>22556.800000000003</v>
      </c>
      <c r="D851" s="2">
        <v>22453.727999999999</v>
      </c>
      <c r="E851" s="2">
        <v>21113.214250000005</v>
      </c>
    </row>
    <row r="852" spans="1:5" x14ac:dyDescent="0.3">
      <c r="A852" s="3">
        <v>45453</v>
      </c>
      <c r="B852" s="2">
        <v>23259.200000000001</v>
      </c>
      <c r="C852" s="2">
        <v>22618.547500000004</v>
      </c>
      <c r="D852" s="2">
        <v>22477.595999999998</v>
      </c>
      <c r="E852" s="2">
        <v>21132.340000000004</v>
      </c>
    </row>
    <row r="853" spans="1:5" x14ac:dyDescent="0.3">
      <c r="A853" s="3">
        <v>45454</v>
      </c>
      <c r="B853" s="2">
        <v>23264.85</v>
      </c>
      <c r="C853" s="2">
        <v>22676.305000000004</v>
      </c>
      <c r="D853" s="2">
        <v>22502.685999999998</v>
      </c>
      <c r="E853" s="2">
        <v>21151.80975</v>
      </c>
    </row>
    <row r="854" spans="1:5" x14ac:dyDescent="0.3">
      <c r="A854" s="3">
        <v>45455</v>
      </c>
      <c r="B854" s="2">
        <v>23322.95</v>
      </c>
      <c r="C854" s="2">
        <v>22728.655000000006</v>
      </c>
      <c r="D854" s="2">
        <v>22525.509999999995</v>
      </c>
      <c r="E854" s="2">
        <v>21171.583250000003</v>
      </c>
    </row>
    <row r="855" spans="1:5" x14ac:dyDescent="0.3">
      <c r="A855" s="3">
        <v>45456</v>
      </c>
      <c r="B855" s="2">
        <v>23398.9</v>
      </c>
      <c r="C855" s="2">
        <v>22784.775000000001</v>
      </c>
      <c r="D855" s="2">
        <v>22545.431</v>
      </c>
      <c r="E855" s="2">
        <v>21191.230000000003</v>
      </c>
    </row>
    <row r="856" spans="1:5" x14ac:dyDescent="0.3">
      <c r="A856" s="3">
        <v>45457</v>
      </c>
      <c r="B856" s="2">
        <v>23465.599999999999</v>
      </c>
      <c r="C856" s="2">
        <v>22834.527500000004</v>
      </c>
      <c r="D856" s="2">
        <v>22564.168999999998</v>
      </c>
      <c r="E856" s="2">
        <v>21211.242250000007</v>
      </c>
    </row>
    <row r="857" spans="1:5" x14ac:dyDescent="0.3">
      <c r="A857" s="3">
        <v>45461</v>
      </c>
      <c r="B857" s="2">
        <v>23557.9</v>
      </c>
      <c r="C857" s="2">
        <v>22884.502500000002</v>
      </c>
      <c r="D857" s="2">
        <v>22584.415000000001</v>
      </c>
      <c r="E857" s="2">
        <v>21231.350250000003</v>
      </c>
    </row>
    <row r="858" spans="1:5" x14ac:dyDescent="0.3">
      <c r="A858" s="3">
        <v>45462</v>
      </c>
      <c r="B858" s="2">
        <v>23516</v>
      </c>
      <c r="C858" s="2">
        <v>22937.297500000004</v>
      </c>
      <c r="D858" s="2">
        <v>22606.880000000001</v>
      </c>
      <c r="E858" s="2">
        <v>21252.206250000003</v>
      </c>
    </row>
    <row r="859" spans="1:5" x14ac:dyDescent="0.3">
      <c r="A859" s="3">
        <v>45463</v>
      </c>
      <c r="B859" s="2">
        <v>23567</v>
      </c>
      <c r="C859" s="2">
        <v>22986.645000000004</v>
      </c>
      <c r="D859" s="2">
        <v>22626.906999999996</v>
      </c>
      <c r="E859" s="2">
        <v>21273.457250000007</v>
      </c>
    </row>
    <row r="860" spans="1:5" x14ac:dyDescent="0.3">
      <c r="A860" s="3">
        <v>45464</v>
      </c>
      <c r="B860" s="2">
        <v>23501.1</v>
      </c>
      <c r="C860" s="2">
        <v>23035.105000000003</v>
      </c>
      <c r="D860" s="2">
        <v>22647.972999999998</v>
      </c>
      <c r="E860" s="2">
        <v>21294.762000000006</v>
      </c>
    </row>
    <row r="861" spans="1:5" x14ac:dyDescent="0.3">
      <c r="A861" s="3">
        <v>45467</v>
      </c>
      <c r="B861" s="2">
        <v>23537.85</v>
      </c>
      <c r="C861" s="2">
        <v>23061.7775</v>
      </c>
      <c r="D861" s="2">
        <v>22664.668999999998</v>
      </c>
      <c r="E861" s="2">
        <v>21315.554250000001</v>
      </c>
    </row>
    <row r="862" spans="1:5" x14ac:dyDescent="0.3">
      <c r="A862" s="3">
        <v>45468</v>
      </c>
      <c r="B862" s="2">
        <v>23721.3</v>
      </c>
      <c r="C862" s="2">
        <v>23090.814999999999</v>
      </c>
      <c r="D862" s="2">
        <v>22682.571</v>
      </c>
      <c r="E862" s="2">
        <v>21336.506249999999</v>
      </c>
    </row>
    <row r="863" spans="1:5" x14ac:dyDescent="0.3">
      <c r="A863" s="3">
        <v>45469</v>
      </c>
      <c r="B863" s="2">
        <v>23868.799999999999</v>
      </c>
      <c r="C863" s="2">
        <v>23130.2575</v>
      </c>
      <c r="D863" s="2">
        <v>22701.921000000002</v>
      </c>
      <c r="E863" s="2">
        <v>21358.843749999996</v>
      </c>
    </row>
    <row r="864" spans="1:5" x14ac:dyDescent="0.3">
      <c r="A864" s="3">
        <v>45470</v>
      </c>
      <c r="B864" s="2">
        <v>24044.5</v>
      </c>
      <c r="C864" s="2">
        <v>23179.29</v>
      </c>
      <c r="D864" s="2">
        <v>22728.909000000003</v>
      </c>
      <c r="E864" s="2">
        <v>21381.01125</v>
      </c>
    </row>
    <row r="865" spans="1:5" x14ac:dyDescent="0.3">
      <c r="A865" s="3">
        <v>45471</v>
      </c>
      <c r="B865" s="2">
        <v>24010.6</v>
      </c>
      <c r="C865" s="2">
        <v>23246.28</v>
      </c>
      <c r="D865" s="2">
        <v>22764.348999999998</v>
      </c>
      <c r="E865" s="2">
        <v>21403.589749999999</v>
      </c>
    </row>
    <row r="866" spans="1:5" x14ac:dyDescent="0.3">
      <c r="A866" s="3">
        <v>45474</v>
      </c>
      <c r="B866" s="2">
        <v>24141.95</v>
      </c>
      <c r="C866" s="2">
        <v>23322.377499999995</v>
      </c>
      <c r="D866" s="2">
        <v>22801.602999999999</v>
      </c>
      <c r="E866" s="2">
        <v>21425.768250000001</v>
      </c>
    </row>
    <row r="867" spans="1:5" x14ac:dyDescent="0.3">
      <c r="A867" s="3">
        <v>45475</v>
      </c>
      <c r="B867" s="2">
        <v>24123.85</v>
      </c>
      <c r="C867" s="2">
        <v>23402.939999999995</v>
      </c>
      <c r="D867" s="2">
        <v>22844.524999999994</v>
      </c>
      <c r="E867" s="2">
        <v>21448.422749999998</v>
      </c>
    </row>
    <row r="868" spans="1:5" x14ac:dyDescent="0.3">
      <c r="A868" s="3">
        <v>45476</v>
      </c>
      <c r="B868" s="2">
        <v>24286.5</v>
      </c>
      <c r="C868" s="2">
        <v>23445.937499999993</v>
      </c>
      <c r="D868" s="2">
        <v>22884.061999999998</v>
      </c>
      <c r="E868" s="2">
        <v>21470.406749999998</v>
      </c>
    </row>
    <row r="869" spans="1:5" x14ac:dyDescent="0.3">
      <c r="A869" s="3">
        <v>45477</v>
      </c>
      <c r="B869" s="2">
        <v>24302.15</v>
      </c>
      <c r="C869" s="2">
        <v>23566.037499999995</v>
      </c>
      <c r="D869" s="2">
        <v>22923.063999999998</v>
      </c>
      <c r="E869" s="2">
        <v>21492.739499999996</v>
      </c>
    </row>
    <row r="870" spans="1:5" x14ac:dyDescent="0.3">
      <c r="A870" s="3">
        <v>45478</v>
      </c>
      <c r="B870" s="2">
        <v>24323.85</v>
      </c>
      <c r="C870" s="2">
        <v>23650.127499999999</v>
      </c>
      <c r="D870" s="2">
        <v>22961.746999999996</v>
      </c>
      <c r="E870" s="2">
        <v>21514.268500000002</v>
      </c>
    </row>
    <row r="871" spans="1:5" x14ac:dyDescent="0.3">
      <c r="A871" s="3">
        <v>45481</v>
      </c>
      <c r="B871" s="2">
        <v>24320.55</v>
      </c>
      <c r="C871" s="2">
        <v>23725.25</v>
      </c>
      <c r="D871" s="2">
        <v>23000.175999999999</v>
      </c>
      <c r="E871" s="2">
        <v>21535.921749999998</v>
      </c>
    </row>
    <row r="872" spans="1:5" x14ac:dyDescent="0.3">
      <c r="A872" s="3">
        <v>45482</v>
      </c>
      <c r="B872" s="2">
        <v>24433.200000000001</v>
      </c>
      <c r="C872" s="2">
        <v>23776.769999999997</v>
      </c>
      <c r="D872" s="2">
        <v>23035.18</v>
      </c>
      <c r="E872" s="2">
        <v>21557.174500000001</v>
      </c>
    </row>
    <row r="873" spans="1:5" x14ac:dyDescent="0.3">
      <c r="A873" s="3">
        <v>45483</v>
      </c>
      <c r="B873" s="2">
        <v>24324.45</v>
      </c>
      <c r="C873" s="2">
        <v>23835.469999999998</v>
      </c>
      <c r="D873" s="2">
        <v>23075.445</v>
      </c>
      <c r="E873" s="2">
        <v>21578.825000000004</v>
      </c>
    </row>
    <row r="874" spans="1:5" x14ac:dyDescent="0.3">
      <c r="A874" s="3">
        <v>45484</v>
      </c>
      <c r="B874" s="2">
        <v>24315.95</v>
      </c>
      <c r="C874" s="2">
        <v>23888.45</v>
      </c>
      <c r="D874" s="2">
        <v>23109.065999999995</v>
      </c>
      <c r="E874" s="2">
        <v>21599.485500000003</v>
      </c>
    </row>
    <row r="875" spans="1:5" x14ac:dyDescent="0.3">
      <c r="A875" s="3">
        <v>45485</v>
      </c>
      <c r="B875" s="2">
        <v>24502.15</v>
      </c>
      <c r="C875" s="2">
        <v>23938.1</v>
      </c>
      <c r="D875" s="2">
        <v>23143.287999999997</v>
      </c>
      <c r="E875" s="2">
        <v>21620.398750000004</v>
      </c>
    </row>
    <row r="876" spans="1:5" x14ac:dyDescent="0.3">
      <c r="A876" s="3">
        <v>45488</v>
      </c>
      <c r="B876" s="2">
        <v>24586.7</v>
      </c>
      <c r="C876" s="2">
        <v>23993.262500000004</v>
      </c>
      <c r="D876" s="2">
        <v>23180.366999999998</v>
      </c>
      <c r="E876" s="2">
        <v>21643.402500000011</v>
      </c>
    </row>
    <row r="877" spans="1:5" x14ac:dyDescent="0.3">
      <c r="A877" s="3">
        <v>45489</v>
      </c>
      <c r="B877" s="2">
        <v>24613</v>
      </c>
      <c r="C877" s="2">
        <v>24049.317500000001</v>
      </c>
      <c r="D877" s="2">
        <v>23222.583999999995</v>
      </c>
      <c r="E877" s="2">
        <v>21667.624250000012</v>
      </c>
    </row>
    <row r="878" spans="1:5" x14ac:dyDescent="0.3">
      <c r="A878" s="3">
        <v>45491</v>
      </c>
      <c r="B878" s="2">
        <v>24800.85</v>
      </c>
      <c r="C878" s="2">
        <v>24102.072500000006</v>
      </c>
      <c r="D878" s="2">
        <v>23265.989999999994</v>
      </c>
      <c r="E878" s="2">
        <v>21692.318000000007</v>
      </c>
    </row>
    <row r="879" spans="1:5" x14ac:dyDescent="0.3">
      <c r="A879" s="3">
        <v>45492</v>
      </c>
      <c r="B879" s="2">
        <v>24530.9</v>
      </c>
      <c r="C879" s="2">
        <v>24166.315000000002</v>
      </c>
      <c r="D879" s="2">
        <v>23315.956999999999</v>
      </c>
      <c r="E879" s="2">
        <v>21717.949500000006</v>
      </c>
    </row>
    <row r="880" spans="1:5" x14ac:dyDescent="0.3">
      <c r="A880" s="3">
        <v>45495</v>
      </c>
      <c r="B880" s="2">
        <v>24509.25</v>
      </c>
      <c r="C880" s="2">
        <v>24214.510000000002</v>
      </c>
      <c r="D880" s="2">
        <v>23360.524999999994</v>
      </c>
      <c r="E880" s="2">
        <v>21742.280500000008</v>
      </c>
    </row>
    <row r="881" spans="1:5" x14ac:dyDescent="0.3">
      <c r="A881" s="3">
        <v>45496</v>
      </c>
      <c r="B881" s="2">
        <v>24479.05</v>
      </c>
      <c r="C881" s="2">
        <v>24264.917500000003</v>
      </c>
      <c r="D881" s="2">
        <v>23411.56</v>
      </c>
      <c r="E881" s="2">
        <v>21766.244500000008</v>
      </c>
    </row>
    <row r="882" spans="1:5" x14ac:dyDescent="0.3">
      <c r="A882" s="3">
        <v>45497</v>
      </c>
      <c r="B882" s="2">
        <v>24413.5</v>
      </c>
      <c r="C882" s="2">
        <v>24311.977500000001</v>
      </c>
      <c r="D882" s="2">
        <v>23460.037</v>
      </c>
      <c r="E882" s="2">
        <v>21791.022000000008</v>
      </c>
    </row>
    <row r="883" spans="1:5" x14ac:dyDescent="0.3">
      <c r="A883" s="3">
        <v>45498</v>
      </c>
      <c r="B883" s="2">
        <v>24406.1</v>
      </c>
      <c r="C883" s="2">
        <v>24346.587500000001</v>
      </c>
      <c r="D883" s="2">
        <v>23506.226000000002</v>
      </c>
      <c r="E883" s="2">
        <v>21814.898000000001</v>
      </c>
    </row>
    <row r="884" spans="1:5" x14ac:dyDescent="0.3">
      <c r="A884" s="3">
        <v>45499</v>
      </c>
      <c r="B884" s="2">
        <v>24834.85</v>
      </c>
      <c r="C884" s="2">
        <v>24373.452499999999</v>
      </c>
      <c r="D884" s="2">
        <v>23549.991000000002</v>
      </c>
      <c r="E884" s="2">
        <v>21839.284750000003</v>
      </c>
    </row>
    <row r="885" spans="1:5" x14ac:dyDescent="0.3">
      <c r="A885" s="3">
        <v>45502</v>
      </c>
      <c r="B885" s="2">
        <v>24836.1</v>
      </c>
      <c r="C885" s="2">
        <v>24412.969999999998</v>
      </c>
      <c r="D885" s="2">
        <v>23602.677000000003</v>
      </c>
      <c r="E885" s="2">
        <v>21866.2785</v>
      </c>
    </row>
    <row r="886" spans="1:5" x14ac:dyDescent="0.3">
      <c r="A886" s="3">
        <v>45503</v>
      </c>
      <c r="B886" s="2">
        <v>24857.3</v>
      </c>
      <c r="C886" s="2">
        <v>24454.244999999999</v>
      </c>
      <c r="D886" s="2">
        <v>23651.322000000007</v>
      </c>
      <c r="E886" s="2">
        <v>21892.730250000001</v>
      </c>
    </row>
    <row r="887" spans="1:5" x14ac:dyDescent="0.3">
      <c r="A887" s="3">
        <v>45504</v>
      </c>
      <c r="B887" s="2">
        <v>24951.15</v>
      </c>
      <c r="C887" s="2">
        <v>24490.012499999997</v>
      </c>
      <c r="D887" s="2">
        <v>23699.146000000004</v>
      </c>
      <c r="E887" s="2">
        <v>21918.749249999997</v>
      </c>
    </row>
    <row r="888" spans="1:5" x14ac:dyDescent="0.3">
      <c r="A888" s="3">
        <v>45505</v>
      </c>
      <c r="B888" s="2">
        <v>25010.9</v>
      </c>
      <c r="C888" s="2">
        <v>24531.377499999999</v>
      </c>
      <c r="D888" s="2">
        <v>23748.129000000004</v>
      </c>
      <c r="E888" s="2">
        <v>21945.94325</v>
      </c>
    </row>
    <row r="889" spans="1:5" x14ac:dyDescent="0.3">
      <c r="A889" s="3">
        <v>45506</v>
      </c>
      <c r="B889" s="2">
        <v>24717.7</v>
      </c>
      <c r="C889" s="2">
        <v>24567.597499999996</v>
      </c>
      <c r="D889" s="2">
        <v>23797.766</v>
      </c>
      <c r="E889" s="2">
        <v>21972.548500000004</v>
      </c>
    </row>
    <row r="890" spans="1:5" x14ac:dyDescent="0.3">
      <c r="A890" s="3">
        <v>45509</v>
      </c>
      <c r="B890" s="2">
        <v>24055.599999999999</v>
      </c>
      <c r="C890" s="2">
        <v>24588.374999999996</v>
      </c>
      <c r="D890" s="2">
        <v>23840.163999999993</v>
      </c>
      <c r="E890" s="2">
        <v>21997.08025000001</v>
      </c>
    </row>
    <row r="891" spans="1:5" x14ac:dyDescent="0.3">
      <c r="A891" s="3">
        <v>45510</v>
      </c>
      <c r="B891" s="2">
        <v>23992.55</v>
      </c>
      <c r="C891" s="2">
        <v>24574.962499999998</v>
      </c>
      <c r="D891" s="2">
        <v>23861.922999999995</v>
      </c>
      <c r="E891" s="2">
        <v>22018.388250000004</v>
      </c>
    </row>
    <row r="892" spans="1:5" x14ac:dyDescent="0.3">
      <c r="A892" s="3">
        <v>45511</v>
      </c>
      <c r="B892" s="2">
        <v>24297.5</v>
      </c>
      <c r="C892" s="2">
        <v>24558.562499999996</v>
      </c>
      <c r="D892" s="2">
        <v>23882.631999999994</v>
      </c>
      <c r="E892" s="2">
        <v>22039.595750000008</v>
      </c>
    </row>
    <row r="893" spans="1:5" x14ac:dyDescent="0.3">
      <c r="A893" s="3">
        <v>45512</v>
      </c>
      <c r="B893" s="2">
        <v>24117</v>
      </c>
      <c r="C893" s="2">
        <v>24551.777499999997</v>
      </c>
      <c r="D893" s="2">
        <v>23909.932999999994</v>
      </c>
      <c r="E893" s="2">
        <v>22062.424500000012</v>
      </c>
    </row>
    <row r="894" spans="1:5" x14ac:dyDescent="0.3">
      <c r="A894" s="3">
        <v>45513</v>
      </c>
      <c r="B894" s="2">
        <v>24367.5</v>
      </c>
      <c r="C894" s="2">
        <v>24541.404999999999</v>
      </c>
      <c r="D894" s="2">
        <v>23934.509999999995</v>
      </c>
      <c r="E894" s="2">
        <v>22083.952000000005</v>
      </c>
    </row>
    <row r="895" spans="1:5" x14ac:dyDescent="0.3">
      <c r="A895" s="3">
        <v>45516</v>
      </c>
      <c r="B895" s="2">
        <v>24347</v>
      </c>
      <c r="C895" s="2">
        <v>24543.982500000002</v>
      </c>
      <c r="D895" s="2">
        <v>23967.766</v>
      </c>
      <c r="E895" s="2">
        <v>22107.434000000008</v>
      </c>
    </row>
    <row r="896" spans="1:5" x14ac:dyDescent="0.3">
      <c r="A896" s="3">
        <v>45517</v>
      </c>
      <c r="B896" s="2">
        <v>24139</v>
      </c>
      <c r="C896" s="2">
        <v>24536.224999999999</v>
      </c>
      <c r="D896" s="2">
        <v>24004.932999999997</v>
      </c>
      <c r="E896" s="2">
        <v>22131.045500000011</v>
      </c>
    </row>
    <row r="897" spans="1:5" x14ac:dyDescent="0.3">
      <c r="A897" s="3">
        <v>45518</v>
      </c>
      <c r="B897" s="2">
        <v>24143.75</v>
      </c>
      <c r="C897" s="2">
        <v>24513.84</v>
      </c>
      <c r="D897" s="2">
        <v>24037.098999999998</v>
      </c>
      <c r="E897" s="2">
        <v>22154.027250000006</v>
      </c>
    </row>
    <row r="898" spans="1:5" x14ac:dyDescent="0.3">
      <c r="A898" s="3">
        <v>45520</v>
      </c>
      <c r="B898" s="2">
        <v>24541.15</v>
      </c>
      <c r="C898" s="2">
        <v>24490.377499999999</v>
      </c>
      <c r="D898" s="2">
        <v>24054.695999999996</v>
      </c>
      <c r="E898" s="2">
        <v>22178.337250000004</v>
      </c>
    </row>
    <row r="899" spans="1:5" x14ac:dyDescent="0.3">
      <c r="A899" s="3">
        <v>45523</v>
      </c>
      <c r="B899" s="2">
        <v>24572.65</v>
      </c>
      <c r="C899" s="2">
        <v>24477.392499999998</v>
      </c>
      <c r="D899" s="2">
        <v>24107.828999999994</v>
      </c>
      <c r="E899" s="2">
        <v>22205.432250000005</v>
      </c>
    </row>
    <row r="900" spans="1:5" x14ac:dyDescent="0.3">
      <c r="A900" s="3">
        <v>45524</v>
      </c>
      <c r="B900" s="2">
        <v>24698.85</v>
      </c>
      <c r="C900" s="2">
        <v>24479.480000000003</v>
      </c>
      <c r="D900" s="2">
        <v>24146.874999999989</v>
      </c>
      <c r="E900" s="2">
        <v>22234.009250000003</v>
      </c>
    </row>
    <row r="901" spans="1:5" x14ac:dyDescent="0.3">
      <c r="A901" s="3">
        <v>45525</v>
      </c>
      <c r="B901" s="2">
        <v>24770.2</v>
      </c>
      <c r="C901" s="2">
        <v>24488.959999999999</v>
      </c>
      <c r="D901" s="2">
        <v>24184.423999999995</v>
      </c>
      <c r="E901" s="2">
        <v>22262.267250000004</v>
      </c>
    </row>
    <row r="902" spans="1:5" x14ac:dyDescent="0.3">
      <c r="A902" s="3">
        <v>45526</v>
      </c>
      <c r="B902" s="2">
        <v>24811.5</v>
      </c>
      <c r="C902" s="2">
        <v>24503.517500000002</v>
      </c>
      <c r="D902" s="2">
        <v>24214.024999999994</v>
      </c>
      <c r="E902" s="2">
        <v>22290.413750000011</v>
      </c>
    </row>
    <row r="903" spans="1:5" x14ac:dyDescent="0.3">
      <c r="A903" s="3">
        <v>45527</v>
      </c>
      <c r="B903" s="2">
        <v>24823.15</v>
      </c>
      <c r="C903" s="2">
        <v>24523.417500000003</v>
      </c>
      <c r="D903" s="2">
        <v>24245.070999999996</v>
      </c>
      <c r="E903" s="2">
        <v>22319.073250000005</v>
      </c>
    </row>
    <row r="904" spans="1:5" x14ac:dyDescent="0.3">
      <c r="A904" s="3">
        <v>45530</v>
      </c>
      <c r="B904" s="2">
        <v>25010.6</v>
      </c>
      <c r="C904" s="2">
        <v>24544.270000000004</v>
      </c>
      <c r="D904" s="2">
        <v>24276.236999999997</v>
      </c>
      <c r="E904" s="2">
        <v>22348.243250000007</v>
      </c>
    </row>
    <row r="905" spans="1:5" x14ac:dyDescent="0.3">
      <c r="A905" s="3">
        <v>45531</v>
      </c>
      <c r="B905" s="2">
        <v>25017.75</v>
      </c>
      <c r="C905" s="2">
        <v>24553.057499999999</v>
      </c>
      <c r="D905" s="2">
        <v>24309.99</v>
      </c>
      <c r="E905" s="2">
        <v>22377.630000000005</v>
      </c>
    </row>
    <row r="906" spans="1:5" x14ac:dyDescent="0.3">
      <c r="A906" s="3">
        <v>45532</v>
      </c>
      <c r="B906" s="2">
        <v>25052.35</v>
      </c>
      <c r="C906" s="2">
        <v>24562.14</v>
      </c>
      <c r="D906" s="2">
        <v>24342.367000000002</v>
      </c>
      <c r="E906" s="2">
        <v>22406.565750000005</v>
      </c>
    </row>
    <row r="907" spans="1:5" x14ac:dyDescent="0.3">
      <c r="A907" s="3">
        <v>45533</v>
      </c>
      <c r="B907" s="2">
        <v>25151.95</v>
      </c>
      <c r="C907" s="2">
        <v>24571.892500000002</v>
      </c>
      <c r="D907" s="2">
        <v>24374.102000000006</v>
      </c>
      <c r="E907" s="2">
        <v>22434.768750000003</v>
      </c>
    </row>
    <row r="908" spans="1:5" x14ac:dyDescent="0.3">
      <c r="A908" s="3">
        <v>45534</v>
      </c>
      <c r="B908" s="2">
        <v>25235.9</v>
      </c>
      <c r="C908" s="2">
        <v>24581.932500000003</v>
      </c>
      <c r="D908" s="2">
        <v>24405.983000000004</v>
      </c>
      <c r="E908" s="2">
        <v>22463.495000000006</v>
      </c>
    </row>
    <row r="909" spans="1:5" x14ac:dyDescent="0.3">
      <c r="A909" s="3">
        <v>45537</v>
      </c>
      <c r="B909" s="2">
        <v>25278.7</v>
      </c>
      <c r="C909" s="2">
        <v>24593.182500000003</v>
      </c>
      <c r="D909" s="2">
        <v>24440.381000000001</v>
      </c>
      <c r="E909" s="2">
        <v>22492.457000000006</v>
      </c>
    </row>
    <row r="910" spans="1:5" x14ac:dyDescent="0.3">
      <c r="A910" s="3">
        <v>45538</v>
      </c>
      <c r="B910" s="2">
        <v>25279.85</v>
      </c>
      <c r="C910" s="2">
        <v>24621.232500000002</v>
      </c>
      <c r="D910" s="2">
        <v>24474.615000000002</v>
      </c>
      <c r="E910" s="2">
        <v>22521.874000000007</v>
      </c>
    </row>
    <row r="911" spans="1:5" x14ac:dyDescent="0.3">
      <c r="A911" s="3">
        <v>45539</v>
      </c>
      <c r="B911" s="2">
        <v>25198.7</v>
      </c>
      <c r="C911" s="2">
        <v>24682.445</v>
      </c>
      <c r="D911" s="2">
        <v>24510.190000000006</v>
      </c>
      <c r="E911" s="2">
        <v>22551.14650000001</v>
      </c>
    </row>
    <row r="912" spans="1:5" x14ac:dyDescent="0.3">
      <c r="A912" s="3">
        <v>45540</v>
      </c>
      <c r="B912" s="2">
        <v>25145.1</v>
      </c>
      <c r="C912" s="2">
        <v>24742.752499999999</v>
      </c>
      <c r="D912" s="2">
        <v>24543.407000000003</v>
      </c>
      <c r="E912" s="2">
        <v>22579.512250000007</v>
      </c>
    </row>
    <row r="913" spans="1:5" x14ac:dyDescent="0.3">
      <c r="A913" s="3">
        <v>45541</v>
      </c>
      <c r="B913" s="2">
        <v>24852.15</v>
      </c>
      <c r="C913" s="2">
        <v>24785.1325</v>
      </c>
      <c r="D913" s="2">
        <v>24571.883000000002</v>
      </c>
      <c r="E913" s="2">
        <v>22608.02</v>
      </c>
    </row>
    <row r="914" spans="1:5" x14ac:dyDescent="0.3">
      <c r="A914" s="3">
        <v>45544</v>
      </c>
      <c r="B914" s="2">
        <v>24936.400000000001</v>
      </c>
      <c r="C914" s="2">
        <v>24821.89</v>
      </c>
      <c r="D914" s="2">
        <v>24591.55</v>
      </c>
      <c r="E914" s="2">
        <v>22633.903500000004</v>
      </c>
    </row>
    <row r="915" spans="1:5" x14ac:dyDescent="0.3">
      <c r="A915" s="3">
        <v>45545</v>
      </c>
      <c r="B915" s="2">
        <v>25041.1</v>
      </c>
      <c r="C915" s="2">
        <v>24850.334999999999</v>
      </c>
      <c r="D915" s="2">
        <v>24609.387999999992</v>
      </c>
      <c r="E915" s="2">
        <v>22659.759500000007</v>
      </c>
    </row>
    <row r="916" spans="1:5" x14ac:dyDescent="0.3">
      <c r="A916" s="3">
        <v>45546</v>
      </c>
      <c r="B916" s="2">
        <v>24918.45</v>
      </c>
      <c r="C916" s="2">
        <v>24885.040000000001</v>
      </c>
      <c r="D916" s="2">
        <v>24629.998</v>
      </c>
      <c r="E916" s="2">
        <v>22686.306000000004</v>
      </c>
    </row>
    <row r="917" spans="1:5" x14ac:dyDescent="0.3">
      <c r="A917" s="3">
        <v>45547</v>
      </c>
      <c r="B917" s="2">
        <v>25388.9</v>
      </c>
      <c r="C917" s="2">
        <v>24924.012500000001</v>
      </c>
      <c r="D917" s="2">
        <v>24645.527999999998</v>
      </c>
      <c r="E917" s="2">
        <v>22712.428250000008</v>
      </c>
    </row>
    <row r="918" spans="1:5" x14ac:dyDescent="0.3">
      <c r="A918" s="3">
        <v>45548</v>
      </c>
      <c r="B918" s="2">
        <v>25356.5</v>
      </c>
      <c r="C918" s="2">
        <v>24986.270000000004</v>
      </c>
      <c r="D918" s="2">
        <v>24670.828999999994</v>
      </c>
      <c r="E918" s="2">
        <v>22740.455750000008</v>
      </c>
    </row>
    <row r="919" spans="1:5" x14ac:dyDescent="0.3">
      <c r="A919" s="3">
        <v>45551</v>
      </c>
      <c r="B919" s="2">
        <v>25383.75</v>
      </c>
      <c r="C919" s="2">
        <v>25027.037500000002</v>
      </c>
      <c r="D919" s="2">
        <v>24692.228999999996</v>
      </c>
      <c r="E919" s="2">
        <v>22768.179000000007</v>
      </c>
    </row>
    <row r="920" spans="1:5" x14ac:dyDescent="0.3">
      <c r="A920" s="3">
        <v>45552</v>
      </c>
      <c r="B920" s="2">
        <v>25418.55</v>
      </c>
      <c r="C920" s="2">
        <v>25067.592500000006</v>
      </c>
      <c r="D920" s="2">
        <v>24713.86099999999</v>
      </c>
      <c r="E920" s="2">
        <v>22796.08775000001</v>
      </c>
    </row>
    <row r="921" spans="1:5" x14ac:dyDescent="0.3">
      <c r="A921" s="3">
        <v>45553</v>
      </c>
      <c r="B921" s="2">
        <v>25377.55</v>
      </c>
      <c r="C921" s="2">
        <v>25103.577500000003</v>
      </c>
      <c r="D921" s="2">
        <v>24735.75499999999</v>
      </c>
      <c r="E921" s="2">
        <v>22824.207000000009</v>
      </c>
    </row>
    <row r="922" spans="1:5" x14ac:dyDescent="0.3">
      <c r="A922" s="3">
        <v>45554</v>
      </c>
      <c r="B922" s="2">
        <v>25415.8</v>
      </c>
      <c r="C922" s="2">
        <v>25133.945000000003</v>
      </c>
      <c r="D922" s="2">
        <v>24756.894999999997</v>
      </c>
      <c r="E922" s="2">
        <v>22851.646250000009</v>
      </c>
    </row>
    <row r="923" spans="1:5" x14ac:dyDescent="0.3">
      <c r="A923" s="3">
        <v>45555</v>
      </c>
      <c r="B923" s="2">
        <v>25790.95</v>
      </c>
      <c r="C923" s="2">
        <v>25164.160000000003</v>
      </c>
      <c r="D923" s="2">
        <v>24776.546999999999</v>
      </c>
      <c r="E923" s="2">
        <v>22878.242250000007</v>
      </c>
    </row>
    <row r="924" spans="1:5" x14ac:dyDescent="0.3">
      <c r="A924" s="3">
        <v>45558</v>
      </c>
      <c r="B924" s="2">
        <v>25939.05</v>
      </c>
      <c r="C924" s="2">
        <v>25212.55</v>
      </c>
      <c r="D924" s="2">
        <v>24805.876999999997</v>
      </c>
      <c r="E924" s="2">
        <v>22906.531250000011</v>
      </c>
    </row>
    <row r="925" spans="1:5" x14ac:dyDescent="0.3">
      <c r="A925" s="3">
        <v>45559</v>
      </c>
      <c r="B925" s="2">
        <v>25940.400000000001</v>
      </c>
      <c r="C925" s="2">
        <v>25258.9725</v>
      </c>
      <c r="D925" s="2">
        <v>24838.339</v>
      </c>
      <c r="E925" s="2">
        <v>22934.887000000002</v>
      </c>
    </row>
    <row r="926" spans="1:5" x14ac:dyDescent="0.3">
      <c r="A926" s="3">
        <v>45560</v>
      </c>
      <c r="B926" s="2">
        <v>26004.15</v>
      </c>
      <c r="C926" s="2">
        <v>25305.105000000003</v>
      </c>
      <c r="D926" s="2">
        <v>24867.103999999999</v>
      </c>
      <c r="E926" s="2">
        <v>22961.15500000001</v>
      </c>
    </row>
    <row r="927" spans="1:5" x14ac:dyDescent="0.3">
      <c r="A927" s="3">
        <v>45561</v>
      </c>
      <c r="B927" s="2">
        <v>26216.05</v>
      </c>
      <c r="C927" s="2">
        <v>25352.695</v>
      </c>
      <c r="D927" s="2">
        <v>24895.452999999994</v>
      </c>
      <c r="E927" s="2">
        <v>22986.90025000001</v>
      </c>
    </row>
    <row r="928" spans="1:5" x14ac:dyDescent="0.3">
      <c r="A928" s="3">
        <v>45562</v>
      </c>
      <c r="B928" s="2">
        <v>26178.95</v>
      </c>
      <c r="C928" s="2">
        <v>25405.9</v>
      </c>
      <c r="D928" s="2">
        <v>24927.513999999996</v>
      </c>
      <c r="E928" s="2">
        <v>23013.292000000005</v>
      </c>
    </row>
    <row r="929" spans="1:5" x14ac:dyDescent="0.3">
      <c r="A929" s="3">
        <v>45565</v>
      </c>
      <c r="B929" s="2">
        <v>25810.85</v>
      </c>
      <c r="C929" s="2">
        <v>25453.052499999998</v>
      </c>
      <c r="D929" s="2">
        <v>24955.07599999999</v>
      </c>
      <c r="E929" s="2">
        <v>23039.681000000011</v>
      </c>
    </row>
    <row r="930" spans="1:5" x14ac:dyDescent="0.3">
      <c r="A930" s="3">
        <v>45566</v>
      </c>
      <c r="B930" s="2">
        <v>25796.9</v>
      </c>
      <c r="C930" s="2">
        <v>25479.66</v>
      </c>
      <c r="D930" s="2">
        <v>24980.674999999996</v>
      </c>
      <c r="E930" s="2">
        <v>23063.888250000011</v>
      </c>
    </row>
    <row r="931" spans="1:5" x14ac:dyDescent="0.3">
      <c r="A931" s="3">
        <v>45568</v>
      </c>
      <c r="B931" s="2">
        <v>25250.1</v>
      </c>
      <c r="C931" s="2">
        <v>25505.512500000004</v>
      </c>
      <c r="D931" s="2">
        <v>25006.428</v>
      </c>
      <c r="E931" s="2">
        <v>23087.887250000007</v>
      </c>
    </row>
    <row r="932" spans="1:5" x14ac:dyDescent="0.3">
      <c r="A932" s="3">
        <v>45569</v>
      </c>
      <c r="B932" s="2">
        <v>25014.6</v>
      </c>
      <c r="C932" s="2">
        <v>25508.0825</v>
      </c>
      <c r="D932" s="2">
        <v>25021.848999999995</v>
      </c>
      <c r="E932" s="2">
        <v>23109.605750000006</v>
      </c>
    </row>
    <row r="933" spans="1:5" x14ac:dyDescent="0.3">
      <c r="A933" s="3">
        <v>45572</v>
      </c>
      <c r="B933" s="2">
        <v>24795.75</v>
      </c>
      <c r="C933" s="2">
        <v>25501.557499999999</v>
      </c>
      <c r="D933" s="2">
        <v>25033.870999999999</v>
      </c>
      <c r="E933" s="2">
        <v>23130.047000000002</v>
      </c>
    </row>
    <row r="934" spans="1:5" x14ac:dyDescent="0.3">
      <c r="A934" s="3">
        <v>45573</v>
      </c>
      <c r="B934" s="2">
        <v>25013.15</v>
      </c>
      <c r="C934" s="2">
        <v>25498.737499999999</v>
      </c>
      <c r="D934" s="2">
        <v>25041.664000000004</v>
      </c>
      <c r="E934" s="2">
        <v>23148.112250000006</v>
      </c>
    </row>
    <row r="935" spans="1:5" x14ac:dyDescent="0.3">
      <c r="A935" s="3">
        <v>45574</v>
      </c>
      <c r="B935" s="2">
        <v>24981.95</v>
      </c>
      <c r="C935" s="2">
        <v>25502.575000000001</v>
      </c>
      <c r="D935" s="2">
        <v>25045.23</v>
      </c>
      <c r="E935" s="2">
        <v>23165.894750000007</v>
      </c>
    </row>
    <row r="936" spans="1:5" x14ac:dyDescent="0.3">
      <c r="A936" s="3">
        <v>45575</v>
      </c>
      <c r="B936" s="2">
        <v>24998.45</v>
      </c>
      <c r="C936" s="2">
        <v>25499.6175</v>
      </c>
      <c r="D936" s="2">
        <v>25048.147000000001</v>
      </c>
      <c r="E936" s="2">
        <v>23183.711250000004</v>
      </c>
    </row>
    <row r="937" spans="1:5" x14ac:dyDescent="0.3">
      <c r="A937" s="3">
        <v>45576</v>
      </c>
      <c r="B937" s="2">
        <v>24964.25</v>
      </c>
      <c r="C937" s="2">
        <v>25503.6175</v>
      </c>
      <c r="D937" s="2">
        <v>25050.970000000005</v>
      </c>
      <c r="E937" s="2">
        <v>23201.438000000002</v>
      </c>
    </row>
    <row r="938" spans="1:5" x14ac:dyDescent="0.3">
      <c r="A938" s="3">
        <v>45579</v>
      </c>
      <c r="B938" s="2">
        <v>25127.95</v>
      </c>
      <c r="C938" s="2">
        <v>25482.384999999998</v>
      </c>
      <c r="D938" s="2">
        <v>25051.232000000004</v>
      </c>
      <c r="E938" s="2">
        <v>23220.508500000007</v>
      </c>
    </row>
    <row r="939" spans="1:5" x14ac:dyDescent="0.3">
      <c r="A939" s="3">
        <v>45580</v>
      </c>
      <c r="B939" s="2">
        <v>25057.35</v>
      </c>
      <c r="C939" s="2">
        <v>25470.9575</v>
      </c>
      <c r="D939" s="2">
        <v>25053.573000000004</v>
      </c>
      <c r="E939" s="2">
        <v>23239.873000000007</v>
      </c>
    </row>
    <row r="940" spans="1:5" x14ac:dyDescent="0.3">
      <c r="A940" s="3">
        <v>45581</v>
      </c>
      <c r="B940" s="2">
        <v>24971.3</v>
      </c>
      <c r="C940" s="2">
        <v>25454.637500000001</v>
      </c>
      <c r="D940" s="2">
        <v>25060.366000000002</v>
      </c>
      <c r="E940" s="2">
        <v>23258.412750000007</v>
      </c>
    </row>
    <row r="941" spans="1:5" x14ac:dyDescent="0.3">
      <c r="A941" s="3">
        <v>45582</v>
      </c>
      <c r="B941" s="2">
        <v>24749.85</v>
      </c>
      <c r="C941" s="2">
        <v>25432.275000000001</v>
      </c>
      <c r="D941" s="2">
        <v>25078.68</v>
      </c>
      <c r="E941" s="2">
        <v>23276.062500000004</v>
      </c>
    </row>
    <row r="942" spans="1:5" x14ac:dyDescent="0.3">
      <c r="A942" s="3">
        <v>45583</v>
      </c>
      <c r="B942" s="2">
        <v>24854.05</v>
      </c>
      <c r="C942" s="2">
        <v>25400.89</v>
      </c>
      <c r="D942" s="2">
        <v>25093.826000000001</v>
      </c>
      <c r="E942" s="2">
        <v>23291.538000000004</v>
      </c>
    </row>
    <row r="943" spans="1:5" x14ac:dyDescent="0.3">
      <c r="A943" s="3">
        <v>45586</v>
      </c>
      <c r="B943" s="2">
        <v>24781.1</v>
      </c>
      <c r="C943" s="2">
        <v>25372.802499999998</v>
      </c>
      <c r="D943" s="2">
        <v>25104.957000000002</v>
      </c>
      <c r="E943" s="2">
        <v>23306.914750000007</v>
      </c>
    </row>
    <row r="944" spans="1:5" x14ac:dyDescent="0.3">
      <c r="A944" s="3">
        <v>45587</v>
      </c>
      <c r="B944" s="2">
        <v>24472.1</v>
      </c>
      <c r="C944" s="2">
        <v>25322.309999999998</v>
      </c>
      <c r="D944" s="2">
        <v>25118.239000000009</v>
      </c>
      <c r="E944" s="2">
        <v>23322.163249999998</v>
      </c>
    </row>
    <row r="945" spans="1:5" x14ac:dyDescent="0.3">
      <c r="A945" s="3">
        <v>45588</v>
      </c>
      <c r="B945" s="2">
        <v>24435.5</v>
      </c>
      <c r="C945" s="2">
        <v>25248.962499999994</v>
      </c>
      <c r="D945" s="2">
        <v>25120.331000000009</v>
      </c>
      <c r="E945" s="2">
        <v>23335.814249999999</v>
      </c>
    </row>
    <row r="946" spans="1:5" x14ac:dyDescent="0.3">
      <c r="A946" s="3">
        <v>45589</v>
      </c>
      <c r="B946" s="2">
        <v>24399.4</v>
      </c>
      <c r="C946" s="2">
        <v>25173.717499999995</v>
      </c>
      <c r="D946" s="2">
        <v>25122.10100000001</v>
      </c>
      <c r="E946" s="2">
        <v>23349.66275</v>
      </c>
    </row>
    <row r="947" spans="1:5" x14ac:dyDescent="0.3">
      <c r="A947" s="3">
        <v>45590</v>
      </c>
      <c r="B947" s="2">
        <v>24180.799999999999</v>
      </c>
      <c r="C947" s="2">
        <v>25093.479999999996</v>
      </c>
      <c r="D947" s="2">
        <v>25127.309000000008</v>
      </c>
      <c r="E947" s="2">
        <v>23364.072999999997</v>
      </c>
    </row>
    <row r="948" spans="1:5" x14ac:dyDescent="0.3">
      <c r="A948" s="3">
        <v>45593</v>
      </c>
      <c r="B948" s="2">
        <v>24339.15</v>
      </c>
      <c r="C948" s="2">
        <v>24991.717499999995</v>
      </c>
      <c r="D948" s="2">
        <v>25128.05000000001</v>
      </c>
      <c r="E948" s="2">
        <v>23376.683999999994</v>
      </c>
    </row>
    <row r="949" spans="1:5" x14ac:dyDescent="0.3">
      <c r="A949" s="3">
        <v>45594</v>
      </c>
      <c r="B949" s="2">
        <v>24466.85</v>
      </c>
      <c r="C949" s="2">
        <v>24899.727500000001</v>
      </c>
      <c r="D949" s="2">
        <v>25124.010000000006</v>
      </c>
      <c r="E949" s="2">
        <v>23389.825750000004</v>
      </c>
    </row>
    <row r="950" spans="1:5" x14ac:dyDescent="0.3">
      <c r="A950" s="3">
        <v>45595</v>
      </c>
      <c r="B950" s="2">
        <v>24340.85</v>
      </c>
      <c r="C950" s="2">
        <v>24832.5275</v>
      </c>
      <c r="D950" s="2">
        <v>25121.894000000008</v>
      </c>
      <c r="E950" s="2">
        <v>23404.594999999994</v>
      </c>
    </row>
    <row r="951" spans="1:5" x14ac:dyDescent="0.3">
      <c r="A951" s="3">
        <v>45596</v>
      </c>
      <c r="B951" s="2">
        <v>24205.35</v>
      </c>
      <c r="C951" s="2">
        <v>24759.724999999999</v>
      </c>
      <c r="D951" s="2">
        <v>25114.734000000004</v>
      </c>
      <c r="E951" s="2">
        <v>23418.574999999997</v>
      </c>
    </row>
    <row r="952" spans="1:5" x14ac:dyDescent="0.3">
      <c r="A952" s="3">
        <v>45597</v>
      </c>
      <c r="B952" s="2">
        <v>24304.35</v>
      </c>
      <c r="C952" s="2">
        <v>24707.487499999996</v>
      </c>
      <c r="D952" s="2">
        <v>25103.437000000005</v>
      </c>
      <c r="E952" s="2">
        <v>23431.508249999992</v>
      </c>
    </row>
    <row r="953" spans="1:5" x14ac:dyDescent="0.3">
      <c r="A953" s="3">
        <v>45600</v>
      </c>
      <c r="B953" s="2">
        <v>23995.35</v>
      </c>
      <c r="C953" s="2">
        <v>24671.974999999995</v>
      </c>
      <c r="D953" s="2">
        <v>25093.294000000005</v>
      </c>
      <c r="E953" s="2">
        <v>23444.793999999994</v>
      </c>
    </row>
    <row r="954" spans="1:5" x14ac:dyDescent="0.3">
      <c r="A954" s="3">
        <v>45601</v>
      </c>
      <c r="B954" s="2">
        <v>24213.3</v>
      </c>
      <c r="C954" s="2">
        <v>24631.954999999994</v>
      </c>
      <c r="D954" s="2">
        <v>25076.738000000001</v>
      </c>
      <c r="E954" s="2">
        <v>23455.297999999988</v>
      </c>
    </row>
    <row r="955" spans="1:5" x14ac:dyDescent="0.3">
      <c r="A955" s="3">
        <v>45602</v>
      </c>
      <c r="B955" s="2">
        <v>24484.05</v>
      </c>
      <c r="C955" s="2">
        <v>24591.962499999994</v>
      </c>
      <c r="D955" s="2">
        <v>25060.792000000005</v>
      </c>
      <c r="E955" s="2">
        <v>23465.877249999987</v>
      </c>
    </row>
    <row r="956" spans="1:5" x14ac:dyDescent="0.3">
      <c r="A956" s="3">
        <v>45603</v>
      </c>
      <c r="B956" s="2">
        <v>24199.35</v>
      </c>
      <c r="C956" s="2">
        <v>24567.067499999994</v>
      </c>
      <c r="D956" s="2">
        <v>25050.118000000006</v>
      </c>
      <c r="E956" s="2">
        <v>23478.135999999988</v>
      </c>
    </row>
    <row r="957" spans="1:5" x14ac:dyDescent="0.3">
      <c r="A957" s="3">
        <v>45604</v>
      </c>
      <c r="B957" s="2">
        <v>24148.2</v>
      </c>
      <c r="C957" s="2">
        <v>24527.112499999992</v>
      </c>
      <c r="D957" s="2">
        <v>25033.058000000012</v>
      </c>
      <c r="E957" s="2">
        <v>23491.272999999983</v>
      </c>
    </row>
    <row r="958" spans="1:5" x14ac:dyDescent="0.3">
      <c r="A958" s="3">
        <v>45607</v>
      </c>
      <c r="B958" s="2">
        <v>24141.3</v>
      </c>
      <c r="C958" s="2">
        <v>24486.30999999999</v>
      </c>
      <c r="D958" s="2">
        <v>25012.983000000007</v>
      </c>
      <c r="E958" s="2">
        <v>23504.702749999989</v>
      </c>
    </row>
    <row r="959" spans="1:5" x14ac:dyDescent="0.3">
      <c r="A959" s="3">
        <v>45608</v>
      </c>
      <c r="B959" s="2">
        <v>23883.45</v>
      </c>
      <c r="C959" s="2">
        <v>24436.97749999999</v>
      </c>
      <c r="D959" s="2">
        <v>24991.091000000011</v>
      </c>
      <c r="E959" s="2">
        <v>23517.297249999981</v>
      </c>
    </row>
    <row r="960" spans="1:5" x14ac:dyDescent="0.3">
      <c r="A960" s="3">
        <v>45609</v>
      </c>
      <c r="B960" s="2">
        <v>23559.05</v>
      </c>
      <c r="C960" s="2">
        <v>24378.282499999994</v>
      </c>
      <c r="D960" s="2">
        <v>24963.186000000005</v>
      </c>
      <c r="E960" s="2">
        <v>23528.855499999991</v>
      </c>
    </row>
    <row r="961" spans="1:5" x14ac:dyDescent="0.3">
      <c r="A961" s="3">
        <v>45610</v>
      </c>
      <c r="B961" s="2">
        <v>23532.7</v>
      </c>
      <c r="C961" s="2">
        <v>24307.669999999995</v>
      </c>
      <c r="D961" s="2">
        <v>24928.770000000004</v>
      </c>
      <c r="E961" s="2">
        <v>23540.456749999983</v>
      </c>
    </row>
    <row r="962" spans="1:5" x14ac:dyDescent="0.3">
      <c r="A962" s="3">
        <v>45614</v>
      </c>
      <c r="B962" s="2">
        <v>23453.8</v>
      </c>
      <c r="C962" s="2">
        <v>24246.812499999996</v>
      </c>
      <c r="D962" s="2">
        <v>24895.45</v>
      </c>
      <c r="E962" s="2">
        <v>23550.85049999999</v>
      </c>
    </row>
    <row r="963" spans="1:5" x14ac:dyDescent="0.3">
      <c r="A963" s="3">
        <v>45615</v>
      </c>
      <c r="B963" s="2">
        <v>23518.5</v>
      </c>
      <c r="C963" s="2">
        <v>24176.799999999999</v>
      </c>
      <c r="D963" s="2">
        <v>24861.624</v>
      </c>
      <c r="E963" s="2">
        <v>23561.356499999983</v>
      </c>
    </row>
    <row r="964" spans="1:5" x14ac:dyDescent="0.3">
      <c r="A964" s="3">
        <v>45617</v>
      </c>
      <c r="B964" s="2">
        <v>23349.9</v>
      </c>
      <c r="C964" s="2">
        <v>24113.670000000002</v>
      </c>
      <c r="D964" s="2">
        <v>24834.951000000001</v>
      </c>
      <c r="E964" s="2">
        <v>23570.260999999991</v>
      </c>
    </row>
    <row r="965" spans="1:5" x14ac:dyDescent="0.3">
      <c r="A965" s="3">
        <v>45618</v>
      </c>
      <c r="B965" s="2">
        <v>23907.25</v>
      </c>
      <c r="C965" s="2">
        <v>24057.56</v>
      </c>
      <c r="D965" s="2">
        <v>24803.220999999998</v>
      </c>
      <c r="E965" s="2">
        <v>23579.399999999991</v>
      </c>
    </row>
    <row r="966" spans="1:5" x14ac:dyDescent="0.3">
      <c r="A966" s="3">
        <v>45621</v>
      </c>
      <c r="B966" s="2">
        <v>24221.9</v>
      </c>
      <c r="C966" s="2">
        <v>24031.147499999999</v>
      </c>
      <c r="D966" s="2">
        <v>24780.543999999998</v>
      </c>
      <c r="E966" s="2">
        <v>23590.307749999993</v>
      </c>
    </row>
    <row r="967" spans="1:5" x14ac:dyDescent="0.3">
      <c r="A967" s="3">
        <v>45622</v>
      </c>
      <c r="B967" s="2">
        <v>24194.5</v>
      </c>
      <c r="C967" s="2">
        <v>24022.272499999999</v>
      </c>
      <c r="D967" s="2">
        <v>24766.612999999994</v>
      </c>
      <c r="E967" s="2">
        <v>23602.929999999997</v>
      </c>
    </row>
    <row r="968" spans="1:5" x14ac:dyDescent="0.3">
      <c r="A968" s="3">
        <v>45623</v>
      </c>
      <c r="B968" s="2">
        <v>24274.9</v>
      </c>
      <c r="C968" s="2">
        <v>24022.957500000004</v>
      </c>
      <c r="D968" s="2">
        <v>24742.724999999995</v>
      </c>
      <c r="E968" s="2">
        <v>23614.633499999996</v>
      </c>
    </row>
    <row r="969" spans="1:5" x14ac:dyDescent="0.3">
      <c r="A969" s="3">
        <v>45624</v>
      </c>
      <c r="B969" s="2">
        <v>23914.15</v>
      </c>
      <c r="C969" s="2">
        <v>24019.745000000003</v>
      </c>
      <c r="D969" s="2">
        <v>24721.092999999997</v>
      </c>
      <c r="E969" s="2">
        <v>23627.149499999996</v>
      </c>
    </row>
    <row r="970" spans="1:5" x14ac:dyDescent="0.3">
      <c r="A970" s="3">
        <v>45625</v>
      </c>
      <c r="B970" s="2">
        <v>24131.1</v>
      </c>
      <c r="C970" s="2">
        <v>23992.110000000008</v>
      </c>
      <c r="D970" s="2">
        <v>24691.70099999999</v>
      </c>
      <c r="E970" s="2">
        <v>23637.073250000001</v>
      </c>
    </row>
    <row r="971" spans="1:5" x14ac:dyDescent="0.3">
      <c r="A971" s="3">
        <v>45628</v>
      </c>
      <c r="B971" s="2">
        <v>24276.05</v>
      </c>
      <c r="C971" s="2">
        <v>23981.622500000005</v>
      </c>
      <c r="D971" s="2">
        <v>24665.951999999994</v>
      </c>
      <c r="E971" s="2">
        <v>23648.076249999998</v>
      </c>
    </row>
    <row r="972" spans="1:5" x14ac:dyDescent="0.3">
      <c r="A972" s="3">
        <v>45629</v>
      </c>
      <c r="B972" s="2">
        <v>24457.15</v>
      </c>
      <c r="C972" s="2">
        <v>23985.157500000005</v>
      </c>
      <c r="D972" s="2">
        <v>24643.921999999999</v>
      </c>
      <c r="E972" s="2">
        <v>23660.866749999997</v>
      </c>
    </row>
    <row r="973" spans="1:5" x14ac:dyDescent="0.3">
      <c r="A973" s="3">
        <v>45630</v>
      </c>
      <c r="B973" s="2">
        <v>24467.45</v>
      </c>
      <c r="C973" s="2">
        <v>23992.797500000004</v>
      </c>
      <c r="D973" s="2">
        <v>24624.749</v>
      </c>
      <c r="E973" s="2">
        <v>23674.240000000002</v>
      </c>
    </row>
    <row r="974" spans="1:5" x14ac:dyDescent="0.3">
      <c r="A974" s="3">
        <v>45631</v>
      </c>
      <c r="B974" s="2">
        <v>24708.400000000001</v>
      </c>
      <c r="C974" s="2">
        <v>24016.402500000004</v>
      </c>
      <c r="D974" s="2">
        <v>24598.278999999995</v>
      </c>
      <c r="E974" s="2">
        <v>23688.497000000007</v>
      </c>
    </row>
    <row r="975" spans="1:5" x14ac:dyDescent="0.3">
      <c r="A975" s="3">
        <v>45632</v>
      </c>
      <c r="B975" s="2">
        <v>24677.8</v>
      </c>
      <c r="C975" s="2">
        <v>24041.157500000005</v>
      </c>
      <c r="D975" s="2">
        <v>24573.665999999997</v>
      </c>
      <c r="E975" s="2">
        <v>23703.322750000007</v>
      </c>
    </row>
    <row r="976" spans="1:5" x14ac:dyDescent="0.3">
      <c r="A976" s="3">
        <v>45635</v>
      </c>
      <c r="B976" s="2">
        <v>24619</v>
      </c>
      <c r="C976" s="2">
        <v>24050.845000000005</v>
      </c>
      <c r="D976" s="2">
        <v>24548.413999999993</v>
      </c>
      <c r="E976" s="2">
        <v>23717.511500000011</v>
      </c>
    </row>
    <row r="977" spans="1:5" x14ac:dyDescent="0.3">
      <c r="A977" s="3">
        <v>45636</v>
      </c>
      <c r="B977" s="2">
        <v>24610.05</v>
      </c>
      <c r="C977" s="2">
        <v>24071.827500000003</v>
      </c>
      <c r="D977" s="2">
        <v>24520.710999999996</v>
      </c>
      <c r="E977" s="2">
        <v>23731.052750000013</v>
      </c>
    </row>
    <row r="978" spans="1:5" x14ac:dyDescent="0.3">
      <c r="A978" s="3">
        <v>45637</v>
      </c>
      <c r="B978" s="2">
        <v>24641.8</v>
      </c>
      <c r="C978" s="2">
        <v>24094.92</v>
      </c>
      <c r="D978" s="2">
        <v>24488.591</v>
      </c>
      <c r="E978" s="2">
        <v>23743.89950000001</v>
      </c>
    </row>
    <row r="979" spans="1:5" x14ac:dyDescent="0.3">
      <c r="A979" s="3">
        <v>45638</v>
      </c>
      <c r="B979" s="2">
        <v>24548.7</v>
      </c>
      <c r="C979" s="2">
        <v>24119.945</v>
      </c>
      <c r="D979" s="2">
        <v>24457.847999999998</v>
      </c>
      <c r="E979" s="2">
        <v>23756.497250000011</v>
      </c>
    </row>
    <row r="980" spans="1:5" x14ac:dyDescent="0.3">
      <c r="A980" s="3">
        <v>45639</v>
      </c>
      <c r="B980" s="2">
        <v>24768.3</v>
      </c>
      <c r="C980" s="2">
        <v>24153.2075</v>
      </c>
      <c r="D980" s="2">
        <v>24432.605</v>
      </c>
      <c r="E980" s="2">
        <v>23768.256000000016</v>
      </c>
    </row>
    <row r="981" spans="1:5" x14ac:dyDescent="0.3">
      <c r="A981" s="3">
        <v>45642</v>
      </c>
      <c r="B981" s="2">
        <v>24668.25</v>
      </c>
      <c r="C981" s="2">
        <v>24213.670000000002</v>
      </c>
      <c r="D981" s="2">
        <v>24412.033000000003</v>
      </c>
      <c r="E981" s="2">
        <v>23781.822250000012</v>
      </c>
    </row>
    <row r="982" spans="1:5" x14ac:dyDescent="0.3">
      <c r="A982" s="3">
        <v>45643</v>
      </c>
      <c r="B982" s="2">
        <v>24336</v>
      </c>
      <c r="C982" s="2">
        <v>24270.447500000002</v>
      </c>
      <c r="D982" s="2">
        <v>24400.396000000004</v>
      </c>
      <c r="E982" s="2">
        <v>23794.076250000013</v>
      </c>
    </row>
    <row r="983" spans="1:5" x14ac:dyDescent="0.3">
      <c r="A983" s="3">
        <v>45644</v>
      </c>
      <c r="B983" s="2">
        <v>24198.85</v>
      </c>
      <c r="C983" s="2">
        <v>24314.557499999999</v>
      </c>
      <c r="D983" s="2">
        <v>24386.824000000004</v>
      </c>
      <c r="E983" s="2">
        <v>23804.692750000009</v>
      </c>
    </row>
    <row r="984" spans="1:5" x14ac:dyDescent="0.3">
      <c r="A984" s="3">
        <v>45645</v>
      </c>
      <c r="B984" s="2">
        <v>23951.7</v>
      </c>
      <c r="C984" s="2">
        <v>24348.574999999997</v>
      </c>
      <c r="D984" s="2">
        <v>24374.886000000006</v>
      </c>
      <c r="E984" s="2">
        <v>23815.076750000007</v>
      </c>
    </row>
    <row r="985" spans="1:5" x14ac:dyDescent="0.3">
      <c r="A985" s="3">
        <v>45646</v>
      </c>
      <c r="B985" s="2">
        <v>23587.5</v>
      </c>
      <c r="C985" s="2">
        <v>24378.664999999997</v>
      </c>
      <c r="D985" s="2">
        <v>24353.657000000003</v>
      </c>
      <c r="E985" s="2">
        <v>23823.843500000006</v>
      </c>
    </row>
    <row r="986" spans="1:5" x14ac:dyDescent="0.3">
      <c r="A986" s="3">
        <v>45649</v>
      </c>
      <c r="B986" s="2">
        <v>23753.45</v>
      </c>
      <c r="C986" s="2">
        <v>24362.677499999998</v>
      </c>
      <c r="D986" s="2">
        <v>24325.768000000004</v>
      </c>
      <c r="E986" s="2">
        <v>23832.02525000001</v>
      </c>
    </row>
    <row r="987" spans="1:5" x14ac:dyDescent="0.3">
      <c r="A987" s="3">
        <v>45650</v>
      </c>
      <c r="B987" s="2">
        <v>23727.65</v>
      </c>
      <c r="C987" s="2">
        <v>24339.254999999997</v>
      </c>
      <c r="D987" s="2">
        <v>24300.868000000002</v>
      </c>
      <c r="E987" s="2">
        <v>23840.87850000001</v>
      </c>
    </row>
    <row r="988" spans="1:5" x14ac:dyDescent="0.3">
      <c r="A988" s="3">
        <v>45652</v>
      </c>
      <c r="B988" s="2">
        <v>23750.2</v>
      </c>
      <c r="C988" s="2">
        <v>24315.912499999999</v>
      </c>
      <c r="D988" s="2">
        <v>24276.136000000002</v>
      </c>
      <c r="E988" s="2">
        <v>23847.823000000008</v>
      </c>
    </row>
    <row r="989" spans="1:5" x14ac:dyDescent="0.3">
      <c r="A989" s="3">
        <v>45653</v>
      </c>
      <c r="B989" s="2">
        <v>23813.4</v>
      </c>
      <c r="C989" s="2">
        <v>24289.677499999998</v>
      </c>
      <c r="D989" s="2">
        <v>24248.581000000002</v>
      </c>
      <c r="E989" s="2">
        <v>23854.546000000006</v>
      </c>
    </row>
    <row r="990" spans="1:5" x14ac:dyDescent="0.3">
      <c r="A990" s="3">
        <v>45656</v>
      </c>
      <c r="B990" s="2">
        <v>23644.9</v>
      </c>
      <c r="C990" s="2">
        <v>24284.640000000003</v>
      </c>
      <c r="D990" s="2">
        <v>24223.701999999997</v>
      </c>
      <c r="E990" s="2">
        <v>23861.831500000008</v>
      </c>
    </row>
    <row r="991" spans="1:5" x14ac:dyDescent="0.3">
      <c r="A991" s="3">
        <v>45657</v>
      </c>
      <c r="B991" s="2">
        <v>23644.799999999999</v>
      </c>
      <c r="C991" s="2">
        <v>24260.33</v>
      </c>
      <c r="D991" s="2">
        <v>24197.173999999995</v>
      </c>
      <c r="E991" s="2">
        <v>23867.685750000011</v>
      </c>
    </row>
    <row r="992" spans="1:5" x14ac:dyDescent="0.3">
      <c r="A992" s="3">
        <v>45658</v>
      </c>
      <c r="B992" s="2">
        <v>23742.9</v>
      </c>
      <c r="C992" s="2">
        <v>24228.767500000005</v>
      </c>
      <c r="D992" s="2">
        <v>24175.072999999993</v>
      </c>
      <c r="E992" s="2">
        <v>23873.442000000006</v>
      </c>
    </row>
    <row r="993" spans="1:5" x14ac:dyDescent="0.3">
      <c r="A993" s="3">
        <v>45659</v>
      </c>
      <c r="B993" s="2">
        <v>24188.65</v>
      </c>
      <c r="C993" s="2">
        <v>24193.055000000004</v>
      </c>
      <c r="D993" s="2">
        <v>24152.849999999995</v>
      </c>
      <c r="E993" s="2">
        <v>23880.493250000007</v>
      </c>
    </row>
    <row r="994" spans="1:5" x14ac:dyDescent="0.3">
      <c r="A994" s="3">
        <v>45660</v>
      </c>
      <c r="B994" s="2">
        <v>24004.75</v>
      </c>
      <c r="C994" s="2">
        <v>24179.115000000005</v>
      </c>
      <c r="D994" s="2">
        <v>24141.000999999997</v>
      </c>
      <c r="E994" s="2">
        <v>23889.758000000009</v>
      </c>
    </row>
    <row r="995" spans="1:5" x14ac:dyDescent="0.3">
      <c r="A995" s="3">
        <v>45663</v>
      </c>
      <c r="B995" s="2">
        <v>23616.05</v>
      </c>
      <c r="C995" s="2">
        <v>24143.932500000006</v>
      </c>
      <c r="D995" s="2">
        <v>24131.653999999995</v>
      </c>
      <c r="E995" s="2">
        <v>23899.79325000001</v>
      </c>
    </row>
    <row r="996" spans="1:5" x14ac:dyDescent="0.3">
      <c r="A996" s="3">
        <v>45664</v>
      </c>
      <c r="B996" s="2">
        <v>23707.9</v>
      </c>
      <c r="C996" s="2">
        <v>24090.845000000008</v>
      </c>
      <c r="D996" s="2">
        <v>24115.264999999999</v>
      </c>
      <c r="E996" s="2">
        <v>23907.140250000008</v>
      </c>
    </row>
    <row r="997" spans="1:5" x14ac:dyDescent="0.3">
      <c r="A997" s="3">
        <v>45665</v>
      </c>
      <c r="B997" s="2">
        <v>23688.95</v>
      </c>
      <c r="C997" s="2">
        <v>24045.290000000008</v>
      </c>
      <c r="D997" s="2">
        <v>24101.434999999994</v>
      </c>
      <c r="E997" s="2">
        <v>23915.563000000013</v>
      </c>
    </row>
    <row r="998" spans="1:5" x14ac:dyDescent="0.3">
      <c r="A998" s="3">
        <v>45666</v>
      </c>
      <c r="B998" s="2">
        <v>23526.5</v>
      </c>
      <c r="C998" s="2">
        <v>23999.235000000008</v>
      </c>
      <c r="D998" s="2">
        <v>24091.597999999998</v>
      </c>
      <c r="E998" s="2">
        <v>23923.729250000011</v>
      </c>
    </row>
    <row r="999" spans="1:5" x14ac:dyDescent="0.3">
      <c r="A999" s="3">
        <v>45667</v>
      </c>
      <c r="B999" s="2">
        <v>23431.5</v>
      </c>
      <c r="C999" s="2">
        <v>23943.470000000008</v>
      </c>
      <c r="D999" s="2">
        <v>24075.345000000001</v>
      </c>
      <c r="E999" s="2">
        <v>23932.27450000001</v>
      </c>
    </row>
    <row r="1000" spans="1:5" x14ac:dyDescent="0.3">
      <c r="A1000" s="3">
        <v>45670</v>
      </c>
      <c r="B1000" s="2">
        <v>23085.95</v>
      </c>
      <c r="C1000" s="2">
        <v>23887.610000000004</v>
      </c>
      <c r="D1000" s="2">
        <v>24054.638000000003</v>
      </c>
      <c r="E1000" s="2">
        <v>23940.23650000001</v>
      </c>
    </row>
    <row r="1001" spans="1:5" x14ac:dyDescent="0.3">
      <c r="A1001" s="3">
        <v>45671</v>
      </c>
      <c r="B1001" s="2">
        <v>23176.05</v>
      </c>
      <c r="C1001" s="2">
        <v>23803.492500000004</v>
      </c>
      <c r="D1001" s="2">
        <v>24029.54</v>
      </c>
      <c r="E1001" s="2">
        <v>23945.606500000009</v>
      </c>
    </row>
    <row r="1002" spans="1:5" x14ac:dyDescent="0.3">
      <c r="A1002" s="3">
        <v>45672</v>
      </c>
      <c r="B1002" s="2">
        <v>23213.200000000001</v>
      </c>
      <c r="C1002" s="2">
        <v>23728.8825</v>
      </c>
      <c r="D1002" s="2">
        <v>24008.954000000005</v>
      </c>
      <c r="E1002" s="2">
        <v>23951.003000000012</v>
      </c>
    </row>
    <row r="1003" spans="1:5" x14ac:dyDescent="0.3">
      <c r="A1003" s="3">
        <v>45673</v>
      </c>
      <c r="B1003" s="2">
        <v>23311.8</v>
      </c>
      <c r="C1003" s="2">
        <v>23672.7425</v>
      </c>
      <c r="D1003" s="2">
        <v>23987.131000000001</v>
      </c>
      <c r="E1003" s="2">
        <v>23957.045500000011</v>
      </c>
    </row>
    <row r="1004" spans="1:5" x14ac:dyDescent="0.3">
      <c r="A1004" s="3">
        <v>45674</v>
      </c>
      <c r="B1004" s="2">
        <v>23203.200000000001</v>
      </c>
      <c r="C1004" s="2">
        <v>23628.39</v>
      </c>
      <c r="D1004" s="2">
        <v>23973.460000000006</v>
      </c>
      <c r="E1004" s="2">
        <v>23962.986250000009</v>
      </c>
    </row>
    <row r="1005" spans="1:5" x14ac:dyDescent="0.3">
      <c r="A1005" s="3">
        <v>45677</v>
      </c>
      <c r="B1005" s="2">
        <v>23344.75</v>
      </c>
      <c r="C1005" s="2">
        <v>23590.965</v>
      </c>
      <c r="D1005" s="2">
        <v>23953.258000000002</v>
      </c>
      <c r="E1005" s="2">
        <v>23967.367750000009</v>
      </c>
    </row>
    <row r="1006" spans="1:5" x14ac:dyDescent="0.3">
      <c r="A1006" s="3">
        <v>45678</v>
      </c>
      <c r="B1006" s="2">
        <v>23024.65</v>
      </c>
      <c r="C1006" s="2">
        <v>23578.827499999999</v>
      </c>
      <c r="D1006" s="2">
        <v>23930.472000000002</v>
      </c>
      <c r="E1006" s="2">
        <v>23971.781500000012</v>
      </c>
    </row>
    <row r="1007" spans="1:5" x14ac:dyDescent="0.3">
      <c r="A1007" s="3">
        <v>45679</v>
      </c>
      <c r="B1007" s="2">
        <v>23155.35</v>
      </c>
      <c r="C1007" s="2">
        <v>23542.387500000004</v>
      </c>
      <c r="D1007" s="2">
        <v>23906.977999999999</v>
      </c>
      <c r="E1007" s="2">
        <v>23974.638250000015</v>
      </c>
    </row>
    <row r="1008" spans="1:5" x14ac:dyDescent="0.3">
      <c r="A1008" s="3">
        <v>45680</v>
      </c>
      <c r="B1008" s="2">
        <v>23205.35</v>
      </c>
      <c r="C1008" s="2">
        <v>23513.772499999999</v>
      </c>
      <c r="D1008" s="2">
        <v>23887.120999999996</v>
      </c>
      <c r="E1008" s="2">
        <v>23978.241750000012</v>
      </c>
    </row>
    <row r="1009" spans="1:5" x14ac:dyDescent="0.3">
      <c r="A1009" s="3">
        <v>45681</v>
      </c>
      <c r="B1009" s="2">
        <v>23092.2</v>
      </c>
      <c r="C1009" s="2">
        <v>23486.53</v>
      </c>
      <c r="D1009" s="2">
        <v>23868.402000000002</v>
      </c>
      <c r="E1009" s="2">
        <v>23981.695250000012</v>
      </c>
    </row>
    <row r="1010" spans="1:5" x14ac:dyDescent="0.3">
      <c r="A1010" s="3">
        <v>45684</v>
      </c>
      <c r="B1010" s="2">
        <v>22829.15</v>
      </c>
      <c r="C1010" s="2">
        <v>23450.47</v>
      </c>
      <c r="D1010" s="2">
        <v>23852.576999999997</v>
      </c>
      <c r="E1010" s="2">
        <v>23984.587750000013</v>
      </c>
    </row>
    <row r="1011" spans="1:5" x14ac:dyDescent="0.3">
      <c r="A1011" s="3">
        <v>45685</v>
      </c>
      <c r="B1011" s="2">
        <v>22957.25</v>
      </c>
      <c r="C1011" s="2">
        <v>23409.682500000003</v>
      </c>
      <c r="D1011" s="2">
        <v>23837.978999999999</v>
      </c>
      <c r="E1011" s="2">
        <v>23985.402000000016</v>
      </c>
    </row>
    <row r="1012" spans="1:5" x14ac:dyDescent="0.3">
      <c r="A1012" s="3">
        <v>45686</v>
      </c>
      <c r="B1012" s="2">
        <v>23163.1</v>
      </c>
      <c r="C1012" s="2">
        <v>23375.305</v>
      </c>
      <c r="D1012" s="2">
        <v>23826.47</v>
      </c>
      <c r="E1012" s="2">
        <v>23986.974500000011</v>
      </c>
    </row>
    <row r="1013" spans="1:5" x14ac:dyDescent="0.3">
      <c r="A1013" s="3">
        <v>45687</v>
      </c>
      <c r="B1013" s="2">
        <v>23249.5</v>
      </c>
      <c r="C1013" s="2">
        <v>23346.314999999999</v>
      </c>
      <c r="D1013" s="2">
        <v>23820.656000000003</v>
      </c>
      <c r="E1013" s="2">
        <v>23989.021000000012</v>
      </c>
    </row>
    <row r="1014" spans="1:5" x14ac:dyDescent="0.3">
      <c r="A1014" s="3">
        <v>45688</v>
      </c>
      <c r="B1014" s="2">
        <v>23508.400000000001</v>
      </c>
      <c r="C1014" s="2">
        <v>23299.357500000002</v>
      </c>
      <c r="D1014" s="2">
        <v>23815.276000000002</v>
      </c>
      <c r="E1014" s="2">
        <v>23992.671500000008</v>
      </c>
    </row>
    <row r="1015" spans="1:5" x14ac:dyDescent="0.3">
      <c r="A1015" s="3">
        <v>45689</v>
      </c>
      <c r="B1015" s="2">
        <v>23482.15</v>
      </c>
      <c r="C1015" s="2">
        <v>23274.54</v>
      </c>
      <c r="D1015" s="2">
        <v>23818.445999999996</v>
      </c>
      <c r="E1015" s="2">
        <v>23998.85100000001</v>
      </c>
    </row>
    <row r="1016" spans="1:5" x14ac:dyDescent="0.3">
      <c r="A1016" s="3">
        <v>45691</v>
      </c>
      <c r="B1016" s="2">
        <v>23361.05</v>
      </c>
      <c r="C1016" s="2">
        <v>23267.845000000001</v>
      </c>
      <c r="D1016" s="2">
        <v>23809.944</v>
      </c>
      <c r="E1016" s="2">
        <v>24005.522250000005</v>
      </c>
    </row>
    <row r="1017" spans="1:5" x14ac:dyDescent="0.3">
      <c r="A1017" s="3">
        <v>45692</v>
      </c>
      <c r="B1017" s="2">
        <v>23739.25</v>
      </c>
      <c r="C1017" s="2">
        <v>23250.502500000002</v>
      </c>
      <c r="D1017" s="2">
        <v>23792.726999999999</v>
      </c>
      <c r="E1017" s="2">
        <v>24012.348250000006</v>
      </c>
    </row>
    <row r="1018" spans="1:5" x14ac:dyDescent="0.3">
      <c r="A1018" s="3">
        <v>45693</v>
      </c>
      <c r="B1018" s="2">
        <v>23696.3</v>
      </c>
      <c r="C1018" s="2">
        <v>23253.017500000002</v>
      </c>
      <c r="D1018" s="2">
        <v>23783.621999999996</v>
      </c>
      <c r="E1018" s="2">
        <v>24020.309500000007</v>
      </c>
    </row>
    <row r="1019" spans="1:5" x14ac:dyDescent="0.3">
      <c r="A1019" s="3">
        <v>45694</v>
      </c>
      <c r="B1019" s="2">
        <v>23603.35</v>
      </c>
      <c r="C1019" s="2">
        <v>23261.5075</v>
      </c>
      <c r="D1019" s="2">
        <v>23772.05</v>
      </c>
      <c r="E1019" s="2">
        <v>24027.109000000004</v>
      </c>
    </row>
    <row r="1020" spans="1:5" x14ac:dyDescent="0.3">
      <c r="A1020" s="3">
        <v>45695</v>
      </c>
      <c r="B1020" s="2">
        <v>23559.95</v>
      </c>
      <c r="C1020" s="2">
        <v>23270.1</v>
      </c>
      <c r="D1020" s="2">
        <v>23765.834000000003</v>
      </c>
      <c r="E1020" s="2">
        <v>24033.285749999995</v>
      </c>
    </row>
    <row r="1021" spans="1:5" x14ac:dyDescent="0.3">
      <c r="A1021" s="3">
        <v>45698</v>
      </c>
      <c r="B1021" s="2">
        <v>23381.599999999999</v>
      </c>
      <c r="C1021" s="2">
        <v>23293.8</v>
      </c>
      <c r="D1021" s="2">
        <v>23754.411</v>
      </c>
      <c r="E1021" s="2">
        <v>24039.073500000002</v>
      </c>
    </row>
    <row r="1022" spans="1:5" x14ac:dyDescent="0.3">
      <c r="A1022" s="3">
        <v>45699</v>
      </c>
      <c r="B1022" s="2">
        <v>23071.8</v>
      </c>
      <c r="C1022" s="2">
        <v>23304.077499999999</v>
      </c>
      <c r="D1022" s="2">
        <v>23736.522000000008</v>
      </c>
      <c r="E1022" s="2">
        <v>24043.129749999996</v>
      </c>
    </row>
    <row r="1023" spans="1:5" x14ac:dyDescent="0.3">
      <c r="A1023" s="3">
        <v>45700</v>
      </c>
      <c r="B1023" s="2">
        <v>23045.25</v>
      </c>
      <c r="C1023" s="2">
        <v>23297.0075</v>
      </c>
      <c r="D1023" s="2">
        <v>23708.815000000006</v>
      </c>
      <c r="E1023" s="2">
        <v>24046.388999999996</v>
      </c>
    </row>
    <row r="1024" spans="1:5" x14ac:dyDescent="0.3">
      <c r="A1024" s="3">
        <v>45701</v>
      </c>
      <c r="B1024" s="2">
        <v>23031.4</v>
      </c>
      <c r="C1024" s="2">
        <v>23283.68</v>
      </c>
      <c r="D1024" s="2">
        <v>23680.371000000006</v>
      </c>
      <c r="E1024" s="2">
        <v>24048.398249999987</v>
      </c>
    </row>
    <row r="1025" spans="1:5" x14ac:dyDescent="0.3">
      <c r="A1025" s="3">
        <v>45702</v>
      </c>
      <c r="B1025" s="2">
        <v>22929.25</v>
      </c>
      <c r="C1025" s="2">
        <v>23275.09</v>
      </c>
      <c r="D1025" s="2">
        <v>23646.831000000002</v>
      </c>
      <c r="E1025" s="2">
        <v>24050.530999999995</v>
      </c>
    </row>
    <row r="1026" spans="1:5" x14ac:dyDescent="0.3">
      <c r="A1026" s="3">
        <v>45705</v>
      </c>
      <c r="B1026" s="2">
        <v>22959.5</v>
      </c>
      <c r="C1026" s="2">
        <v>23254.314999999999</v>
      </c>
      <c r="D1026" s="2">
        <v>23611.860000000004</v>
      </c>
      <c r="E1026" s="2">
        <v>24051.936249999992</v>
      </c>
    </row>
    <row r="1027" spans="1:5" x14ac:dyDescent="0.3">
      <c r="A1027" s="3">
        <v>45706</v>
      </c>
      <c r="B1027" s="2">
        <v>22945.3</v>
      </c>
      <c r="C1027" s="2">
        <v>23251.057499999999</v>
      </c>
      <c r="D1027" s="2">
        <v>23578.670000000006</v>
      </c>
      <c r="E1027" s="2">
        <v>24054.354499999994</v>
      </c>
    </row>
    <row r="1028" spans="1:5" x14ac:dyDescent="0.3">
      <c r="A1028" s="3">
        <v>45707</v>
      </c>
      <c r="B1028" s="2">
        <v>22932.9</v>
      </c>
      <c r="C1028" s="2">
        <v>23240.555</v>
      </c>
      <c r="D1028" s="2">
        <v>23545.375</v>
      </c>
      <c r="E1028" s="2">
        <v>24056.867499999989</v>
      </c>
    </row>
    <row r="1029" spans="1:5" x14ac:dyDescent="0.3">
      <c r="A1029" s="3">
        <v>45708</v>
      </c>
      <c r="B1029" s="2">
        <v>22913.15</v>
      </c>
      <c r="C1029" s="2">
        <v>23226.932499999999</v>
      </c>
      <c r="D1029" s="2">
        <v>23511.196999999996</v>
      </c>
      <c r="E1029" s="2">
        <v>24060.019499999991</v>
      </c>
    </row>
    <row r="1030" spans="1:5" x14ac:dyDescent="0.3">
      <c r="A1030" s="3">
        <v>45709</v>
      </c>
      <c r="B1030" s="2">
        <v>22795.9</v>
      </c>
      <c r="C1030" s="2">
        <v>23217.980000000003</v>
      </c>
      <c r="D1030" s="2">
        <v>23478.485999999997</v>
      </c>
      <c r="E1030" s="2">
        <v>24063.072749999996</v>
      </c>
    </row>
    <row r="1031" spans="1:5" x14ac:dyDescent="0.3">
      <c r="A1031" s="3">
        <v>45712</v>
      </c>
      <c r="B1031" s="2">
        <v>22553.35</v>
      </c>
      <c r="C1031" s="2">
        <v>23216.317500000005</v>
      </c>
      <c r="D1031" s="2">
        <v>23439.037999999997</v>
      </c>
      <c r="E1031" s="2">
        <v>24067.264749999995</v>
      </c>
    </row>
    <row r="1032" spans="1:5" x14ac:dyDescent="0.3">
      <c r="A1032" s="3">
        <v>45713</v>
      </c>
      <c r="B1032" s="2">
        <v>22547.55</v>
      </c>
      <c r="C1032" s="2">
        <v>23196.122500000005</v>
      </c>
      <c r="D1032" s="2">
        <v>23396.739999999994</v>
      </c>
      <c r="E1032" s="2">
        <v>24069.755499999999</v>
      </c>
    </row>
    <row r="1033" spans="1:5" x14ac:dyDescent="0.3">
      <c r="A1033" s="3">
        <v>45715</v>
      </c>
      <c r="B1033" s="2">
        <v>22545.05</v>
      </c>
      <c r="C1033" s="2">
        <v>23165.345000000001</v>
      </c>
      <c r="D1033" s="2">
        <v>23360.971000000001</v>
      </c>
      <c r="E1033" s="2">
        <v>24071.972999999994</v>
      </c>
    </row>
    <row r="1034" spans="1:5" x14ac:dyDescent="0.3">
      <c r="A1034" s="3">
        <v>45716</v>
      </c>
      <c r="B1034" s="2">
        <v>22124.7</v>
      </c>
      <c r="C1034" s="2">
        <v>23130.122500000001</v>
      </c>
      <c r="D1034" s="2">
        <v>23327.895</v>
      </c>
      <c r="E1034" s="2">
        <v>24073.608999999993</v>
      </c>
    </row>
    <row r="1035" spans="1:5" x14ac:dyDescent="0.3">
      <c r="A1035" s="3">
        <v>45719</v>
      </c>
      <c r="B1035" s="2">
        <v>22119.3</v>
      </c>
      <c r="C1035" s="2">
        <v>23060.9375</v>
      </c>
      <c r="D1035" s="2">
        <v>23291.355000000003</v>
      </c>
      <c r="E1035" s="2">
        <v>24073.229749999995</v>
      </c>
    </row>
    <row r="1036" spans="1:5" x14ac:dyDescent="0.3">
      <c r="A1036" s="3">
        <v>45720</v>
      </c>
      <c r="B1036" s="2">
        <v>22082.65</v>
      </c>
      <c r="C1036" s="2">
        <v>22992.795000000002</v>
      </c>
      <c r="D1036" s="2">
        <v>23261.991000000005</v>
      </c>
      <c r="E1036" s="2">
        <v>24071.806999999997</v>
      </c>
    </row>
    <row r="1037" spans="1:5" x14ac:dyDescent="0.3">
      <c r="A1037" s="3">
        <v>45721</v>
      </c>
      <c r="B1037" s="2">
        <v>22337.3</v>
      </c>
      <c r="C1037" s="2">
        <v>22928.875</v>
      </c>
      <c r="D1037" s="2">
        <v>23228.575000000004</v>
      </c>
      <c r="E1037" s="2">
        <v>24069.889750000002</v>
      </c>
    </row>
    <row r="1038" spans="1:5" x14ac:dyDescent="0.3">
      <c r="A1038" s="3">
        <v>45722</v>
      </c>
      <c r="B1038" s="2">
        <v>22544.7</v>
      </c>
      <c r="C1038" s="2">
        <v>22858.7775</v>
      </c>
      <c r="D1038" s="2">
        <v>23200.768000000004</v>
      </c>
      <c r="E1038" s="2">
        <v>24069.06625</v>
      </c>
    </row>
    <row r="1039" spans="1:5" x14ac:dyDescent="0.3">
      <c r="A1039" s="3">
        <v>45723</v>
      </c>
      <c r="B1039" s="2">
        <v>22552.5</v>
      </c>
      <c r="C1039" s="2">
        <v>22801.197499999998</v>
      </c>
      <c r="D1039" s="2">
        <v>23176.658000000003</v>
      </c>
      <c r="E1039" s="2">
        <v>24069.144500000002</v>
      </c>
    </row>
    <row r="1040" spans="1:5" x14ac:dyDescent="0.3">
      <c r="A1040" s="3">
        <v>45726</v>
      </c>
      <c r="B1040" s="2">
        <v>22460.3</v>
      </c>
      <c r="C1040" s="2">
        <v>22748.654999999999</v>
      </c>
      <c r="D1040" s="2">
        <v>23151.440000000006</v>
      </c>
      <c r="E1040" s="2">
        <v>24068.918000000001</v>
      </c>
    </row>
    <row r="1041" spans="1:5" x14ac:dyDescent="0.3">
      <c r="A1041" s="3">
        <v>45727</v>
      </c>
      <c r="B1041" s="2">
        <v>22497.9</v>
      </c>
      <c r="C1041" s="2">
        <v>22693.672499999997</v>
      </c>
      <c r="D1041" s="2">
        <v>23127.748000000007</v>
      </c>
      <c r="E1041" s="2">
        <v>24066.381249999999</v>
      </c>
    </row>
    <row r="1042" spans="1:5" x14ac:dyDescent="0.3">
      <c r="A1042" s="3">
        <v>45728</v>
      </c>
      <c r="B1042" s="2">
        <v>22470.5</v>
      </c>
      <c r="C1042" s="2">
        <v>22649.487499999999</v>
      </c>
      <c r="D1042" s="2">
        <v>23104.810000000005</v>
      </c>
      <c r="E1042" s="2">
        <v>24064.08525</v>
      </c>
    </row>
    <row r="1043" spans="1:5" x14ac:dyDescent="0.3">
      <c r="A1043" s="3">
        <v>45729</v>
      </c>
      <c r="B1043" s="2">
        <v>22397.200000000001</v>
      </c>
      <c r="C1043" s="2">
        <v>22619.422500000001</v>
      </c>
      <c r="D1043" s="2">
        <v>23079.362000000008</v>
      </c>
      <c r="E1043" s="2">
        <v>24061.7755</v>
      </c>
    </row>
    <row r="1044" spans="1:5" x14ac:dyDescent="0.3">
      <c r="A1044" s="3">
        <v>45733</v>
      </c>
      <c r="B1044" s="2">
        <v>22508.75</v>
      </c>
      <c r="C1044" s="2">
        <v>22587.02</v>
      </c>
      <c r="D1044" s="2">
        <v>23043.533000000007</v>
      </c>
      <c r="E1044" s="2">
        <v>24059.320749999999</v>
      </c>
    </row>
    <row r="1045" spans="1:5" x14ac:dyDescent="0.3">
      <c r="A1045" s="3">
        <v>45734</v>
      </c>
      <c r="B1045" s="2">
        <v>22834.3</v>
      </c>
      <c r="C1045" s="2">
        <v>22560.887500000001</v>
      </c>
      <c r="D1045" s="2">
        <v>23013.613000000001</v>
      </c>
      <c r="E1045" s="2">
        <v>24058.340999999997</v>
      </c>
    </row>
    <row r="1046" spans="1:5" x14ac:dyDescent="0.3">
      <c r="A1046" s="3">
        <v>45735</v>
      </c>
      <c r="B1046" s="2">
        <v>22907.599999999999</v>
      </c>
      <c r="C1046" s="2">
        <v>22556.14</v>
      </c>
      <c r="D1046" s="2">
        <v>22997.978000000003</v>
      </c>
      <c r="E1046" s="2">
        <v>24060.069249999997</v>
      </c>
    </row>
    <row r="1047" spans="1:5" x14ac:dyDescent="0.3">
      <c r="A1047" s="3">
        <v>45736</v>
      </c>
      <c r="B1047" s="2">
        <v>23190.65</v>
      </c>
      <c r="C1047" s="2">
        <v>22553.544999999998</v>
      </c>
      <c r="D1047" s="2">
        <v>22981.972000000012</v>
      </c>
      <c r="E1047" s="2">
        <v>24061.953749999997</v>
      </c>
    </row>
    <row r="1048" spans="1:5" x14ac:dyDescent="0.3">
      <c r="A1048" s="3">
        <v>45737</v>
      </c>
      <c r="B1048" s="2">
        <v>23350.400000000001</v>
      </c>
      <c r="C1048" s="2">
        <v>22565.812500000004</v>
      </c>
      <c r="D1048" s="2">
        <v>22972.006000000005</v>
      </c>
      <c r="E1048" s="2">
        <v>24061.587499999994</v>
      </c>
    </row>
    <row r="1049" spans="1:5" x14ac:dyDescent="0.3">
      <c r="A1049" s="3">
        <v>45740</v>
      </c>
      <c r="B1049" s="2">
        <v>23658.35</v>
      </c>
      <c r="C1049" s="2">
        <v>22586.687500000004</v>
      </c>
      <c r="D1049" s="2">
        <v>22968.484000000008</v>
      </c>
      <c r="E1049" s="2">
        <v>24068.917000000001</v>
      </c>
    </row>
    <row r="1050" spans="1:5" x14ac:dyDescent="0.3">
      <c r="A1050" s="3">
        <v>45741</v>
      </c>
      <c r="B1050" s="2">
        <v>23668.65</v>
      </c>
      <c r="C1050" s="2">
        <v>22623.947500000002</v>
      </c>
      <c r="D1050" s="2">
        <v>22973.021000000004</v>
      </c>
      <c r="E1050" s="2">
        <v>24074.107000000004</v>
      </c>
    </row>
    <row r="1051" spans="1:5" x14ac:dyDescent="0.3">
      <c r="A1051" s="3">
        <v>45742</v>
      </c>
      <c r="B1051" s="2">
        <v>23486.85</v>
      </c>
      <c r="C1051" s="2">
        <v>22667.584999999999</v>
      </c>
      <c r="D1051" s="2">
        <v>22984.674999999999</v>
      </c>
      <c r="E1051" s="2">
        <v>24078.343250000002</v>
      </c>
    </row>
    <row r="1052" spans="1:5" x14ac:dyDescent="0.3">
      <c r="A1052" s="3">
        <v>45743</v>
      </c>
      <c r="B1052" s="2">
        <v>23591.95</v>
      </c>
      <c r="C1052" s="2">
        <v>22714.26</v>
      </c>
      <c r="D1052" s="2">
        <v>22990.891000000007</v>
      </c>
      <c r="E1052" s="2">
        <v>24079.326749999997</v>
      </c>
    </row>
    <row r="1053" spans="1:5" x14ac:dyDescent="0.3">
      <c r="A1053" s="3">
        <v>45744</v>
      </c>
      <c r="B1053" s="2">
        <v>23519.35</v>
      </c>
      <c r="C1053" s="2">
        <v>22766.48</v>
      </c>
      <c r="D1053" s="2">
        <v>22998.466000000004</v>
      </c>
      <c r="E1053" s="2">
        <v>24080.9905</v>
      </c>
    </row>
    <row r="1054" spans="1:5" x14ac:dyDescent="0.3">
      <c r="A1054" s="3">
        <v>45748</v>
      </c>
      <c r="B1054" s="2">
        <v>23165.7</v>
      </c>
      <c r="C1054" s="2">
        <v>22815.195</v>
      </c>
      <c r="D1054" s="2">
        <v>23002.617000000006</v>
      </c>
      <c r="E1054" s="2">
        <v>24082.262999999992</v>
      </c>
    </row>
    <row r="1055" spans="1:5" x14ac:dyDescent="0.3">
      <c r="A1055" s="3">
        <v>45749</v>
      </c>
      <c r="B1055" s="2">
        <v>23332.35</v>
      </c>
      <c r="C1055" s="2">
        <v>22867.245000000003</v>
      </c>
      <c r="D1055" s="2">
        <v>23001.867000000006</v>
      </c>
      <c r="E1055" s="2">
        <v>24081.476749999998</v>
      </c>
    </row>
    <row r="1056" spans="1:5" x14ac:dyDescent="0.3">
      <c r="A1056" s="3">
        <v>45750</v>
      </c>
      <c r="B1056" s="2">
        <v>23250.1</v>
      </c>
      <c r="C1056" s="2">
        <v>22927.897499999999</v>
      </c>
      <c r="D1056" s="2">
        <v>23001.61900000001</v>
      </c>
      <c r="E1056" s="2">
        <v>24081.143999999993</v>
      </c>
    </row>
    <row r="1057" spans="1:5" x14ac:dyDescent="0.3">
      <c r="A1057" s="3">
        <v>45751</v>
      </c>
      <c r="B1057" s="2">
        <v>22904.45</v>
      </c>
      <c r="C1057" s="2">
        <v>22986.269999999997</v>
      </c>
      <c r="D1057" s="2">
        <v>23006.128000000008</v>
      </c>
      <c r="E1057" s="2">
        <v>24080.06649999999</v>
      </c>
    </row>
    <row r="1058" spans="1:5" x14ac:dyDescent="0.3">
      <c r="A1058" s="3">
        <v>45754</v>
      </c>
      <c r="B1058" s="2">
        <v>22161.599999999999</v>
      </c>
      <c r="C1058" s="2">
        <v>23014.627499999995</v>
      </c>
      <c r="D1058" s="2">
        <v>23001.110000000004</v>
      </c>
      <c r="E1058" s="2">
        <v>24076.799249999989</v>
      </c>
    </row>
    <row r="1059" spans="1:5" x14ac:dyDescent="0.3">
      <c r="A1059" s="3">
        <v>45755</v>
      </c>
      <c r="B1059" s="2">
        <v>22535.85</v>
      </c>
      <c r="C1059" s="2">
        <v>22995.472499999996</v>
      </c>
      <c r="D1059" s="2">
        <v>22980.235000000008</v>
      </c>
      <c r="E1059" s="2">
        <v>24070.027249999988</v>
      </c>
    </row>
    <row r="1060" spans="1:5" x14ac:dyDescent="0.3">
      <c r="A1060" s="3">
        <v>45756</v>
      </c>
      <c r="B1060" s="2">
        <v>22399.15</v>
      </c>
      <c r="C1060" s="2">
        <v>22994.639999999992</v>
      </c>
      <c r="D1060" s="2">
        <v>22969.108000000007</v>
      </c>
      <c r="E1060" s="2">
        <v>24064.87149999999</v>
      </c>
    </row>
    <row r="1061" spans="1:5" x14ac:dyDescent="0.3">
      <c r="A1061" s="3">
        <v>45758</v>
      </c>
      <c r="B1061" s="2">
        <v>22828.55</v>
      </c>
      <c r="C1061" s="2">
        <v>22991.582499999997</v>
      </c>
      <c r="D1061" s="2">
        <v>22960.508000000002</v>
      </c>
      <c r="E1061" s="2">
        <v>24059.361749999989</v>
      </c>
    </row>
    <row r="1062" spans="1:5" x14ac:dyDescent="0.3">
      <c r="A1062" s="3">
        <v>45762</v>
      </c>
      <c r="B1062" s="2">
        <v>23328.55</v>
      </c>
      <c r="C1062" s="2">
        <v>23008.114999999998</v>
      </c>
      <c r="D1062" s="2">
        <v>22957.934000000005</v>
      </c>
      <c r="E1062" s="2">
        <v>24055.815249999989</v>
      </c>
    </row>
    <row r="1063" spans="1:5" x14ac:dyDescent="0.3">
      <c r="A1063" s="3">
        <v>45763</v>
      </c>
      <c r="B1063" s="2">
        <v>23437.200000000001</v>
      </c>
      <c r="C1063" s="2">
        <v>23051.017499999994</v>
      </c>
      <c r="D1063" s="2">
        <v>22961.243000000002</v>
      </c>
      <c r="E1063" s="2">
        <v>24053.851499999986</v>
      </c>
    </row>
    <row r="1064" spans="1:5" x14ac:dyDescent="0.3">
      <c r="A1064" s="3">
        <v>45764</v>
      </c>
      <c r="B1064" s="2">
        <v>23851.65</v>
      </c>
      <c r="C1064" s="2">
        <v>23103.017499999998</v>
      </c>
      <c r="D1064" s="2">
        <v>22964.996999999996</v>
      </c>
      <c r="E1064" s="2">
        <v>24051.693499999987</v>
      </c>
    </row>
    <row r="1065" spans="1:5" x14ac:dyDescent="0.3">
      <c r="A1065" s="3">
        <v>45768</v>
      </c>
      <c r="B1065" s="2">
        <v>24125.55</v>
      </c>
      <c r="C1065" s="2">
        <v>23170.162499999999</v>
      </c>
      <c r="D1065" s="2">
        <v>22971.861999999994</v>
      </c>
      <c r="E1065" s="2">
        <v>24050.729249999986</v>
      </c>
    </row>
    <row r="1066" spans="1:5" x14ac:dyDescent="0.3">
      <c r="A1066" s="3">
        <v>45769</v>
      </c>
      <c r="B1066" s="2">
        <v>24167.25</v>
      </c>
      <c r="C1066" s="2">
        <v>23234.724999999999</v>
      </c>
      <c r="D1066" s="2">
        <v>22984.729999999996</v>
      </c>
      <c r="E1066" s="2">
        <v>24051.303999999986</v>
      </c>
    </row>
    <row r="1067" spans="1:5" x14ac:dyDescent="0.3">
      <c r="A1067" s="3">
        <v>45770</v>
      </c>
      <c r="B1067" s="2">
        <v>24328.95</v>
      </c>
      <c r="C1067" s="2">
        <v>23297.7075</v>
      </c>
      <c r="D1067" s="2">
        <v>23000.853999999996</v>
      </c>
      <c r="E1067" s="2">
        <v>24051.430499999988</v>
      </c>
    </row>
    <row r="1068" spans="1:5" x14ac:dyDescent="0.3">
      <c r="A1068" s="3">
        <v>45771</v>
      </c>
      <c r="B1068" s="2">
        <v>24246.7</v>
      </c>
      <c r="C1068" s="2">
        <v>23354.622500000005</v>
      </c>
      <c r="D1068" s="2">
        <v>23012.647999999997</v>
      </c>
      <c r="E1068" s="2">
        <v>24052.455999999987</v>
      </c>
    </row>
    <row r="1069" spans="1:5" x14ac:dyDescent="0.3">
      <c r="A1069" s="3">
        <v>45772</v>
      </c>
      <c r="B1069" s="2">
        <v>24039.35</v>
      </c>
      <c r="C1069" s="2">
        <v>23399.437500000004</v>
      </c>
      <c r="D1069" s="2">
        <v>23023.655999999992</v>
      </c>
      <c r="E1069" s="2">
        <v>24052.256999999987</v>
      </c>
    </row>
    <row r="1070" spans="1:5" x14ac:dyDescent="0.3">
      <c r="A1070" s="3">
        <v>45775</v>
      </c>
      <c r="B1070" s="2">
        <v>24328.5</v>
      </c>
      <c r="C1070" s="2">
        <v>23418.487499999999</v>
      </c>
      <c r="D1070" s="2">
        <v>23032.375999999997</v>
      </c>
      <c r="E1070" s="2">
        <v>24050.942999999985</v>
      </c>
    </row>
    <row r="1071" spans="1:5" x14ac:dyDescent="0.3">
      <c r="A1071" s="3">
        <v>45776</v>
      </c>
      <c r="B1071" s="2">
        <v>24335.95</v>
      </c>
      <c r="C1071" s="2">
        <v>23451.480000000003</v>
      </c>
      <c r="D1071" s="2">
        <v>23047.747000000003</v>
      </c>
      <c r="E1071" s="2">
        <v>24050.966249999987</v>
      </c>
    </row>
    <row r="1072" spans="1:5" x14ac:dyDescent="0.3">
      <c r="A1072" s="3">
        <v>45777</v>
      </c>
      <c r="B1072" s="2">
        <v>24334.2</v>
      </c>
      <c r="C1072" s="2">
        <v>23493.935000000001</v>
      </c>
      <c r="D1072" s="2">
        <v>23066.833999999999</v>
      </c>
      <c r="E1072" s="2">
        <v>24051.043249999988</v>
      </c>
    </row>
    <row r="1073" spans="1:5" x14ac:dyDescent="0.3">
      <c r="A1073" s="3">
        <v>45779</v>
      </c>
      <c r="B1073" s="2">
        <v>24346.7</v>
      </c>
      <c r="C1073" s="2">
        <v>23531.047500000001</v>
      </c>
      <c r="D1073" s="2">
        <v>23092.081999999999</v>
      </c>
      <c r="E1073" s="2">
        <v>24050.548249999989</v>
      </c>
    </row>
    <row r="1074" spans="1:5" x14ac:dyDescent="0.3">
      <c r="A1074" s="3">
        <v>45782</v>
      </c>
      <c r="B1074" s="2">
        <v>24461.15</v>
      </c>
      <c r="C1074" s="2">
        <v>23572.415000000001</v>
      </c>
      <c r="D1074" s="2">
        <v>23118.11099999999</v>
      </c>
      <c r="E1074" s="2">
        <v>24050.659499999994</v>
      </c>
    </row>
    <row r="1075" spans="1:5" x14ac:dyDescent="0.3">
      <c r="A1075" s="3">
        <v>45783</v>
      </c>
      <c r="B1075" s="2">
        <v>24379.599999999999</v>
      </c>
      <c r="C1075" s="2">
        <v>23637.187500000004</v>
      </c>
      <c r="D1075" s="2">
        <v>23146.705999999991</v>
      </c>
      <c r="E1075" s="2">
        <v>24051.385499999989</v>
      </c>
    </row>
    <row r="1076" spans="1:5" x14ac:dyDescent="0.3">
      <c r="A1076" s="3">
        <v>45784</v>
      </c>
      <c r="B1076" s="2">
        <v>24414.400000000001</v>
      </c>
      <c r="C1076" s="2">
        <v>23689.55</v>
      </c>
      <c r="D1076" s="2">
        <v>23175.712999999992</v>
      </c>
      <c r="E1076" s="2">
        <v>24050.772749999989</v>
      </c>
    </row>
    <row r="1077" spans="1:5" x14ac:dyDescent="0.3">
      <c r="A1077" s="3">
        <v>45785</v>
      </c>
      <c r="B1077" s="2">
        <v>24273.8</v>
      </c>
      <c r="C1077" s="2">
        <v>23747.765000000003</v>
      </c>
      <c r="D1077" s="2">
        <v>23204.810999999991</v>
      </c>
      <c r="E1077" s="2">
        <v>24049.91124999999</v>
      </c>
    </row>
    <row r="1078" spans="1:5" x14ac:dyDescent="0.3">
      <c r="A1078" s="3">
        <v>45786</v>
      </c>
      <c r="B1078" s="2">
        <v>24008</v>
      </c>
      <c r="C1078" s="2">
        <v>23816.232500000006</v>
      </c>
      <c r="D1078" s="2">
        <v>23231.380999999998</v>
      </c>
      <c r="E1078" s="2">
        <v>24048.21524999999</v>
      </c>
    </row>
    <row r="1079" spans="1:5" x14ac:dyDescent="0.3">
      <c r="A1079" s="3">
        <v>45789</v>
      </c>
      <c r="B1079" s="2">
        <v>24924.7</v>
      </c>
      <c r="C1079" s="2">
        <v>23908.552500000002</v>
      </c>
      <c r="D1079" s="2">
        <v>23252.882999999994</v>
      </c>
      <c r="E1079" s="2">
        <v>24044.250999999993</v>
      </c>
    </row>
    <row r="1080" spans="1:5" x14ac:dyDescent="0.3">
      <c r="A1080" s="3">
        <v>45790</v>
      </c>
      <c r="B1080" s="2">
        <v>24578.35</v>
      </c>
      <c r="C1080" s="2">
        <v>24027.995000000003</v>
      </c>
      <c r="D1080" s="2">
        <v>23293.113999999994</v>
      </c>
      <c r="E1080" s="2">
        <v>24046.219999999994</v>
      </c>
    </row>
    <row r="1081" spans="1:5" x14ac:dyDescent="0.3">
      <c r="A1081" s="3">
        <v>45791</v>
      </c>
      <c r="B1081" s="2">
        <v>24666.9</v>
      </c>
      <c r="C1081" s="2">
        <v>24136.955000000002</v>
      </c>
      <c r="D1081" s="2">
        <v>23328.762999999992</v>
      </c>
      <c r="E1081" s="2">
        <v>24046.565499999993</v>
      </c>
    </row>
    <row r="1082" spans="1:5" x14ac:dyDescent="0.3">
      <c r="A1082" s="3">
        <v>45792</v>
      </c>
      <c r="B1082" s="2">
        <v>25062.1</v>
      </c>
      <c r="C1082" s="2">
        <v>24228.872500000005</v>
      </c>
      <c r="D1082" s="2">
        <v>23371.033999999996</v>
      </c>
      <c r="E1082" s="2">
        <v>24047.504749999996</v>
      </c>
    </row>
    <row r="1083" spans="1:5" x14ac:dyDescent="0.3">
      <c r="A1083" s="3">
        <v>45793</v>
      </c>
      <c r="B1083" s="2">
        <v>25019.8</v>
      </c>
      <c r="C1083" s="2">
        <v>24315.550000000003</v>
      </c>
      <c r="D1083" s="2">
        <v>23421.324999999997</v>
      </c>
      <c r="E1083" s="2">
        <v>24050.747749999995</v>
      </c>
    </row>
    <row r="1084" spans="1:5" x14ac:dyDescent="0.3">
      <c r="A1084" s="3">
        <v>45796</v>
      </c>
      <c r="B1084" s="2">
        <v>24945.45</v>
      </c>
      <c r="C1084" s="2">
        <v>24394.68</v>
      </c>
      <c r="D1084" s="2">
        <v>23470.82</v>
      </c>
      <c r="E1084" s="2">
        <v>24053.81625</v>
      </c>
    </row>
    <row r="1085" spans="1:5" x14ac:dyDescent="0.3">
      <c r="A1085" s="3">
        <v>45797</v>
      </c>
      <c r="B1085" s="2">
        <v>24683.9</v>
      </c>
      <c r="C1085" s="2">
        <v>24449.370000000003</v>
      </c>
      <c r="D1085" s="2">
        <v>23527.235000000001</v>
      </c>
      <c r="E1085" s="2">
        <v>24054.369250000003</v>
      </c>
    </row>
    <row r="1086" spans="1:5" x14ac:dyDescent="0.3">
      <c r="A1086" s="3">
        <v>45798</v>
      </c>
      <c r="B1086" s="2">
        <v>24813.45</v>
      </c>
      <c r="C1086" s="2">
        <v>24477.287500000002</v>
      </c>
      <c r="D1086" s="2">
        <v>23578.526999999998</v>
      </c>
      <c r="E1086" s="2">
        <v>24053.608250000001</v>
      </c>
    </row>
    <row r="1087" spans="1:5" x14ac:dyDescent="0.3">
      <c r="A1087" s="3">
        <v>45799</v>
      </c>
      <c r="B1087" s="2">
        <v>24609.7</v>
      </c>
      <c r="C1087" s="2">
        <v>24509.5975</v>
      </c>
      <c r="D1087" s="2">
        <v>23633.142999999993</v>
      </c>
      <c r="E1087" s="2">
        <v>24053.38900000001</v>
      </c>
    </row>
    <row r="1088" spans="1:5" x14ac:dyDescent="0.3">
      <c r="A1088" s="3">
        <v>45800</v>
      </c>
      <c r="B1088" s="2">
        <v>24853.15</v>
      </c>
      <c r="C1088" s="2">
        <v>24523.635000000002</v>
      </c>
      <c r="D1088" s="2">
        <v>23678.590999999993</v>
      </c>
      <c r="E1088" s="2">
        <v>24051.681750000007</v>
      </c>
    </row>
    <row r="1089" spans="1:5" x14ac:dyDescent="0.3">
      <c r="A1089" s="3">
        <v>45803</v>
      </c>
      <c r="B1089" s="2">
        <v>25001.15</v>
      </c>
      <c r="C1089" s="2">
        <v>24553.9575</v>
      </c>
      <c r="D1089" s="2">
        <v>23724.759999999991</v>
      </c>
      <c r="E1089" s="2">
        <v>24050.893000000007</v>
      </c>
    </row>
    <row r="1090" spans="1:5" x14ac:dyDescent="0.3">
      <c r="A1090" s="3">
        <v>45804</v>
      </c>
      <c r="B1090" s="2">
        <v>24826.2</v>
      </c>
      <c r="C1090" s="2">
        <v>24602.047500000004</v>
      </c>
      <c r="D1090" s="2">
        <v>23773.732999999989</v>
      </c>
      <c r="E1090" s="2">
        <v>24052.31025000001</v>
      </c>
    </row>
    <row r="1091" spans="1:5" x14ac:dyDescent="0.3">
      <c r="A1091" s="3">
        <v>45805</v>
      </c>
      <c r="B1091" s="2">
        <v>24752.45</v>
      </c>
      <c r="C1091" s="2">
        <v>24626.932500000003</v>
      </c>
      <c r="D1091" s="2">
        <v>23821.050999999989</v>
      </c>
      <c r="E1091" s="2">
        <v>24056.163250000005</v>
      </c>
    </row>
    <row r="1092" spans="1:5" x14ac:dyDescent="0.3">
      <c r="A1092" s="3">
        <v>45806</v>
      </c>
      <c r="B1092" s="2">
        <v>24833.599999999999</v>
      </c>
      <c r="C1092" s="2">
        <v>24647.757500000003</v>
      </c>
      <c r="D1092" s="2">
        <v>23866.141999999989</v>
      </c>
      <c r="E1092" s="2">
        <v>24059.96275000001</v>
      </c>
    </row>
    <row r="1093" spans="1:5" x14ac:dyDescent="0.3">
      <c r="A1093" s="3">
        <v>45807</v>
      </c>
      <c r="B1093" s="2">
        <v>24750.7</v>
      </c>
      <c r="C1093" s="2">
        <v>24672.727500000008</v>
      </c>
      <c r="D1093" s="2">
        <v>23913.403999999991</v>
      </c>
      <c r="E1093" s="2">
        <v>24062.643250000008</v>
      </c>
    </row>
    <row r="1094" spans="1:5" x14ac:dyDescent="0.3">
      <c r="A1094" s="3">
        <v>45810</v>
      </c>
      <c r="B1094" s="2">
        <v>24716.6</v>
      </c>
      <c r="C1094" s="2">
        <v>24692.927500000005</v>
      </c>
      <c r="D1094" s="2">
        <v>23960.473999999991</v>
      </c>
      <c r="E1094" s="2">
        <v>24065.811750000008</v>
      </c>
    </row>
    <row r="1095" spans="1:5" x14ac:dyDescent="0.3">
      <c r="A1095" s="3">
        <v>45811</v>
      </c>
      <c r="B1095" s="2">
        <v>24542.5</v>
      </c>
      <c r="C1095" s="2">
        <v>24705.700000000004</v>
      </c>
      <c r="D1095" s="2">
        <v>24004.63099999999</v>
      </c>
      <c r="E1095" s="2">
        <v>24067.557250000009</v>
      </c>
    </row>
    <row r="1096" spans="1:5" x14ac:dyDescent="0.3">
      <c r="A1096" s="3">
        <v>45812</v>
      </c>
      <c r="B1096" s="2">
        <v>24620.2</v>
      </c>
      <c r="C1096" s="2">
        <v>24713.845000000001</v>
      </c>
      <c r="D1096" s="2">
        <v>24038.794999999995</v>
      </c>
      <c r="E1096" s="2">
        <v>24068.53475000001</v>
      </c>
    </row>
    <row r="1097" spans="1:5" x14ac:dyDescent="0.3">
      <c r="A1097" s="3">
        <v>45813</v>
      </c>
      <c r="B1097" s="2">
        <v>24750.9</v>
      </c>
      <c r="C1097" s="2">
        <v>24724.135000000002</v>
      </c>
      <c r="D1097" s="2">
        <v>24073.046999999999</v>
      </c>
      <c r="E1097" s="2">
        <v>24070.940750000012</v>
      </c>
    </row>
    <row r="1098" spans="1:5" x14ac:dyDescent="0.3">
      <c r="A1098" s="3">
        <v>45814</v>
      </c>
      <c r="B1098" s="2">
        <v>25003.05</v>
      </c>
      <c r="C1098" s="2">
        <v>24747.99</v>
      </c>
      <c r="D1098" s="2">
        <v>24104.251999999997</v>
      </c>
      <c r="E1098" s="2">
        <v>24073.976500000012</v>
      </c>
    </row>
    <row r="1099" spans="1:5" x14ac:dyDescent="0.3">
      <c r="A1099" s="3">
        <v>45817</v>
      </c>
      <c r="B1099" s="2">
        <v>25103.200000000001</v>
      </c>
      <c r="C1099" s="2">
        <v>24797.7425</v>
      </c>
      <c r="D1099" s="2">
        <v>24137.304999999997</v>
      </c>
      <c r="E1099" s="2">
        <v>24076.286000000011</v>
      </c>
    </row>
    <row r="1100" spans="1:5" x14ac:dyDescent="0.3">
      <c r="A1100" s="3">
        <v>45818</v>
      </c>
      <c r="B1100" s="2">
        <v>25104.25</v>
      </c>
      <c r="C1100" s="2">
        <v>24806.667500000003</v>
      </c>
      <c r="D1100" s="2">
        <v>24166.201999999997</v>
      </c>
      <c r="E1100" s="2">
        <v>24078.938750000016</v>
      </c>
    </row>
    <row r="1101" spans="1:5" x14ac:dyDescent="0.3">
      <c r="A1101" s="3">
        <v>45819</v>
      </c>
      <c r="B1101" s="2">
        <v>25141.4</v>
      </c>
      <c r="C1101" s="2">
        <v>24832.962500000001</v>
      </c>
      <c r="D1101" s="2">
        <v>24194.913999999993</v>
      </c>
      <c r="E1101" s="2">
        <v>24080.96575000001</v>
      </c>
    </row>
    <row r="1102" spans="1:5" x14ac:dyDescent="0.3">
      <c r="A1102" s="3">
        <v>45820</v>
      </c>
      <c r="B1102" s="2">
        <v>24888.2</v>
      </c>
      <c r="C1102" s="2">
        <v>24856.687500000004</v>
      </c>
      <c r="D1102" s="2">
        <v>24228.00499999999</v>
      </c>
      <c r="E1102" s="2">
        <v>24082.821750000014</v>
      </c>
    </row>
    <row r="1103" spans="1:5" x14ac:dyDescent="0.3">
      <c r="A1103" s="3">
        <v>45821</v>
      </c>
      <c r="B1103" s="2">
        <v>24718.6</v>
      </c>
      <c r="C1103" s="2">
        <v>24847.9925</v>
      </c>
      <c r="D1103" s="2">
        <v>24253.929999999989</v>
      </c>
      <c r="E1103" s="2">
        <v>24083.205250000014</v>
      </c>
    </row>
    <row r="1104" spans="1:5" x14ac:dyDescent="0.3">
      <c r="A1104" s="3">
        <v>45824</v>
      </c>
      <c r="B1104" s="2">
        <v>24946.5</v>
      </c>
      <c r="C1104" s="2">
        <v>24832.932500000003</v>
      </c>
      <c r="D1104" s="2">
        <v>24277.91499999999</v>
      </c>
      <c r="E1104" s="2">
        <v>24082.68250000001</v>
      </c>
    </row>
    <row r="1105" spans="1:5" x14ac:dyDescent="0.3">
      <c r="A1105" s="3">
        <v>45825</v>
      </c>
      <c r="B1105" s="2">
        <v>24853.4</v>
      </c>
      <c r="C1105" s="2">
        <v>24832.985000000004</v>
      </c>
      <c r="D1105" s="2">
        <v>24313.530999999992</v>
      </c>
      <c r="E1105" s="2">
        <v>24082.362000000008</v>
      </c>
    </row>
    <row r="1106" spans="1:5" x14ac:dyDescent="0.3">
      <c r="A1106" s="3">
        <v>45826</v>
      </c>
      <c r="B1106" s="2">
        <v>24812.05</v>
      </c>
      <c r="C1106" s="2">
        <v>24841.460000000003</v>
      </c>
      <c r="D1106" s="2">
        <v>24343.951999999994</v>
      </c>
      <c r="E1106" s="2">
        <v>24081.540250000009</v>
      </c>
    </row>
    <row r="1107" spans="1:5" x14ac:dyDescent="0.3">
      <c r="A1107" s="3">
        <v>45827</v>
      </c>
      <c r="B1107" s="2">
        <v>24793.25</v>
      </c>
      <c r="C1107" s="2">
        <v>24841.390000000003</v>
      </c>
      <c r="D1107" s="2">
        <v>24375.190999999995</v>
      </c>
      <c r="E1107" s="2">
        <v>24080.33875000001</v>
      </c>
    </row>
    <row r="1108" spans="1:5" x14ac:dyDescent="0.3">
      <c r="A1108" s="3">
        <v>45828</v>
      </c>
      <c r="B1108" s="2">
        <v>25112.400000000001</v>
      </c>
      <c r="C1108" s="2">
        <v>24850.567500000001</v>
      </c>
      <c r="D1108" s="2">
        <v>24412.966999999997</v>
      </c>
      <c r="E1108" s="2">
        <v>24078.54525000001</v>
      </c>
    </row>
    <row r="1109" spans="1:5" x14ac:dyDescent="0.3">
      <c r="A1109" s="3">
        <v>45831</v>
      </c>
      <c r="B1109" s="2">
        <v>24971.9</v>
      </c>
      <c r="C1109" s="2">
        <v>24863.530000000002</v>
      </c>
      <c r="D1109" s="2">
        <v>24471.982999999993</v>
      </c>
      <c r="E1109" s="2">
        <v>24077.927750000013</v>
      </c>
    </row>
    <row r="1110" spans="1:5" x14ac:dyDescent="0.3">
      <c r="A1110" s="3">
        <v>45832</v>
      </c>
      <c r="B1110" s="2">
        <v>25044.35</v>
      </c>
      <c r="C1110" s="2">
        <v>24862.067500000005</v>
      </c>
      <c r="D1110" s="2">
        <v>24520.703999999994</v>
      </c>
      <c r="E1110" s="2">
        <v>24076.393750000014</v>
      </c>
    </row>
    <row r="1111" spans="1:5" x14ac:dyDescent="0.3">
      <c r="A1111" s="3">
        <v>45833</v>
      </c>
      <c r="B1111" s="2">
        <v>25244.75</v>
      </c>
      <c r="C1111" s="2">
        <v>24872.975000000002</v>
      </c>
      <c r="D1111" s="2">
        <v>24573.607999999993</v>
      </c>
      <c r="E1111" s="2">
        <v>24075.216250000009</v>
      </c>
    </row>
    <row r="1112" spans="1:5" x14ac:dyDescent="0.3">
      <c r="A1112" s="3">
        <v>45834</v>
      </c>
      <c r="B1112" s="2">
        <v>25549</v>
      </c>
      <c r="C1112" s="2">
        <v>24897.59</v>
      </c>
      <c r="D1112" s="2">
        <v>24621.931999999993</v>
      </c>
      <c r="E1112" s="2">
        <v>24075.446500000009</v>
      </c>
    </row>
    <row r="1113" spans="1:5" x14ac:dyDescent="0.3">
      <c r="A1113" s="3">
        <v>45835</v>
      </c>
      <c r="B1113" s="2">
        <v>25637.8</v>
      </c>
      <c r="C1113" s="2">
        <v>24933.360000000001</v>
      </c>
      <c r="D1113" s="2">
        <v>24666.340999999993</v>
      </c>
      <c r="E1113" s="2">
        <v>24077.466000000004</v>
      </c>
    </row>
    <row r="1114" spans="1:5" x14ac:dyDescent="0.3">
      <c r="A1114" s="3">
        <v>45838</v>
      </c>
      <c r="B1114" s="2">
        <v>25517.05</v>
      </c>
      <c r="C1114" s="2">
        <v>24977.715000000004</v>
      </c>
      <c r="D1114" s="2">
        <v>24710.352999999992</v>
      </c>
      <c r="E1114" s="2">
        <v>24081.394250000001</v>
      </c>
    </row>
    <row r="1115" spans="1:5" x14ac:dyDescent="0.3">
      <c r="A1115" s="3">
        <v>45839</v>
      </c>
      <c r="B1115" s="2">
        <v>25541.8</v>
      </c>
      <c r="C1115" s="2">
        <v>25017.737499999999</v>
      </c>
      <c r="D1115" s="2">
        <v>24743.660999999996</v>
      </c>
      <c r="E1115" s="2">
        <v>24084.297500000001</v>
      </c>
    </row>
    <row r="1116" spans="1:5" x14ac:dyDescent="0.3">
      <c r="A1116" s="3">
        <v>45840</v>
      </c>
      <c r="B1116" s="2">
        <v>25453.4</v>
      </c>
      <c r="C1116" s="2">
        <v>25067.702499999999</v>
      </c>
      <c r="D1116" s="2">
        <v>24771.986000000001</v>
      </c>
      <c r="E1116" s="2">
        <v>24086.800999999999</v>
      </c>
    </row>
    <row r="1117" spans="1:5" x14ac:dyDescent="0.3">
      <c r="A1117" s="3">
        <v>45841</v>
      </c>
      <c r="B1117" s="2">
        <v>25405.3</v>
      </c>
      <c r="C1117" s="2">
        <v>25109.362499999999</v>
      </c>
      <c r="D1117" s="2">
        <v>24797.708999999999</v>
      </c>
      <c r="E1117" s="2">
        <v>24089.475750000001</v>
      </c>
    </row>
    <row r="1118" spans="1:5" x14ac:dyDescent="0.3">
      <c r="A1118" s="3">
        <v>45842</v>
      </c>
      <c r="B1118" s="2">
        <v>25461</v>
      </c>
      <c r="C1118" s="2">
        <v>25142.082499999997</v>
      </c>
      <c r="D1118" s="2">
        <v>24819.236000000001</v>
      </c>
      <c r="E1118" s="2">
        <v>24089.557750000004</v>
      </c>
    </row>
    <row r="1119" spans="1:5" x14ac:dyDescent="0.3">
      <c r="A1119" s="3">
        <v>45845</v>
      </c>
      <c r="B1119" s="2">
        <v>25461.3</v>
      </c>
      <c r="C1119" s="2">
        <v>25164.979999999996</v>
      </c>
      <c r="D1119" s="2">
        <v>24843.522000000001</v>
      </c>
      <c r="E1119" s="2">
        <v>24090.080250000003</v>
      </c>
    </row>
    <row r="1120" spans="1:5" x14ac:dyDescent="0.3">
      <c r="A1120" s="3">
        <v>45846</v>
      </c>
      <c r="B1120" s="2">
        <v>25522.5</v>
      </c>
      <c r="C1120" s="2">
        <v>25182.884999999998</v>
      </c>
      <c r="D1120" s="2">
        <v>24871.960999999999</v>
      </c>
      <c r="E1120" s="2">
        <v>24090.468000000008</v>
      </c>
    </row>
    <row r="1121" spans="1:5" x14ac:dyDescent="0.3">
      <c r="A1121" s="3">
        <v>45847</v>
      </c>
      <c r="B1121" s="2">
        <v>25476.1</v>
      </c>
      <c r="C1121" s="2">
        <v>25203.797499999997</v>
      </c>
      <c r="D1121" s="2">
        <v>24895.841</v>
      </c>
      <c r="E1121" s="2">
        <v>24090.987750000004</v>
      </c>
    </row>
    <row r="1122" spans="1:5" x14ac:dyDescent="0.3">
      <c r="A1122" s="3">
        <v>45848</v>
      </c>
      <c r="B1122" s="2">
        <v>25355.25</v>
      </c>
      <c r="C1122" s="2">
        <v>25220.532499999998</v>
      </c>
      <c r="D1122" s="2">
        <v>24918.644000000004</v>
      </c>
      <c r="E1122" s="2">
        <v>24091.480500000001</v>
      </c>
    </row>
    <row r="1123" spans="1:5" x14ac:dyDescent="0.3">
      <c r="A1123" s="3">
        <v>45849</v>
      </c>
      <c r="B1123" s="2">
        <v>25149.85</v>
      </c>
      <c r="C1123" s="2">
        <v>25243.884999999998</v>
      </c>
      <c r="D1123" s="2">
        <v>24939.06500000001</v>
      </c>
      <c r="E1123" s="2">
        <v>24091.177750000003</v>
      </c>
    </row>
    <row r="1124" spans="1:5" x14ac:dyDescent="0.3">
      <c r="A1124" s="3">
        <v>45852</v>
      </c>
      <c r="B1124" s="2">
        <v>25082.3</v>
      </c>
      <c r="C1124" s="2">
        <v>25265.447499999998</v>
      </c>
      <c r="D1124" s="2">
        <v>24955.128000000012</v>
      </c>
      <c r="E1124" s="2">
        <v>24087.972249999995</v>
      </c>
    </row>
    <row r="1125" spans="1:5" x14ac:dyDescent="0.3">
      <c r="A1125" s="3">
        <v>45853</v>
      </c>
      <c r="B1125" s="2">
        <v>25195.8</v>
      </c>
      <c r="C1125" s="2">
        <v>25272.237499999996</v>
      </c>
      <c r="D1125" s="2">
        <v>24967.55100000001</v>
      </c>
      <c r="E1125" s="2">
        <v>24083.688499999997</v>
      </c>
    </row>
    <row r="1126" spans="1:5" x14ac:dyDescent="0.3">
      <c r="A1126" s="3">
        <v>45854</v>
      </c>
      <c r="B1126" s="2">
        <v>25212.05</v>
      </c>
      <c r="C1126" s="2">
        <v>25289.357499999995</v>
      </c>
      <c r="D1126" s="2">
        <v>24983.875000000015</v>
      </c>
      <c r="E1126" s="2">
        <v>24079.965499999995</v>
      </c>
    </row>
    <row r="1127" spans="1:5" x14ac:dyDescent="0.3">
      <c r="A1127" s="3">
        <v>45855</v>
      </c>
      <c r="B1127" s="2">
        <v>25111.45</v>
      </c>
      <c r="C1127" s="2">
        <v>25309.357499999991</v>
      </c>
      <c r="D1127" s="2">
        <v>24999.828000000012</v>
      </c>
      <c r="E1127" s="2">
        <v>24076.00499999999</v>
      </c>
    </row>
    <row r="1128" spans="1:5" x14ac:dyDescent="0.3">
      <c r="A1128" s="3">
        <v>45856</v>
      </c>
      <c r="B1128" s="2">
        <v>24968.400000000001</v>
      </c>
      <c r="C1128" s="2">
        <v>25325.267499999994</v>
      </c>
      <c r="D1128" s="2">
        <v>25016.581000000009</v>
      </c>
      <c r="E1128" s="2">
        <v>24070.481999999996</v>
      </c>
    </row>
    <row r="1129" spans="1:5" x14ac:dyDescent="0.3">
      <c r="A1129" s="3">
        <v>45859</v>
      </c>
      <c r="B1129" s="2">
        <v>25090.7</v>
      </c>
      <c r="C1129" s="2">
        <v>25318.067499999997</v>
      </c>
      <c r="D1129" s="2">
        <v>25035.789000000012</v>
      </c>
      <c r="E1129" s="2">
        <v>24064.429249999997</v>
      </c>
    </row>
    <row r="1130" spans="1:5" x14ac:dyDescent="0.3">
      <c r="A1130" s="3">
        <v>45860</v>
      </c>
      <c r="B1130" s="2">
        <v>25060.9</v>
      </c>
      <c r="C1130" s="2">
        <v>25324.0075</v>
      </c>
      <c r="D1130" s="2">
        <v>25039.109000000008</v>
      </c>
      <c r="E1130" s="2">
        <v>24060.8285</v>
      </c>
    </row>
    <row r="1131" spans="1:5" x14ac:dyDescent="0.3">
      <c r="A1131" s="3">
        <v>45861</v>
      </c>
      <c r="B1131" s="2">
        <v>25219.9</v>
      </c>
      <c r="C1131" s="2">
        <v>25324.834999999999</v>
      </c>
      <c r="D1131" s="2">
        <v>25048.760000000006</v>
      </c>
      <c r="E1131" s="2">
        <v>24057.148499999999</v>
      </c>
    </row>
    <row r="1132" spans="1:5" x14ac:dyDescent="0.3">
      <c r="A1132" s="3">
        <v>45862</v>
      </c>
      <c r="B1132" s="2">
        <v>25062.1</v>
      </c>
      <c r="C1132" s="2">
        <v>25323.592500000002</v>
      </c>
      <c r="D1132" s="2">
        <v>25059.820000000003</v>
      </c>
      <c r="E1132" s="2">
        <v>24056.997500000005</v>
      </c>
    </row>
    <row r="1133" spans="1:5" x14ac:dyDescent="0.3">
      <c r="A1133" s="3">
        <v>45863</v>
      </c>
      <c r="B1133" s="2">
        <v>24837</v>
      </c>
      <c r="C1133" s="2">
        <v>25299.247500000001</v>
      </c>
      <c r="D1133" s="2">
        <v>25059.82</v>
      </c>
      <c r="E1133" s="2">
        <v>24057.235000000001</v>
      </c>
    </row>
    <row r="1134" spans="1:5" x14ac:dyDescent="0.3">
      <c r="A1134" s="3">
        <v>45866</v>
      </c>
      <c r="B1134" s="2">
        <v>24680.9</v>
      </c>
      <c r="C1134" s="2">
        <v>25259.207500000004</v>
      </c>
      <c r="D1134" s="2">
        <v>25056.164000000004</v>
      </c>
      <c r="E1134" s="2">
        <v>24057.441249999996</v>
      </c>
    </row>
    <row r="1135" spans="1:5" x14ac:dyDescent="0.3">
      <c r="A1135" s="3">
        <v>45867</v>
      </c>
      <c r="B1135" s="2">
        <v>24821.1</v>
      </c>
      <c r="C1135" s="2">
        <v>25217.4</v>
      </c>
      <c r="D1135" s="2">
        <v>25050.873000000003</v>
      </c>
      <c r="E1135" s="2">
        <v>24055.78</v>
      </c>
    </row>
    <row r="1136" spans="1:5" x14ac:dyDescent="0.3">
      <c r="A1136" s="3">
        <v>45868</v>
      </c>
      <c r="B1136" s="2">
        <v>24855.05</v>
      </c>
      <c r="C1136" s="2">
        <v>25181.365000000002</v>
      </c>
      <c r="D1136" s="2">
        <v>25053.617000000002</v>
      </c>
      <c r="E1136" s="2">
        <v>24054.975750000001</v>
      </c>
    </row>
    <row r="1137" spans="1:5" x14ac:dyDescent="0.3">
      <c r="A1137" s="3">
        <v>45869</v>
      </c>
      <c r="B1137" s="2">
        <v>24768.35</v>
      </c>
      <c r="C1137" s="2">
        <v>25151.447500000002</v>
      </c>
      <c r="D1137" s="2">
        <v>25054.449000000004</v>
      </c>
      <c r="E1137" s="2">
        <v>24054.258750000001</v>
      </c>
    </row>
    <row r="1138" spans="1:5" x14ac:dyDescent="0.3">
      <c r="A1138" s="3">
        <v>45870</v>
      </c>
      <c r="B1138" s="2">
        <v>24565.35</v>
      </c>
      <c r="C1138" s="2">
        <v>25119.599999999999</v>
      </c>
      <c r="D1138" s="2">
        <v>25057.622000000007</v>
      </c>
      <c r="E1138" s="2">
        <v>24053.27925</v>
      </c>
    </row>
    <row r="1139" spans="1:5" x14ac:dyDescent="0.3">
      <c r="A1139" s="3">
        <v>45873</v>
      </c>
      <c r="B1139" s="2">
        <v>24722.75</v>
      </c>
      <c r="C1139" s="2">
        <v>25074.817499999997</v>
      </c>
      <c r="D1139" s="2">
        <v>25051.866000000009</v>
      </c>
      <c r="E1139" s="2">
        <v>24050.466249999994</v>
      </c>
    </row>
    <row r="1140" spans="1:5" x14ac:dyDescent="0.3">
      <c r="A1140" s="3">
        <v>45874</v>
      </c>
      <c r="B1140" s="2">
        <v>24649.55</v>
      </c>
      <c r="C1140" s="2">
        <v>25037.89</v>
      </c>
      <c r="D1140" s="2">
        <v>25046.298000000013</v>
      </c>
      <c r="E1140" s="2">
        <v>24048.793249999999</v>
      </c>
    </row>
    <row r="1141" spans="1:5" x14ac:dyDescent="0.3">
      <c r="A1141" s="3">
        <v>45875</v>
      </c>
      <c r="B1141" s="2">
        <v>24574.2</v>
      </c>
      <c r="C1141" s="2">
        <v>24994.242499999997</v>
      </c>
      <c r="D1141" s="2">
        <v>25042.765000000014</v>
      </c>
      <c r="E1141" s="2">
        <v>24047.184499999992</v>
      </c>
    </row>
    <row r="1142" spans="1:5" x14ac:dyDescent="0.3">
      <c r="A1142" s="3">
        <v>45876</v>
      </c>
      <c r="B1142" s="2">
        <v>24596.15</v>
      </c>
      <c r="C1142" s="2">
        <v>24949.147499999999</v>
      </c>
      <c r="D1142" s="2">
        <v>25039.200000000008</v>
      </c>
      <c r="E1142" s="2">
        <v>24046.306249999994</v>
      </c>
    </row>
    <row r="1143" spans="1:5" x14ac:dyDescent="0.3">
      <c r="A1143" s="3">
        <v>45877</v>
      </c>
      <c r="B1143" s="2">
        <v>24363.3</v>
      </c>
      <c r="C1143" s="2">
        <v>24911.192499999997</v>
      </c>
      <c r="D1143" s="2">
        <v>25034.451000000012</v>
      </c>
      <c r="E1143" s="2">
        <v>24045.016749999995</v>
      </c>
    </row>
    <row r="1144" spans="1:5" x14ac:dyDescent="0.3">
      <c r="A1144" s="3">
        <v>45880</v>
      </c>
      <c r="B1144" s="2">
        <v>24585.05</v>
      </c>
      <c r="C1144" s="2">
        <v>24871.864999999998</v>
      </c>
      <c r="D1144" s="2">
        <v>25026.703000000012</v>
      </c>
      <c r="E1144" s="2">
        <v>24042.927749999999</v>
      </c>
    </row>
    <row r="1145" spans="1:5" x14ac:dyDescent="0.3">
      <c r="A1145" s="3">
        <v>45881</v>
      </c>
      <c r="B1145" s="2">
        <v>24487.4</v>
      </c>
      <c r="C1145" s="2">
        <v>24847.002499999995</v>
      </c>
      <c r="D1145" s="2">
        <v>25024.072000000007</v>
      </c>
      <c r="E1145" s="2">
        <v>24043.492499999997</v>
      </c>
    </row>
    <row r="1146" spans="1:5" x14ac:dyDescent="0.3">
      <c r="A1146" s="3">
        <v>45882</v>
      </c>
      <c r="B1146" s="2">
        <v>24619.35</v>
      </c>
      <c r="C1146" s="2">
        <v>24811.582499999997</v>
      </c>
      <c r="D1146" s="2">
        <v>25022.970000000005</v>
      </c>
      <c r="E1146" s="2">
        <v>24043.752</v>
      </c>
    </row>
    <row r="1147" spans="1:5" x14ac:dyDescent="0.3">
      <c r="A1147" s="3">
        <v>45883</v>
      </c>
      <c r="B1147" s="2">
        <v>24631.3</v>
      </c>
      <c r="C1147" s="2">
        <v>24781.947499999998</v>
      </c>
      <c r="D1147" s="2">
        <v>25022.953000000001</v>
      </c>
      <c r="E1147" s="2">
        <v>24044.851749999998</v>
      </c>
    </row>
    <row r="1148" spans="1:5" x14ac:dyDescent="0.3">
      <c r="A1148" s="3">
        <v>45887</v>
      </c>
      <c r="B1148" s="2">
        <v>24876.95</v>
      </c>
      <c r="C1148" s="2">
        <v>24757.94</v>
      </c>
      <c r="D1148" s="2">
        <v>25020.561000000002</v>
      </c>
      <c r="E1148" s="2">
        <v>24047.104250000004</v>
      </c>
    </row>
    <row r="1149" spans="1:5" x14ac:dyDescent="0.3">
      <c r="A1149" s="3">
        <v>45888</v>
      </c>
      <c r="B1149" s="2">
        <v>24980.65</v>
      </c>
      <c r="C1149" s="2">
        <v>24753.3675</v>
      </c>
      <c r="D1149" s="2">
        <v>25018.039000000001</v>
      </c>
      <c r="E1149" s="2">
        <v>24049.793250000006</v>
      </c>
    </row>
    <row r="1150" spans="1:5" x14ac:dyDescent="0.3">
      <c r="A1150" s="3">
        <v>45889</v>
      </c>
      <c r="B1150" s="2">
        <v>25050.55</v>
      </c>
      <c r="C1150" s="2">
        <v>24747.865000000002</v>
      </c>
      <c r="D1150" s="2">
        <v>25015.588</v>
      </c>
      <c r="E1150" s="2">
        <v>24052.362250000006</v>
      </c>
    </row>
    <row r="1151" spans="1:5" x14ac:dyDescent="0.3">
      <c r="A1151" s="3">
        <v>45890</v>
      </c>
      <c r="B1151" s="2">
        <v>25083.75</v>
      </c>
      <c r="C1151" s="2">
        <v>24747.3475</v>
      </c>
      <c r="D1151" s="2">
        <v>25014.513999999999</v>
      </c>
      <c r="E1151" s="2">
        <v>24055.910750000006</v>
      </c>
    </row>
    <row r="1152" spans="1:5" x14ac:dyDescent="0.3">
      <c r="A1152" s="3">
        <v>45891</v>
      </c>
      <c r="B1152" s="2">
        <v>24870.1</v>
      </c>
      <c r="C1152" s="2">
        <v>24740.54</v>
      </c>
      <c r="D1152" s="2">
        <v>25013.361000000001</v>
      </c>
      <c r="E1152" s="2">
        <v>24060.302750000003</v>
      </c>
    </row>
    <row r="1153" spans="1:5" x14ac:dyDescent="0.3">
      <c r="A1153" s="3">
        <v>45894</v>
      </c>
      <c r="B1153" s="2">
        <v>24967.75</v>
      </c>
      <c r="C1153" s="2">
        <v>24730.94</v>
      </c>
      <c r="D1153" s="2">
        <v>25012.999000000003</v>
      </c>
      <c r="E1153" s="2">
        <v>24063.131500000003</v>
      </c>
    </row>
    <row r="1154" spans="1:5" x14ac:dyDescent="0.3">
      <c r="A1154" s="3">
        <v>45895</v>
      </c>
      <c r="B1154" s="2">
        <v>24712.05</v>
      </c>
      <c r="C1154" s="2">
        <v>24737.477500000001</v>
      </c>
      <c r="D1154" s="2">
        <v>25017.982000000007</v>
      </c>
      <c r="E1154" s="2">
        <v>24067.9935</v>
      </c>
    </row>
    <row r="1155" spans="1:5" x14ac:dyDescent="0.3">
      <c r="A1155" s="3">
        <v>45897</v>
      </c>
      <c r="B1155" s="2">
        <v>24500.9</v>
      </c>
      <c r="C1155" s="2">
        <v>24739.034999999996</v>
      </c>
      <c r="D1155" s="2">
        <v>25013.293000000001</v>
      </c>
      <c r="E1155" s="2">
        <v>24070.487250000002</v>
      </c>
    </row>
    <row r="1156" spans="1:5" x14ac:dyDescent="0.3">
      <c r="A1156" s="3">
        <v>45898</v>
      </c>
      <c r="B1156" s="2">
        <v>24426.85</v>
      </c>
      <c r="C1156" s="2">
        <v>24723.024999999998</v>
      </c>
      <c r="D1156" s="2">
        <v>25006.242999999999</v>
      </c>
      <c r="E1156" s="2">
        <v>24070.571499999998</v>
      </c>
    </row>
    <row r="1157" spans="1:5" x14ac:dyDescent="0.3">
      <c r="A1157" s="3">
        <v>45901</v>
      </c>
      <c r="B1157" s="2">
        <v>24625.05</v>
      </c>
      <c r="C1157" s="2">
        <v>24701.614999999998</v>
      </c>
      <c r="D1157" s="2">
        <v>24998.539000000004</v>
      </c>
      <c r="E1157" s="2">
        <v>24071.708999999995</v>
      </c>
    </row>
    <row r="1158" spans="1:5" x14ac:dyDescent="0.3">
      <c r="A1158" s="3">
        <v>45902</v>
      </c>
      <c r="B1158" s="2">
        <v>24579.599999999999</v>
      </c>
      <c r="C1158" s="2">
        <v>24694.449999999997</v>
      </c>
      <c r="D1158" s="2">
        <v>24995.175000000003</v>
      </c>
      <c r="E1158" s="2">
        <v>24074.093249999998</v>
      </c>
    </row>
    <row r="1159" spans="1:5" x14ac:dyDescent="0.3">
      <c r="A1159" s="3">
        <v>45903</v>
      </c>
      <c r="B1159" s="2">
        <v>24715.05</v>
      </c>
      <c r="C1159" s="2">
        <v>24695.162499999999</v>
      </c>
      <c r="D1159" s="2">
        <v>24984.519000000008</v>
      </c>
      <c r="E1159" s="2">
        <v>24076.284749999995</v>
      </c>
    </row>
    <row r="1160" spans="1:5" x14ac:dyDescent="0.3">
      <c r="A1160" s="3">
        <v>45904</v>
      </c>
      <c r="B1160" s="2">
        <v>24734.3</v>
      </c>
      <c r="C1160" s="2">
        <v>24694.777499999997</v>
      </c>
      <c r="D1160" s="2">
        <v>24979.382000000005</v>
      </c>
      <c r="E1160" s="2">
        <v>24080.442749999991</v>
      </c>
    </row>
    <row r="1161" spans="1:5" x14ac:dyDescent="0.3">
      <c r="A1161" s="3">
        <v>45905</v>
      </c>
      <c r="B1161" s="2">
        <v>24741</v>
      </c>
      <c r="C1161" s="2">
        <v>24699.014999999996</v>
      </c>
      <c r="D1161" s="2">
        <v>24973.181000000011</v>
      </c>
      <c r="E1161" s="2">
        <v>24086.318999999996</v>
      </c>
    </row>
    <row r="1162" spans="1:5" x14ac:dyDescent="0.3">
      <c r="A1162" s="3">
        <v>45908</v>
      </c>
      <c r="B1162" s="2">
        <v>24773.15</v>
      </c>
      <c r="C1162" s="2">
        <v>24707.354999999996</v>
      </c>
      <c r="D1162" s="2">
        <v>24963.106000000011</v>
      </c>
      <c r="E1162" s="2">
        <v>24092.360499999995</v>
      </c>
    </row>
    <row r="1163" spans="1:5" x14ac:dyDescent="0.3">
      <c r="A1163" s="3">
        <v>45909</v>
      </c>
      <c r="B1163" s="2">
        <v>24868.6</v>
      </c>
      <c r="C1163" s="2">
        <v>24716.204999999998</v>
      </c>
      <c r="D1163" s="2">
        <v>24947.589000000004</v>
      </c>
      <c r="E1163" s="2">
        <v>24098.957249999996</v>
      </c>
    </row>
    <row r="1164" spans="1:5" x14ac:dyDescent="0.3">
      <c r="A1164" s="3">
        <v>45910</v>
      </c>
      <c r="B1164" s="2">
        <v>24973.1</v>
      </c>
      <c r="C1164" s="2">
        <v>24741.469999999994</v>
      </c>
      <c r="D1164" s="2">
        <v>24932.205000000009</v>
      </c>
      <c r="E1164" s="2">
        <v>24105.707749999994</v>
      </c>
    </row>
    <row r="1165" spans="1:5" x14ac:dyDescent="0.3">
      <c r="A1165" s="3">
        <v>45911</v>
      </c>
      <c r="B1165" s="2">
        <v>25005.5</v>
      </c>
      <c r="C1165" s="2">
        <v>24760.872499999994</v>
      </c>
      <c r="D1165" s="2">
        <v>24921.326000000012</v>
      </c>
      <c r="E1165" s="2">
        <v>24113.823749999996</v>
      </c>
    </row>
    <row r="1166" spans="1:5" x14ac:dyDescent="0.3">
      <c r="A1166" s="3">
        <v>45912</v>
      </c>
      <c r="B1166" s="2">
        <v>25114</v>
      </c>
      <c r="C1166" s="2">
        <v>24786.777499999993</v>
      </c>
      <c r="D1166" s="2">
        <v>24910.600000000009</v>
      </c>
      <c r="E1166" s="2">
        <v>24119.314999999995</v>
      </c>
    </row>
    <row r="1167" spans="1:5" x14ac:dyDescent="0.3">
      <c r="A1167" s="3">
        <v>45915</v>
      </c>
      <c r="B1167" s="2">
        <v>25069.200000000001</v>
      </c>
      <c r="C1167" s="2">
        <v>24811.509999999995</v>
      </c>
      <c r="D1167" s="2">
        <v>24903.812000000005</v>
      </c>
      <c r="E1167" s="2">
        <v>24123.775499999992</v>
      </c>
    </row>
    <row r="1168" spans="1:5" x14ac:dyDescent="0.3">
      <c r="A1168" s="3">
        <v>45916</v>
      </c>
      <c r="B1168" s="2">
        <v>25239.1</v>
      </c>
      <c r="C1168" s="2">
        <v>24833.404999999995</v>
      </c>
      <c r="D1168" s="2">
        <v>24897.090000000004</v>
      </c>
      <c r="E1168" s="2">
        <v>24128.148999999994</v>
      </c>
    </row>
    <row r="1169" spans="1:5" x14ac:dyDescent="0.3">
      <c r="A1169" s="3">
        <v>45917</v>
      </c>
      <c r="B1169" s="2">
        <v>25330.25</v>
      </c>
      <c r="C1169" s="2">
        <v>24851.512499999997</v>
      </c>
      <c r="D1169" s="2">
        <v>24892.652000000006</v>
      </c>
      <c r="E1169" s="2">
        <v>24132.96999999999</v>
      </c>
    </row>
    <row r="1170" spans="1:5" x14ac:dyDescent="0.3">
      <c r="A1170" s="3">
        <v>45918</v>
      </c>
      <c r="B1170" s="2">
        <v>25423.599999999999</v>
      </c>
      <c r="C1170" s="2">
        <v>24868.9925</v>
      </c>
      <c r="D1170" s="2">
        <v>24890.03100000001</v>
      </c>
      <c r="E1170" s="2">
        <v>24140.05049999999</v>
      </c>
    </row>
    <row r="1171" spans="1:5" x14ac:dyDescent="0.3">
      <c r="A1171" s="3">
        <v>45919</v>
      </c>
      <c r="B1171" s="2">
        <v>25327.05</v>
      </c>
      <c r="C1171" s="2">
        <v>24887.644999999997</v>
      </c>
      <c r="D1171" s="2">
        <v>24888.053000000011</v>
      </c>
      <c r="E1171" s="2">
        <v>24146.512999999988</v>
      </c>
    </row>
    <row r="1172" spans="1:5" x14ac:dyDescent="0.3">
      <c r="A1172" s="3">
        <v>45922</v>
      </c>
      <c r="B1172" s="2">
        <v>25202.35</v>
      </c>
      <c r="C1172" s="2">
        <v>24899.809999999994</v>
      </c>
      <c r="D1172" s="2">
        <v>24885.072000000011</v>
      </c>
      <c r="E1172" s="2">
        <v>24151.767999999989</v>
      </c>
    </row>
    <row r="1173" spans="1:5" x14ac:dyDescent="0.3">
      <c r="A1173" s="3">
        <v>45923</v>
      </c>
      <c r="B1173" s="2">
        <v>25169.5</v>
      </c>
      <c r="C1173" s="2">
        <v>24916.422499999993</v>
      </c>
      <c r="D1173" s="2">
        <v>24882.01400000001</v>
      </c>
      <c r="E1173" s="2">
        <v>24155.493999999992</v>
      </c>
    </row>
    <row r="1174" spans="1:5" x14ac:dyDescent="0.3">
      <c r="A1174" s="3">
        <v>45924</v>
      </c>
      <c r="B1174" s="2">
        <v>25056.9</v>
      </c>
      <c r="C1174" s="2">
        <v>24926.509999999995</v>
      </c>
      <c r="D1174" s="2">
        <v>24882.407000000007</v>
      </c>
      <c r="E1174" s="2">
        <v>24159.004249999984</v>
      </c>
    </row>
    <row r="1175" spans="1:5" x14ac:dyDescent="0.3">
      <c r="A1175" s="3">
        <v>45925</v>
      </c>
      <c r="B1175" s="2">
        <v>24890.85</v>
      </c>
      <c r="C1175" s="2">
        <v>24943.752499999995</v>
      </c>
      <c r="D1175" s="2">
        <v>24881.899000000009</v>
      </c>
      <c r="E1175" s="2">
        <v>24160.746749999988</v>
      </c>
    </row>
    <row r="1176" spans="1:5" x14ac:dyDescent="0.3">
      <c r="A1176" s="3">
        <v>45926</v>
      </c>
      <c r="B1176" s="2">
        <v>24654.7</v>
      </c>
      <c r="C1176" s="2">
        <v>24963.249999999996</v>
      </c>
      <c r="D1176" s="2">
        <v>24875.800000000003</v>
      </c>
      <c r="E1176" s="2">
        <v>24161.811999999987</v>
      </c>
    </row>
    <row r="1177" spans="1:5" x14ac:dyDescent="0.3">
      <c r="A1177" s="3">
        <v>45929</v>
      </c>
      <c r="B1177" s="2">
        <v>24634.9</v>
      </c>
      <c r="C1177" s="2">
        <v>24974.642499999994</v>
      </c>
      <c r="D1177" s="2">
        <v>24864.653000000006</v>
      </c>
      <c r="E1177" s="2">
        <v>24161.990499999985</v>
      </c>
    </row>
    <row r="1178" spans="1:5" x14ac:dyDescent="0.3">
      <c r="A1178" s="3">
        <v>45930</v>
      </c>
      <c r="B1178" s="2">
        <v>24611.1</v>
      </c>
      <c r="C1178" s="2">
        <v>24975.135000000002</v>
      </c>
      <c r="D1178" s="2">
        <v>24855.122000000003</v>
      </c>
      <c r="E1178" s="2">
        <v>24162.114749999986</v>
      </c>
    </row>
    <row r="1179" spans="1:5" x14ac:dyDescent="0.3">
      <c r="A1179" s="3">
        <v>45931</v>
      </c>
      <c r="B1179" s="2">
        <v>24836.3</v>
      </c>
      <c r="C1179" s="2">
        <v>24976.71</v>
      </c>
      <c r="D1179" s="2">
        <v>24847.976000000002</v>
      </c>
      <c r="E1179" s="2">
        <v>24161.961249999986</v>
      </c>
    </row>
    <row r="1180" spans="1:5" x14ac:dyDescent="0.3">
      <c r="A1180" s="3">
        <v>45933</v>
      </c>
      <c r="B1180" s="2">
        <v>24894.25</v>
      </c>
      <c r="C1180" s="2">
        <v>24982.772499999999</v>
      </c>
      <c r="D1180" s="2">
        <v>24842.888000000003</v>
      </c>
      <c r="E1180" s="2">
        <v>24163.399249999984</v>
      </c>
    </row>
    <row r="1181" spans="1:5" x14ac:dyDescent="0.3">
      <c r="A1181" s="3">
        <v>45936</v>
      </c>
      <c r="B1181" s="2">
        <v>25077.65</v>
      </c>
      <c r="C1181" s="2">
        <v>24990.77</v>
      </c>
      <c r="D1181" s="2">
        <v>24839.555</v>
      </c>
      <c r="E1181" s="2">
        <v>24164.028999999984</v>
      </c>
    </row>
    <row r="1182" spans="1:5" x14ac:dyDescent="0.3">
      <c r="A1182" s="3">
        <v>45937</v>
      </c>
      <c r="B1182" s="2">
        <v>25108.3</v>
      </c>
      <c r="C1182" s="2">
        <v>25007.602500000001</v>
      </c>
      <c r="D1182" s="2">
        <v>24836.71</v>
      </c>
      <c r="E1182" s="2">
        <v>24166.075999999983</v>
      </c>
    </row>
    <row r="1183" spans="1:5" x14ac:dyDescent="0.3">
      <c r="A1183" s="3">
        <v>45938</v>
      </c>
      <c r="B1183" s="2">
        <v>25046.15</v>
      </c>
      <c r="C1183" s="2">
        <v>25024.36</v>
      </c>
      <c r="D1183" s="2">
        <v>24837.633999999998</v>
      </c>
      <c r="E1183" s="2">
        <v>24169.937499999985</v>
      </c>
    </row>
    <row r="1184" spans="1:5" x14ac:dyDescent="0.3">
      <c r="A1184" s="3">
        <v>45939</v>
      </c>
      <c r="B1184" s="2">
        <v>25181.8</v>
      </c>
      <c r="C1184" s="2">
        <v>25033.237499999999</v>
      </c>
      <c r="D1184" s="2">
        <v>24841.816999999995</v>
      </c>
      <c r="E1184" s="2">
        <v>24174.173999999985</v>
      </c>
    </row>
    <row r="1185" spans="1:5" x14ac:dyDescent="0.3">
      <c r="A1185" s="3">
        <v>45940</v>
      </c>
      <c r="B1185" s="2">
        <v>25285.35</v>
      </c>
      <c r="C1185" s="2">
        <v>25043.672500000001</v>
      </c>
      <c r="D1185" s="2">
        <v>24851.834999999999</v>
      </c>
      <c r="E1185" s="2">
        <v>24180.324499999988</v>
      </c>
    </row>
    <row r="1186" spans="1:5" x14ac:dyDescent="0.3">
      <c r="A1186" s="3">
        <v>45943</v>
      </c>
      <c r="B1186" s="2">
        <v>25227.35</v>
      </c>
      <c r="C1186" s="2">
        <v>25057.665000000001</v>
      </c>
      <c r="D1186" s="2">
        <v>24861.119999999999</v>
      </c>
      <c r="E1186" s="2">
        <v>24188.813749999987</v>
      </c>
    </row>
    <row r="1187" spans="1:5" x14ac:dyDescent="0.3">
      <c r="A1187" s="3">
        <v>45944</v>
      </c>
      <c r="B1187" s="2">
        <v>25145.5</v>
      </c>
      <c r="C1187" s="2">
        <v>25063.332499999997</v>
      </c>
      <c r="D1187" s="2">
        <v>24868.566000000003</v>
      </c>
      <c r="E1187" s="2">
        <v>24196.183249999984</v>
      </c>
    </row>
    <row r="1188" spans="1:5" x14ac:dyDescent="0.3">
      <c r="A1188" s="3">
        <v>45945</v>
      </c>
      <c r="B1188" s="2">
        <v>25323.55</v>
      </c>
      <c r="C1188" s="2">
        <v>25067.147499999999</v>
      </c>
      <c r="D1188" s="2">
        <v>24876.109</v>
      </c>
      <c r="E1188" s="2">
        <v>24203.272499999981</v>
      </c>
    </row>
    <row r="1189" spans="1:5" x14ac:dyDescent="0.3">
      <c r="A1189" s="3">
        <v>45946</v>
      </c>
      <c r="B1189" s="2">
        <v>25585.3</v>
      </c>
      <c r="C1189" s="2">
        <v>25071.37</v>
      </c>
      <c r="D1189" s="2">
        <v>24891.273000000001</v>
      </c>
      <c r="E1189" s="2">
        <v>24211.139249999978</v>
      </c>
    </row>
    <row r="1190" spans="1:5" x14ac:dyDescent="0.3">
      <c r="A1190" s="3">
        <v>45947</v>
      </c>
      <c r="B1190" s="2">
        <v>25709.85</v>
      </c>
      <c r="C1190" s="2">
        <v>25084.122499999998</v>
      </c>
      <c r="D1190" s="2">
        <v>24908.523999999998</v>
      </c>
      <c r="E1190" s="2">
        <v>24219.998749999981</v>
      </c>
    </row>
    <row r="1191" spans="1:5" x14ac:dyDescent="0.3">
      <c r="A1191" s="3">
        <v>45950</v>
      </c>
      <c r="B1191" s="2">
        <v>25843.15</v>
      </c>
      <c r="C1191" s="2">
        <v>25098.434999999994</v>
      </c>
      <c r="D1191" s="2">
        <v>24929.730000000003</v>
      </c>
      <c r="E1191" s="2">
        <v>24230.323499999984</v>
      </c>
    </row>
    <row r="1192" spans="1:5" x14ac:dyDescent="0.3">
      <c r="A1192" s="3">
        <v>45951</v>
      </c>
      <c r="B1192" s="2">
        <v>25868.6</v>
      </c>
      <c r="C1192" s="2">
        <v>25124.239999999998</v>
      </c>
      <c r="D1192" s="2">
        <v>24955.109000000004</v>
      </c>
      <c r="E1192" s="2">
        <v>24241.315249999985</v>
      </c>
    </row>
    <row r="1193" spans="1:5" x14ac:dyDescent="0.3">
      <c r="A1193" s="3">
        <v>45953</v>
      </c>
      <c r="B1193" s="2">
        <v>25891.4</v>
      </c>
      <c r="C1193" s="2">
        <v>25157.552499999994</v>
      </c>
      <c r="D1193" s="2">
        <v>24980.558000000008</v>
      </c>
      <c r="E1193" s="2">
        <v>24251.94374999998</v>
      </c>
    </row>
    <row r="1194" spans="1:5" x14ac:dyDescent="0.3">
      <c r="A1194" s="3">
        <v>45954</v>
      </c>
      <c r="B1194" s="2">
        <v>25795.15</v>
      </c>
      <c r="C1194" s="2">
        <v>25193.647499999995</v>
      </c>
      <c r="D1194" s="2">
        <v>25011.119999999999</v>
      </c>
      <c r="E1194" s="2">
        <v>24260.457499999986</v>
      </c>
    </row>
    <row r="1195" spans="1:5" x14ac:dyDescent="0.3">
      <c r="A1195" s="3">
        <v>45957</v>
      </c>
      <c r="B1195" s="2">
        <v>25966.05</v>
      </c>
      <c r="C1195" s="2">
        <v>25230.559999999998</v>
      </c>
      <c r="D1195" s="2">
        <v>25035.322</v>
      </c>
      <c r="E1195" s="2">
        <v>24269.409499999987</v>
      </c>
    </row>
    <row r="1196" spans="1:5" x14ac:dyDescent="0.3">
      <c r="A1196" s="3">
        <v>45958</v>
      </c>
      <c r="B1196" s="2">
        <v>25936.2</v>
      </c>
      <c r="C1196" s="2">
        <v>25284.32</v>
      </c>
      <c r="D1196" s="2">
        <v>25064.895</v>
      </c>
      <c r="E1196" s="2">
        <v>24281.159499999987</v>
      </c>
    </row>
    <row r="1197" spans="1:5" x14ac:dyDescent="0.3">
      <c r="A1197" s="3">
        <v>45959</v>
      </c>
      <c r="B1197" s="2">
        <v>26053.9</v>
      </c>
      <c r="C1197" s="2">
        <v>25348.395</v>
      </c>
      <c r="D1197" s="2">
        <v>25091.231999999996</v>
      </c>
      <c r="E1197" s="2">
        <v>24292.300999999992</v>
      </c>
    </row>
    <row r="1198" spans="1:5" x14ac:dyDescent="0.3">
      <c r="A1198" s="3">
        <v>45960</v>
      </c>
      <c r="B1198" s="2">
        <v>25877.85</v>
      </c>
      <c r="C1198" s="2">
        <v>25419.345000000001</v>
      </c>
      <c r="D1198" s="2">
        <v>25119.683999999997</v>
      </c>
      <c r="E1198" s="2">
        <v>24304.125749999992</v>
      </c>
    </row>
    <row r="1199" spans="1:5" x14ac:dyDescent="0.3">
      <c r="A1199" s="3">
        <v>45961</v>
      </c>
      <c r="B1199" s="2">
        <v>25722.1</v>
      </c>
      <c r="C1199" s="2">
        <v>25482.682500000003</v>
      </c>
      <c r="D1199" s="2">
        <v>25139.702000000001</v>
      </c>
      <c r="E1199" s="2">
        <v>24315.882499999992</v>
      </c>
    </row>
    <row r="1200" spans="1:5" x14ac:dyDescent="0.3">
      <c r="A1200" s="3">
        <v>45964</v>
      </c>
      <c r="B1200" s="2">
        <v>25763.35</v>
      </c>
      <c r="C1200" s="2">
        <v>25526.9725</v>
      </c>
      <c r="D1200" s="2">
        <v>25154.531000000003</v>
      </c>
      <c r="E1200" s="2">
        <v>24327.33549999999</v>
      </c>
    </row>
    <row r="1201" spans="1:5" x14ac:dyDescent="0.3">
      <c r="A1201" s="3">
        <v>45965</v>
      </c>
      <c r="B1201" s="2">
        <v>25597.65</v>
      </c>
      <c r="C1201" s="2">
        <v>25570.427499999998</v>
      </c>
      <c r="D1201" s="2">
        <v>25168.787</v>
      </c>
      <c r="E1201" s="2">
        <v>24340.722499999985</v>
      </c>
    </row>
    <row r="1202" spans="1:5" x14ac:dyDescent="0.3">
      <c r="A1202" s="3">
        <v>45967</v>
      </c>
      <c r="B1202" s="2">
        <v>25509.7</v>
      </c>
      <c r="C1202" s="2">
        <v>25596.427499999998</v>
      </c>
      <c r="D1202" s="2">
        <v>25179.064999999999</v>
      </c>
      <c r="E1202" s="2">
        <v>24352.830499999985</v>
      </c>
    </row>
    <row r="1203" spans="1:5" x14ac:dyDescent="0.3">
      <c r="A1203" s="3">
        <v>45968</v>
      </c>
      <c r="B1203" s="2">
        <v>25492.3</v>
      </c>
      <c r="C1203" s="2">
        <v>25616.497500000001</v>
      </c>
      <c r="D1203" s="2">
        <v>25191.857000000004</v>
      </c>
      <c r="E1203" s="2">
        <v>24364.312999999984</v>
      </c>
    </row>
    <row r="1204" spans="1:5" x14ac:dyDescent="0.3">
      <c r="A1204" s="3">
        <v>45971</v>
      </c>
      <c r="B1204" s="2">
        <v>25574.35</v>
      </c>
      <c r="C1204" s="2">
        <v>25638.805</v>
      </c>
      <c r="D1204" s="2">
        <v>25202.348000000002</v>
      </c>
      <c r="E1204" s="2">
        <v>24375.215499999984</v>
      </c>
    </row>
    <row r="1205" spans="1:5" x14ac:dyDescent="0.3">
      <c r="A1205" s="3">
        <v>45972</v>
      </c>
      <c r="B1205" s="2">
        <v>25694.95</v>
      </c>
      <c r="C1205" s="2">
        <v>25658.432499999999</v>
      </c>
      <c r="D1205" s="2">
        <v>25219.594000000008</v>
      </c>
      <c r="E1205" s="2">
        <v>24387.071249999983</v>
      </c>
    </row>
    <row r="1206" spans="1:5" x14ac:dyDescent="0.3">
      <c r="A1206" s="3">
        <v>45973</v>
      </c>
      <c r="B1206" s="2">
        <v>25875.8</v>
      </c>
      <c r="C1206" s="2">
        <v>25678.912499999999</v>
      </c>
      <c r="D1206" s="2">
        <v>25243.475000000009</v>
      </c>
      <c r="E1206" s="2">
        <v>24398.822249999987</v>
      </c>
    </row>
    <row r="1207" spans="1:5" x14ac:dyDescent="0.3">
      <c r="A1207" s="3">
        <v>45974</v>
      </c>
      <c r="B1207" s="2">
        <v>25879.15</v>
      </c>
      <c r="C1207" s="2">
        <v>25711.334999999999</v>
      </c>
      <c r="D1207" s="2">
        <v>25272.454000000009</v>
      </c>
      <c r="E1207" s="2">
        <v>24413.07799999998</v>
      </c>
    </row>
    <row r="1208" spans="1:5" x14ac:dyDescent="0.3">
      <c r="A1208" s="3">
        <v>45975</v>
      </c>
      <c r="B1208" s="2">
        <v>25910.05</v>
      </c>
      <c r="C1208" s="2">
        <v>25748.017499999998</v>
      </c>
      <c r="D1208" s="2">
        <v>25297.536000000007</v>
      </c>
      <c r="E1208" s="2">
        <v>24426.696999999982</v>
      </c>
    </row>
    <row r="1209" spans="1:5" x14ac:dyDescent="0.3">
      <c r="A1209" s="3">
        <v>45978</v>
      </c>
      <c r="B1209" s="2">
        <v>26013.45</v>
      </c>
      <c r="C1209" s="2">
        <v>25777.342499999999</v>
      </c>
      <c r="D1209" s="2">
        <v>25324.145000000004</v>
      </c>
      <c r="E1209" s="2">
        <v>24440.220499999985</v>
      </c>
    </row>
    <row r="1210" spans="1:5" x14ac:dyDescent="0.3">
      <c r="A1210" s="3">
        <v>45979</v>
      </c>
      <c r="B1210" s="2">
        <v>25910.05</v>
      </c>
      <c r="C1210" s="2">
        <v>25798.75</v>
      </c>
      <c r="D1210" s="2">
        <v>25350.113000000001</v>
      </c>
      <c r="E1210" s="2">
        <v>24454.826749999986</v>
      </c>
    </row>
    <row r="1211" spans="1:5" x14ac:dyDescent="0.3">
      <c r="A1211" s="3">
        <v>45980</v>
      </c>
      <c r="B1211" s="2">
        <v>26052.65</v>
      </c>
      <c r="C1211" s="2">
        <v>25808.760000000002</v>
      </c>
      <c r="D1211" s="2">
        <v>25373.628000000008</v>
      </c>
      <c r="E1211" s="2">
        <v>24470.231249999975</v>
      </c>
    </row>
    <row r="1212" spans="1:5" x14ac:dyDescent="0.3">
      <c r="A1212" s="3">
        <v>45981</v>
      </c>
      <c r="B1212" s="2">
        <v>26192.15</v>
      </c>
      <c r="C1212" s="2">
        <v>25819.235000000001</v>
      </c>
      <c r="D1212" s="2">
        <v>25399.861000000001</v>
      </c>
      <c r="E1212" s="2">
        <v>24485.708249999978</v>
      </c>
    </row>
    <row r="1213" spans="1:5" x14ac:dyDescent="0.3">
      <c r="A1213" s="3">
        <v>45982</v>
      </c>
      <c r="B1213" s="2">
        <v>26068.15</v>
      </c>
      <c r="C1213" s="2">
        <v>25835.412500000002</v>
      </c>
      <c r="D1213" s="2">
        <v>25428.240999999995</v>
      </c>
      <c r="E1213" s="2">
        <v>24500.853499999983</v>
      </c>
    </row>
    <row r="1214" spans="1:5" x14ac:dyDescent="0.3">
      <c r="A1214" s="3">
        <v>45985</v>
      </c>
      <c r="B1214" s="2">
        <v>25959.5</v>
      </c>
      <c r="C1214" s="2">
        <v>25844.250000000004</v>
      </c>
      <c r="D1214" s="2">
        <v>25452.231999999996</v>
      </c>
      <c r="E1214" s="2">
        <v>24514.946749999985</v>
      </c>
    </row>
    <row r="1215" spans="1:5" x14ac:dyDescent="0.3">
      <c r="A1215" s="3">
        <v>45986</v>
      </c>
      <c r="B1215" s="2">
        <v>25884.799999999999</v>
      </c>
      <c r="C1215" s="2">
        <v>25852.467500000006</v>
      </c>
      <c r="D1215" s="2">
        <v>25471.959999999995</v>
      </c>
      <c r="E1215" s="2">
        <v>24527.202249999984</v>
      </c>
    </row>
    <row r="1216" spans="1:5" x14ac:dyDescent="0.3">
      <c r="A1216" s="3">
        <v>45987</v>
      </c>
      <c r="B1216" s="2">
        <v>26205.3</v>
      </c>
      <c r="C1216" s="2">
        <v>25848.405000000006</v>
      </c>
      <c r="D1216" s="2">
        <v>25489.545999999995</v>
      </c>
      <c r="E1216" s="2">
        <v>24539.215499999984</v>
      </c>
    </row>
    <row r="1217" spans="1:5" x14ac:dyDescent="0.3">
      <c r="A1217" s="3">
        <v>45988</v>
      </c>
      <c r="B1217" s="2">
        <v>26215.55</v>
      </c>
      <c r="C1217" s="2">
        <v>25861.860000000004</v>
      </c>
      <c r="D1217" s="2">
        <v>25511.371999999996</v>
      </c>
      <c r="E1217" s="2">
        <v>24553.436749999983</v>
      </c>
    </row>
    <row r="1218" spans="1:5" x14ac:dyDescent="0.3">
      <c r="A1218" s="3">
        <v>45989</v>
      </c>
      <c r="B1218" s="2">
        <v>26202.95</v>
      </c>
      <c r="C1218" s="2">
        <v>25869.942500000001</v>
      </c>
      <c r="D1218" s="2">
        <v>25534.298999999999</v>
      </c>
      <c r="E1218" s="2">
        <v>24565.818249999982</v>
      </c>
    </row>
    <row r="1219" spans="1:5" x14ac:dyDescent="0.3">
      <c r="A1219" s="3">
        <v>45992</v>
      </c>
      <c r="B1219" s="2">
        <v>26175.75</v>
      </c>
      <c r="C1219" s="2">
        <v>25886.197500000002</v>
      </c>
      <c r="D1219" s="2">
        <v>25553.575999999997</v>
      </c>
      <c r="E1219" s="2">
        <v>24578.351499999986</v>
      </c>
    </row>
    <row r="1220" spans="1:5" x14ac:dyDescent="0.3">
      <c r="A1220" s="3">
        <v>45993</v>
      </c>
      <c r="B1220" s="2">
        <v>26032.2</v>
      </c>
      <c r="C1220" s="2">
        <v>25908.880000000001</v>
      </c>
      <c r="D1220" s="2">
        <v>25570.485999999997</v>
      </c>
      <c r="E1220" s="2">
        <v>24591.213499999987</v>
      </c>
    </row>
    <row r="1221" spans="1:5" x14ac:dyDescent="0.3">
      <c r="A1221" s="3">
        <v>45994</v>
      </c>
      <c r="B1221" s="2">
        <v>25986</v>
      </c>
      <c r="C1221" s="2">
        <v>25922.322500000002</v>
      </c>
      <c r="D1221" s="2">
        <v>25582.657999999999</v>
      </c>
      <c r="E1221" s="2">
        <v>24603.574749999985</v>
      </c>
    </row>
    <row r="1222" spans="1:5" x14ac:dyDescent="0.3">
      <c r="A1222" s="3">
        <v>45995</v>
      </c>
      <c r="B1222" s="2">
        <v>26033.75</v>
      </c>
      <c r="C1222" s="2">
        <v>25941.739999999998</v>
      </c>
      <c r="D1222" s="2">
        <v>25595.837000000003</v>
      </c>
      <c r="E1222" s="2">
        <v>24616.596749999982</v>
      </c>
    </row>
    <row r="1223" spans="1:5" x14ac:dyDescent="0.3">
      <c r="A1223" s="3">
        <v>45996</v>
      </c>
      <c r="B1223" s="2">
        <v>26186.45</v>
      </c>
      <c r="C1223" s="2">
        <v>25967.942499999997</v>
      </c>
      <c r="D1223" s="2">
        <v>25612.465</v>
      </c>
      <c r="E1223" s="2">
        <v>24631.406499999986</v>
      </c>
    </row>
    <row r="1224" spans="1:5" x14ac:dyDescent="0.3">
      <c r="A1224" s="3">
        <v>45999</v>
      </c>
      <c r="B1224" s="2">
        <v>25960.55</v>
      </c>
      <c r="C1224" s="2">
        <v>26002.65</v>
      </c>
      <c r="D1224" s="2">
        <v>25632.804</v>
      </c>
      <c r="E1224" s="2">
        <v>24647.112499999981</v>
      </c>
    </row>
    <row r="1225" spans="1:5" x14ac:dyDescent="0.3">
      <c r="A1225" s="3">
        <v>46000</v>
      </c>
      <c r="B1225" s="2">
        <v>25839.65</v>
      </c>
      <c r="C1225" s="2">
        <v>26021.96</v>
      </c>
      <c r="D1225" s="2">
        <v>25650.877</v>
      </c>
      <c r="E1225" s="2">
        <v>24661.758249999984</v>
      </c>
    </row>
    <row r="1226" spans="1:5" x14ac:dyDescent="0.3">
      <c r="A1226" s="3">
        <v>46001</v>
      </c>
      <c r="B1226" s="2">
        <v>25758</v>
      </c>
      <c r="C1226" s="2">
        <v>26029.195</v>
      </c>
      <c r="D1226" s="2">
        <v>25669.852999999999</v>
      </c>
      <c r="E1226" s="2">
        <v>24676.310249999984</v>
      </c>
    </row>
    <row r="1227" spans="1:5" x14ac:dyDescent="0.3">
      <c r="A1227" s="3">
        <v>46002</v>
      </c>
      <c r="B1227" s="2">
        <v>25898.55</v>
      </c>
      <c r="C1227" s="2">
        <v>26023.305</v>
      </c>
      <c r="D1227" s="2">
        <v>25691.918999999998</v>
      </c>
      <c r="E1227" s="2">
        <v>24690.302749999984</v>
      </c>
    </row>
    <row r="1228" spans="1:5" x14ac:dyDescent="0.3">
      <c r="A1228" s="3">
        <v>46003</v>
      </c>
      <c r="B1228" s="2">
        <v>26046.95</v>
      </c>
      <c r="C1228" s="2">
        <v>26024.275000000001</v>
      </c>
      <c r="D1228" s="2">
        <v>25717.192000000003</v>
      </c>
      <c r="E1228" s="2">
        <v>24705.068999999989</v>
      </c>
    </row>
    <row r="1229" spans="1:5" x14ac:dyDescent="0.3">
      <c r="A1229" s="3">
        <v>46006</v>
      </c>
      <c r="B1229" s="2">
        <v>26027.3</v>
      </c>
      <c r="C1229" s="2">
        <v>26031.119999999999</v>
      </c>
      <c r="D1229" s="2">
        <v>25745.909</v>
      </c>
      <c r="E1229" s="2">
        <v>24720.639249999993</v>
      </c>
    </row>
    <row r="1230" spans="1:5" x14ac:dyDescent="0.3">
      <c r="A1230" s="3">
        <v>46007</v>
      </c>
      <c r="B1230" s="2">
        <v>25860.1</v>
      </c>
      <c r="C1230" s="2">
        <v>26031.8125</v>
      </c>
      <c r="D1230" s="2">
        <v>25769.729000000003</v>
      </c>
      <c r="E1230" s="2">
        <v>24736.209999999992</v>
      </c>
    </row>
    <row r="1231" spans="1:5" x14ac:dyDescent="0.3">
      <c r="A1231" s="3">
        <v>46008</v>
      </c>
      <c r="B1231" s="2">
        <v>25818.55</v>
      </c>
      <c r="C1231" s="2">
        <v>26029.314999999999</v>
      </c>
      <c r="D1231" s="2">
        <v>25789.046000000002</v>
      </c>
      <c r="E1231" s="2">
        <v>24751.530999999988</v>
      </c>
    </row>
    <row r="1232" spans="1:5" x14ac:dyDescent="0.3">
      <c r="A1232" s="3">
        <v>46009</v>
      </c>
      <c r="B1232" s="2">
        <v>25815.55</v>
      </c>
      <c r="C1232" s="2">
        <v>26017.61</v>
      </c>
      <c r="D1232" s="2">
        <v>25803.864000000005</v>
      </c>
      <c r="E1232" s="2">
        <v>24767.856999999989</v>
      </c>
    </row>
    <row r="1233" spans="1:5" x14ac:dyDescent="0.3">
      <c r="A1233" s="3">
        <v>46010</v>
      </c>
      <c r="B1233" s="2">
        <v>25966.400000000001</v>
      </c>
      <c r="C1233" s="2">
        <v>25998.78</v>
      </c>
      <c r="D1233" s="2">
        <v>25818.009000000009</v>
      </c>
      <c r="E1233" s="2">
        <v>24784.196999999989</v>
      </c>
    </row>
    <row r="1234" spans="1:5" x14ac:dyDescent="0.3">
      <c r="A1234" s="3">
        <v>46013</v>
      </c>
      <c r="B1234" s="2">
        <v>26172.400000000001</v>
      </c>
      <c r="C1234" s="2">
        <v>25993.692500000001</v>
      </c>
      <c r="D1234" s="2">
        <v>25836.414000000004</v>
      </c>
      <c r="E1234" s="2">
        <v>24801.303749999992</v>
      </c>
    </row>
    <row r="1235" spans="1:5" x14ac:dyDescent="0.3">
      <c r="A1235" s="3">
        <v>46014</v>
      </c>
      <c r="B1235" s="2">
        <v>26177.15</v>
      </c>
      <c r="C1235" s="2">
        <v>26004.337500000001</v>
      </c>
      <c r="D1235" s="2">
        <v>25856.226000000006</v>
      </c>
      <c r="E1235" s="2">
        <v>24821.542249999991</v>
      </c>
    </row>
    <row r="1236" spans="1:5" x14ac:dyDescent="0.3">
      <c r="A1236" s="3">
        <v>46015</v>
      </c>
      <c r="B1236" s="2">
        <v>26142.1</v>
      </c>
      <c r="C1236" s="2">
        <v>26018.955000000002</v>
      </c>
      <c r="D1236" s="2">
        <v>25874.062000000002</v>
      </c>
      <c r="E1236" s="2">
        <v>24841.8315</v>
      </c>
    </row>
    <row r="1237" spans="1:5" x14ac:dyDescent="0.3">
      <c r="A1237" s="3">
        <v>46017</v>
      </c>
      <c r="B1237" s="2">
        <v>26042.3</v>
      </c>
      <c r="C1237" s="2">
        <v>26015.795000000002</v>
      </c>
      <c r="D1237" s="2">
        <v>25892.357000000004</v>
      </c>
      <c r="E1237" s="2">
        <v>24862.128749999989</v>
      </c>
    </row>
    <row r="1238" spans="1:5" x14ac:dyDescent="0.3">
      <c r="A1238" s="3">
        <v>46020</v>
      </c>
      <c r="B1238" s="2">
        <v>25942.1</v>
      </c>
      <c r="C1238" s="2">
        <v>26007.1325</v>
      </c>
      <c r="D1238" s="2">
        <v>25910.293000000009</v>
      </c>
      <c r="E1238" s="2">
        <v>24880.65374999999</v>
      </c>
    </row>
    <row r="1239" spans="1:5" x14ac:dyDescent="0.3">
      <c r="A1239" s="3">
        <v>46021</v>
      </c>
      <c r="B1239" s="2">
        <v>25938.85</v>
      </c>
      <c r="C1239" s="2">
        <v>25994.089999999997</v>
      </c>
      <c r="D1239" s="2">
        <v>25922.664000000004</v>
      </c>
      <c r="E1239" s="2">
        <v>24897.640749999991</v>
      </c>
    </row>
    <row r="1240" spans="1:5" x14ac:dyDescent="0.3">
      <c r="A1240" s="3">
        <v>46022</v>
      </c>
      <c r="B1240" s="2">
        <v>26129.599999999999</v>
      </c>
      <c r="C1240" s="2">
        <v>25982.244999999999</v>
      </c>
      <c r="D1240" s="2">
        <v>25929.735000000008</v>
      </c>
      <c r="E1240" s="2">
        <v>24914.572499999991</v>
      </c>
    </row>
    <row r="1241" spans="1:5" x14ac:dyDescent="0.3">
      <c r="A1241" s="14"/>
      <c r="B1241" s="1"/>
      <c r="C1241" s="1"/>
      <c r="D1241" s="1"/>
      <c r="E1241" s="1"/>
    </row>
  </sheetData>
  <mergeCells count="9">
    <mergeCell ref="G9:H9"/>
    <mergeCell ref="G2:H2"/>
    <mergeCell ref="G1:I1"/>
    <mergeCell ref="G3:H3"/>
    <mergeCell ref="G4:H4"/>
    <mergeCell ref="G5:H5"/>
    <mergeCell ref="G6:H6"/>
    <mergeCell ref="G7:H7"/>
    <mergeCell ref="G8:H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62B42-9C21-4FB4-B1A0-56A7745779AA}">
  <dimension ref="A1"/>
  <sheetViews>
    <sheetView tabSelected="1" topLeftCell="A13" zoomScale="65" zoomScaleNormal="35" workbookViewId="0">
      <selection activeCell="Z53" sqref="Z53"/>
    </sheetView>
  </sheetViews>
  <sheetFormatPr defaultRowHeight="14.4" x14ac:dyDescent="0.3"/>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NIFTY 50 2021-2026</vt:lpstr>
      <vt:lpstr>Drawdown Data</vt:lpstr>
      <vt:lpstr>Project pivot table 2</vt:lpstr>
      <vt:lpstr>Project pivot table</vt:lpstr>
      <vt:lpstr>Price trend line table</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Mann Maniktaliya</dc:creator>
  <cp:lastModifiedBy>Mann Maniktaliya</cp:lastModifiedBy>
  <dcterms:created xsi:type="dcterms:W3CDTF">2026-08-08T07:17:43Z</dcterms:created>
  <dcterms:modified xsi:type="dcterms:W3CDTF">2026-08-11T03:30:16Z</dcterms:modified>
</cp:coreProperties>
</file>